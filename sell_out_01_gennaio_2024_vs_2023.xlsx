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ilip\Desktop\report\sell_out\"/>
    </mc:Choice>
  </mc:AlternateContent>
  <xr:revisionPtr revIDLastSave="0" documentId="13_ncr:1_{135174F6-44E2-4245-A3A7-51B223C56CF8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vendor_01_2023" sheetId="1" state="hidden" r:id="rId1"/>
    <sheet name="vendor_01_2024" sheetId="2" state="hidden" r:id="rId2"/>
    <sheet name="seller_01_2024" sheetId="3" state="hidden" r:id="rId3"/>
    <sheet name="v_2023" sheetId="4" r:id="rId4"/>
    <sheet name="v_2024" sheetId="5" r:id="rId5"/>
    <sheet name="s_2024" sheetId="6" r:id="rId6"/>
    <sheet name="pivot" sheetId="8" r:id="rId7"/>
    <sheet name="IT" sheetId="9" r:id="rId8"/>
    <sheet name="complessivo" sheetId="7" r:id="rId9"/>
  </sheets>
  <definedNames>
    <definedName name="_xlnm._FilterDatabase" localSheetId="8" hidden="1">complessivo!$A$1:$N$360</definedName>
    <definedName name="_xlnm._FilterDatabase" localSheetId="7" hidden="1">IT!$A$1:$N$360</definedName>
  </definedNames>
  <calcPr calcId="191029"/>
  <pivotCaches>
    <pivotCache cacheId="6" r:id="rId10"/>
    <pivotCache cacheId="7" r:id="rId11"/>
    <pivotCache cacheId="8" r:id="rId12"/>
    <pivotCache cacheId="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9" l="1"/>
  <c r="K5" i="9"/>
  <c r="K6" i="9"/>
  <c r="K7" i="9"/>
  <c r="K9" i="9"/>
  <c r="K10" i="9"/>
  <c r="K11" i="9"/>
  <c r="K12" i="9"/>
  <c r="K15" i="9"/>
  <c r="K16" i="9"/>
  <c r="K22" i="9"/>
  <c r="K23" i="9"/>
  <c r="K24" i="9"/>
  <c r="K25" i="9"/>
  <c r="K26" i="9"/>
  <c r="K27" i="9"/>
  <c r="K28" i="9"/>
  <c r="K29" i="9"/>
  <c r="K31" i="9"/>
  <c r="K32" i="9"/>
  <c r="K33" i="9"/>
  <c r="K37" i="9"/>
  <c r="K39" i="9"/>
  <c r="K41" i="9"/>
  <c r="K42" i="9"/>
  <c r="K44" i="9"/>
  <c r="K45" i="9"/>
  <c r="K46" i="9"/>
  <c r="K49" i="9"/>
  <c r="K50" i="9"/>
  <c r="K51" i="9"/>
  <c r="K55" i="9"/>
  <c r="K56" i="9"/>
  <c r="K57" i="9"/>
  <c r="K58" i="9"/>
  <c r="K60" i="9"/>
  <c r="K61" i="9"/>
  <c r="K62" i="9"/>
  <c r="K70" i="9"/>
  <c r="K71" i="9"/>
  <c r="K72" i="9"/>
  <c r="K74" i="9"/>
  <c r="K77" i="9"/>
  <c r="K79" i="9"/>
  <c r="K84" i="9"/>
  <c r="K85" i="9"/>
  <c r="K89" i="9"/>
  <c r="K91" i="9"/>
  <c r="K92" i="9"/>
  <c r="K93" i="9"/>
  <c r="K94" i="9"/>
  <c r="K95" i="9"/>
  <c r="K98" i="9"/>
  <c r="K99" i="9"/>
  <c r="K100" i="9"/>
  <c r="K102" i="9"/>
  <c r="K104" i="9"/>
  <c r="K107" i="9"/>
  <c r="K108" i="9"/>
  <c r="K110" i="9"/>
  <c r="K111" i="9"/>
  <c r="K112" i="9"/>
  <c r="K114" i="9"/>
  <c r="K115" i="9"/>
  <c r="K116" i="9"/>
  <c r="K117" i="9"/>
  <c r="K118" i="9"/>
  <c r="K119" i="9"/>
  <c r="K120" i="9"/>
  <c r="K122" i="9"/>
  <c r="K124" i="9"/>
  <c r="K127" i="9"/>
  <c r="K128" i="9"/>
  <c r="K130" i="9"/>
  <c r="K131" i="9"/>
  <c r="K132" i="9"/>
  <c r="K137" i="9"/>
  <c r="K139" i="9"/>
  <c r="K140" i="9"/>
  <c r="K141" i="9"/>
  <c r="K142" i="9"/>
  <c r="K143" i="9"/>
  <c r="K145" i="9"/>
  <c r="K147" i="9"/>
  <c r="K148" i="9"/>
  <c r="K149" i="9"/>
  <c r="K150" i="9"/>
  <c r="K152" i="9"/>
  <c r="K154" i="9"/>
  <c r="K155" i="9"/>
  <c r="K156" i="9"/>
  <c r="K157" i="9"/>
  <c r="K158" i="9"/>
  <c r="K159" i="9"/>
  <c r="K160" i="9"/>
  <c r="K162" i="9"/>
  <c r="K163" i="9"/>
  <c r="K164" i="9"/>
  <c r="K165" i="9"/>
  <c r="K167" i="9"/>
  <c r="K168" i="9"/>
  <c r="K170" i="9"/>
  <c r="K172" i="9"/>
  <c r="K173" i="9"/>
  <c r="K175" i="9"/>
  <c r="K180" i="9"/>
  <c r="K182" i="9"/>
  <c r="K184" i="9"/>
  <c r="K188" i="9"/>
  <c r="K189" i="9"/>
  <c r="K190" i="9"/>
  <c r="K191" i="9"/>
  <c r="K193" i="9"/>
  <c r="K194" i="9"/>
  <c r="K195" i="9"/>
  <c r="K196" i="9"/>
  <c r="K197" i="9"/>
  <c r="K198" i="9"/>
  <c r="K200" i="9"/>
  <c r="K202" i="9"/>
  <c r="K203" i="9"/>
  <c r="K206" i="9"/>
  <c r="K208" i="9"/>
  <c r="K209" i="9"/>
  <c r="K210" i="9"/>
  <c r="K211" i="9"/>
  <c r="K212" i="9"/>
  <c r="K213" i="9"/>
  <c r="K214" i="9"/>
  <c r="K215" i="9"/>
  <c r="K216" i="9"/>
  <c r="K217" i="9"/>
  <c r="K218" i="9"/>
  <c r="K220" i="9"/>
  <c r="K222" i="9"/>
  <c r="K223" i="9"/>
  <c r="K224" i="9"/>
  <c r="K225" i="9"/>
  <c r="K227" i="9"/>
  <c r="K229" i="9"/>
  <c r="K230" i="9"/>
  <c r="K231" i="9"/>
  <c r="K232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50" i="9"/>
  <c r="K251" i="9"/>
  <c r="K252" i="9"/>
  <c r="K284" i="9"/>
  <c r="K286" i="9"/>
  <c r="K289" i="9"/>
  <c r="K292" i="9"/>
  <c r="K295" i="9"/>
  <c r="K296" i="9"/>
  <c r="K297" i="9"/>
  <c r="K299" i="9"/>
  <c r="K304" i="9"/>
  <c r="K305" i="9"/>
  <c r="K307" i="9"/>
  <c r="K308" i="9"/>
  <c r="K310" i="9"/>
  <c r="K311" i="9"/>
  <c r="K312" i="9"/>
  <c r="K313" i="9"/>
  <c r="K315" i="9"/>
  <c r="K316" i="9"/>
  <c r="K317" i="9"/>
  <c r="K319" i="9"/>
  <c r="K320" i="9"/>
  <c r="K321" i="9"/>
  <c r="K323" i="9"/>
  <c r="K324" i="9"/>
  <c r="K326" i="9"/>
  <c r="K328" i="9"/>
  <c r="K330" i="9"/>
  <c r="K331" i="9"/>
  <c r="K332" i="9"/>
  <c r="K333" i="9"/>
  <c r="K334" i="9"/>
  <c r="K338" i="9"/>
  <c r="K340" i="9"/>
  <c r="K341" i="9"/>
  <c r="K342" i="9"/>
  <c r="K346" i="9"/>
  <c r="K351" i="9"/>
  <c r="K352" i="9"/>
  <c r="K354" i="9"/>
  <c r="K356" i="9"/>
  <c r="K357" i="9"/>
  <c r="K359" i="9"/>
  <c r="K360" i="9"/>
  <c r="K2" i="9"/>
  <c r="J4" i="9"/>
  <c r="J5" i="9"/>
  <c r="J6" i="9"/>
  <c r="J7" i="9"/>
  <c r="J9" i="9"/>
  <c r="J10" i="9"/>
  <c r="J11" i="9"/>
  <c r="J12" i="9"/>
  <c r="J15" i="9"/>
  <c r="J16" i="9"/>
  <c r="J22" i="9"/>
  <c r="J23" i="9"/>
  <c r="J24" i="9"/>
  <c r="J25" i="9"/>
  <c r="J26" i="9"/>
  <c r="J27" i="9"/>
  <c r="J28" i="9"/>
  <c r="J29" i="9"/>
  <c r="J31" i="9"/>
  <c r="J32" i="9"/>
  <c r="J33" i="9"/>
  <c r="J37" i="9"/>
  <c r="J39" i="9"/>
  <c r="J41" i="9"/>
  <c r="J42" i="9"/>
  <c r="J44" i="9"/>
  <c r="J45" i="9"/>
  <c r="J46" i="9"/>
  <c r="J49" i="9"/>
  <c r="J50" i="9"/>
  <c r="J51" i="9"/>
  <c r="J55" i="9"/>
  <c r="J56" i="9"/>
  <c r="J57" i="9"/>
  <c r="J58" i="9"/>
  <c r="J60" i="9"/>
  <c r="J61" i="9"/>
  <c r="J62" i="9"/>
  <c r="J70" i="9"/>
  <c r="J71" i="9"/>
  <c r="J72" i="9"/>
  <c r="J74" i="9"/>
  <c r="J77" i="9"/>
  <c r="J79" i="9"/>
  <c r="J84" i="9"/>
  <c r="J85" i="9"/>
  <c r="J89" i="9"/>
  <c r="J91" i="9"/>
  <c r="J92" i="9"/>
  <c r="J93" i="9"/>
  <c r="J94" i="9"/>
  <c r="J95" i="9"/>
  <c r="J98" i="9"/>
  <c r="J99" i="9"/>
  <c r="J100" i="9"/>
  <c r="J102" i="9"/>
  <c r="J104" i="9"/>
  <c r="J107" i="9"/>
  <c r="J108" i="9"/>
  <c r="J110" i="9"/>
  <c r="J111" i="9"/>
  <c r="J112" i="9"/>
  <c r="J114" i="9"/>
  <c r="J115" i="9"/>
  <c r="J116" i="9"/>
  <c r="J117" i="9"/>
  <c r="J118" i="9"/>
  <c r="J119" i="9"/>
  <c r="J120" i="9"/>
  <c r="J122" i="9"/>
  <c r="J124" i="9"/>
  <c r="J127" i="9"/>
  <c r="J128" i="9"/>
  <c r="J130" i="9"/>
  <c r="J131" i="9"/>
  <c r="J132" i="9"/>
  <c r="J137" i="9"/>
  <c r="J139" i="9"/>
  <c r="J140" i="9"/>
  <c r="J141" i="9"/>
  <c r="J142" i="9"/>
  <c r="J143" i="9"/>
  <c r="J145" i="9"/>
  <c r="J147" i="9"/>
  <c r="J148" i="9"/>
  <c r="J149" i="9"/>
  <c r="J150" i="9"/>
  <c r="J152" i="9"/>
  <c r="J154" i="9"/>
  <c r="J155" i="9"/>
  <c r="J156" i="9"/>
  <c r="J157" i="9"/>
  <c r="J158" i="9"/>
  <c r="J159" i="9"/>
  <c r="J160" i="9"/>
  <c r="J162" i="9"/>
  <c r="J163" i="9"/>
  <c r="J164" i="9"/>
  <c r="J165" i="9"/>
  <c r="J167" i="9"/>
  <c r="J168" i="9"/>
  <c r="J170" i="9"/>
  <c r="J172" i="9"/>
  <c r="J173" i="9"/>
  <c r="J175" i="9"/>
  <c r="J180" i="9"/>
  <c r="J182" i="9"/>
  <c r="J184" i="9"/>
  <c r="J188" i="9"/>
  <c r="J189" i="9"/>
  <c r="J190" i="9"/>
  <c r="J191" i="9"/>
  <c r="J193" i="9"/>
  <c r="J194" i="9"/>
  <c r="J195" i="9"/>
  <c r="J196" i="9"/>
  <c r="J197" i="9"/>
  <c r="J198" i="9"/>
  <c r="J200" i="9"/>
  <c r="J202" i="9"/>
  <c r="J203" i="9"/>
  <c r="J206" i="9"/>
  <c r="J208" i="9"/>
  <c r="J209" i="9"/>
  <c r="J210" i="9"/>
  <c r="J211" i="9"/>
  <c r="J212" i="9"/>
  <c r="J213" i="9"/>
  <c r="J214" i="9"/>
  <c r="J215" i="9"/>
  <c r="J216" i="9"/>
  <c r="J217" i="9"/>
  <c r="J218" i="9"/>
  <c r="J220" i="9"/>
  <c r="J222" i="9"/>
  <c r="J223" i="9"/>
  <c r="J224" i="9"/>
  <c r="J225" i="9"/>
  <c r="J227" i="9"/>
  <c r="J229" i="9"/>
  <c r="J230" i="9"/>
  <c r="J231" i="9"/>
  <c r="J232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50" i="9"/>
  <c r="J251" i="9"/>
  <c r="J252" i="9"/>
  <c r="J284" i="9"/>
  <c r="J286" i="9"/>
  <c r="J289" i="9"/>
  <c r="J292" i="9"/>
  <c r="J295" i="9"/>
  <c r="J296" i="9"/>
  <c r="J297" i="9"/>
  <c r="J299" i="9"/>
  <c r="J304" i="9"/>
  <c r="J305" i="9"/>
  <c r="J307" i="9"/>
  <c r="J308" i="9"/>
  <c r="J310" i="9"/>
  <c r="J311" i="9"/>
  <c r="J312" i="9"/>
  <c r="J313" i="9"/>
  <c r="J315" i="9"/>
  <c r="J316" i="9"/>
  <c r="J317" i="9"/>
  <c r="J319" i="9"/>
  <c r="J320" i="9"/>
  <c r="J321" i="9"/>
  <c r="J323" i="9"/>
  <c r="J324" i="9"/>
  <c r="J326" i="9"/>
  <c r="J328" i="9"/>
  <c r="J330" i="9"/>
  <c r="J331" i="9"/>
  <c r="J332" i="9"/>
  <c r="J333" i="9"/>
  <c r="J334" i="9"/>
  <c r="J338" i="9"/>
  <c r="J340" i="9"/>
  <c r="J341" i="9"/>
  <c r="J342" i="9"/>
  <c r="J346" i="9"/>
  <c r="J351" i="9"/>
  <c r="J352" i="9"/>
  <c r="J354" i="9"/>
  <c r="J356" i="9"/>
  <c r="J357" i="9"/>
  <c r="J359" i="9"/>
  <c r="J360" i="9"/>
  <c r="J2" i="9"/>
  <c r="F11" i="9"/>
  <c r="I20" i="9"/>
  <c r="M20" i="9" s="1"/>
  <c r="F21" i="9"/>
  <c r="I21" i="9" s="1"/>
  <c r="M21" i="9" s="1"/>
  <c r="F24" i="9"/>
  <c r="F27" i="9"/>
  <c r="F29" i="9"/>
  <c r="F38" i="9"/>
  <c r="I38" i="9" s="1"/>
  <c r="F42" i="9"/>
  <c r="F48" i="9"/>
  <c r="I48" i="9" s="1"/>
  <c r="F50" i="9"/>
  <c r="I52" i="9"/>
  <c r="F61" i="9"/>
  <c r="I68" i="9"/>
  <c r="F70" i="9"/>
  <c r="F74" i="9"/>
  <c r="I76" i="9"/>
  <c r="F78" i="9"/>
  <c r="I78" i="9" s="1"/>
  <c r="F79" i="9"/>
  <c r="F80" i="9"/>
  <c r="I80" i="9" s="1"/>
  <c r="I92" i="9"/>
  <c r="F97" i="9"/>
  <c r="F99" i="9"/>
  <c r="F105" i="9"/>
  <c r="I105" i="9" s="1"/>
  <c r="G105" i="9" s="1"/>
  <c r="F106" i="9"/>
  <c r="F113" i="9"/>
  <c r="F114" i="9"/>
  <c r="F124" i="9"/>
  <c r="I134" i="9"/>
  <c r="I136" i="9"/>
  <c r="I145" i="9"/>
  <c r="I146" i="9"/>
  <c r="F147" i="9"/>
  <c r="I153" i="9"/>
  <c r="F155" i="9"/>
  <c r="F158" i="9"/>
  <c r="I160" i="9"/>
  <c r="F161" i="9"/>
  <c r="I161" i="9" s="1"/>
  <c r="F163" i="9"/>
  <c r="F166" i="9"/>
  <c r="I169" i="9"/>
  <c r="I174" i="9"/>
  <c r="I177" i="9"/>
  <c r="I181" i="9"/>
  <c r="I196" i="9"/>
  <c r="F197" i="9"/>
  <c r="F202" i="9"/>
  <c r="I226" i="9"/>
  <c r="F227" i="9"/>
  <c r="I233" i="9"/>
  <c r="F236" i="9"/>
  <c r="F239" i="9"/>
  <c r="I264" i="9"/>
  <c r="I268" i="9"/>
  <c r="I275" i="9"/>
  <c r="I283" i="9"/>
  <c r="F286" i="9"/>
  <c r="I289" i="9"/>
  <c r="I296" i="9"/>
  <c r="I297" i="9"/>
  <c r="I298" i="9"/>
  <c r="I300" i="9"/>
  <c r="I305" i="9"/>
  <c r="I310" i="9"/>
  <c r="I315" i="9"/>
  <c r="I316" i="9"/>
  <c r="I320" i="9"/>
  <c r="I321" i="9"/>
  <c r="I323" i="9"/>
  <c r="I329" i="9"/>
  <c r="I336" i="9"/>
  <c r="I344" i="9"/>
  <c r="I347" i="9"/>
  <c r="F350" i="9"/>
  <c r="I352" i="9"/>
  <c r="I353" i="9"/>
  <c r="I355" i="9"/>
  <c r="F360" i="9"/>
  <c r="F2" i="9"/>
  <c r="E2" i="9"/>
  <c r="H3" i="9"/>
  <c r="E11" i="9"/>
  <c r="H18" i="9"/>
  <c r="H20" i="9"/>
  <c r="E21" i="9"/>
  <c r="H21" i="9" s="1"/>
  <c r="E24" i="9"/>
  <c r="H26" i="9"/>
  <c r="E27" i="9"/>
  <c r="E29" i="9"/>
  <c r="H30" i="9"/>
  <c r="E38" i="9"/>
  <c r="H38" i="9" s="1"/>
  <c r="E42" i="9"/>
  <c r="E48" i="9"/>
  <c r="H48" i="9" s="1"/>
  <c r="E50" i="9"/>
  <c r="H52" i="9"/>
  <c r="E61" i="9"/>
  <c r="H66" i="9"/>
  <c r="H68" i="9"/>
  <c r="E70" i="9"/>
  <c r="H73" i="9"/>
  <c r="E74" i="9"/>
  <c r="H76" i="9"/>
  <c r="E78" i="9"/>
  <c r="H78" i="9" s="1"/>
  <c r="E79" i="9"/>
  <c r="E80" i="9"/>
  <c r="H80" i="9" s="1"/>
  <c r="H86" i="9"/>
  <c r="H88" i="9"/>
  <c r="H90" i="9"/>
  <c r="H92" i="9"/>
  <c r="H96" i="9"/>
  <c r="E97" i="9"/>
  <c r="H97" i="9" s="1"/>
  <c r="H98" i="9"/>
  <c r="E99" i="9"/>
  <c r="E105" i="9"/>
  <c r="H105" i="9" s="1"/>
  <c r="E106" i="9"/>
  <c r="E113" i="9"/>
  <c r="H113" i="9" s="1"/>
  <c r="E114" i="9"/>
  <c r="E124" i="9"/>
  <c r="H136" i="9"/>
  <c r="L136" i="9" s="1"/>
  <c r="H145" i="9"/>
  <c r="E147" i="9"/>
  <c r="H153" i="9"/>
  <c r="E155" i="9"/>
  <c r="E158" i="9"/>
  <c r="E161" i="9"/>
  <c r="E163" i="9"/>
  <c r="E166" i="9"/>
  <c r="H169" i="9"/>
  <c r="H177" i="9"/>
  <c r="H187" i="9"/>
  <c r="H196" i="9"/>
  <c r="E197" i="9"/>
  <c r="E202" i="9"/>
  <c r="H223" i="9"/>
  <c r="E227" i="9"/>
  <c r="H228" i="9"/>
  <c r="H233" i="9"/>
  <c r="E236" i="9"/>
  <c r="E239" i="9"/>
  <c r="H253" i="9"/>
  <c r="H268" i="9"/>
  <c r="H284" i="9"/>
  <c r="E286" i="9"/>
  <c r="H287" i="9"/>
  <c r="H289" i="9"/>
  <c r="H297" i="9"/>
  <c r="H299" i="9"/>
  <c r="H305" i="9"/>
  <c r="H307" i="9"/>
  <c r="H313" i="9"/>
  <c r="H315" i="9"/>
  <c r="H321" i="9"/>
  <c r="H324" i="9"/>
  <c r="H329" i="9"/>
  <c r="H331" i="9"/>
  <c r="H332" i="9"/>
  <c r="H337" i="9"/>
  <c r="H339" i="9"/>
  <c r="H340" i="9"/>
  <c r="H341" i="9"/>
  <c r="H348" i="9"/>
  <c r="E350" i="9"/>
  <c r="H350" i="9" s="1"/>
  <c r="H355" i="9"/>
  <c r="H356" i="9"/>
  <c r="E360" i="9"/>
  <c r="D4" i="9"/>
  <c r="D6" i="9"/>
  <c r="I6" i="9" s="1"/>
  <c r="G6" i="9" s="1"/>
  <c r="D7" i="9"/>
  <c r="I7" i="9" s="1"/>
  <c r="D9" i="9"/>
  <c r="I9" i="9" s="1"/>
  <c r="G9" i="9" s="1"/>
  <c r="D10" i="9"/>
  <c r="I10" i="9" s="1"/>
  <c r="G10" i="9" s="1"/>
  <c r="D11" i="9"/>
  <c r="D12" i="9"/>
  <c r="D13" i="9"/>
  <c r="I13" i="9" s="1"/>
  <c r="M13" i="9" s="1"/>
  <c r="D14" i="9"/>
  <c r="I14" i="9" s="1"/>
  <c r="G14" i="9" s="1"/>
  <c r="D15" i="9"/>
  <c r="I15" i="9" s="1"/>
  <c r="G15" i="9" s="1"/>
  <c r="D16" i="9"/>
  <c r="I16" i="9" s="1"/>
  <c r="G16" i="9" s="1"/>
  <c r="D17" i="9"/>
  <c r="I17" i="9" s="1"/>
  <c r="D19" i="9"/>
  <c r="I19" i="9" s="1"/>
  <c r="D22" i="9"/>
  <c r="I22" i="9" s="1"/>
  <c r="D23" i="9"/>
  <c r="I23" i="9" s="1"/>
  <c r="G23" i="9" s="1"/>
  <c r="D24" i="9"/>
  <c r="D25" i="9"/>
  <c r="I25" i="9" s="1"/>
  <c r="G25" i="9" s="1"/>
  <c r="D27" i="9"/>
  <c r="D28" i="9"/>
  <c r="D29" i="9"/>
  <c r="I30" i="9"/>
  <c r="M30" i="9" s="1"/>
  <c r="D31" i="9"/>
  <c r="I31" i="9" s="1"/>
  <c r="G31" i="9" s="1"/>
  <c r="D32" i="9"/>
  <c r="I32" i="9" s="1"/>
  <c r="G32" i="9" s="1"/>
  <c r="D33" i="9"/>
  <c r="I33" i="9" s="1"/>
  <c r="D35" i="9"/>
  <c r="I35" i="9" s="1"/>
  <c r="D36" i="9"/>
  <c r="D37" i="9"/>
  <c r="I37" i="9" s="1"/>
  <c r="D39" i="9"/>
  <c r="I39" i="9" s="1"/>
  <c r="D41" i="9"/>
  <c r="I41" i="9" s="1"/>
  <c r="G41" i="9" s="1"/>
  <c r="D42" i="9"/>
  <c r="D44" i="9"/>
  <c r="D45" i="9"/>
  <c r="I45" i="9" s="1"/>
  <c r="G45" i="9" s="1"/>
  <c r="D46" i="9"/>
  <c r="I46" i="9" s="1"/>
  <c r="D49" i="9"/>
  <c r="I49" i="9" s="1"/>
  <c r="D50" i="9"/>
  <c r="D51" i="9"/>
  <c r="I51" i="9" s="1"/>
  <c r="G51" i="9" s="1"/>
  <c r="D53" i="9"/>
  <c r="I53" i="9" s="1"/>
  <c r="M53" i="9" s="1"/>
  <c r="I54" i="9"/>
  <c r="D55" i="9"/>
  <c r="I55" i="9" s="1"/>
  <c r="G55" i="9" s="1"/>
  <c r="D56" i="9"/>
  <c r="I56" i="9" s="1"/>
  <c r="G56" i="9" s="1"/>
  <c r="D57" i="9"/>
  <c r="I57" i="9" s="1"/>
  <c r="G57" i="9" s="1"/>
  <c r="D58" i="9"/>
  <c r="I58" i="9" s="1"/>
  <c r="G58" i="9" s="1"/>
  <c r="D60" i="9"/>
  <c r="D61" i="9"/>
  <c r="D62" i="9"/>
  <c r="I62" i="9" s="1"/>
  <c r="G62" i="9" s="1"/>
  <c r="D65" i="9"/>
  <c r="I65" i="9" s="1"/>
  <c r="G65" i="9" s="1"/>
  <c r="D70" i="9"/>
  <c r="D71" i="9"/>
  <c r="I71" i="9" s="1"/>
  <c r="G71" i="9" s="1"/>
  <c r="D72" i="9"/>
  <c r="I72" i="9" s="1"/>
  <c r="G72" i="9" s="1"/>
  <c r="D74" i="9"/>
  <c r="D75" i="9"/>
  <c r="I75" i="9" s="1"/>
  <c r="D77" i="9"/>
  <c r="I77" i="9" s="1"/>
  <c r="D79" i="9"/>
  <c r="D81" i="9"/>
  <c r="D84" i="9"/>
  <c r="D85" i="9"/>
  <c r="I85" i="9" s="1"/>
  <c r="G85" i="9" s="1"/>
  <c r="I86" i="9"/>
  <c r="D89" i="9"/>
  <c r="I89" i="9" s="1"/>
  <c r="D91" i="9"/>
  <c r="I91" i="9" s="1"/>
  <c r="G91" i="9" s="1"/>
  <c r="D93" i="9"/>
  <c r="D94" i="9"/>
  <c r="I94" i="9" s="1"/>
  <c r="D95" i="9"/>
  <c r="I95" i="9" s="1"/>
  <c r="G95" i="9" s="1"/>
  <c r="D99" i="9"/>
  <c r="D100" i="9"/>
  <c r="D102" i="9"/>
  <c r="I102" i="9" s="1"/>
  <c r="D104" i="9"/>
  <c r="I104" i="9" s="1"/>
  <c r="D107" i="9"/>
  <c r="I107" i="9" s="1"/>
  <c r="G107" i="9" s="1"/>
  <c r="D108" i="9"/>
  <c r="I108" i="9" s="1"/>
  <c r="G108" i="9" s="1"/>
  <c r="D110" i="9"/>
  <c r="I110" i="9" s="1"/>
  <c r="G110" i="9" s="1"/>
  <c r="D111" i="9"/>
  <c r="I111" i="9" s="1"/>
  <c r="G111" i="9" s="1"/>
  <c r="D112" i="9"/>
  <c r="I112" i="9" s="1"/>
  <c r="G112" i="9" s="1"/>
  <c r="D114" i="9"/>
  <c r="D115" i="9"/>
  <c r="I115" i="9" s="1"/>
  <c r="G115" i="9" s="1"/>
  <c r="D116" i="9"/>
  <c r="D117" i="9"/>
  <c r="I117" i="9" s="1"/>
  <c r="G117" i="9" s="1"/>
  <c r="D118" i="9"/>
  <c r="I118" i="9" s="1"/>
  <c r="G118" i="9" s="1"/>
  <c r="D119" i="9"/>
  <c r="I119" i="9" s="1"/>
  <c r="G119" i="9" s="1"/>
  <c r="D120" i="9"/>
  <c r="I120" i="9" s="1"/>
  <c r="G120" i="9" s="1"/>
  <c r="D121" i="9"/>
  <c r="I121" i="9" s="1"/>
  <c r="D122" i="9"/>
  <c r="I122" i="9" s="1"/>
  <c r="G122" i="9" s="1"/>
  <c r="D123" i="9"/>
  <c r="I123" i="9" s="1"/>
  <c r="D124" i="9"/>
  <c r="D125" i="9"/>
  <c r="I125" i="9" s="1"/>
  <c r="D127" i="9"/>
  <c r="D128" i="9"/>
  <c r="D129" i="9"/>
  <c r="D130" i="9"/>
  <c r="D131" i="9"/>
  <c r="I131" i="9" s="1"/>
  <c r="D132" i="9"/>
  <c r="I132" i="9" s="1"/>
  <c r="D135" i="9"/>
  <c r="I135" i="9" s="1"/>
  <c r="D137" i="9"/>
  <c r="I137" i="9" s="1"/>
  <c r="G137" i="9" s="1"/>
  <c r="D139" i="9"/>
  <c r="I139" i="9" s="1"/>
  <c r="D140" i="9"/>
  <c r="D141" i="9"/>
  <c r="I141" i="9" s="1"/>
  <c r="G141" i="9" s="1"/>
  <c r="D142" i="9"/>
  <c r="D143" i="9"/>
  <c r="I144" i="9"/>
  <c r="D147" i="9"/>
  <c r="D148" i="9"/>
  <c r="D150" i="9"/>
  <c r="D152" i="9"/>
  <c r="I152" i="9" s="1"/>
  <c r="D154" i="9"/>
  <c r="D155" i="9"/>
  <c r="D156" i="9"/>
  <c r="D157" i="9"/>
  <c r="I157" i="9" s="1"/>
  <c r="G157" i="9" s="1"/>
  <c r="D158" i="9"/>
  <c r="D159" i="9"/>
  <c r="D162" i="9"/>
  <c r="D163" i="9"/>
  <c r="D164" i="9"/>
  <c r="D165" i="9"/>
  <c r="D167" i="9"/>
  <c r="D168" i="9"/>
  <c r="I168" i="9" s="1"/>
  <c r="D170" i="9"/>
  <c r="D171" i="9"/>
  <c r="D172" i="9"/>
  <c r="D173" i="9"/>
  <c r="I173" i="9" s="1"/>
  <c r="D175" i="9"/>
  <c r="D176" i="9"/>
  <c r="I176" i="9" s="1"/>
  <c r="D179" i="9"/>
  <c r="I179" i="9" s="1"/>
  <c r="M179" i="9" s="1"/>
  <c r="D180" i="9"/>
  <c r="D182" i="9"/>
  <c r="D183" i="9"/>
  <c r="D184" i="9"/>
  <c r="D185" i="9"/>
  <c r="D186" i="9"/>
  <c r="D188" i="9"/>
  <c r="D189" i="9"/>
  <c r="D190" i="9"/>
  <c r="I190" i="9" s="1"/>
  <c r="D191" i="9"/>
  <c r="D193" i="9"/>
  <c r="I193" i="9" s="1"/>
  <c r="D194" i="9"/>
  <c r="D195" i="9"/>
  <c r="I195" i="9" s="1"/>
  <c r="G195" i="9" s="1"/>
  <c r="D197" i="9"/>
  <c r="D198" i="9"/>
  <c r="I198" i="9" s="1"/>
  <c r="G198" i="9" s="1"/>
  <c r="D200" i="9"/>
  <c r="I200" i="9" s="1"/>
  <c r="G200" i="9" s="1"/>
  <c r="D201" i="9"/>
  <c r="D202" i="9"/>
  <c r="D203" i="9"/>
  <c r="I203" i="9" s="1"/>
  <c r="D204" i="9"/>
  <c r="D206" i="9"/>
  <c r="D208" i="9"/>
  <c r="D209" i="9"/>
  <c r="I209" i="9" s="1"/>
  <c r="G209" i="9" s="1"/>
  <c r="D211" i="9"/>
  <c r="I211" i="9" s="1"/>
  <c r="G211" i="9" s="1"/>
  <c r="D212" i="9"/>
  <c r="D213" i="9"/>
  <c r="D214" i="9"/>
  <c r="D215" i="9"/>
  <c r="I215" i="9" s="1"/>
  <c r="G215" i="9" s="1"/>
  <c r="D216" i="9"/>
  <c r="I216" i="9" s="1"/>
  <c r="G216" i="9" s="1"/>
  <c r="D217" i="9"/>
  <c r="D218" i="9"/>
  <c r="D219" i="9"/>
  <c r="I219" i="9" s="1"/>
  <c r="G219" i="9" s="1"/>
  <c r="D220" i="9"/>
  <c r="D221" i="9"/>
  <c r="I221" i="9" s="1"/>
  <c r="G221" i="9" s="1"/>
  <c r="D222" i="9"/>
  <c r="D224" i="9"/>
  <c r="D225" i="9"/>
  <c r="I225" i="9" s="1"/>
  <c r="G225" i="9" s="1"/>
  <c r="D227" i="9"/>
  <c r="D229" i="9"/>
  <c r="I229" i="9" s="1"/>
  <c r="G229" i="9" s="1"/>
  <c r="D230" i="9"/>
  <c r="I230" i="9" s="1"/>
  <c r="D231" i="9"/>
  <c r="D232" i="9"/>
  <c r="I232" i="9" s="1"/>
  <c r="G232" i="9" s="1"/>
  <c r="D234" i="9"/>
  <c r="D235" i="9"/>
  <c r="I235" i="9" s="1"/>
  <c r="G235" i="9" s="1"/>
  <c r="D236" i="9"/>
  <c r="D237" i="9"/>
  <c r="I237" i="9" s="1"/>
  <c r="G237" i="9" s="1"/>
  <c r="D238" i="9"/>
  <c r="D239" i="9"/>
  <c r="I240" i="9"/>
  <c r="D241" i="9"/>
  <c r="I241" i="9" s="1"/>
  <c r="G241" i="9" s="1"/>
  <c r="D242" i="9"/>
  <c r="D243" i="9"/>
  <c r="D244" i="9"/>
  <c r="D246" i="9"/>
  <c r="I246" i="9" s="1"/>
  <c r="D247" i="9"/>
  <c r="D248" i="9"/>
  <c r="I248" i="9" s="1"/>
  <c r="D249" i="9"/>
  <c r="D250" i="9"/>
  <c r="D251" i="9"/>
  <c r="D252" i="9"/>
  <c r="D254" i="9"/>
  <c r="I254" i="9" s="1"/>
  <c r="G254" i="9" s="1"/>
  <c r="D256" i="9"/>
  <c r="I256" i="9" s="1"/>
  <c r="D257" i="9"/>
  <c r="D258" i="9"/>
  <c r="D259" i="9"/>
  <c r="I259" i="9" s="1"/>
  <c r="D260" i="9"/>
  <c r="D262" i="9"/>
  <c r="D265" i="9"/>
  <c r="I265" i="9" s="1"/>
  <c r="D266" i="9"/>
  <c r="D269" i="9"/>
  <c r="D270" i="9"/>
  <c r="D271" i="9"/>
  <c r="I271" i="9" s="1"/>
  <c r="M271" i="9" s="1"/>
  <c r="D272" i="9"/>
  <c r="I272" i="9" s="1"/>
  <c r="D273" i="9"/>
  <c r="D274" i="9"/>
  <c r="D276" i="9"/>
  <c r="D277" i="9"/>
  <c r="D278" i="9"/>
  <c r="I278" i="9" s="1"/>
  <c r="M278" i="9" s="1"/>
  <c r="D279" i="9"/>
  <c r="D280" i="9"/>
  <c r="I280" i="9" s="1"/>
  <c r="D281" i="9"/>
  <c r="D282" i="9"/>
  <c r="I288" i="9"/>
  <c r="I291" i="9"/>
  <c r="I299" i="9"/>
  <c r="I304" i="9"/>
  <c r="I307" i="9"/>
  <c r="I313" i="9"/>
  <c r="M313" i="9" s="1"/>
  <c r="N313" i="9" s="1"/>
  <c r="I328" i="9"/>
  <c r="I334" i="9"/>
  <c r="I339" i="9"/>
  <c r="I341" i="9"/>
  <c r="D360" i="9"/>
  <c r="D2" i="9"/>
  <c r="C2" i="9"/>
  <c r="C4" i="9"/>
  <c r="C6" i="9"/>
  <c r="C7" i="9"/>
  <c r="H7" i="9" s="1"/>
  <c r="C9" i="9"/>
  <c r="C10" i="9"/>
  <c r="C11" i="9"/>
  <c r="C12" i="9"/>
  <c r="C13" i="9"/>
  <c r="H13" i="9" s="1"/>
  <c r="C14" i="9"/>
  <c r="H14" i="9" s="1"/>
  <c r="L14" i="9" s="1"/>
  <c r="C15" i="9"/>
  <c r="C16" i="9"/>
  <c r="H16" i="9" s="1"/>
  <c r="C17" i="9"/>
  <c r="H17" i="9" s="1"/>
  <c r="C19" i="9"/>
  <c r="C22" i="9"/>
  <c r="C23" i="9"/>
  <c r="H23" i="9" s="1"/>
  <c r="C24" i="9"/>
  <c r="C25" i="9"/>
  <c r="C27" i="9"/>
  <c r="C28" i="9"/>
  <c r="C29" i="9"/>
  <c r="C31" i="9"/>
  <c r="H31" i="9" s="1"/>
  <c r="C32" i="9"/>
  <c r="H32" i="9" s="1"/>
  <c r="C33" i="9"/>
  <c r="H33" i="9" s="1"/>
  <c r="C35" i="9"/>
  <c r="H35" i="9" s="1"/>
  <c r="C36" i="9"/>
  <c r="C37" i="9"/>
  <c r="H37" i="9" s="1"/>
  <c r="C39" i="9"/>
  <c r="H39" i="9" s="1"/>
  <c r="C41" i="9"/>
  <c r="C42" i="9"/>
  <c r="C44" i="9"/>
  <c r="C45" i="9"/>
  <c r="H45" i="9" s="1"/>
  <c r="C46" i="9"/>
  <c r="H46" i="9" s="1"/>
  <c r="C49" i="9"/>
  <c r="H49" i="9" s="1"/>
  <c r="C50" i="9"/>
  <c r="C51" i="9"/>
  <c r="H51" i="9" s="1"/>
  <c r="C53" i="9"/>
  <c r="H54" i="9"/>
  <c r="C55" i="9"/>
  <c r="H55" i="9" s="1"/>
  <c r="C56" i="9"/>
  <c r="H56" i="9" s="1"/>
  <c r="C57" i="9"/>
  <c r="H57" i="9" s="1"/>
  <c r="C58" i="9"/>
  <c r="C60" i="9"/>
  <c r="C61" i="9"/>
  <c r="C62" i="9"/>
  <c r="C65" i="9"/>
  <c r="H69" i="9"/>
  <c r="C70" i="9"/>
  <c r="C71" i="9"/>
  <c r="H71" i="9" s="1"/>
  <c r="C72" i="9"/>
  <c r="C74" i="9"/>
  <c r="C75" i="9"/>
  <c r="H75" i="9" s="1"/>
  <c r="C77" i="9"/>
  <c r="H77" i="9" s="1"/>
  <c r="C79" i="9"/>
  <c r="C81" i="9"/>
  <c r="H82" i="9"/>
  <c r="C84" i="9"/>
  <c r="C85" i="9"/>
  <c r="H85" i="9" s="1"/>
  <c r="C89" i="9"/>
  <c r="C91" i="9"/>
  <c r="H91" i="9" s="1"/>
  <c r="C93" i="9"/>
  <c r="H93" i="9" s="1"/>
  <c r="C94" i="9"/>
  <c r="H94" i="9" s="1"/>
  <c r="C95" i="9"/>
  <c r="H95" i="9" s="1"/>
  <c r="C99" i="9"/>
  <c r="C100" i="9"/>
  <c r="C102" i="9"/>
  <c r="H102" i="9" s="1"/>
  <c r="C104" i="9"/>
  <c r="C107" i="9"/>
  <c r="H107" i="9" s="1"/>
  <c r="C108" i="9"/>
  <c r="C110" i="9"/>
  <c r="C111" i="9"/>
  <c r="C112" i="9"/>
  <c r="H112" i="9" s="1"/>
  <c r="C114" i="9"/>
  <c r="C115" i="9"/>
  <c r="H115" i="9" s="1"/>
  <c r="C116" i="9"/>
  <c r="C117" i="9"/>
  <c r="C118" i="9"/>
  <c r="H118" i="9" s="1"/>
  <c r="C119" i="9"/>
  <c r="H119" i="9" s="1"/>
  <c r="C120" i="9"/>
  <c r="H120" i="9" s="1"/>
  <c r="C121" i="9"/>
  <c r="C122" i="9"/>
  <c r="C123" i="9"/>
  <c r="H123" i="9" s="1"/>
  <c r="C124" i="9"/>
  <c r="C125" i="9"/>
  <c r="H125" i="9" s="1"/>
  <c r="C127" i="9"/>
  <c r="H127" i="9" s="1"/>
  <c r="C128" i="9"/>
  <c r="C129" i="9"/>
  <c r="C130" i="9"/>
  <c r="C131" i="9"/>
  <c r="H131" i="9" s="1"/>
  <c r="C132" i="9"/>
  <c r="H133" i="9"/>
  <c r="C135" i="9"/>
  <c r="H135" i="9" s="1"/>
  <c r="C137" i="9"/>
  <c r="C139" i="9"/>
  <c r="H139" i="9" s="1"/>
  <c r="C140" i="9"/>
  <c r="C141" i="9"/>
  <c r="H141" i="9" s="1"/>
  <c r="C142" i="9"/>
  <c r="C143" i="9"/>
  <c r="H143" i="9" s="1"/>
  <c r="C147" i="9"/>
  <c r="C148" i="9"/>
  <c r="C150" i="9"/>
  <c r="C152" i="9"/>
  <c r="C154" i="9"/>
  <c r="C155" i="9"/>
  <c r="C156" i="9"/>
  <c r="C157" i="9"/>
  <c r="H157" i="9" s="1"/>
  <c r="C158" i="9"/>
  <c r="C159" i="9"/>
  <c r="H159" i="9" s="1"/>
  <c r="C162" i="9"/>
  <c r="C163" i="9"/>
  <c r="C164" i="9"/>
  <c r="H164" i="9" s="1"/>
  <c r="C165" i="9"/>
  <c r="H165" i="9" s="1"/>
  <c r="C167" i="9"/>
  <c r="H167" i="9" s="1"/>
  <c r="C168" i="9"/>
  <c r="C170" i="9"/>
  <c r="C171" i="9"/>
  <c r="H171" i="9" s="1"/>
  <c r="C172" i="9"/>
  <c r="C173" i="9"/>
  <c r="H173" i="9" s="1"/>
  <c r="C175" i="9"/>
  <c r="H175" i="9" s="1"/>
  <c r="C176" i="9"/>
  <c r="H176" i="9" s="1"/>
  <c r="C179" i="9"/>
  <c r="C180" i="9"/>
  <c r="C182" i="9"/>
  <c r="C183" i="9"/>
  <c r="H183" i="9" s="1"/>
  <c r="C184" i="9"/>
  <c r="H184" i="9" s="1"/>
  <c r="C185" i="9"/>
  <c r="H185" i="9" s="1"/>
  <c r="C186" i="9"/>
  <c r="C188" i="9"/>
  <c r="C189" i="9"/>
  <c r="H189" i="9" s="1"/>
  <c r="C190" i="9"/>
  <c r="C191" i="9"/>
  <c r="H191" i="9" s="1"/>
  <c r="C193" i="9"/>
  <c r="C194" i="9"/>
  <c r="C195" i="9"/>
  <c r="H195" i="9" s="1"/>
  <c r="C197" i="9"/>
  <c r="C198" i="9"/>
  <c r="H199" i="9"/>
  <c r="C200" i="9"/>
  <c r="C201" i="9"/>
  <c r="C202" i="9"/>
  <c r="C203" i="9"/>
  <c r="H203" i="9" s="1"/>
  <c r="C204" i="9"/>
  <c r="C206" i="9"/>
  <c r="C208" i="9"/>
  <c r="C209" i="9"/>
  <c r="C211" i="9"/>
  <c r="H211" i="9" s="1"/>
  <c r="C212" i="9"/>
  <c r="C213" i="9"/>
  <c r="C214" i="9"/>
  <c r="C215" i="9"/>
  <c r="H215" i="9" s="1"/>
  <c r="C216" i="9"/>
  <c r="C217" i="9"/>
  <c r="C218" i="9"/>
  <c r="C219" i="9"/>
  <c r="C220" i="9"/>
  <c r="C221" i="9"/>
  <c r="C222" i="9"/>
  <c r="C224" i="9"/>
  <c r="C225" i="9"/>
  <c r="C227" i="9"/>
  <c r="C229" i="9"/>
  <c r="H229" i="9" s="1"/>
  <c r="C230" i="9"/>
  <c r="H230" i="9" s="1"/>
  <c r="L230" i="9" s="1"/>
  <c r="C231" i="9"/>
  <c r="H231" i="9" s="1"/>
  <c r="C232" i="9"/>
  <c r="C234" i="9"/>
  <c r="C235" i="9"/>
  <c r="H235" i="9" s="1"/>
  <c r="C236" i="9"/>
  <c r="C237" i="9"/>
  <c r="C238" i="9"/>
  <c r="C239" i="9"/>
  <c r="C241" i="9"/>
  <c r="C242" i="9"/>
  <c r="C243" i="9"/>
  <c r="H243" i="9" s="1"/>
  <c r="C244" i="9"/>
  <c r="C246" i="9"/>
  <c r="C247" i="9"/>
  <c r="H247" i="9" s="1"/>
  <c r="C248" i="9"/>
  <c r="C249" i="9"/>
  <c r="H249" i="9" s="1"/>
  <c r="C250" i="9"/>
  <c r="C251" i="9"/>
  <c r="H251" i="9" s="1"/>
  <c r="C252" i="9"/>
  <c r="C254" i="9"/>
  <c r="H254" i="9" s="1"/>
  <c r="H255" i="9"/>
  <c r="C256" i="9"/>
  <c r="C257" i="9"/>
  <c r="C258" i="9"/>
  <c r="C259" i="9"/>
  <c r="C260" i="9"/>
  <c r="C262" i="9"/>
  <c r="H263" i="9"/>
  <c r="L263" i="9" s="1"/>
  <c r="C265" i="9"/>
  <c r="C266" i="9"/>
  <c r="H267" i="9"/>
  <c r="C269" i="9"/>
  <c r="H269" i="9" s="1"/>
  <c r="L269" i="9" s="1"/>
  <c r="C270" i="9"/>
  <c r="C271" i="9"/>
  <c r="H271" i="9" s="1"/>
  <c r="C272" i="9"/>
  <c r="C273" i="9"/>
  <c r="C274" i="9"/>
  <c r="C276" i="9"/>
  <c r="C277" i="9"/>
  <c r="H277" i="9" s="1"/>
  <c r="C278" i="9"/>
  <c r="C279" i="9"/>
  <c r="H279" i="9" s="1"/>
  <c r="C280" i="9"/>
  <c r="C281" i="9"/>
  <c r="H281" i="9" s="1"/>
  <c r="C282" i="9"/>
  <c r="H283" i="9"/>
  <c r="H285" i="9"/>
  <c r="H291" i="9"/>
  <c r="H293" i="9"/>
  <c r="H302" i="9"/>
  <c r="H303" i="9"/>
  <c r="H319" i="9"/>
  <c r="H323" i="9"/>
  <c r="H327" i="9"/>
  <c r="H335" i="9"/>
  <c r="H342" i="9"/>
  <c r="H345" i="9"/>
  <c r="H347" i="9"/>
  <c r="H353" i="9"/>
  <c r="H357" i="9"/>
  <c r="C360" i="9"/>
  <c r="H359" i="9"/>
  <c r="B359" i="9"/>
  <c r="B358" i="9"/>
  <c r="B357" i="9"/>
  <c r="B356" i="9"/>
  <c r="B355" i="9"/>
  <c r="B354" i="9"/>
  <c r="B353" i="9"/>
  <c r="B352" i="9"/>
  <c r="H351" i="9"/>
  <c r="B351" i="9"/>
  <c r="B350" i="9"/>
  <c r="H349" i="9"/>
  <c r="B349" i="9"/>
  <c r="B348" i="9"/>
  <c r="B347" i="9"/>
  <c r="B346" i="9"/>
  <c r="B345" i="9"/>
  <c r="H344" i="9"/>
  <c r="B344" i="9"/>
  <c r="H343" i="9"/>
  <c r="B343" i="9"/>
  <c r="B342" i="9"/>
  <c r="B341" i="9"/>
  <c r="B340" i="9"/>
  <c r="B339" i="9"/>
  <c r="H338" i="9"/>
  <c r="B338" i="9"/>
  <c r="B337" i="9"/>
  <c r="B336" i="9"/>
  <c r="B335" i="9"/>
  <c r="B334" i="9"/>
  <c r="H333" i="9"/>
  <c r="B333" i="9"/>
  <c r="B332" i="9"/>
  <c r="I331" i="9"/>
  <c r="B331" i="9"/>
  <c r="B330" i="9"/>
  <c r="B329" i="9"/>
  <c r="B328" i="9"/>
  <c r="B327" i="9"/>
  <c r="B326" i="9"/>
  <c r="H325" i="9"/>
  <c r="B325" i="9"/>
  <c r="B324" i="9"/>
  <c r="B323" i="9"/>
  <c r="B322" i="9"/>
  <c r="B321" i="9"/>
  <c r="B320" i="9"/>
  <c r="B319" i="9"/>
  <c r="B318" i="9"/>
  <c r="I317" i="9"/>
  <c r="H317" i="9"/>
  <c r="B317" i="9"/>
  <c r="B316" i="9"/>
  <c r="B315" i="9"/>
  <c r="B314" i="9"/>
  <c r="B313" i="9"/>
  <c r="I312" i="9"/>
  <c r="B312" i="9"/>
  <c r="I311" i="9"/>
  <c r="H311" i="9"/>
  <c r="B311" i="9"/>
  <c r="B310" i="9"/>
  <c r="H309" i="9"/>
  <c r="B309" i="9"/>
  <c r="B308" i="9"/>
  <c r="B307" i="9"/>
  <c r="B306" i="9"/>
  <c r="B305" i="9"/>
  <c r="B304" i="9"/>
  <c r="B303" i="9"/>
  <c r="B302" i="9"/>
  <c r="H301" i="9"/>
  <c r="B301" i="9"/>
  <c r="B300" i="9"/>
  <c r="B299" i="9"/>
  <c r="B298" i="9"/>
  <c r="B297" i="9"/>
  <c r="B296" i="9"/>
  <c r="H295" i="9"/>
  <c r="B295" i="9"/>
  <c r="B294" i="9"/>
  <c r="B293" i="9"/>
  <c r="B292" i="9"/>
  <c r="B291" i="9"/>
  <c r="B290" i="9"/>
  <c r="B289" i="9"/>
  <c r="B288" i="9"/>
  <c r="B287" i="9"/>
  <c r="B286" i="9"/>
  <c r="I285" i="9"/>
  <c r="B285" i="9"/>
  <c r="B284" i="9"/>
  <c r="B283" i="9"/>
  <c r="H275" i="9"/>
  <c r="I267" i="9"/>
  <c r="I261" i="9"/>
  <c r="H261" i="9"/>
  <c r="L261" i="9" s="1"/>
  <c r="I255" i="9"/>
  <c r="I253" i="9"/>
  <c r="H245" i="9"/>
  <c r="H207" i="9"/>
  <c r="H205" i="9"/>
  <c r="L205" i="9" s="1"/>
  <c r="I192" i="9"/>
  <c r="I187" i="9"/>
  <c r="H181" i="9"/>
  <c r="H151" i="9"/>
  <c r="I149" i="9"/>
  <c r="H149" i="9"/>
  <c r="I133" i="9"/>
  <c r="I109" i="9"/>
  <c r="M109" i="9" s="1"/>
  <c r="H109" i="9"/>
  <c r="I106" i="9"/>
  <c r="I103" i="9"/>
  <c r="H103" i="9"/>
  <c r="I101" i="9"/>
  <c r="H101" i="9"/>
  <c r="I98" i="9"/>
  <c r="I97" i="9"/>
  <c r="I96" i="9"/>
  <c r="I93" i="9"/>
  <c r="I90" i="9"/>
  <c r="I88" i="9"/>
  <c r="I87" i="9"/>
  <c r="H87" i="9"/>
  <c r="I83" i="9"/>
  <c r="M83" i="9" s="1"/>
  <c r="H83" i="9"/>
  <c r="I82" i="9"/>
  <c r="I81" i="9"/>
  <c r="M81" i="9" s="1"/>
  <c r="I73" i="9"/>
  <c r="I69" i="9"/>
  <c r="I67" i="9"/>
  <c r="H67" i="9"/>
  <c r="I66" i="9"/>
  <c r="I64" i="9"/>
  <c r="H64" i="9"/>
  <c r="L64" i="9" s="1"/>
  <c r="I63" i="9"/>
  <c r="H63" i="9"/>
  <c r="L63" i="9" s="1"/>
  <c r="I59" i="9"/>
  <c r="H59" i="9"/>
  <c r="I47" i="9"/>
  <c r="H47" i="9"/>
  <c r="I43" i="9"/>
  <c r="H43" i="9"/>
  <c r="I40" i="9"/>
  <c r="M40" i="9" s="1"/>
  <c r="H40" i="9"/>
  <c r="I34" i="9"/>
  <c r="H34" i="9"/>
  <c r="I26" i="9"/>
  <c r="H19" i="9"/>
  <c r="I18" i="9"/>
  <c r="I8" i="9"/>
  <c r="M8" i="9" s="1"/>
  <c r="H8" i="9"/>
  <c r="I5" i="9"/>
  <c r="H5" i="9"/>
  <c r="I3" i="9"/>
  <c r="I29" i="9" l="1"/>
  <c r="M69" i="9"/>
  <c r="M35" i="9"/>
  <c r="M121" i="9"/>
  <c r="H99" i="9"/>
  <c r="L99" i="9" s="1"/>
  <c r="L17" i="9"/>
  <c r="I114" i="9"/>
  <c r="M114" i="9" s="1"/>
  <c r="N114" i="9" s="1"/>
  <c r="I99" i="9"/>
  <c r="M99" i="9" s="1"/>
  <c r="N99" i="9" s="1"/>
  <c r="I79" i="9"/>
  <c r="H147" i="9"/>
  <c r="M96" i="9"/>
  <c r="M253" i="9"/>
  <c r="L271" i="9"/>
  <c r="L135" i="9"/>
  <c r="L125" i="9"/>
  <c r="M64" i="9"/>
  <c r="I2" i="9"/>
  <c r="M2" i="9" s="1"/>
  <c r="N2" i="9" s="1"/>
  <c r="I163" i="9"/>
  <c r="G163" i="9" s="1"/>
  <c r="M63" i="9"/>
  <c r="L176" i="9"/>
  <c r="M22" i="9"/>
  <c r="N22" i="9" s="1"/>
  <c r="L18" i="9"/>
  <c r="L82" i="9"/>
  <c r="L277" i="9"/>
  <c r="L13" i="9"/>
  <c r="L73" i="9"/>
  <c r="L359" i="9"/>
  <c r="L69" i="9"/>
  <c r="H11" i="9"/>
  <c r="L11" i="9" s="1"/>
  <c r="I42" i="9"/>
  <c r="G42" i="9" s="1"/>
  <c r="I11" i="9"/>
  <c r="G11" i="9" s="1"/>
  <c r="M297" i="9"/>
  <c r="L131" i="9"/>
  <c r="L181" i="9"/>
  <c r="L245" i="9"/>
  <c r="L101" i="9"/>
  <c r="I50" i="9"/>
  <c r="G50" i="9" s="1"/>
  <c r="I27" i="9"/>
  <c r="M27" i="9" s="1"/>
  <c r="N27" i="9" s="1"/>
  <c r="L86" i="9"/>
  <c r="H24" i="9"/>
  <c r="L24" i="9" s="1"/>
  <c r="I155" i="9"/>
  <c r="G155" i="9" s="1"/>
  <c r="I24" i="9"/>
  <c r="M24" i="9" s="1"/>
  <c r="N24" i="9" s="1"/>
  <c r="H61" i="9"/>
  <c r="L61" i="9" s="1"/>
  <c r="L275" i="9"/>
  <c r="H197" i="9"/>
  <c r="L197" i="9" s="1"/>
  <c r="L164" i="9"/>
  <c r="H70" i="9"/>
  <c r="L70" i="9" s="1"/>
  <c r="L45" i="9"/>
  <c r="L253" i="9"/>
  <c r="H79" i="9"/>
  <c r="L79" i="9" s="1"/>
  <c r="L268" i="9"/>
  <c r="L334" i="9"/>
  <c r="L20" i="9"/>
  <c r="L8" i="9"/>
  <c r="L40" i="9"/>
  <c r="L304" i="9"/>
  <c r="H29" i="9"/>
  <c r="L29" i="9" s="1"/>
  <c r="M339" i="9"/>
  <c r="L30" i="9"/>
  <c r="M289" i="9"/>
  <c r="N289" i="9" s="1"/>
  <c r="L199" i="9"/>
  <c r="I74" i="9"/>
  <c r="M74" i="9" s="1"/>
  <c r="N74" i="9" s="1"/>
  <c r="M17" i="9"/>
  <c r="G17" i="9"/>
  <c r="I164" i="9"/>
  <c r="G164" i="9" s="1"/>
  <c r="I124" i="9"/>
  <c r="M124" i="9" s="1"/>
  <c r="N124" i="9" s="1"/>
  <c r="H265" i="9"/>
  <c r="L265" i="9" s="1"/>
  <c r="H81" i="9"/>
  <c r="L81" i="9" s="1"/>
  <c r="H25" i="9"/>
  <c r="L25" i="9" s="1"/>
  <c r="H259" i="9"/>
  <c r="L259" i="9" s="1"/>
  <c r="I129" i="9"/>
  <c r="M129" i="9" s="1"/>
  <c r="I208" i="9"/>
  <c r="M208" i="9" s="1"/>
  <c r="N208" i="9" s="1"/>
  <c r="H219" i="9"/>
  <c r="L219" i="9" s="1"/>
  <c r="H104" i="9"/>
  <c r="L104" i="9" s="1"/>
  <c r="I243" i="9"/>
  <c r="M243" i="9" s="1"/>
  <c r="N243" i="9" s="1"/>
  <c r="I224" i="9"/>
  <c r="M224" i="9" s="1"/>
  <c r="N224" i="9" s="1"/>
  <c r="I184" i="9"/>
  <c r="G184" i="9" s="1"/>
  <c r="H111" i="9"/>
  <c r="L111" i="9" s="1"/>
  <c r="H179" i="9"/>
  <c r="L179" i="9" s="1"/>
  <c r="I251" i="9"/>
  <c r="G251" i="9" s="1"/>
  <c r="I171" i="9"/>
  <c r="M171" i="9" s="1"/>
  <c r="G81" i="9"/>
  <c r="H198" i="9"/>
  <c r="L198" i="9" s="1"/>
  <c r="H155" i="9"/>
  <c r="L155" i="9" s="1"/>
  <c r="H58" i="9"/>
  <c r="L58" i="9" s="1"/>
  <c r="H27" i="9"/>
  <c r="L27" i="9" s="1"/>
  <c r="H15" i="9"/>
  <c r="L15" i="9" s="1"/>
  <c r="H6" i="9"/>
  <c r="L6" i="9" s="1"/>
  <c r="I182" i="9"/>
  <c r="G182" i="9" s="1"/>
  <c r="I158" i="9"/>
  <c r="M158" i="9" s="1"/>
  <c r="N158" i="9" s="1"/>
  <c r="H53" i="9"/>
  <c r="L53" i="9" s="1"/>
  <c r="I165" i="9"/>
  <c r="G165" i="9" s="1"/>
  <c r="M233" i="9"/>
  <c r="H234" i="9"/>
  <c r="L234" i="9" s="1"/>
  <c r="H10" i="9"/>
  <c r="L10" i="9" s="1"/>
  <c r="H129" i="9"/>
  <c r="L129" i="9" s="1"/>
  <c r="H50" i="9"/>
  <c r="L50" i="9" s="1"/>
  <c r="H9" i="9"/>
  <c r="L9" i="9" s="1"/>
  <c r="H121" i="9"/>
  <c r="L121" i="9" s="1"/>
  <c r="H257" i="9"/>
  <c r="L257" i="9" s="1"/>
  <c r="I162" i="9"/>
  <c r="G162" i="9" s="1"/>
  <c r="H72" i="9"/>
  <c r="L72" i="9" s="1"/>
  <c r="I128" i="9"/>
  <c r="G128" i="9" s="1"/>
  <c r="H209" i="9"/>
  <c r="L209" i="9" s="1"/>
  <c r="H2" i="9"/>
  <c r="L2" i="9" s="1"/>
  <c r="H217" i="9"/>
  <c r="L217" i="9" s="1"/>
  <c r="H65" i="9"/>
  <c r="L65" i="9" s="1"/>
  <c r="H42" i="9"/>
  <c r="L42" i="9" s="1"/>
  <c r="H273" i="9"/>
  <c r="L273" i="9" s="1"/>
  <c r="H225" i="9"/>
  <c r="L225" i="9" s="1"/>
  <c r="H122" i="9"/>
  <c r="L122" i="9" s="1"/>
  <c r="H89" i="9"/>
  <c r="L89" i="9" s="1"/>
  <c r="I258" i="9"/>
  <c r="G258" i="9" s="1"/>
  <c r="I201" i="9"/>
  <c r="M201" i="9" s="1"/>
  <c r="H237" i="9"/>
  <c r="L237" i="9" s="1"/>
  <c r="H117" i="9"/>
  <c r="L117" i="9" s="1"/>
  <c r="I116" i="9"/>
  <c r="G116" i="9" s="1"/>
  <c r="I100" i="9"/>
  <c r="G100" i="9" s="1"/>
  <c r="I84" i="9"/>
  <c r="G84" i="9" s="1"/>
  <c r="I60" i="9"/>
  <c r="G60" i="9" s="1"/>
  <c r="I44" i="9"/>
  <c r="G44" i="9" s="1"/>
  <c r="I36" i="9"/>
  <c r="M36" i="9" s="1"/>
  <c r="I28" i="9"/>
  <c r="G28" i="9" s="1"/>
  <c r="I12" i="9"/>
  <c r="G12" i="9" s="1"/>
  <c r="I4" i="9"/>
  <c r="G4" i="9" s="1"/>
  <c r="L357" i="9"/>
  <c r="L203" i="9"/>
  <c r="L75" i="9"/>
  <c r="H241" i="9"/>
  <c r="L241" i="9" s="1"/>
  <c r="H221" i="9"/>
  <c r="L221" i="9" s="1"/>
  <c r="H213" i="9"/>
  <c r="L213" i="9" s="1"/>
  <c r="H193" i="9"/>
  <c r="L193" i="9" s="1"/>
  <c r="H62" i="9"/>
  <c r="L62" i="9" s="1"/>
  <c r="H41" i="9"/>
  <c r="L41" i="9" s="1"/>
  <c r="H22" i="9"/>
  <c r="L22" i="9" s="1"/>
  <c r="I282" i="9"/>
  <c r="M282" i="9" s="1"/>
  <c r="I217" i="9"/>
  <c r="G217" i="9" s="1"/>
  <c r="H252" i="9"/>
  <c r="L252" i="9" s="1"/>
  <c r="H244" i="9"/>
  <c r="L244" i="9" s="1"/>
  <c r="H236" i="9"/>
  <c r="L236" i="9" s="1"/>
  <c r="H204" i="9"/>
  <c r="L204" i="9" s="1"/>
  <c r="H188" i="9"/>
  <c r="L188" i="9" s="1"/>
  <c r="H180" i="9"/>
  <c r="L180" i="9" s="1"/>
  <c r="H172" i="9"/>
  <c r="L172" i="9" s="1"/>
  <c r="H156" i="9"/>
  <c r="L156" i="9" s="1"/>
  <c r="H140" i="9"/>
  <c r="L140" i="9" s="1"/>
  <c r="H116" i="9"/>
  <c r="L116" i="9" s="1"/>
  <c r="H108" i="9"/>
  <c r="L108" i="9" s="1"/>
  <c r="H100" i="9"/>
  <c r="L100" i="9" s="1"/>
  <c r="H84" i="9"/>
  <c r="L84" i="9" s="1"/>
  <c r="H60" i="9"/>
  <c r="L60" i="9" s="1"/>
  <c r="H44" i="9"/>
  <c r="L44" i="9" s="1"/>
  <c r="H36" i="9"/>
  <c r="L36" i="9" s="1"/>
  <c r="H28" i="9"/>
  <c r="L28" i="9" s="1"/>
  <c r="H12" i="9"/>
  <c r="L12" i="9" s="1"/>
  <c r="H4" i="9"/>
  <c r="L4" i="9" s="1"/>
  <c r="I276" i="9"/>
  <c r="M276" i="9" s="1"/>
  <c r="I260" i="9"/>
  <c r="M260" i="9" s="1"/>
  <c r="I244" i="9"/>
  <c r="G244" i="9" s="1"/>
  <c r="I236" i="9"/>
  <c r="M236" i="9" s="1"/>
  <c r="N236" i="9" s="1"/>
  <c r="I220" i="9"/>
  <c r="M220" i="9" s="1"/>
  <c r="N220" i="9" s="1"/>
  <c r="I212" i="9"/>
  <c r="M212" i="9" s="1"/>
  <c r="N212" i="9" s="1"/>
  <c r="I204" i="9"/>
  <c r="G204" i="9" s="1"/>
  <c r="I188" i="9"/>
  <c r="M188" i="9" s="1"/>
  <c r="N188" i="9" s="1"/>
  <c r="I180" i="9"/>
  <c r="M180" i="9" s="1"/>
  <c r="N180" i="9" s="1"/>
  <c r="I172" i="9"/>
  <c r="G172" i="9" s="1"/>
  <c r="H201" i="9"/>
  <c r="L201" i="9" s="1"/>
  <c r="H182" i="9"/>
  <c r="L182" i="9" s="1"/>
  <c r="H137" i="9"/>
  <c r="L137" i="9" s="1"/>
  <c r="H110" i="9"/>
  <c r="L110" i="9" s="1"/>
  <c r="H74" i="9"/>
  <c r="L74" i="9" s="1"/>
  <c r="I281" i="9"/>
  <c r="I273" i="9"/>
  <c r="G273" i="9" s="1"/>
  <c r="I242" i="9"/>
  <c r="G242" i="9" s="1"/>
  <c r="I234" i="9"/>
  <c r="G234" i="9" s="1"/>
  <c r="I185" i="9"/>
  <c r="G185" i="9" s="1"/>
  <c r="M5" i="9"/>
  <c r="N5" i="9" s="1"/>
  <c r="M86" i="9"/>
  <c r="L59" i="9"/>
  <c r="L187" i="9"/>
  <c r="M75" i="9"/>
  <c r="G75" i="9"/>
  <c r="L43" i="9"/>
  <c r="M90" i="9"/>
  <c r="M177" i="9"/>
  <c r="I140" i="9"/>
  <c r="G140" i="9" s="1"/>
  <c r="L83" i="9"/>
  <c r="M41" i="9"/>
  <c r="N41" i="9" s="1"/>
  <c r="H316" i="9"/>
  <c r="L318" i="9" s="1"/>
  <c r="H300" i="9"/>
  <c r="L302" i="9" s="1"/>
  <c r="H220" i="9"/>
  <c r="L220" i="9" s="1"/>
  <c r="H148" i="9"/>
  <c r="L148" i="9" s="1"/>
  <c r="I228" i="9"/>
  <c r="I156" i="9"/>
  <c r="G156" i="9" s="1"/>
  <c r="I148" i="9"/>
  <c r="G148" i="9" s="1"/>
  <c r="H322" i="9"/>
  <c r="L324" i="9" s="1"/>
  <c r="H282" i="9"/>
  <c r="L282" i="9" s="1"/>
  <c r="I250" i="9"/>
  <c r="G250" i="9" s="1"/>
  <c r="I202" i="9"/>
  <c r="M202" i="9" s="1"/>
  <c r="N202" i="9" s="1"/>
  <c r="I194" i="9"/>
  <c r="G194" i="9" s="1"/>
  <c r="I186" i="9"/>
  <c r="G186" i="9" s="1"/>
  <c r="I178" i="9"/>
  <c r="M178" i="9" s="1"/>
  <c r="I170" i="9"/>
  <c r="G170" i="9" s="1"/>
  <c r="M288" i="9"/>
  <c r="L19" i="9"/>
  <c r="L35" i="9"/>
  <c r="H308" i="9"/>
  <c r="L310" i="9" s="1"/>
  <c r="H292" i="9"/>
  <c r="L294" i="9" s="1"/>
  <c r="H276" i="9"/>
  <c r="L276" i="9" s="1"/>
  <c r="H260" i="9"/>
  <c r="L260" i="9" s="1"/>
  <c r="H212" i="9"/>
  <c r="L212" i="9" s="1"/>
  <c r="H132" i="9"/>
  <c r="L132" i="9" s="1"/>
  <c r="L67" i="9"/>
  <c r="L267" i="9"/>
  <c r="L171" i="9"/>
  <c r="I345" i="9"/>
  <c r="M345" i="9" s="1"/>
  <c r="I337" i="9"/>
  <c r="M337" i="9" s="1"/>
  <c r="I257" i="9"/>
  <c r="G257" i="9" s="1"/>
  <c r="I249" i="9"/>
  <c r="G249" i="9" s="1"/>
  <c r="H312" i="9"/>
  <c r="L314" i="9" s="1"/>
  <c r="H304" i="9"/>
  <c r="L306" i="9" s="1"/>
  <c r="H272" i="9"/>
  <c r="L272" i="9" s="1"/>
  <c r="H240" i="9"/>
  <c r="L240" i="9" s="1"/>
  <c r="H224" i="9"/>
  <c r="L224" i="9" s="1"/>
  <c r="I359" i="9"/>
  <c r="M359" i="9" s="1"/>
  <c r="N359" i="9" s="1"/>
  <c r="I351" i="9"/>
  <c r="M351" i="9" s="1"/>
  <c r="I343" i="9"/>
  <c r="M343" i="9" s="1"/>
  <c r="I335" i="9"/>
  <c r="M335" i="9" s="1"/>
  <c r="I327" i="9"/>
  <c r="M327" i="9" s="1"/>
  <c r="I319" i="9"/>
  <c r="M319" i="9" s="1"/>
  <c r="N319" i="9" s="1"/>
  <c r="I303" i="9"/>
  <c r="M303" i="9" s="1"/>
  <c r="I295" i="9"/>
  <c r="M295" i="9" s="1"/>
  <c r="N295" i="9" s="1"/>
  <c r="I287" i="9"/>
  <c r="M287" i="9" s="1"/>
  <c r="I279" i="9"/>
  <c r="M279" i="9" s="1"/>
  <c r="G271" i="9"/>
  <c r="I239" i="9"/>
  <c r="G239" i="9" s="1"/>
  <c r="I223" i="9"/>
  <c r="M223" i="9" s="1"/>
  <c r="N223" i="9" s="1"/>
  <c r="I207" i="9"/>
  <c r="I191" i="9"/>
  <c r="G191" i="9" s="1"/>
  <c r="I183" i="9"/>
  <c r="G183" i="9" s="1"/>
  <c r="I175" i="9"/>
  <c r="G175" i="9" s="1"/>
  <c r="I167" i="9"/>
  <c r="M167" i="9" s="1"/>
  <c r="N167" i="9" s="1"/>
  <c r="I159" i="9"/>
  <c r="M159" i="9" s="1"/>
  <c r="N159" i="9" s="1"/>
  <c r="I151" i="9"/>
  <c r="M151" i="9" s="1"/>
  <c r="I143" i="9"/>
  <c r="M143" i="9" s="1"/>
  <c r="N143" i="9" s="1"/>
  <c r="G135" i="9"/>
  <c r="H358" i="9"/>
  <c r="H334" i="9"/>
  <c r="L336" i="9" s="1"/>
  <c r="H326" i="9"/>
  <c r="H318" i="9"/>
  <c r="L320" i="9" s="1"/>
  <c r="H310" i="9"/>
  <c r="L312" i="9" s="1"/>
  <c r="H294" i="9"/>
  <c r="L296" i="9" s="1"/>
  <c r="H278" i="9"/>
  <c r="L278" i="9" s="1"/>
  <c r="H270" i="9"/>
  <c r="L270" i="9" s="1"/>
  <c r="H262" i="9"/>
  <c r="L262" i="9" s="1"/>
  <c r="H246" i="9"/>
  <c r="L246" i="9" s="1"/>
  <c r="H238" i="9"/>
  <c r="L238" i="9" s="1"/>
  <c r="H222" i="9"/>
  <c r="L222" i="9" s="1"/>
  <c r="H206" i="9"/>
  <c r="L206" i="9" s="1"/>
  <c r="H190" i="9"/>
  <c r="L190" i="9" s="1"/>
  <c r="H174" i="9"/>
  <c r="L174" i="9" s="1"/>
  <c r="H166" i="9"/>
  <c r="L166" i="9" s="1"/>
  <c r="H158" i="9"/>
  <c r="L158" i="9" s="1"/>
  <c r="H142" i="9"/>
  <c r="L142" i="9" s="1"/>
  <c r="H134" i="9"/>
  <c r="L134" i="9" s="1"/>
  <c r="H126" i="9"/>
  <c r="L126" i="9" s="1"/>
  <c r="I358" i="9"/>
  <c r="M358" i="9" s="1"/>
  <c r="I350" i="9"/>
  <c r="G350" i="9" s="1"/>
  <c r="I342" i="9"/>
  <c r="M342" i="9" s="1"/>
  <c r="N342" i="9" s="1"/>
  <c r="I326" i="9"/>
  <c r="M326" i="9" s="1"/>
  <c r="N326" i="9" s="1"/>
  <c r="I318" i="9"/>
  <c r="M318" i="9" s="1"/>
  <c r="I302" i="9"/>
  <c r="M302" i="9" s="1"/>
  <c r="I294" i="9"/>
  <c r="M294" i="9" s="1"/>
  <c r="G278" i="9"/>
  <c r="I270" i="9"/>
  <c r="G270" i="9" s="1"/>
  <c r="I262" i="9"/>
  <c r="G262" i="9" s="1"/>
  <c r="G246" i="9"/>
  <c r="I238" i="9"/>
  <c r="G238" i="9" s="1"/>
  <c r="G230" i="9"/>
  <c r="I222" i="9"/>
  <c r="G222" i="9" s="1"/>
  <c r="I214" i="9"/>
  <c r="G214" i="9" s="1"/>
  <c r="I206" i="9"/>
  <c r="G206" i="9" s="1"/>
  <c r="G190" i="9"/>
  <c r="I150" i="9"/>
  <c r="G150" i="9" s="1"/>
  <c r="I142" i="9"/>
  <c r="G142" i="9" s="1"/>
  <c r="I126" i="9"/>
  <c r="M126" i="9" s="1"/>
  <c r="L3" i="9"/>
  <c r="M135" i="9"/>
  <c r="M323" i="9"/>
  <c r="M200" i="9"/>
  <c r="N200" i="9" s="1"/>
  <c r="M136" i="9"/>
  <c r="M176" i="9"/>
  <c r="L127" i="9"/>
  <c r="L281" i="9"/>
  <c r="L177" i="9"/>
  <c r="L249" i="9"/>
  <c r="L279" i="9"/>
  <c r="L123" i="9"/>
  <c r="L326" i="9"/>
  <c r="M91" i="9"/>
  <c r="N91" i="9" s="1"/>
  <c r="M211" i="9"/>
  <c r="N211" i="9" s="1"/>
  <c r="M285" i="9"/>
  <c r="M310" i="9"/>
  <c r="I348" i="9"/>
  <c r="M348" i="9" s="1"/>
  <c r="I332" i="9"/>
  <c r="M332" i="9" s="1"/>
  <c r="I292" i="9"/>
  <c r="M292" i="9" s="1"/>
  <c r="N292" i="9" s="1"/>
  <c r="G53" i="9"/>
  <c r="I252" i="9"/>
  <c r="G252" i="9" s="1"/>
  <c r="M89" i="9"/>
  <c r="N89" i="9" s="1"/>
  <c r="M216" i="9"/>
  <c r="N216" i="9" s="1"/>
  <c r="I231" i="9"/>
  <c r="G231" i="9" s="1"/>
  <c r="I356" i="9"/>
  <c r="M356" i="9" s="1"/>
  <c r="N356" i="9" s="1"/>
  <c r="I340" i="9"/>
  <c r="M340" i="9" s="1"/>
  <c r="N340" i="9" s="1"/>
  <c r="I324" i="9"/>
  <c r="M324" i="9" s="1"/>
  <c r="N324" i="9" s="1"/>
  <c r="I308" i="9"/>
  <c r="M308" i="9" s="1"/>
  <c r="N308" i="9" s="1"/>
  <c r="I284" i="9"/>
  <c r="M284" i="9" s="1"/>
  <c r="M7" i="9"/>
  <c r="N7" i="9" s="1"/>
  <c r="G22" i="9"/>
  <c r="M157" i="9"/>
  <c r="N157" i="9" s="1"/>
  <c r="M304" i="9"/>
  <c r="N304" i="9" s="1"/>
  <c r="I354" i="9"/>
  <c r="M354" i="9" s="1"/>
  <c r="N354" i="9" s="1"/>
  <c r="I346" i="9"/>
  <c r="M346" i="9" s="1"/>
  <c r="N346" i="9" s="1"/>
  <c r="I338" i="9"/>
  <c r="M338" i="9" s="1"/>
  <c r="N338" i="9" s="1"/>
  <c r="I330" i="9"/>
  <c r="M330" i="9" s="1"/>
  <c r="N330" i="9" s="1"/>
  <c r="I322" i="9"/>
  <c r="M322" i="9" s="1"/>
  <c r="I314" i="9"/>
  <c r="M314" i="9" s="1"/>
  <c r="I306" i="9"/>
  <c r="M306" i="9" s="1"/>
  <c r="I290" i="9"/>
  <c r="M290" i="9" s="1"/>
  <c r="I274" i="9"/>
  <c r="M274" i="9" s="1"/>
  <c r="I266" i="9"/>
  <c r="M266" i="9" s="1"/>
  <c r="I218" i="9"/>
  <c r="G218" i="9" s="1"/>
  <c r="I210" i="9"/>
  <c r="I154" i="9"/>
  <c r="G154" i="9" s="1"/>
  <c r="I138" i="9"/>
  <c r="M138" i="9" s="1"/>
  <c r="I130" i="9"/>
  <c r="M130" i="9" s="1"/>
  <c r="N130" i="9" s="1"/>
  <c r="M65" i="9"/>
  <c r="M34" i="9"/>
  <c r="M230" i="9"/>
  <c r="N230" i="9" s="1"/>
  <c r="M248" i="9"/>
  <c r="N248" i="9" s="1"/>
  <c r="M311" i="9"/>
  <c r="N311" i="9" s="1"/>
  <c r="M334" i="9"/>
  <c r="N334" i="9" s="1"/>
  <c r="I263" i="9"/>
  <c r="I247" i="9"/>
  <c r="M247" i="9" s="1"/>
  <c r="N247" i="9" s="1"/>
  <c r="I199" i="9"/>
  <c r="I127" i="9"/>
  <c r="G127" i="9" s="1"/>
  <c r="M198" i="9"/>
  <c r="N198" i="9" s="1"/>
  <c r="M73" i="9"/>
  <c r="M352" i="9"/>
  <c r="I357" i="9"/>
  <c r="M357" i="9" s="1"/>
  <c r="I349" i="9"/>
  <c r="M349" i="9" s="1"/>
  <c r="I333" i="9"/>
  <c r="M333" i="9" s="1"/>
  <c r="N333" i="9" s="1"/>
  <c r="I325" i="9"/>
  <c r="M325" i="9" s="1"/>
  <c r="I309" i="9"/>
  <c r="M309" i="9" s="1"/>
  <c r="I301" i="9"/>
  <c r="M301" i="9" s="1"/>
  <c r="I293" i="9"/>
  <c r="M293" i="9" s="1"/>
  <c r="I277" i="9"/>
  <c r="I269" i="9"/>
  <c r="M269" i="9" s="1"/>
  <c r="I245" i="9"/>
  <c r="I213" i="9"/>
  <c r="G213" i="9" s="1"/>
  <c r="I205" i="9"/>
  <c r="I189" i="9"/>
  <c r="G189" i="9" s="1"/>
  <c r="L23" i="9"/>
  <c r="L119" i="9"/>
  <c r="L243" i="9"/>
  <c r="L287" i="9"/>
  <c r="L299" i="9"/>
  <c r="H354" i="9"/>
  <c r="L356" i="9" s="1"/>
  <c r="H346" i="9"/>
  <c r="L348" i="9" s="1"/>
  <c r="H330" i="9"/>
  <c r="L332" i="9" s="1"/>
  <c r="H314" i="9"/>
  <c r="L316" i="9" s="1"/>
  <c r="H306" i="9"/>
  <c r="L308" i="9" s="1"/>
  <c r="H298" i="9"/>
  <c r="L300" i="9" s="1"/>
  <c r="H290" i="9"/>
  <c r="L292" i="9" s="1"/>
  <c r="H274" i="9"/>
  <c r="L274" i="9" s="1"/>
  <c r="H266" i="9"/>
  <c r="L266" i="9" s="1"/>
  <c r="H258" i="9"/>
  <c r="L258" i="9" s="1"/>
  <c r="H250" i="9"/>
  <c r="L250" i="9" s="1"/>
  <c r="H242" i="9"/>
  <c r="L242" i="9" s="1"/>
  <c r="H226" i="9"/>
  <c r="L226" i="9" s="1"/>
  <c r="H218" i="9"/>
  <c r="L218" i="9" s="1"/>
  <c r="H210" i="9"/>
  <c r="L210" i="9" s="1"/>
  <c r="H194" i="9"/>
  <c r="L194" i="9" s="1"/>
  <c r="H186" i="9"/>
  <c r="L186" i="9" s="1"/>
  <c r="H178" i="9"/>
  <c r="L178" i="9" s="1"/>
  <c r="H170" i="9"/>
  <c r="L170" i="9" s="1"/>
  <c r="H162" i="9"/>
  <c r="L162" i="9" s="1"/>
  <c r="H154" i="9"/>
  <c r="L154" i="9" s="1"/>
  <c r="H146" i="9"/>
  <c r="L146" i="9" s="1"/>
  <c r="H138" i="9"/>
  <c r="L138" i="9" s="1"/>
  <c r="H130" i="9"/>
  <c r="L130" i="9" s="1"/>
  <c r="L47" i="9"/>
  <c r="L143" i="9"/>
  <c r="L195" i="9"/>
  <c r="L71" i="9"/>
  <c r="L85" i="9"/>
  <c r="L159" i="9"/>
  <c r="L337" i="9"/>
  <c r="H352" i="9"/>
  <c r="L354" i="9" s="1"/>
  <c r="H336" i="9"/>
  <c r="L338" i="9" s="1"/>
  <c r="H328" i="9"/>
  <c r="L330" i="9" s="1"/>
  <c r="H320" i="9"/>
  <c r="L322" i="9" s="1"/>
  <c r="H296" i="9"/>
  <c r="L298" i="9" s="1"/>
  <c r="H288" i="9"/>
  <c r="L290" i="9" s="1"/>
  <c r="H280" i="9"/>
  <c r="L280" i="9" s="1"/>
  <c r="H264" i="9"/>
  <c r="L264" i="9" s="1"/>
  <c r="H256" i="9"/>
  <c r="L256" i="9" s="1"/>
  <c r="H248" i="9"/>
  <c r="L248" i="9" s="1"/>
  <c r="H232" i="9"/>
  <c r="L232" i="9" s="1"/>
  <c r="H216" i="9"/>
  <c r="L216" i="9" s="1"/>
  <c r="H208" i="9"/>
  <c r="H200" i="9"/>
  <c r="L200" i="9" s="1"/>
  <c r="H192" i="9"/>
  <c r="L192" i="9" s="1"/>
  <c r="H168" i="9"/>
  <c r="L168" i="9" s="1"/>
  <c r="H160" i="9"/>
  <c r="L160" i="9" s="1"/>
  <c r="H152" i="9"/>
  <c r="L152" i="9" s="1"/>
  <c r="H144" i="9"/>
  <c r="L144" i="9" s="1"/>
  <c r="H128" i="9"/>
  <c r="L128" i="9" s="1"/>
  <c r="L26" i="9"/>
  <c r="L321" i="9"/>
  <c r="L343" i="9"/>
  <c r="L349" i="9"/>
  <c r="H214" i="9"/>
  <c r="L214" i="9" s="1"/>
  <c r="H150" i="9"/>
  <c r="L150" i="9" s="1"/>
  <c r="L120" i="9"/>
  <c r="L31" i="9"/>
  <c r="L33" i="9"/>
  <c r="L295" i="9"/>
  <c r="M14" i="9"/>
  <c r="M26" i="9"/>
  <c r="N26" i="9" s="1"/>
  <c r="M66" i="9"/>
  <c r="M88" i="9"/>
  <c r="M261" i="9"/>
  <c r="G265" i="9"/>
  <c r="M265" i="9"/>
  <c r="M300" i="9"/>
  <c r="M315" i="9"/>
  <c r="N315" i="9" s="1"/>
  <c r="M16" i="9"/>
  <c r="N16" i="9" s="1"/>
  <c r="M19" i="9"/>
  <c r="M118" i="9"/>
  <c r="N118" i="9" s="1"/>
  <c r="M125" i="9"/>
  <c r="G125" i="9"/>
  <c r="M160" i="9"/>
  <c r="N160" i="9" s="1"/>
  <c r="M347" i="9"/>
  <c r="M67" i="9"/>
  <c r="M149" i="9"/>
  <c r="N149" i="9" s="1"/>
  <c r="M6" i="9"/>
  <c r="N6" i="9" s="1"/>
  <c r="M115" i="9"/>
  <c r="N115" i="9" s="1"/>
  <c r="M123" i="9"/>
  <c r="G123" i="9"/>
  <c r="M137" i="9"/>
  <c r="N137" i="9" s="1"/>
  <c r="M15" i="9"/>
  <c r="N15" i="9" s="1"/>
  <c r="M23" i="9"/>
  <c r="N23" i="9" s="1"/>
  <c r="M25" i="9"/>
  <c r="N25" i="9" s="1"/>
  <c r="M117" i="9"/>
  <c r="N117" i="9" s="1"/>
  <c r="M232" i="9"/>
  <c r="N232" i="9" s="1"/>
  <c r="M299" i="9"/>
  <c r="N299" i="9" s="1"/>
  <c r="M312" i="9"/>
  <c r="N312" i="9" s="1"/>
  <c r="M3" i="9"/>
  <c r="M59" i="9"/>
  <c r="M307" i="9"/>
  <c r="M18" i="9"/>
  <c r="M341" i="9"/>
  <c r="N341" i="9" s="1"/>
  <c r="M52" i="9"/>
  <c r="M76" i="9"/>
  <c r="M103" i="9"/>
  <c r="M120" i="9"/>
  <c r="N120" i="9" s="1"/>
  <c r="I147" i="9"/>
  <c r="G147" i="9" s="1"/>
  <c r="M196" i="9"/>
  <c r="N196" i="9" s="1"/>
  <c r="M229" i="9"/>
  <c r="N229" i="9" s="1"/>
  <c r="M246" i="9"/>
  <c r="N246" i="9" s="1"/>
  <c r="M298" i="9"/>
  <c r="M305" i="9"/>
  <c r="N305" i="9" s="1"/>
  <c r="M317" i="9"/>
  <c r="M344" i="9"/>
  <c r="M353" i="9"/>
  <c r="M355" i="9"/>
  <c r="I197" i="9"/>
  <c r="M197" i="9" s="1"/>
  <c r="N197" i="9" s="1"/>
  <c r="M51" i="9"/>
  <c r="N51" i="9" s="1"/>
  <c r="M119" i="9"/>
  <c r="N119" i="9" s="1"/>
  <c r="M187" i="9"/>
  <c r="M195" i="9"/>
  <c r="N195" i="9" s="1"/>
  <c r="I227" i="9"/>
  <c r="M227" i="9" s="1"/>
  <c r="N227" i="9" s="1"/>
  <c r="M235" i="9"/>
  <c r="N235" i="9" s="1"/>
  <c r="M316" i="9"/>
  <c r="N316" i="9" s="1"/>
  <c r="L66" i="9"/>
  <c r="H202" i="9"/>
  <c r="L202" i="9" s="1"/>
  <c r="L211" i="9"/>
  <c r="L345" i="9"/>
  <c r="L32" i="9"/>
  <c r="L34" i="9"/>
  <c r="L196" i="9"/>
  <c r="L339" i="9"/>
  <c r="L342" i="9"/>
  <c r="L5" i="9"/>
  <c r="H114" i="9"/>
  <c r="L114" i="9" s="1"/>
  <c r="L133" i="9"/>
  <c r="L139" i="9"/>
  <c r="H227" i="9"/>
  <c r="L227" i="9" s="1"/>
  <c r="H239" i="9"/>
  <c r="L239" i="9" s="1"/>
  <c r="L323" i="9"/>
  <c r="L331" i="9"/>
  <c r="L46" i="9"/>
  <c r="L285" i="9"/>
  <c r="L293" i="9"/>
  <c r="L333" i="9"/>
  <c r="L145" i="9"/>
  <c r="L309" i="9"/>
  <c r="L340" i="9"/>
  <c r="L346" i="9"/>
  <c r="L351" i="9"/>
  <c r="H106" i="9"/>
  <c r="L106" i="9" s="1"/>
  <c r="L118" i="9"/>
  <c r="H124" i="9"/>
  <c r="L124" i="9" s="1"/>
  <c r="H161" i="9"/>
  <c r="L161" i="9" s="1"/>
  <c r="H163" i="9"/>
  <c r="L163" i="9" s="1"/>
  <c r="L319" i="9"/>
  <c r="L344" i="9"/>
  <c r="L350" i="9"/>
  <c r="L358" i="9"/>
  <c r="L115" i="9"/>
  <c r="L141" i="9"/>
  <c r="L223" i="9"/>
  <c r="L286" i="9"/>
  <c r="H286" i="9"/>
  <c r="L288" i="9" s="1"/>
  <c r="L297" i="9"/>
  <c r="L341" i="9"/>
  <c r="L347" i="9"/>
  <c r="L355" i="9"/>
  <c r="H360" i="9"/>
  <c r="L360" i="9" s="1"/>
  <c r="G78" i="9"/>
  <c r="G106" i="9"/>
  <c r="G2" i="9"/>
  <c r="I61" i="9"/>
  <c r="G61" i="9" s="1"/>
  <c r="I286" i="9"/>
  <c r="G286" i="9" s="1"/>
  <c r="G80" i="9"/>
  <c r="L352" i="9"/>
  <c r="M78" i="9"/>
  <c r="I113" i="9"/>
  <c r="M113" i="9" s="1"/>
  <c r="M80" i="9"/>
  <c r="G37" i="9"/>
  <c r="I70" i="9"/>
  <c r="G70" i="9" s="1"/>
  <c r="L92" i="9"/>
  <c r="L97" i="9"/>
  <c r="L151" i="9"/>
  <c r="M37" i="9"/>
  <c r="N37" i="9" s="1"/>
  <c r="M190" i="9"/>
  <c r="N190" i="9" s="1"/>
  <c r="L289" i="9"/>
  <c r="L317" i="9"/>
  <c r="L325" i="9"/>
  <c r="M221" i="9"/>
  <c r="L38" i="9"/>
  <c r="M97" i="9"/>
  <c r="L167" i="9"/>
  <c r="M79" i="9"/>
  <c r="N79" i="9" s="1"/>
  <c r="M92" i="9"/>
  <c r="N92" i="9" s="1"/>
  <c r="M146" i="9"/>
  <c r="M153" i="9"/>
  <c r="M169" i="9"/>
  <c r="L173" i="9"/>
  <c r="L175" i="9"/>
  <c r="M291" i="9"/>
  <c r="L80" i="9"/>
  <c r="L90" i="9"/>
  <c r="L93" i="9"/>
  <c r="M145" i="9"/>
  <c r="N145" i="9" s="1"/>
  <c r="L235" i="9"/>
  <c r="L305" i="9"/>
  <c r="L353" i="9"/>
  <c r="L55" i="9"/>
  <c r="L57" i="9"/>
  <c r="L112" i="9"/>
  <c r="L48" i="9"/>
  <c r="M77" i="9"/>
  <c r="N77" i="9" s="1"/>
  <c r="L229" i="9"/>
  <c r="L291" i="9"/>
  <c r="L7" i="9"/>
  <c r="M39" i="9"/>
  <c r="N39" i="9" s="1"/>
  <c r="M46" i="9"/>
  <c r="N46" i="9" s="1"/>
  <c r="M49" i="9"/>
  <c r="N49" i="9" s="1"/>
  <c r="L52" i="9"/>
  <c r="M68" i="9"/>
  <c r="L78" i="9"/>
  <c r="M102" i="9"/>
  <c r="N102" i="9" s="1"/>
  <c r="L113" i="9"/>
  <c r="M144" i="9"/>
  <c r="L157" i="9"/>
  <c r="M168" i="9"/>
  <c r="N168" i="9" s="1"/>
  <c r="L183" i="9"/>
  <c r="L185" i="9"/>
  <c r="L254" i="9"/>
  <c r="L21" i="9"/>
  <c r="L51" i="9"/>
  <c r="L54" i="9"/>
  <c r="L56" i="9"/>
  <c r="L77" i="9"/>
  <c r="M104" i="9"/>
  <c r="L107" i="9"/>
  <c r="L149" i="9"/>
  <c r="M152" i="9"/>
  <c r="N152" i="9" s="1"/>
  <c r="L165" i="9"/>
  <c r="L311" i="9"/>
  <c r="M320" i="9"/>
  <c r="N320" i="9" s="1"/>
  <c r="L329" i="9"/>
  <c r="L16" i="9"/>
  <c r="M29" i="9"/>
  <c r="N29" i="9" s="1"/>
  <c r="L37" i="9"/>
  <c r="M38" i="9"/>
  <c r="M48" i="9"/>
  <c r="L76" i="9"/>
  <c r="M85" i="9"/>
  <c r="N85" i="9" s="1"/>
  <c r="L91" i="9"/>
  <c r="L96" i="9"/>
  <c r="L109" i="9"/>
  <c r="M112" i="9"/>
  <c r="N112" i="9" s="1"/>
  <c r="L153" i="9"/>
  <c r="L169" i="9"/>
  <c r="L184" i="9"/>
  <c r="L189" i="9"/>
  <c r="L208" i="9"/>
  <c r="L228" i="9"/>
  <c r="L255" i="9"/>
  <c r="L307" i="9"/>
  <c r="L315" i="9"/>
  <c r="L328" i="9"/>
  <c r="M329" i="9"/>
  <c r="L247" i="9"/>
  <c r="M283" i="9"/>
  <c r="L313" i="9"/>
  <c r="M331" i="9"/>
  <c r="L39" i="9"/>
  <c r="L49" i="9"/>
  <c r="L68" i="9"/>
  <c r="M82" i="9"/>
  <c r="M93" i="9"/>
  <c r="N93" i="9" s="1"/>
  <c r="M98" i="9"/>
  <c r="N98" i="9" s="1"/>
  <c r="L102" i="9"/>
  <c r="M108" i="9"/>
  <c r="N108" i="9" s="1"/>
  <c r="M139" i="9"/>
  <c r="N139" i="9" s="1"/>
  <c r="L147" i="9"/>
  <c r="M161" i="9"/>
  <c r="M173" i="9"/>
  <c r="N173" i="9" s="1"/>
  <c r="M181" i="9"/>
  <c r="L191" i="9"/>
  <c r="L207" i="9"/>
  <c r="L231" i="9"/>
  <c r="M296" i="9"/>
  <c r="N296" i="9" s="1"/>
  <c r="M321" i="9"/>
  <c r="L327" i="9"/>
  <c r="M328" i="9"/>
  <c r="N328" i="9" s="1"/>
  <c r="L335" i="9"/>
  <c r="M336" i="9"/>
  <c r="I166" i="9"/>
  <c r="M166" i="9" s="1"/>
  <c r="G13" i="9"/>
  <c r="G38" i="9"/>
  <c r="G39" i="9"/>
  <c r="G48" i="9"/>
  <c r="L87" i="9"/>
  <c r="L94" i="9"/>
  <c r="G102" i="9"/>
  <c r="M122" i="9"/>
  <c r="N122" i="9" s="1"/>
  <c r="M203" i="9"/>
  <c r="N203" i="9" s="1"/>
  <c r="G203" i="9"/>
  <c r="G29" i="9"/>
  <c r="G77" i="9"/>
  <c r="G93" i="9"/>
  <c r="M94" i="9"/>
  <c r="N94" i="9" s="1"/>
  <c r="L98" i="9"/>
  <c r="L105" i="9"/>
  <c r="M110" i="9"/>
  <c r="N110" i="9" s="1"/>
  <c r="M132" i="9"/>
  <c r="N132" i="9" s="1"/>
  <c r="G132" i="9"/>
  <c r="G21" i="9"/>
  <c r="G79" i="9"/>
  <c r="M134" i="9"/>
  <c r="M9" i="9"/>
  <c r="N9" i="9" s="1"/>
  <c r="M10" i="9"/>
  <c r="N10" i="9" s="1"/>
  <c r="M31" i="9"/>
  <c r="N31" i="9" s="1"/>
  <c r="M32" i="9"/>
  <c r="N32" i="9" s="1"/>
  <c r="M33" i="9"/>
  <c r="N33" i="9" s="1"/>
  <c r="M47" i="9"/>
  <c r="M62" i="9"/>
  <c r="N62" i="9" s="1"/>
  <c r="M71" i="9"/>
  <c r="N71" i="9" s="1"/>
  <c r="M72" i="9"/>
  <c r="N72" i="9" s="1"/>
  <c r="M87" i="9"/>
  <c r="M131" i="9"/>
  <c r="N131" i="9" s="1"/>
  <c r="G131" i="9"/>
  <c r="M141" i="9"/>
  <c r="N141" i="9" s="1"/>
  <c r="M28" i="9"/>
  <c r="N28" i="9" s="1"/>
  <c r="M43" i="9"/>
  <c r="M45" i="9"/>
  <c r="N45" i="9" s="1"/>
  <c r="M54" i="9"/>
  <c r="M55" i="9"/>
  <c r="N55" i="9" s="1"/>
  <c r="M56" i="9"/>
  <c r="N56" i="9" s="1"/>
  <c r="M57" i="9"/>
  <c r="N57" i="9" s="1"/>
  <c r="M58" i="9"/>
  <c r="N58" i="9" s="1"/>
  <c r="M105" i="9"/>
  <c r="M255" i="9"/>
  <c r="G97" i="9"/>
  <c r="L95" i="9"/>
  <c r="L103" i="9"/>
  <c r="M133" i="9"/>
  <c r="G193" i="9"/>
  <c r="M193" i="9"/>
  <c r="N193" i="9" s="1"/>
  <c r="L88" i="9"/>
  <c r="M95" i="9"/>
  <c r="N95" i="9" s="1"/>
  <c r="M101" i="9"/>
  <c r="M106" i="9"/>
  <c r="M107" i="9"/>
  <c r="N107" i="9" s="1"/>
  <c r="M111" i="9"/>
  <c r="N111" i="9" s="1"/>
  <c r="G152" i="9"/>
  <c r="G168" i="9"/>
  <c r="M226" i="9"/>
  <c r="M215" i="9"/>
  <c r="N215" i="9" s="1"/>
  <c r="M219" i="9"/>
  <c r="M264" i="9"/>
  <c r="M280" i="9"/>
  <c r="M267" i="9"/>
  <c r="G158" i="9"/>
  <c r="I360" i="9"/>
  <c r="M360" i="9" s="1"/>
  <c r="N360" i="9" s="1"/>
  <c r="G161" i="9"/>
  <c r="M174" i="9"/>
  <c r="M192" i="9"/>
  <c r="M209" i="9"/>
  <c r="N209" i="9" s="1"/>
  <c r="M241" i="9"/>
  <c r="N241" i="9" s="1"/>
  <c r="M254" i="9"/>
  <c r="L301" i="9"/>
  <c r="L215" i="9"/>
  <c r="M225" i="9"/>
  <c r="N225" i="9" s="1"/>
  <c r="L233" i="9"/>
  <c r="G256" i="9"/>
  <c r="M256" i="9"/>
  <c r="M268" i="9"/>
  <c r="G272" i="9"/>
  <c r="M272" i="9"/>
  <c r="M237" i="9"/>
  <c r="N237" i="9" s="1"/>
  <c r="M240" i="9"/>
  <c r="N240" i="9" s="1"/>
  <c r="L251" i="9"/>
  <c r="G259" i="9"/>
  <c r="M259" i="9"/>
  <c r="M275" i="9"/>
  <c r="L303" i="9"/>
  <c r="G99" i="9" l="1"/>
  <c r="G114" i="9"/>
  <c r="G27" i="9"/>
  <c r="M155" i="9"/>
  <c r="N155" i="9" s="1"/>
  <c r="M258" i="9"/>
  <c r="G74" i="9"/>
  <c r="G124" i="9"/>
  <c r="G24" i="9"/>
  <c r="M163" i="9"/>
  <c r="N163" i="9" s="1"/>
  <c r="G180" i="9"/>
  <c r="M42" i="9"/>
  <c r="N42" i="9" s="1"/>
  <c r="M116" i="9"/>
  <c r="N116" i="9" s="1"/>
  <c r="M50" i="9"/>
  <c r="N50" i="9" s="1"/>
  <c r="M11" i="9"/>
  <c r="N11" i="9" s="1"/>
  <c r="G129" i="9"/>
  <c r="G269" i="9"/>
  <c r="G243" i="9"/>
  <c r="G227" i="9"/>
  <c r="M218" i="9"/>
  <c r="N218" i="9" s="1"/>
  <c r="M273" i="9"/>
  <c r="M4" i="9"/>
  <c r="N4" i="9" s="1"/>
  <c r="M217" i="9"/>
  <c r="N217" i="9" s="1"/>
  <c r="M184" i="9"/>
  <c r="N184" i="9" s="1"/>
  <c r="M142" i="9"/>
  <c r="N142" i="9" s="1"/>
  <c r="M251" i="9"/>
  <c r="N251" i="9" s="1"/>
  <c r="G279" i="9"/>
  <c r="M252" i="9"/>
  <c r="N252" i="9" s="1"/>
  <c r="M164" i="9"/>
  <c r="N164" i="9" s="1"/>
  <c r="G159" i="9"/>
  <c r="M244" i="9"/>
  <c r="N244" i="9" s="1"/>
  <c r="M182" i="9"/>
  <c r="N182" i="9" s="1"/>
  <c r="G143" i="9"/>
  <c r="M60" i="9"/>
  <c r="N60" i="9" s="1"/>
  <c r="L283" i="9"/>
  <c r="M128" i="9"/>
  <c r="N128" i="9" s="1"/>
  <c r="M234" i="9"/>
  <c r="N234" i="9" s="1"/>
  <c r="G282" i="9"/>
  <c r="G260" i="9"/>
  <c r="M242" i="9"/>
  <c r="N242" i="9" s="1"/>
  <c r="M84" i="9"/>
  <c r="N84" i="9" s="1"/>
  <c r="M100" i="9"/>
  <c r="N100" i="9" s="1"/>
  <c r="M140" i="9"/>
  <c r="N140" i="9" s="1"/>
  <c r="M191" i="9"/>
  <c r="N191" i="9" s="1"/>
  <c r="M189" i="9"/>
  <c r="N189" i="9" s="1"/>
  <c r="M194" i="9"/>
  <c r="N194" i="9" s="1"/>
  <c r="G130" i="9"/>
  <c r="M222" i="9"/>
  <c r="N222" i="9" s="1"/>
  <c r="M162" i="9"/>
  <c r="N162" i="9" s="1"/>
  <c r="M12" i="9"/>
  <c r="N12" i="9" s="1"/>
  <c r="M204" i="9"/>
  <c r="M183" i="9"/>
  <c r="M238" i="9"/>
  <c r="N238" i="9" s="1"/>
  <c r="M147" i="9"/>
  <c r="N147" i="9" s="1"/>
  <c r="M165" i="9"/>
  <c r="N165" i="9" s="1"/>
  <c r="M250" i="9"/>
  <c r="N250" i="9" s="1"/>
  <c r="M150" i="9"/>
  <c r="N150" i="9" s="1"/>
  <c r="M44" i="9"/>
  <c r="N44" i="9" s="1"/>
  <c r="M239" i="9"/>
  <c r="N239" i="9" s="1"/>
  <c r="M185" i="9"/>
  <c r="L284" i="9"/>
  <c r="G236" i="9"/>
  <c r="M270" i="9"/>
  <c r="M249" i="9"/>
  <c r="G281" i="9"/>
  <c r="M281" i="9"/>
  <c r="M350" i="9"/>
  <c r="M262" i="9"/>
  <c r="G197" i="9"/>
  <c r="M210" i="9"/>
  <c r="N210" i="9" s="1"/>
  <c r="M127" i="9"/>
  <c r="N127" i="9" s="1"/>
  <c r="G201" i="9"/>
  <c r="M156" i="9"/>
  <c r="N156" i="9" s="1"/>
  <c r="G276" i="9"/>
  <c r="M186" i="9"/>
  <c r="M172" i="9"/>
  <c r="N172" i="9" s="1"/>
  <c r="G266" i="9"/>
  <c r="M228" i="9"/>
  <c r="M170" i="9"/>
  <c r="N170" i="9" s="1"/>
  <c r="M206" i="9"/>
  <c r="N206" i="9" s="1"/>
  <c r="M257" i="9"/>
  <c r="M207" i="9"/>
  <c r="M199" i="9"/>
  <c r="M245" i="9"/>
  <c r="G202" i="9"/>
  <c r="M175" i="9"/>
  <c r="N175" i="9" s="1"/>
  <c r="M214" i="9"/>
  <c r="N214" i="9" s="1"/>
  <c r="M154" i="9"/>
  <c r="N154" i="9" s="1"/>
  <c r="M148" i="9"/>
  <c r="N148" i="9" s="1"/>
  <c r="M263" i="9"/>
  <c r="M277" i="9"/>
  <c r="G277" i="9"/>
  <c r="M231" i="9"/>
  <c r="N231" i="9" s="1"/>
  <c r="M205" i="9"/>
  <c r="M213" i="9"/>
  <c r="N213" i="9" s="1"/>
  <c r="G247" i="9"/>
  <c r="G274" i="9"/>
  <c r="M286" i="9"/>
  <c r="N286" i="9" s="1"/>
  <c r="G113" i="9"/>
  <c r="M70" i="9"/>
  <c r="N70" i="9" s="1"/>
  <c r="M61" i="9"/>
  <c r="N61" i="9" s="1"/>
  <c r="G360" i="9"/>
  <c r="G166" i="9"/>
  <c r="B284" i="7" l="1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283" i="7"/>
  <c r="F11" i="7"/>
  <c r="F21" i="7"/>
  <c r="F24" i="7"/>
  <c r="I24" i="7" s="1"/>
  <c r="F27" i="7"/>
  <c r="F29" i="7"/>
  <c r="F37" i="7"/>
  <c r="I37" i="7" s="1"/>
  <c r="F38" i="7"/>
  <c r="F42" i="7"/>
  <c r="F48" i="7"/>
  <c r="I48" i="7" s="1"/>
  <c r="F50" i="7"/>
  <c r="I50" i="7" s="1"/>
  <c r="G50" i="7" s="1"/>
  <c r="F61" i="7"/>
  <c r="I61" i="7" s="1"/>
  <c r="F70" i="7"/>
  <c r="F74" i="7"/>
  <c r="I74" i="7" s="1"/>
  <c r="G74" i="7" s="1"/>
  <c r="F78" i="7"/>
  <c r="I78" i="7" s="1"/>
  <c r="F79" i="7"/>
  <c r="F80" i="7"/>
  <c r="F97" i="7"/>
  <c r="I97" i="7" s="1"/>
  <c r="F99" i="7"/>
  <c r="F105" i="7"/>
  <c r="I105" i="7" s="1"/>
  <c r="F106" i="7"/>
  <c r="F113" i="7"/>
  <c r="I113" i="7" s="1"/>
  <c r="F114" i="7"/>
  <c r="I114" i="7" s="1"/>
  <c r="F124" i="7"/>
  <c r="I124" i="7" s="1"/>
  <c r="I127" i="7"/>
  <c r="G127" i="7" s="1"/>
  <c r="I129" i="7"/>
  <c r="M129" i="7" s="1"/>
  <c r="I131" i="7"/>
  <c r="G131" i="7" s="1"/>
  <c r="I132" i="7"/>
  <c r="I133" i="7"/>
  <c r="I134" i="7"/>
  <c r="G134" i="7" s="1"/>
  <c r="I135" i="7"/>
  <c r="G135" i="7" s="1"/>
  <c r="I136" i="7"/>
  <c r="G136" i="7" s="1"/>
  <c r="I137" i="7"/>
  <c r="G137" i="7" s="1"/>
  <c r="I139" i="7"/>
  <c r="I140" i="7"/>
  <c r="I141" i="7"/>
  <c r="I142" i="7"/>
  <c r="I143" i="7"/>
  <c r="G143" i="7" s="1"/>
  <c r="I144" i="7"/>
  <c r="I145" i="7"/>
  <c r="G145" i="7" s="1"/>
  <c r="I146" i="7"/>
  <c r="F147" i="7"/>
  <c r="I147" i="7" s="1"/>
  <c r="I148" i="7"/>
  <c r="I149" i="7"/>
  <c r="I151" i="7"/>
  <c r="I152" i="7"/>
  <c r="I153" i="7"/>
  <c r="I154" i="7"/>
  <c r="F155" i="7"/>
  <c r="I155" i="7" s="1"/>
  <c r="I156" i="7"/>
  <c r="F158" i="7"/>
  <c r="I158" i="7" s="1"/>
  <c r="I159" i="7"/>
  <c r="G159" i="7" s="1"/>
  <c r="F161" i="7"/>
  <c r="I161" i="7" s="1"/>
  <c r="I162" i="7"/>
  <c r="F163" i="7"/>
  <c r="I163" i="7" s="1"/>
  <c r="I164" i="7"/>
  <c r="I165" i="7"/>
  <c r="F166" i="7"/>
  <c r="I166" i="7" s="1"/>
  <c r="I169" i="7"/>
  <c r="G169" i="7" s="1"/>
  <c r="I171" i="7"/>
  <c r="I172" i="7"/>
  <c r="I173" i="7"/>
  <c r="I174" i="7"/>
  <c r="I178" i="7"/>
  <c r="I179" i="7"/>
  <c r="I180" i="7"/>
  <c r="G180" i="7" s="1"/>
  <c r="I181" i="7"/>
  <c r="I183" i="7"/>
  <c r="I187" i="7"/>
  <c r="G187" i="7" s="1"/>
  <c r="I188" i="7"/>
  <c r="I189" i="7"/>
  <c r="G189" i="7" s="1"/>
  <c r="I190" i="7"/>
  <c r="I194" i="7"/>
  <c r="G194" i="7" s="1"/>
  <c r="I195" i="7"/>
  <c r="G195" i="7" s="1"/>
  <c r="I196" i="7"/>
  <c r="G196" i="7" s="1"/>
  <c r="F197" i="7"/>
  <c r="I197" i="7" s="1"/>
  <c r="I198" i="7"/>
  <c r="I199" i="7"/>
  <c r="F202" i="7"/>
  <c r="I202" i="7" s="1"/>
  <c r="I203" i="7"/>
  <c r="G203" i="7" s="1"/>
  <c r="I204" i="7"/>
  <c r="G204" i="7" s="1"/>
  <c r="I205" i="7"/>
  <c r="G205" i="7" s="1"/>
  <c r="I210" i="7"/>
  <c r="I212" i="7"/>
  <c r="I213" i="7"/>
  <c r="G213" i="7" s="1"/>
  <c r="I214" i="7"/>
  <c r="G214" i="7" s="1"/>
  <c r="I215" i="7"/>
  <c r="I220" i="7"/>
  <c r="I221" i="7"/>
  <c r="G221" i="7" s="1"/>
  <c r="I223" i="7"/>
  <c r="I225" i="7"/>
  <c r="I226" i="7"/>
  <c r="F227" i="7"/>
  <c r="I227" i="7" s="1"/>
  <c r="I228" i="7"/>
  <c r="G228" i="7" s="1"/>
  <c r="I229" i="7"/>
  <c r="G229" i="7" s="1"/>
  <c r="I230" i="7"/>
  <c r="I231" i="7"/>
  <c r="G231" i="7" s="1"/>
  <c r="I235" i="7"/>
  <c r="G235" i="7" s="1"/>
  <c r="F236" i="7"/>
  <c r="I236" i="7" s="1"/>
  <c r="I237" i="7"/>
  <c r="G237" i="7" s="1"/>
  <c r="F239" i="7"/>
  <c r="I239" i="7" s="1"/>
  <c r="I241" i="7"/>
  <c r="I242" i="7"/>
  <c r="G242" i="7" s="1"/>
  <c r="I244" i="7"/>
  <c r="I245" i="7"/>
  <c r="I246" i="7"/>
  <c r="G246" i="7" s="1"/>
  <c r="I247" i="7"/>
  <c r="G247" i="7" s="1"/>
  <c r="I249" i="7"/>
  <c r="M249" i="7" s="1"/>
  <c r="I251" i="7"/>
  <c r="G251" i="7" s="1"/>
  <c r="I252" i="7"/>
  <c r="I253" i="7"/>
  <c r="M253" i="7" s="1"/>
  <c r="I254" i="7"/>
  <c r="G254" i="7" s="1"/>
  <c r="I255" i="7"/>
  <c r="G255" i="7" s="1"/>
  <c r="I256" i="7"/>
  <c r="I257" i="7"/>
  <c r="M257" i="7" s="1"/>
  <c r="I258" i="7"/>
  <c r="I259" i="7"/>
  <c r="G259" i="7" s="1"/>
  <c r="I260" i="7"/>
  <c r="M260" i="7" s="1"/>
  <c r="I261" i="7"/>
  <c r="M261" i="7" s="1"/>
  <c r="I262" i="7"/>
  <c r="G262" i="7" s="1"/>
  <c r="I263" i="7"/>
  <c r="G263" i="7" s="1"/>
  <c r="I264" i="7"/>
  <c r="I265" i="7"/>
  <c r="G265" i="7" s="1"/>
  <c r="I266" i="7"/>
  <c r="I267" i="7"/>
  <c r="G267" i="7" s="1"/>
  <c r="I268" i="7"/>
  <c r="M268" i="7" s="1"/>
  <c r="I271" i="7"/>
  <c r="G271" i="7" s="1"/>
  <c r="I272" i="7"/>
  <c r="I273" i="7"/>
  <c r="G273" i="7" s="1"/>
  <c r="I274" i="7"/>
  <c r="I275" i="7"/>
  <c r="G275" i="7" s="1"/>
  <c r="I276" i="7"/>
  <c r="M276" i="7" s="1"/>
  <c r="I277" i="7"/>
  <c r="M277" i="7" s="1"/>
  <c r="I279" i="7"/>
  <c r="G279" i="7" s="1"/>
  <c r="I281" i="7"/>
  <c r="G281" i="7" s="1"/>
  <c r="F360" i="7"/>
  <c r="I360" i="7" s="1"/>
  <c r="I283" i="7"/>
  <c r="I285" i="7"/>
  <c r="F286" i="7"/>
  <c r="I286" i="7" s="1"/>
  <c r="I287" i="7"/>
  <c r="I289" i="7"/>
  <c r="I290" i="7"/>
  <c r="I293" i="7"/>
  <c r="I294" i="7"/>
  <c r="I296" i="7"/>
  <c r="I297" i="7"/>
  <c r="I298" i="7"/>
  <c r="I301" i="7"/>
  <c r="I302" i="7"/>
  <c r="I303" i="7"/>
  <c r="I305" i="7"/>
  <c r="I306" i="7"/>
  <c r="I309" i="7"/>
  <c r="I310" i="7"/>
  <c r="I312" i="7"/>
  <c r="I313" i="7"/>
  <c r="I314" i="7"/>
  <c r="I317" i="7"/>
  <c r="I318" i="7"/>
  <c r="I319" i="7"/>
  <c r="I321" i="7"/>
  <c r="I322" i="7"/>
  <c r="I325" i="7"/>
  <c r="I326" i="7"/>
  <c r="I328" i="7"/>
  <c r="I329" i="7"/>
  <c r="I330" i="7"/>
  <c r="I333" i="7"/>
  <c r="I334" i="7"/>
  <c r="I335" i="7"/>
  <c r="I337" i="7"/>
  <c r="I338" i="7"/>
  <c r="I341" i="7"/>
  <c r="I342" i="7"/>
  <c r="I344" i="7"/>
  <c r="I345" i="7"/>
  <c r="I346" i="7"/>
  <c r="I349" i="7"/>
  <c r="F350" i="7"/>
  <c r="I350" i="7" s="1"/>
  <c r="I351" i="7"/>
  <c r="I353" i="7"/>
  <c r="I354" i="7"/>
  <c r="I357" i="7"/>
  <c r="I358" i="7"/>
  <c r="H4" i="7"/>
  <c r="H6" i="7"/>
  <c r="H7" i="7"/>
  <c r="H9" i="7"/>
  <c r="E11" i="7"/>
  <c r="H11" i="7" s="1"/>
  <c r="H14" i="7"/>
  <c r="H15" i="7"/>
  <c r="H17" i="7"/>
  <c r="L17" i="7" s="1"/>
  <c r="H20" i="7"/>
  <c r="E21" i="7"/>
  <c r="H22" i="7"/>
  <c r="E24" i="7"/>
  <c r="H24" i="7" s="1"/>
  <c r="H25" i="7"/>
  <c r="E27" i="7"/>
  <c r="H27" i="7" s="1"/>
  <c r="H28" i="7"/>
  <c r="E29" i="7"/>
  <c r="H30" i="7"/>
  <c r="H33" i="7"/>
  <c r="H35" i="7"/>
  <c r="L35" i="7" s="1"/>
  <c r="H36" i="7"/>
  <c r="L36" i="7" s="1"/>
  <c r="E37" i="7"/>
  <c r="H37" i="7" s="1"/>
  <c r="E38" i="7"/>
  <c r="H38" i="7" s="1"/>
  <c r="H40" i="7"/>
  <c r="E42" i="7"/>
  <c r="H44" i="7"/>
  <c r="H45" i="7"/>
  <c r="H46" i="7"/>
  <c r="E48" i="7"/>
  <c r="H48" i="7" s="1"/>
  <c r="E50" i="7"/>
  <c r="H50" i="7" s="1"/>
  <c r="H52" i="7"/>
  <c r="H53" i="7"/>
  <c r="H54" i="7"/>
  <c r="H55" i="7"/>
  <c r="H56" i="7"/>
  <c r="H57" i="7"/>
  <c r="H59" i="7"/>
  <c r="L59" i="7" s="1"/>
  <c r="E61" i="7"/>
  <c r="H61" i="7" s="1"/>
  <c r="H62" i="7"/>
  <c r="H63" i="7"/>
  <c r="H64" i="7"/>
  <c r="H69" i="7"/>
  <c r="E70" i="7"/>
  <c r="H70" i="7" s="1"/>
  <c r="H71" i="7"/>
  <c r="H73" i="7"/>
  <c r="L73" i="7" s="1"/>
  <c r="E74" i="7"/>
  <c r="H74" i="7" s="1"/>
  <c r="H76" i="7"/>
  <c r="E78" i="7"/>
  <c r="H78" i="7" s="1"/>
  <c r="E79" i="7"/>
  <c r="H79" i="7" s="1"/>
  <c r="E80" i="7"/>
  <c r="H80" i="7" s="1"/>
  <c r="H87" i="7"/>
  <c r="H88" i="7"/>
  <c r="H89" i="7"/>
  <c r="H92" i="7"/>
  <c r="H93" i="7"/>
  <c r="H94" i="7"/>
  <c r="H96" i="7"/>
  <c r="E97" i="7"/>
  <c r="H97" i="7" s="1"/>
  <c r="E99" i="7"/>
  <c r="H102" i="7"/>
  <c r="H104" i="7"/>
  <c r="E105" i="7"/>
  <c r="H105" i="7" s="1"/>
  <c r="E106" i="7"/>
  <c r="H106" i="7" s="1"/>
  <c r="H108" i="7"/>
  <c r="H110" i="7"/>
  <c r="H112" i="7"/>
  <c r="E113" i="7"/>
  <c r="H113" i="7" s="1"/>
  <c r="E114" i="7"/>
  <c r="H114" i="7" s="1"/>
  <c r="H115" i="7"/>
  <c r="H116" i="7"/>
  <c r="H118" i="7"/>
  <c r="H119" i="7"/>
  <c r="H121" i="7"/>
  <c r="H123" i="7"/>
  <c r="L123" i="7" s="1"/>
  <c r="E124" i="7"/>
  <c r="H124" i="7" s="1"/>
  <c r="H126" i="7"/>
  <c r="L126" i="7" s="1"/>
  <c r="H127" i="7"/>
  <c r="H128" i="7"/>
  <c r="H129" i="7"/>
  <c r="H131" i="7"/>
  <c r="H132" i="7"/>
  <c r="H133" i="7"/>
  <c r="H134" i="7"/>
  <c r="H136" i="7"/>
  <c r="H137" i="7"/>
  <c r="H139" i="7"/>
  <c r="H141" i="7"/>
  <c r="H142" i="7"/>
  <c r="H144" i="7"/>
  <c r="H145" i="7"/>
  <c r="E147" i="7"/>
  <c r="H148" i="7"/>
  <c r="H150" i="7"/>
  <c r="H151" i="7"/>
  <c r="H152" i="7"/>
  <c r="H153" i="7"/>
  <c r="E155" i="7"/>
  <c r="H155" i="7" s="1"/>
  <c r="E158" i="7"/>
  <c r="H158" i="7" s="1"/>
  <c r="H159" i="7"/>
  <c r="H160" i="7"/>
  <c r="E161" i="7"/>
  <c r="H161" i="7" s="1"/>
  <c r="E163" i="7"/>
  <c r="H163" i="7" s="1"/>
  <c r="H164" i="7"/>
  <c r="E166" i="7"/>
  <c r="H166" i="7" s="1"/>
  <c r="H167" i="7"/>
  <c r="H168" i="7"/>
  <c r="H169" i="7"/>
  <c r="H174" i="7"/>
  <c r="H175" i="7"/>
  <c r="H176" i="7"/>
  <c r="H180" i="7"/>
  <c r="H181" i="7"/>
  <c r="H182" i="7"/>
  <c r="H183" i="7"/>
  <c r="H185" i="7"/>
  <c r="H187" i="7"/>
  <c r="H188" i="7"/>
  <c r="H190" i="7"/>
  <c r="H191" i="7"/>
  <c r="H192" i="7"/>
  <c r="H193" i="7"/>
  <c r="H196" i="7"/>
  <c r="E197" i="7"/>
  <c r="H197" i="7" s="1"/>
  <c r="H198" i="7"/>
  <c r="H199" i="7"/>
  <c r="H200" i="7"/>
  <c r="H201" i="7"/>
  <c r="L201" i="7" s="1"/>
  <c r="E202" i="7"/>
  <c r="H202" i="7" s="1"/>
  <c r="H204" i="7"/>
  <c r="H205" i="7"/>
  <c r="H206" i="7"/>
  <c r="H207" i="7"/>
  <c r="H208" i="7"/>
  <c r="H209" i="7"/>
  <c r="H211" i="7"/>
  <c r="H213" i="7"/>
  <c r="H214" i="7"/>
  <c r="H215" i="7"/>
  <c r="H216" i="7"/>
  <c r="H217" i="7"/>
  <c r="H219" i="7"/>
  <c r="H222" i="7"/>
  <c r="H223" i="7"/>
  <c r="H225" i="7"/>
  <c r="E227" i="7"/>
  <c r="H227" i="7" s="1"/>
  <c r="H228" i="7"/>
  <c r="H229" i="7"/>
  <c r="H230" i="7"/>
  <c r="H231" i="7"/>
  <c r="H232" i="7"/>
  <c r="H233" i="7"/>
  <c r="E236" i="7"/>
  <c r="H236" i="7" s="1"/>
  <c r="H238" i="7"/>
  <c r="E239" i="7"/>
  <c r="H239" i="7" s="1"/>
  <c r="H240" i="7"/>
  <c r="H241" i="7"/>
  <c r="H243" i="7"/>
  <c r="H244" i="7"/>
  <c r="H246" i="7"/>
  <c r="H249" i="7"/>
  <c r="H251" i="7"/>
  <c r="H252" i="7"/>
  <c r="H253" i="7"/>
  <c r="H254" i="7"/>
  <c r="H256" i="7"/>
  <c r="H257" i="7"/>
  <c r="H259" i="7"/>
  <c r="L259" i="7" s="1"/>
  <c r="H260" i="7"/>
  <c r="H261" i="7"/>
  <c r="H262" i="7"/>
  <c r="L262" i="7" s="1"/>
  <c r="H263" i="7"/>
  <c r="H264" i="7"/>
  <c r="H265" i="7"/>
  <c r="L265" i="7" s="1"/>
  <c r="H268" i="7"/>
  <c r="L268" i="7" s="1"/>
  <c r="H269" i="7"/>
  <c r="H270" i="7"/>
  <c r="H271" i="7"/>
  <c r="H272" i="7"/>
  <c r="H273" i="7"/>
  <c r="L273" i="7" s="1"/>
  <c r="H276" i="7"/>
  <c r="L276" i="7" s="1"/>
  <c r="H278" i="7"/>
  <c r="H279" i="7"/>
  <c r="H280" i="7"/>
  <c r="H281" i="7"/>
  <c r="L281" i="7" s="1"/>
  <c r="E360" i="7"/>
  <c r="H283" i="7"/>
  <c r="H284" i="7"/>
  <c r="H285" i="7"/>
  <c r="E286" i="7"/>
  <c r="H286" i="7" s="1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E350" i="7"/>
  <c r="H350" i="7" s="1"/>
  <c r="H351" i="7"/>
  <c r="H352" i="7"/>
  <c r="H353" i="7"/>
  <c r="H354" i="7"/>
  <c r="H355" i="7"/>
  <c r="H356" i="7"/>
  <c r="H357" i="7"/>
  <c r="H358" i="7"/>
  <c r="H359" i="7"/>
  <c r="K284" i="7"/>
  <c r="K285" i="7"/>
  <c r="K286" i="7"/>
  <c r="K287" i="7"/>
  <c r="K288" i="7"/>
  <c r="K289" i="7"/>
  <c r="K290" i="7"/>
  <c r="K291" i="7"/>
  <c r="K292" i="7"/>
  <c r="K293" i="7"/>
  <c r="M293" i="7" s="1"/>
  <c r="N293" i="7" s="1"/>
  <c r="K294" i="7"/>
  <c r="M294" i="7" s="1"/>
  <c r="N294" i="7" s="1"/>
  <c r="K295" i="7"/>
  <c r="K296" i="7"/>
  <c r="K297" i="7"/>
  <c r="K298" i="7"/>
  <c r="K299" i="7"/>
  <c r="K300" i="7"/>
  <c r="K301" i="7"/>
  <c r="K302" i="7"/>
  <c r="K303" i="7"/>
  <c r="M303" i="7" s="1"/>
  <c r="N303" i="7" s="1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M319" i="7" s="1"/>
  <c r="N319" i="7" s="1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M333" i="7" s="1"/>
  <c r="N333" i="7" s="1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L307" i="7" s="1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L339" i="7" s="1"/>
  <c r="J338" i="7"/>
  <c r="J339" i="7"/>
  <c r="J340" i="7"/>
  <c r="J341" i="7"/>
  <c r="J342" i="7"/>
  <c r="J343" i="7"/>
  <c r="J344" i="7"/>
  <c r="J345" i="7"/>
  <c r="L347" i="7" s="1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283" i="7"/>
  <c r="G144" i="7"/>
  <c r="G146" i="7"/>
  <c r="G264" i="7"/>
  <c r="G272" i="7"/>
  <c r="K4" i="7"/>
  <c r="K5" i="7"/>
  <c r="K6" i="7"/>
  <c r="K7" i="7"/>
  <c r="K9" i="7"/>
  <c r="K10" i="7"/>
  <c r="K11" i="7"/>
  <c r="K12" i="7"/>
  <c r="K15" i="7"/>
  <c r="K16" i="7"/>
  <c r="K20" i="7"/>
  <c r="K21" i="7"/>
  <c r="K22" i="7"/>
  <c r="K23" i="7"/>
  <c r="K24" i="7"/>
  <c r="K25" i="7"/>
  <c r="K26" i="7"/>
  <c r="K27" i="7"/>
  <c r="K28" i="7"/>
  <c r="K29" i="7"/>
  <c r="K31" i="7"/>
  <c r="K32" i="7"/>
  <c r="K33" i="7"/>
  <c r="K34" i="7"/>
  <c r="K37" i="7"/>
  <c r="K38" i="7"/>
  <c r="K39" i="7"/>
  <c r="K41" i="7"/>
  <c r="K42" i="7"/>
  <c r="K43" i="7"/>
  <c r="K44" i="7"/>
  <c r="K45" i="7"/>
  <c r="K46" i="7"/>
  <c r="K47" i="7"/>
  <c r="K48" i="7"/>
  <c r="K49" i="7"/>
  <c r="K50" i="7"/>
  <c r="K51" i="7"/>
  <c r="K52" i="7"/>
  <c r="K54" i="7"/>
  <c r="K55" i="7"/>
  <c r="K56" i="7"/>
  <c r="K57" i="7"/>
  <c r="K58" i="7"/>
  <c r="K60" i="7"/>
  <c r="K61" i="7"/>
  <c r="K62" i="7"/>
  <c r="K66" i="7"/>
  <c r="K68" i="7"/>
  <c r="K70" i="7"/>
  <c r="K71" i="7"/>
  <c r="K72" i="7"/>
  <c r="K74" i="7"/>
  <c r="K76" i="7"/>
  <c r="K77" i="7"/>
  <c r="K78" i="7"/>
  <c r="K79" i="7"/>
  <c r="K80" i="7"/>
  <c r="K81" i="7"/>
  <c r="K82" i="7"/>
  <c r="K84" i="7"/>
  <c r="K85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2" i="7"/>
  <c r="K124" i="7"/>
  <c r="K127" i="7"/>
  <c r="K128" i="7"/>
  <c r="K130" i="7"/>
  <c r="K131" i="7"/>
  <c r="K132" i="7"/>
  <c r="K133" i="7"/>
  <c r="K134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80" i="7"/>
  <c r="K181" i="7"/>
  <c r="K182" i="7"/>
  <c r="K183" i="7"/>
  <c r="K184" i="7"/>
  <c r="K185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50" i="7"/>
  <c r="K251" i="7"/>
  <c r="K252" i="7"/>
  <c r="K254" i="7"/>
  <c r="K255" i="7"/>
  <c r="K360" i="7"/>
  <c r="K2" i="7"/>
  <c r="J2" i="7"/>
  <c r="J4" i="7"/>
  <c r="J5" i="7"/>
  <c r="J6" i="7"/>
  <c r="J7" i="7"/>
  <c r="J9" i="7"/>
  <c r="J10" i="7"/>
  <c r="J11" i="7"/>
  <c r="J12" i="7"/>
  <c r="J15" i="7"/>
  <c r="J16" i="7"/>
  <c r="J20" i="7"/>
  <c r="J21" i="7"/>
  <c r="J22" i="7"/>
  <c r="J23" i="7"/>
  <c r="J24" i="7"/>
  <c r="J25" i="7"/>
  <c r="J26" i="7"/>
  <c r="J27" i="7"/>
  <c r="J28" i="7"/>
  <c r="J29" i="7"/>
  <c r="J31" i="7"/>
  <c r="J32" i="7"/>
  <c r="J33" i="7"/>
  <c r="J34" i="7"/>
  <c r="J37" i="7"/>
  <c r="J38" i="7"/>
  <c r="J39" i="7"/>
  <c r="J41" i="7"/>
  <c r="J42" i="7"/>
  <c r="J43" i="7"/>
  <c r="J44" i="7"/>
  <c r="J45" i="7"/>
  <c r="J46" i="7"/>
  <c r="J47" i="7"/>
  <c r="J48" i="7"/>
  <c r="J49" i="7"/>
  <c r="J50" i="7"/>
  <c r="J51" i="7"/>
  <c r="J52" i="7"/>
  <c r="J54" i="7"/>
  <c r="J55" i="7"/>
  <c r="J56" i="7"/>
  <c r="J57" i="7"/>
  <c r="J58" i="7"/>
  <c r="J60" i="7"/>
  <c r="J61" i="7"/>
  <c r="J62" i="7"/>
  <c r="J66" i="7"/>
  <c r="J68" i="7"/>
  <c r="J70" i="7"/>
  <c r="J71" i="7"/>
  <c r="J72" i="7"/>
  <c r="J74" i="7"/>
  <c r="J76" i="7"/>
  <c r="J77" i="7"/>
  <c r="J78" i="7"/>
  <c r="J79" i="7"/>
  <c r="J80" i="7"/>
  <c r="J81" i="7"/>
  <c r="J82" i="7"/>
  <c r="J84" i="7"/>
  <c r="J85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2" i="7"/>
  <c r="J124" i="7"/>
  <c r="J127" i="7"/>
  <c r="J128" i="7"/>
  <c r="J130" i="7"/>
  <c r="J131" i="7"/>
  <c r="J132" i="7"/>
  <c r="J133" i="7"/>
  <c r="J134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80" i="7"/>
  <c r="J181" i="7"/>
  <c r="J182" i="7"/>
  <c r="J183" i="7"/>
  <c r="J184" i="7"/>
  <c r="J185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50" i="7"/>
  <c r="J251" i="7"/>
  <c r="J252" i="7"/>
  <c r="J254" i="7"/>
  <c r="J255" i="7"/>
  <c r="J360" i="7"/>
  <c r="I7" i="7"/>
  <c r="I9" i="7"/>
  <c r="I16" i="7"/>
  <c r="I18" i="7"/>
  <c r="M18" i="7" s="1"/>
  <c r="I19" i="7"/>
  <c r="M19" i="7" s="1"/>
  <c r="I23" i="7"/>
  <c r="M23" i="7" s="1"/>
  <c r="N23" i="7" s="1"/>
  <c r="I25" i="7"/>
  <c r="G25" i="7" s="1"/>
  <c r="I26" i="7"/>
  <c r="G26" i="7" s="1"/>
  <c r="I34" i="7"/>
  <c r="I35" i="7"/>
  <c r="M35" i="7" s="1"/>
  <c r="I41" i="7"/>
  <c r="G41" i="7" s="1"/>
  <c r="I43" i="7"/>
  <c r="I52" i="7"/>
  <c r="I55" i="7"/>
  <c r="I59" i="7"/>
  <c r="M59" i="7" s="1"/>
  <c r="I71" i="7"/>
  <c r="I73" i="7"/>
  <c r="M73" i="7" s="1"/>
  <c r="I82" i="7"/>
  <c r="G82" i="7" s="1"/>
  <c r="I87" i="7"/>
  <c r="I89" i="7"/>
  <c r="I90" i="7"/>
  <c r="G90" i="7" s="1"/>
  <c r="I91" i="7"/>
  <c r="I98" i="7"/>
  <c r="I107" i="7"/>
  <c r="M107" i="7" s="1"/>
  <c r="N107" i="7" s="1"/>
  <c r="I116" i="7"/>
  <c r="I119" i="7"/>
  <c r="H8" i="7"/>
  <c r="H16" i="7"/>
  <c r="H32" i="7"/>
  <c r="H72" i="7"/>
  <c r="H120" i="7"/>
  <c r="H184" i="7"/>
  <c r="H224" i="7"/>
  <c r="H248" i="7"/>
  <c r="I3" i="7"/>
  <c r="M3" i="7" s="1"/>
  <c r="I4" i="7"/>
  <c r="I5" i="7"/>
  <c r="M5" i="7" s="1"/>
  <c r="N5" i="7" s="1"/>
  <c r="I6" i="7"/>
  <c r="I8" i="7"/>
  <c r="M8" i="7" s="1"/>
  <c r="I10" i="7"/>
  <c r="G10" i="7" s="1"/>
  <c r="I11" i="7"/>
  <c r="M11" i="7" s="1"/>
  <c r="N11" i="7" s="1"/>
  <c r="I12" i="7"/>
  <c r="G12" i="7" s="1"/>
  <c r="I13" i="7"/>
  <c r="M13" i="7" s="1"/>
  <c r="I14" i="7"/>
  <c r="M14" i="7" s="1"/>
  <c r="I15" i="7"/>
  <c r="I17" i="7"/>
  <c r="M17" i="7" s="1"/>
  <c r="I20" i="7"/>
  <c r="I21" i="7"/>
  <c r="I22" i="7"/>
  <c r="I27" i="7"/>
  <c r="I28" i="7"/>
  <c r="I29" i="7"/>
  <c r="I30" i="7"/>
  <c r="M30" i="7" s="1"/>
  <c r="I31" i="7"/>
  <c r="M31" i="7" s="1"/>
  <c r="N31" i="7" s="1"/>
  <c r="I32" i="7"/>
  <c r="G32" i="7" s="1"/>
  <c r="I33" i="7"/>
  <c r="M33" i="7" s="1"/>
  <c r="N33" i="7" s="1"/>
  <c r="I36" i="7"/>
  <c r="M36" i="7" s="1"/>
  <c r="I38" i="7"/>
  <c r="M38" i="7" s="1"/>
  <c r="N38" i="7" s="1"/>
  <c r="I39" i="7"/>
  <c r="I40" i="7"/>
  <c r="M40" i="7" s="1"/>
  <c r="I42" i="7"/>
  <c r="G42" i="7" s="1"/>
  <c r="I44" i="7"/>
  <c r="I45" i="7"/>
  <c r="G45" i="7" s="1"/>
  <c r="I46" i="7"/>
  <c r="I47" i="7"/>
  <c r="I49" i="7"/>
  <c r="G49" i="7" s="1"/>
  <c r="I51" i="7"/>
  <c r="I53" i="7"/>
  <c r="M53" i="7" s="1"/>
  <c r="I54" i="7"/>
  <c r="G54" i="7" s="1"/>
  <c r="I56" i="7"/>
  <c r="M56" i="7" s="1"/>
  <c r="N56" i="7" s="1"/>
  <c r="I57" i="7"/>
  <c r="I58" i="7"/>
  <c r="G58" i="7" s="1"/>
  <c r="I60" i="7"/>
  <c r="I62" i="7"/>
  <c r="I63" i="7"/>
  <c r="M63" i="7" s="1"/>
  <c r="I64" i="7"/>
  <c r="I65" i="7"/>
  <c r="M65" i="7" s="1"/>
  <c r="I66" i="7"/>
  <c r="G66" i="7" s="1"/>
  <c r="I67" i="7"/>
  <c r="M67" i="7" s="1"/>
  <c r="I68" i="7"/>
  <c r="I69" i="7"/>
  <c r="M69" i="7" s="1"/>
  <c r="I70" i="7"/>
  <c r="M70" i="7" s="1"/>
  <c r="N70" i="7" s="1"/>
  <c r="I72" i="7"/>
  <c r="G72" i="7" s="1"/>
  <c r="I75" i="7"/>
  <c r="M75" i="7" s="1"/>
  <c r="I76" i="7"/>
  <c r="I77" i="7"/>
  <c r="M77" i="7" s="1"/>
  <c r="N77" i="7" s="1"/>
  <c r="I79" i="7"/>
  <c r="I80" i="7"/>
  <c r="I81" i="7"/>
  <c r="I83" i="7"/>
  <c r="M83" i="7" s="1"/>
  <c r="I84" i="7"/>
  <c r="M84" i="7" s="1"/>
  <c r="N84" i="7" s="1"/>
  <c r="I85" i="7"/>
  <c r="I86" i="7"/>
  <c r="M86" i="7" s="1"/>
  <c r="I88" i="7"/>
  <c r="I92" i="7"/>
  <c r="I93" i="7"/>
  <c r="M93" i="7" s="1"/>
  <c r="N93" i="7" s="1"/>
  <c r="I94" i="7"/>
  <c r="I95" i="7"/>
  <c r="I96" i="7"/>
  <c r="G96" i="7" s="1"/>
  <c r="I100" i="7"/>
  <c r="G100" i="7" s="1"/>
  <c r="I101" i="7"/>
  <c r="M101" i="7" s="1"/>
  <c r="I102" i="7"/>
  <c r="I103" i="7"/>
  <c r="I104" i="7"/>
  <c r="I106" i="7"/>
  <c r="G106" i="7" s="1"/>
  <c r="I108" i="7"/>
  <c r="I109" i="7"/>
  <c r="G109" i="7" s="1"/>
  <c r="I110" i="7"/>
  <c r="I111" i="7"/>
  <c r="G111" i="7" s="1"/>
  <c r="I112" i="7"/>
  <c r="M112" i="7" s="1"/>
  <c r="N112" i="7" s="1"/>
  <c r="I115" i="7"/>
  <c r="M115" i="7" s="1"/>
  <c r="N115" i="7" s="1"/>
  <c r="I117" i="7"/>
  <c r="I118" i="7"/>
  <c r="I120" i="7"/>
  <c r="G120" i="7" s="1"/>
  <c r="I121" i="7"/>
  <c r="M121" i="7" s="1"/>
  <c r="I122" i="7"/>
  <c r="G122" i="7" s="1"/>
  <c r="I123" i="7"/>
  <c r="M123" i="7" s="1"/>
  <c r="I125" i="7"/>
  <c r="M125" i="7" s="1"/>
  <c r="I126" i="7"/>
  <c r="I150" i="7"/>
  <c r="I157" i="7"/>
  <c r="M157" i="7" s="1"/>
  <c r="N157" i="7" s="1"/>
  <c r="I167" i="7"/>
  <c r="I168" i="7"/>
  <c r="G168" i="7" s="1"/>
  <c r="I175" i="7"/>
  <c r="M175" i="7" s="1"/>
  <c r="N175" i="7" s="1"/>
  <c r="I176" i="7"/>
  <c r="I177" i="7"/>
  <c r="G177" i="7" s="1"/>
  <c r="I182" i="7"/>
  <c r="M182" i="7" s="1"/>
  <c r="N182" i="7" s="1"/>
  <c r="I184" i="7"/>
  <c r="I185" i="7"/>
  <c r="I186" i="7"/>
  <c r="G186" i="7" s="1"/>
  <c r="I191" i="7"/>
  <c r="M191" i="7" s="1"/>
  <c r="N191" i="7" s="1"/>
  <c r="I192" i="7"/>
  <c r="I193" i="7"/>
  <c r="I200" i="7"/>
  <c r="G200" i="7" s="1"/>
  <c r="I201" i="7"/>
  <c r="M201" i="7" s="1"/>
  <c r="I206" i="7"/>
  <c r="G206" i="7" s="1"/>
  <c r="I207" i="7"/>
  <c r="I208" i="7"/>
  <c r="G208" i="7" s="1"/>
  <c r="I209" i="7"/>
  <c r="I211" i="7"/>
  <c r="G211" i="7" s="1"/>
  <c r="I216" i="7"/>
  <c r="I217" i="7"/>
  <c r="I219" i="7"/>
  <c r="G219" i="7" s="1"/>
  <c r="I222" i="7"/>
  <c r="G222" i="7" s="1"/>
  <c r="I224" i="7"/>
  <c r="I232" i="7"/>
  <c r="G232" i="7" s="1"/>
  <c r="I233" i="7"/>
  <c r="M233" i="7" s="1"/>
  <c r="N233" i="7" s="1"/>
  <c r="I234" i="7"/>
  <c r="G234" i="7" s="1"/>
  <c r="I238" i="7"/>
  <c r="M238" i="7" s="1"/>
  <c r="N238" i="7" s="1"/>
  <c r="I240" i="7"/>
  <c r="G240" i="7" s="1"/>
  <c r="I243" i="7"/>
  <c r="G243" i="7" s="1"/>
  <c r="I269" i="7"/>
  <c r="M269" i="7" s="1"/>
  <c r="I270" i="7"/>
  <c r="M270" i="7" s="1"/>
  <c r="I278" i="7"/>
  <c r="M278" i="7" s="1"/>
  <c r="F2" i="7"/>
  <c r="I2" i="7" s="1"/>
  <c r="E2" i="7"/>
  <c r="H2" i="7" s="1"/>
  <c r="H3" i="7"/>
  <c r="L3" i="7" s="1"/>
  <c r="H5" i="7"/>
  <c r="H10" i="7"/>
  <c r="H12" i="7"/>
  <c r="H13" i="7"/>
  <c r="H18" i="7"/>
  <c r="L18" i="7" s="1"/>
  <c r="H19" i="7"/>
  <c r="L19" i="7" s="1"/>
  <c r="H21" i="7"/>
  <c r="H23" i="7"/>
  <c r="H26" i="7"/>
  <c r="H29" i="7"/>
  <c r="H31" i="7"/>
  <c r="H34" i="7"/>
  <c r="H39" i="7"/>
  <c r="H41" i="7"/>
  <c r="H42" i="7"/>
  <c r="H43" i="7"/>
  <c r="L43" i="7" s="1"/>
  <c r="H47" i="7"/>
  <c r="H49" i="7"/>
  <c r="H51" i="7"/>
  <c r="H58" i="7"/>
  <c r="H60" i="7"/>
  <c r="H65" i="7"/>
  <c r="L65" i="7" s="1"/>
  <c r="H66" i="7"/>
  <c r="H67" i="7"/>
  <c r="L67" i="7" s="1"/>
  <c r="H68" i="7"/>
  <c r="L68" i="7" s="1"/>
  <c r="H75" i="7"/>
  <c r="H77" i="7"/>
  <c r="H81" i="7"/>
  <c r="H82" i="7"/>
  <c r="H83" i="7"/>
  <c r="H84" i="7"/>
  <c r="H85" i="7"/>
  <c r="L85" i="7" s="1"/>
  <c r="H86" i="7"/>
  <c r="H90" i="7"/>
  <c r="H91" i="7"/>
  <c r="H95" i="7"/>
  <c r="H98" i="7"/>
  <c r="H99" i="7"/>
  <c r="H100" i="7"/>
  <c r="H101" i="7"/>
  <c r="H103" i="7"/>
  <c r="H107" i="7"/>
  <c r="H109" i="7"/>
  <c r="H111" i="7"/>
  <c r="H117" i="7"/>
  <c r="H122" i="7"/>
  <c r="H125" i="7"/>
  <c r="H130" i="7"/>
  <c r="H135" i="7"/>
  <c r="H138" i="7"/>
  <c r="H140" i="7"/>
  <c r="L140" i="7" s="1"/>
  <c r="H143" i="7"/>
  <c r="H146" i="7"/>
  <c r="H147" i="7"/>
  <c r="H149" i="7"/>
  <c r="H154" i="7"/>
  <c r="H156" i="7"/>
  <c r="H157" i="7"/>
  <c r="H162" i="7"/>
  <c r="H165" i="7"/>
  <c r="H170" i="7"/>
  <c r="H171" i="7"/>
  <c r="H172" i="7"/>
  <c r="H173" i="7"/>
  <c r="H177" i="7"/>
  <c r="H178" i="7"/>
  <c r="H179" i="7"/>
  <c r="L179" i="7" s="1"/>
  <c r="H186" i="7"/>
  <c r="H189" i="7"/>
  <c r="H194" i="7"/>
  <c r="H195" i="7"/>
  <c r="H203" i="7"/>
  <c r="H210" i="7"/>
  <c r="H212" i="7"/>
  <c r="H218" i="7"/>
  <c r="H220" i="7"/>
  <c r="H221" i="7"/>
  <c r="H226" i="7"/>
  <c r="L226" i="7" s="1"/>
  <c r="H234" i="7"/>
  <c r="H235" i="7"/>
  <c r="H237" i="7"/>
  <c r="H242" i="7"/>
  <c r="H245" i="7"/>
  <c r="H247" i="7"/>
  <c r="H250" i="7"/>
  <c r="H255" i="7"/>
  <c r="H258" i="7"/>
  <c r="H266" i="7"/>
  <c r="H267" i="7"/>
  <c r="L267" i="7" s="1"/>
  <c r="H274" i="7"/>
  <c r="L274" i="7" s="1"/>
  <c r="H275" i="7"/>
  <c r="H277" i="7"/>
  <c r="L277" i="7" s="1"/>
  <c r="H282" i="7"/>
  <c r="H360" i="7"/>
  <c r="M167" i="7" l="1"/>
  <c r="N167" i="7" s="1"/>
  <c r="M44" i="7"/>
  <c r="N44" i="7" s="1"/>
  <c r="M52" i="7"/>
  <c r="N52" i="7" s="1"/>
  <c r="M95" i="7"/>
  <c r="N95" i="7" s="1"/>
  <c r="M62" i="7"/>
  <c r="N62" i="7" s="1"/>
  <c r="L37" i="7"/>
  <c r="L99" i="7"/>
  <c r="M24" i="7"/>
  <c r="N24" i="7" s="1"/>
  <c r="L154" i="7"/>
  <c r="L51" i="7"/>
  <c r="L46" i="7"/>
  <c r="L2" i="7"/>
  <c r="L359" i="7"/>
  <c r="L351" i="7"/>
  <c r="L343" i="7"/>
  <c r="L335" i="7"/>
  <c r="L327" i="7"/>
  <c r="L319" i="7"/>
  <c r="L311" i="7"/>
  <c r="L303" i="7"/>
  <c r="L295" i="7"/>
  <c r="L287" i="7"/>
  <c r="L342" i="7"/>
  <c r="M207" i="7"/>
  <c r="N207" i="7" s="1"/>
  <c r="M55" i="7"/>
  <c r="N55" i="7" s="1"/>
  <c r="L20" i="7"/>
  <c r="L34" i="7"/>
  <c r="L204" i="7"/>
  <c r="M124" i="7"/>
  <c r="N124" i="7" s="1"/>
  <c r="M4" i="7"/>
  <c r="N4" i="7" s="1"/>
  <c r="L108" i="7"/>
  <c r="L28" i="7"/>
  <c r="L180" i="7"/>
  <c r="M252" i="7"/>
  <c r="N252" i="7" s="1"/>
  <c r="M46" i="7"/>
  <c r="N46" i="7" s="1"/>
  <c r="M198" i="7"/>
  <c r="N198" i="7" s="1"/>
  <c r="M351" i="7"/>
  <c r="M301" i="7"/>
  <c r="N301" i="7" s="1"/>
  <c r="L318" i="7"/>
  <c r="L235" i="7"/>
  <c r="L313" i="7"/>
  <c r="M225" i="7"/>
  <c r="N225" i="7" s="1"/>
  <c r="M118" i="7"/>
  <c r="N118" i="7" s="1"/>
  <c r="M117" i="7"/>
  <c r="N117" i="7" s="1"/>
  <c r="M346" i="7"/>
  <c r="N346" i="7" s="1"/>
  <c r="M330" i="7"/>
  <c r="N330" i="7" s="1"/>
  <c r="M298" i="7"/>
  <c r="N298" i="7" s="1"/>
  <c r="M290" i="7"/>
  <c r="L25" i="7"/>
  <c r="M350" i="7"/>
  <c r="N350" i="7" s="1"/>
  <c r="M326" i="7"/>
  <c r="N326" i="7" s="1"/>
  <c r="M286" i="7"/>
  <c r="N286" i="7" s="1"/>
  <c r="M223" i="7"/>
  <c r="N223" i="7" s="1"/>
  <c r="M183" i="7"/>
  <c r="L182" i="7"/>
  <c r="L70" i="7"/>
  <c r="L38" i="7"/>
  <c r="M358" i="7"/>
  <c r="N358" i="7" s="1"/>
  <c r="L98" i="7"/>
  <c r="M91" i="7"/>
  <c r="N91" i="7" s="1"/>
  <c r="M39" i="7"/>
  <c r="N39" i="7" s="1"/>
  <c r="L107" i="7"/>
  <c r="L12" i="7"/>
  <c r="G178" i="7"/>
  <c r="M334" i="7"/>
  <c r="N334" i="7" s="1"/>
  <c r="L324" i="7"/>
  <c r="L115" i="7"/>
  <c r="L82" i="7"/>
  <c r="M108" i="7"/>
  <c r="N108" i="7" s="1"/>
  <c r="M97" i="7"/>
  <c r="M57" i="7"/>
  <c r="N57" i="7" s="1"/>
  <c r="M47" i="7"/>
  <c r="N47" i="7" s="1"/>
  <c r="M37" i="7"/>
  <c r="N37" i="7" s="1"/>
  <c r="M27" i="7"/>
  <c r="N27" i="7" s="1"/>
  <c r="G154" i="7"/>
  <c r="L333" i="7"/>
  <c r="L325" i="7"/>
  <c r="M313" i="7"/>
  <c r="N313" i="7" s="1"/>
  <c r="M192" i="7"/>
  <c r="N192" i="7" s="1"/>
  <c r="L146" i="7"/>
  <c r="L27" i="7"/>
  <c r="M20" i="7"/>
  <c r="N20" i="7" s="1"/>
  <c r="M71" i="7"/>
  <c r="N71" i="7" s="1"/>
  <c r="L81" i="7"/>
  <c r="M184" i="7"/>
  <c r="N184" i="7" s="1"/>
  <c r="M166" i="7"/>
  <c r="N166" i="7" s="1"/>
  <c r="M6" i="7"/>
  <c r="N6" i="7" s="1"/>
  <c r="M342" i="7"/>
  <c r="N342" i="7" s="1"/>
  <c r="M302" i="7"/>
  <c r="N302" i="7" s="1"/>
  <c r="L352" i="7"/>
  <c r="L344" i="7"/>
  <c r="L336" i="7"/>
  <c r="L328" i="7"/>
  <c r="L320" i="7"/>
  <c r="L312" i="7"/>
  <c r="L304" i="7"/>
  <c r="L296" i="7"/>
  <c r="L288" i="7"/>
  <c r="M181" i="7"/>
  <c r="N181" i="7" s="1"/>
  <c r="M173" i="7"/>
  <c r="N173" i="7" s="1"/>
  <c r="M165" i="7"/>
  <c r="N165" i="7" s="1"/>
  <c r="M149" i="7"/>
  <c r="N149" i="7" s="1"/>
  <c r="M141" i="7"/>
  <c r="N141" i="7" s="1"/>
  <c r="M133" i="7"/>
  <c r="N133" i="7" s="1"/>
  <c r="L170" i="7"/>
  <c r="L90" i="7"/>
  <c r="M209" i="7"/>
  <c r="N209" i="7" s="1"/>
  <c r="M48" i="7"/>
  <c r="N48" i="7" s="1"/>
  <c r="M28" i="7"/>
  <c r="N28" i="7" s="1"/>
  <c r="M190" i="7"/>
  <c r="N190" i="7" s="1"/>
  <c r="L350" i="7"/>
  <c r="L334" i="7"/>
  <c r="M337" i="7"/>
  <c r="N337" i="7" s="1"/>
  <c r="M349" i="7"/>
  <c r="N349" i="7" s="1"/>
  <c r="L163" i="7"/>
  <c r="L293" i="7"/>
  <c r="M328" i="7"/>
  <c r="N328" i="7" s="1"/>
  <c r="M312" i="7"/>
  <c r="N312" i="7" s="1"/>
  <c r="L354" i="7"/>
  <c r="L346" i="7"/>
  <c r="L338" i="7"/>
  <c r="L330" i="7"/>
  <c r="L322" i="7"/>
  <c r="L314" i="7"/>
  <c r="L306" i="7"/>
  <c r="L298" i="7"/>
  <c r="L290" i="7"/>
  <c r="L209" i="7"/>
  <c r="L137" i="7"/>
  <c r="L97" i="7"/>
  <c r="L89" i="7"/>
  <c r="M199" i="7"/>
  <c r="N199" i="7" s="1"/>
  <c r="M217" i="7"/>
  <c r="N217" i="7" s="1"/>
  <c r="M81" i="7"/>
  <c r="N81" i="7" s="1"/>
  <c r="M116" i="7"/>
  <c r="N116" i="7" s="1"/>
  <c r="L162" i="7"/>
  <c r="G40" i="7"/>
  <c r="L356" i="7"/>
  <c r="L308" i="7"/>
  <c r="L353" i="7"/>
  <c r="L345" i="7"/>
  <c r="L337" i="7"/>
  <c r="L329" i="7"/>
  <c r="L321" i="7"/>
  <c r="L305" i="7"/>
  <c r="L297" i="7"/>
  <c r="L289" i="7"/>
  <c r="L80" i="7"/>
  <c r="I356" i="7"/>
  <c r="M356" i="7" s="1"/>
  <c r="N356" i="7" s="1"/>
  <c r="I340" i="7"/>
  <c r="M340" i="7" s="1"/>
  <c r="N340" i="7" s="1"/>
  <c r="I324" i="7"/>
  <c r="M324" i="7" s="1"/>
  <c r="N324" i="7" s="1"/>
  <c r="I308" i="7"/>
  <c r="M308" i="7" s="1"/>
  <c r="N308" i="7" s="1"/>
  <c r="I292" i="7"/>
  <c r="M292" i="7" s="1"/>
  <c r="N292" i="7" s="1"/>
  <c r="I284" i="7"/>
  <c r="M284" i="7" s="1"/>
  <c r="L198" i="7"/>
  <c r="L190" i="7"/>
  <c r="L142" i="7"/>
  <c r="L134" i="7"/>
  <c r="I355" i="7"/>
  <c r="M355" i="7" s="1"/>
  <c r="I347" i="7"/>
  <c r="M347" i="7" s="1"/>
  <c r="N347" i="7" s="1"/>
  <c r="I339" i="7"/>
  <c r="M339" i="7" s="1"/>
  <c r="I331" i="7"/>
  <c r="M331" i="7" s="1"/>
  <c r="I323" i="7"/>
  <c r="M323" i="7" s="1"/>
  <c r="I315" i="7"/>
  <c r="M315" i="7" s="1"/>
  <c r="N315" i="7" s="1"/>
  <c r="I307" i="7"/>
  <c r="M307" i="7" s="1"/>
  <c r="I299" i="7"/>
  <c r="M299" i="7" s="1"/>
  <c r="N299" i="7" s="1"/>
  <c r="I291" i="7"/>
  <c r="M291" i="7" s="1"/>
  <c r="N291" i="7" s="1"/>
  <c r="M283" i="7"/>
  <c r="N283" i="7" s="1"/>
  <c r="M244" i="7"/>
  <c r="N244" i="7" s="1"/>
  <c r="M236" i="7"/>
  <c r="N236" i="7" s="1"/>
  <c r="M132" i="7"/>
  <c r="N132" i="7" s="1"/>
  <c r="I348" i="7"/>
  <c r="M348" i="7" s="1"/>
  <c r="I332" i="7"/>
  <c r="M332" i="7" s="1"/>
  <c r="N332" i="7" s="1"/>
  <c r="I316" i="7"/>
  <c r="M316" i="7" s="1"/>
  <c r="N316" i="7" s="1"/>
  <c r="I300" i="7"/>
  <c r="M300" i="7" s="1"/>
  <c r="N300" i="7" s="1"/>
  <c r="L284" i="7"/>
  <c r="L245" i="7"/>
  <c r="L282" i="7"/>
  <c r="L283" i="7"/>
  <c r="L195" i="7"/>
  <c r="L100" i="7"/>
  <c r="M22" i="7"/>
  <c r="N22" i="7" s="1"/>
  <c r="M9" i="7"/>
  <c r="N9" i="7" s="1"/>
  <c r="L358" i="7"/>
  <c r="L326" i="7"/>
  <c r="L310" i="7"/>
  <c r="L302" i="7"/>
  <c r="L294" i="7"/>
  <c r="L286" i="7"/>
  <c r="L181" i="7"/>
  <c r="M354" i="7"/>
  <c r="N354" i="7" s="1"/>
  <c r="M322" i="7"/>
  <c r="N322" i="7" s="1"/>
  <c r="M360" i="7"/>
  <c r="N360" i="7" s="1"/>
  <c r="L243" i="7"/>
  <c r="L117" i="7"/>
  <c r="L357" i="7"/>
  <c r="L349" i="7"/>
  <c r="L341" i="7"/>
  <c r="L317" i="7"/>
  <c r="L309" i="7"/>
  <c r="L301" i="7"/>
  <c r="L285" i="7"/>
  <c r="M353" i="7"/>
  <c r="N353" i="7" s="1"/>
  <c r="M345" i="7"/>
  <c r="N345" i="7" s="1"/>
  <c r="M329" i="7"/>
  <c r="N329" i="7" s="1"/>
  <c r="M321" i="7"/>
  <c r="M305" i="7"/>
  <c r="N305" i="7" s="1"/>
  <c r="M297" i="7"/>
  <c r="M289" i="7"/>
  <c r="N289" i="7" s="1"/>
  <c r="L227" i="7"/>
  <c r="L164" i="7"/>
  <c r="M80" i="7"/>
  <c r="N80" i="7" s="1"/>
  <c r="G80" i="7"/>
  <c r="L348" i="7"/>
  <c r="L340" i="7"/>
  <c r="L332" i="7"/>
  <c r="L316" i="7"/>
  <c r="L300" i="7"/>
  <c r="L292" i="7"/>
  <c r="M344" i="7"/>
  <c r="N344" i="7" s="1"/>
  <c r="M296" i="7"/>
  <c r="N296" i="7" s="1"/>
  <c r="L210" i="7"/>
  <c r="G112" i="7"/>
  <c r="L355" i="7"/>
  <c r="L331" i="7"/>
  <c r="L323" i="7"/>
  <c r="L315" i="7"/>
  <c r="L299" i="7"/>
  <c r="L291" i="7"/>
  <c r="M335" i="7"/>
  <c r="M287" i="7"/>
  <c r="N287" i="7" s="1"/>
  <c r="L161" i="7"/>
  <c r="L153" i="7"/>
  <c r="L145" i="7"/>
  <c r="M310" i="7"/>
  <c r="M215" i="7"/>
  <c r="N215" i="7" s="1"/>
  <c r="M357" i="7"/>
  <c r="M341" i="7"/>
  <c r="N341" i="7" s="1"/>
  <c r="M325" i="7"/>
  <c r="N325" i="7" s="1"/>
  <c r="M285" i="7"/>
  <c r="N285" i="7" s="1"/>
  <c r="M230" i="7"/>
  <c r="N230" i="7" s="1"/>
  <c r="I359" i="7"/>
  <c r="M359" i="7" s="1"/>
  <c r="N359" i="7" s="1"/>
  <c r="I343" i="7"/>
  <c r="M343" i="7" s="1"/>
  <c r="N343" i="7" s="1"/>
  <c r="I327" i="7"/>
  <c r="M327" i="7" s="1"/>
  <c r="I311" i="7"/>
  <c r="M311" i="7" s="1"/>
  <c r="N311" i="7" s="1"/>
  <c r="I295" i="7"/>
  <c r="M295" i="7" s="1"/>
  <c r="N295" i="7" s="1"/>
  <c r="L218" i="7"/>
  <c r="L172" i="7"/>
  <c r="L10" i="7"/>
  <c r="M241" i="7"/>
  <c r="N241" i="7" s="1"/>
  <c r="M102" i="7"/>
  <c r="N102" i="7" s="1"/>
  <c r="M79" i="7"/>
  <c r="N79" i="7" s="1"/>
  <c r="M89" i="7"/>
  <c r="N89" i="7" s="1"/>
  <c r="M43" i="7"/>
  <c r="N43" i="7" s="1"/>
  <c r="L124" i="7"/>
  <c r="G202" i="7"/>
  <c r="I352" i="7"/>
  <c r="M352" i="7" s="1"/>
  <c r="I336" i="7"/>
  <c r="M336" i="7" s="1"/>
  <c r="I320" i="7"/>
  <c r="M320" i="7" s="1"/>
  <c r="N320" i="7" s="1"/>
  <c r="I304" i="7"/>
  <c r="M304" i="7" s="1"/>
  <c r="N304" i="7" s="1"/>
  <c r="I288" i="7"/>
  <c r="M288" i="7" s="1"/>
  <c r="L106" i="7"/>
  <c r="L26" i="7"/>
  <c r="M185" i="7"/>
  <c r="M120" i="7"/>
  <c r="N120" i="7" s="1"/>
  <c r="M110" i="7"/>
  <c r="N110" i="7" s="1"/>
  <c r="M88" i="7"/>
  <c r="N88" i="7" s="1"/>
  <c r="M78" i="7"/>
  <c r="N78" i="7" s="1"/>
  <c r="M68" i="7"/>
  <c r="N68" i="7" s="1"/>
  <c r="M60" i="7"/>
  <c r="N60" i="7" s="1"/>
  <c r="M15" i="7"/>
  <c r="N15" i="7" s="1"/>
  <c r="M87" i="7"/>
  <c r="N87" i="7" s="1"/>
  <c r="G152" i="7"/>
  <c r="L187" i="7"/>
  <c r="M318" i="7"/>
  <c r="N318" i="7" s="1"/>
  <c r="M309" i="7"/>
  <c r="M306" i="7"/>
  <c r="N306" i="7" s="1"/>
  <c r="G350" i="7"/>
  <c r="G286" i="7"/>
  <c r="M317" i="7"/>
  <c r="M314" i="7"/>
  <c r="N314" i="7" s="1"/>
  <c r="M338" i="7"/>
  <c r="N338" i="7" s="1"/>
  <c r="I170" i="7"/>
  <c r="G170" i="7" s="1"/>
  <c r="I138" i="7"/>
  <c r="I218" i="7"/>
  <c r="G218" i="7" s="1"/>
  <c r="G226" i="7"/>
  <c r="I250" i="7"/>
  <c r="G250" i="7" s="1"/>
  <c r="M64" i="7"/>
  <c r="G64" i="7"/>
  <c r="G274" i="7"/>
  <c r="M256" i="7"/>
  <c r="G256" i="7"/>
  <c r="G216" i="7"/>
  <c r="M16" i="7"/>
  <c r="N16" i="7" s="1"/>
  <c r="G16" i="7"/>
  <c r="I282" i="7"/>
  <c r="M282" i="7" s="1"/>
  <c r="G258" i="7"/>
  <c r="G210" i="7"/>
  <c r="G162" i="7"/>
  <c r="M104" i="7"/>
  <c r="G266" i="7"/>
  <c r="I130" i="7"/>
  <c r="G130" i="7" s="1"/>
  <c r="I248" i="7"/>
  <c r="M248" i="7" s="1"/>
  <c r="N248" i="7" s="1"/>
  <c r="I128" i="7"/>
  <c r="G128" i="7" s="1"/>
  <c r="I280" i="7"/>
  <c r="G280" i="7" s="1"/>
  <c r="I160" i="7"/>
  <c r="G88" i="7"/>
  <c r="G114" i="7"/>
  <c r="G18" i="7"/>
  <c r="L228" i="7"/>
  <c r="L219" i="7"/>
  <c r="L155" i="7"/>
  <c r="L118" i="7"/>
  <c r="L91" i="7"/>
  <c r="L74" i="7"/>
  <c r="M245" i="7"/>
  <c r="M193" i="7"/>
  <c r="N193" i="7" s="1"/>
  <c r="M158" i="7"/>
  <c r="N158" i="7" s="1"/>
  <c r="M150" i="7"/>
  <c r="N150" i="7" s="1"/>
  <c r="M142" i="7"/>
  <c r="N142" i="7" s="1"/>
  <c r="M85" i="7"/>
  <c r="N85" i="7" s="1"/>
  <c r="M76" i="7"/>
  <c r="G257" i="7"/>
  <c r="G249" i="7"/>
  <c r="G241" i="7"/>
  <c r="G233" i="7"/>
  <c r="G225" i="7"/>
  <c r="G217" i="7"/>
  <c r="G209" i="7"/>
  <c r="G201" i="7"/>
  <c r="G193" i="7"/>
  <c r="G185" i="7"/>
  <c r="G161" i="7"/>
  <c r="G129" i="7"/>
  <c r="G113" i="7"/>
  <c r="G105" i="7"/>
  <c r="G97" i="7"/>
  <c r="G89" i="7"/>
  <c r="G81" i="7"/>
  <c r="G73" i="7"/>
  <c r="G65" i="7"/>
  <c r="G57" i="7"/>
  <c r="G33" i="7"/>
  <c r="G17" i="7"/>
  <c r="G9" i="7"/>
  <c r="G184" i="7"/>
  <c r="L244" i="7"/>
  <c r="L217" i="7"/>
  <c r="L171" i="7"/>
  <c r="L116" i="7"/>
  <c r="M174" i="7"/>
  <c r="N174" i="7" s="1"/>
  <c r="M156" i="7"/>
  <c r="N156" i="7" s="1"/>
  <c r="M148" i="7"/>
  <c r="N148" i="7" s="1"/>
  <c r="M140" i="7"/>
  <c r="N140" i="7" s="1"/>
  <c r="M119" i="7"/>
  <c r="N119" i="7" s="1"/>
  <c r="M41" i="7"/>
  <c r="N41" i="7" s="1"/>
  <c r="G239" i="7"/>
  <c r="G215" i="7"/>
  <c r="G207" i="7"/>
  <c r="G199" i="7"/>
  <c r="G191" i="7"/>
  <c r="G183" i="7"/>
  <c r="G175" i="7"/>
  <c r="G167" i="7"/>
  <c r="G119" i="7"/>
  <c r="G95" i="7"/>
  <c r="G87" i="7"/>
  <c r="G79" i="7"/>
  <c r="G71" i="7"/>
  <c r="G55" i="7"/>
  <c r="G47" i="7"/>
  <c r="G39" i="7"/>
  <c r="G31" i="7"/>
  <c r="G23" i="7"/>
  <c r="G15" i="7"/>
  <c r="G56" i="7"/>
  <c r="G48" i="7"/>
  <c r="L234" i="7"/>
  <c r="L225" i="7"/>
  <c r="L9" i="7"/>
  <c r="M164" i="7"/>
  <c r="N164" i="7" s="1"/>
  <c r="M103" i="7"/>
  <c r="N103" i="7" s="1"/>
  <c r="M94" i="7"/>
  <c r="N94" i="7" s="1"/>
  <c r="M72" i="7"/>
  <c r="N72" i="7" s="1"/>
  <c r="M32" i="7"/>
  <c r="N32" i="7" s="1"/>
  <c r="M21" i="7"/>
  <c r="N21" i="7" s="1"/>
  <c r="M82" i="7"/>
  <c r="N82" i="7" s="1"/>
  <c r="G278" i="7"/>
  <c r="G270" i="7"/>
  <c r="G238" i="7"/>
  <c r="G230" i="7"/>
  <c r="G198" i="7"/>
  <c r="G190" i="7"/>
  <c r="G182" i="7"/>
  <c r="G174" i="7"/>
  <c r="G166" i="7"/>
  <c r="G158" i="7"/>
  <c r="G150" i="7"/>
  <c r="G142" i="7"/>
  <c r="G118" i="7"/>
  <c r="G110" i="7"/>
  <c r="G102" i="7"/>
  <c r="G86" i="7"/>
  <c r="G78" i="7"/>
  <c r="G70" i="7"/>
  <c r="G62" i="7"/>
  <c r="G38" i="7"/>
  <c r="G30" i="7"/>
  <c r="G22" i="7"/>
  <c r="G14" i="7"/>
  <c r="G6" i="7"/>
  <c r="L236" i="7"/>
  <c r="G192" i="7"/>
  <c r="G24" i="7"/>
  <c r="L251" i="7"/>
  <c r="M172" i="7"/>
  <c r="N172" i="7" s="1"/>
  <c r="M111" i="7"/>
  <c r="N111" i="7" s="1"/>
  <c r="M51" i="7"/>
  <c r="N51" i="7" s="1"/>
  <c r="M7" i="7"/>
  <c r="N7" i="7" s="1"/>
  <c r="G277" i="7"/>
  <c r="G269" i="7"/>
  <c r="G261" i="7"/>
  <c r="G253" i="7"/>
  <c r="G245" i="7"/>
  <c r="G197" i="7"/>
  <c r="G165" i="7"/>
  <c r="G157" i="7"/>
  <c r="G149" i="7"/>
  <c r="G141" i="7"/>
  <c r="G133" i="7"/>
  <c r="G125" i="7"/>
  <c r="G117" i="7"/>
  <c r="G101" i="7"/>
  <c r="G93" i="7"/>
  <c r="G85" i="7"/>
  <c r="G77" i="7"/>
  <c r="G61" i="7"/>
  <c r="G53" i="7"/>
  <c r="G37" i="7"/>
  <c r="G29" i="7"/>
  <c r="G21" i="7"/>
  <c r="G13" i="7"/>
  <c r="G5" i="7"/>
  <c r="L254" i="7"/>
  <c r="L149" i="7"/>
  <c r="L131" i="7"/>
  <c r="M92" i="7"/>
  <c r="N92" i="7" s="1"/>
  <c r="M61" i="7"/>
  <c r="N61" i="7" s="1"/>
  <c r="I99" i="7"/>
  <c r="M99" i="7" s="1"/>
  <c r="N99" i="7" s="1"/>
  <c r="G2" i="7"/>
  <c r="G276" i="7"/>
  <c r="G268" i="7"/>
  <c r="G260" i="7"/>
  <c r="G252" i="7"/>
  <c r="G244" i="7"/>
  <c r="G236" i="7"/>
  <c r="G172" i="7"/>
  <c r="G164" i="7"/>
  <c r="G156" i="7"/>
  <c r="G148" i="7"/>
  <c r="G140" i="7"/>
  <c r="G132" i="7"/>
  <c r="G124" i="7"/>
  <c r="G116" i="7"/>
  <c r="G108" i="7"/>
  <c r="G92" i="7"/>
  <c r="G84" i="7"/>
  <c r="G76" i="7"/>
  <c r="G68" i="7"/>
  <c r="G60" i="7"/>
  <c r="G52" i="7"/>
  <c r="G44" i="7"/>
  <c r="G28" i="7"/>
  <c r="G20" i="7"/>
  <c r="G4" i="7"/>
  <c r="L203" i="7"/>
  <c r="L139" i="7"/>
  <c r="M109" i="7"/>
  <c r="N109" i="7" s="1"/>
  <c r="M100" i="7"/>
  <c r="N100" i="7" s="1"/>
  <c r="M49" i="7"/>
  <c r="N49" i="7" s="1"/>
  <c r="M29" i="7"/>
  <c r="N29" i="7" s="1"/>
  <c r="G360" i="7"/>
  <c r="G227" i="7"/>
  <c r="G163" i="7"/>
  <c r="G155" i="7"/>
  <c r="G147" i="7"/>
  <c r="G123" i="7"/>
  <c r="G115" i="7"/>
  <c r="G107" i="7"/>
  <c r="G91" i="7"/>
  <c r="G83" i="7"/>
  <c r="G75" i="7"/>
  <c r="G67" i="7"/>
  <c r="G59" i="7"/>
  <c r="G51" i="7"/>
  <c r="G43" i="7"/>
  <c r="G27" i="7"/>
  <c r="G19" i="7"/>
  <c r="G11" i="7"/>
  <c r="G3" i="7"/>
  <c r="M25" i="7"/>
  <c r="N25" i="7" s="1"/>
  <c r="L360" i="7"/>
  <c r="L246" i="7"/>
  <c r="L11" i="7"/>
  <c r="M105" i="7"/>
  <c r="N105" i="7" s="1"/>
  <c r="M96" i="7"/>
  <c r="N96" i="7" s="1"/>
  <c r="M12" i="7"/>
  <c r="N12" i="7" s="1"/>
  <c r="M2" i="7"/>
  <c r="N2" i="7" s="1"/>
  <c r="M113" i="7"/>
  <c r="N113" i="7" s="1"/>
  <c r="M54" i="7"/>
  <c r="N54" i="7" s="1"/>
  <c r="M45" i="7"/>
  <c r="N45" i="7" s="1"/>
  <c r="L52" i="7"/>
  <c r="L44" i="7"/>
  <c r="M231" i="7"/>
  <c r="N231" i="7" s="1"/>
  <c r="M222" i="7"/>
  <c r="N222" i="7" s="1"/>
  <c r="M214" i="7"/>
  <c r="N214" i="7" s="1"/>
  <c r="M206" i="7"/>
  <c r="N206" i="7" s="1"/>
  <c r="M197" i="7"/>
  <c r="N197" i="7" s="1"/>
  <c r="M189" i="7"/>
  <c r="N189" i="7" s="1"/>
  <c r="L213" i="7"/>
  <c r="L77" i="7"/>
  <c r="M239" i="7"/>
  <c r="N239" i="7" s="1"/>
  <c r="L62" i="7"/>
  <c r="L233" i="7"/>
  <c r="L169" i="7"/>
  <c r="L114" i="7"/>
  <c r="L242" i="7"/>
  <c r="L178" i="7"/>
  <c r="L105" i="7"/>
  <c r="L250" i="7"/>
  <c r="L241" i="7"/>
  <c r="L231" i="7"/>
  <c r="L222" i="7"/>
  <c r="L186" i="7"/>
  <c r="L177" i="7"/>
  <c r="L167" i="7"/>
  <c r="L158" i="7"/>
  <c r="L122" i="7"/>
  <c r="L113" i="7"/>
  <c r="L103" i="7"/>
  <c r="L94" i="7"/>
  <c r="L50" i="7"/>
  <c r="L42" i="7"/>
  <c r="L33" i="7"/>
  <c r="L24" i="7"/>
  <c r="L15" i="7"/>
  <c r="L6" i="7"/>
  <c r="M281" i="7"/>
  <c r="M273" i="7"/>
  <c r="M265" i="7"/>
  <c r="M221" i="7"/>
  <c r="N221" i="7" s="1"/>
  <c r="M213" i="7"/>
  <c r="N213" i="7" s="1"/>
  <c r="M205" i="7"/>
  <c r="N205" i="7" s="1"/>
  <c r="M196" i="7"/>
  <c r="N196" i="7" s="1"/>
  <c r="M188" i="7"/>
  <c r="N188" i="7" s="1"/>
  <c r="M161" i="7"/>
  <c r="N161" i="7" s="1"/>
  <c r="L258" i="7"/>
  <c r="L249" i="7"/>
  <c r="L239" i="7"/>
  <c r="L230" i="7"/>
  <c r="L221" i="7"/>
  <c r="L194" i="7"/>
  <c r="L185" i="7"/>
  <c r="L130" i="7"/>
  <c r="L121" i="7"/>
  <c r="L58" i="7"/>
  <c r="L49" i="7"/>
  <c r="L41" i="7"/>
  <c r="M229" i="7"/>
  <c r="N229" i="7" s="1"/>
  <c r="M220" i="7"/>
  <c r="N220" i="7" s="1"/>
  <c r="M212" i="7"/>
  <c r="N212" i="7" s="1"/>
  <c r="M204" i="7"/>
  <c r="L257" i="7"/>
  <c r="L193" i="7"/>
  <c r="L129" i="7"/>
  <c r="L57" i="7"/>
  <c r="M228" i="7"/>
  <c r="N228" i="7" s="1"/>
  <c r="M180" i="7"/>
  <c r="N180" i="7" s="1"/>
  <c r="L54" i="7"/>
  <c r="L255" i="7"/>
  <c r="L237" i="7"/>
  <c r="L191" i="7"/>
  <c r="L173" i="7"/>
  <c r="L127" i="7"/>
  <c r="L109" i="7"/>
  <c r="L55" i="7"/>
  <c r="L47" i="7"/>
  <c r="L29" i="7"/>
  <c r="L21" i="7"/>
  <c r="M227" i="7"/>
  <c r="N227" i="7" s="1"/>
  <c r="M210" i="7"/>
  <c r="N210" i="7" s="1"/>
  <c r="M202" i="7"/>
  <c r="N202" i="7" s="1"/>
  <c r="M176" i="7"/>
  <c r="M106" i="7"/>
  <c r="N106" i="7" s="1"/>
  <c r="M66" i="7"/>
  <c r="L224" i="7"/>
  <c r="L160" i="7"/>
  <c r="L96" i="7"/>
  <c r="L32" i="7"/>
  <c r="M243" i="7"/>
  <c r="N243" i="7" s="1"/>
  <c r="L152" i="7"/>
  <c r="L253" i="7"/>
  <c r="L189" i="7"/>
  <c r="M251" i="7"/>
  <c r="N251" i="7" s="1"/>
  <c r="M208" i="7"/>
  <c r="N208" i="7" s="1"/>
  <c r="M74" i="7"/>
  <c r="N74" i="7" s="1"/>
  <c r="L272" i="7"/>
  <c r="L208" i="7"/>
  <c r="L144" i="7"/>
  <c r="L16" i="7"/>
  <c r="M171" i="7"/>
  <c r="N171" i="7" s="1"/>
  <c r="M98" i="7"/>
  <c r="N98" i="7" s="1"/>
  <c r="L263" i="7"/>
  <c r="L199" i="7"/>
  <c r="L135" i="7"/>
  <c r="M114" i="7"/>
  <c r="N114" i="7" s="1"/>
  <c r="L216" i="7"/>
  <c r="L271" i="7"/>
  <c r="L143" i="7"/>
  <c r="L125" i="7"/>
  <c r="L71" i="7"/>
  <c r="L53" i="7"/>
  <c r="L45" i="7"/>
  <c r="M259" i="7"/>
  <c r="M242" i="7"/>
  <c r="N242" i="7" s="1"/>
  <c r="M224" i="7"/>
  <c r="N224" i="7" s="1"/>
  <c r="M200" i="7"/>
  <c r="N200" i="7" s="1"/>
  <c r="L279" i="7"/>
  <c r="L270" i="7"/>
  <c r="L261" i="7"/>
  <c r="L252" i="7"/>
  <c r="L215" i="7"/>
  <c r="L206" i="7"/>
  <c r="L197" i="7"/>
  <c r="L188" i="7"/>
  <c r="L151" i="7"/>
  <c r="L133" i="7"/>
  <c r="L87" i="7"/>
  <c r="L79" i="7"/>
  <c r="L61" i="7"/>
  <c r="M275" i="7"/>
  <c r="M267" i="7"/>
  <c r="M258" i="7"/>
  <c r="M232" i="7"/>
  <c r="N232" i="7" s="1"/>
  <c r="M155" i="7"/>
  <c r="N155" i="7" s="1"/>
  <c r="M147" i="7"/>
  <c r="N147" i="7" s="1"/>
  <c r="M139" i="7"/>
  <c r="N139" i="7" s="1"/>
  <c r="M122" i="7"/>
  <c r="N122" i="7" s="1"/>
  <c r="M10" i="7"/>
  <c r="N10" i="7" s="1"/>
  <c r="L264" i="7"/>
  <c r="L200" i="7"/>
  <c r="L136" i="7"/>
  <c r="L72" i="7"/>
  <c r="L8" i="7"/>
  <c r="M162" i="7"/>
  <c r="N162" i="7" s="1"/>
  <c r="L63" i="7"/>
  <c r="M234" i="7"/>
  <c r="N234" i="7" s="1"/>
  <c r="L280" i="7"/>
  <c r="L88" i="7"/>
  <c r="M34" i="7"/>
  <c r="L207" i="7"/>
  <c r="M216" i="7"/>
  <c r="N216" i="7" s="1"/>
  <c r="M131" i="7"/>
  <c r="N131" i="7" s="1"/>
  <c r="L278" i="7"/>
  <c r="L269" i="7"/>
  <c r="L260" i="7"/>
  <c r="L223" i="7"/>
  <c r="L214" i="7"/>
  <c r="L205" i="7"/>
  <c r="L196" i="7"/>
  <c r="L159" i="7"/>
  <c r="L150" i="7"/>
  <c r="L141" i="7"/>
  <c r="L132" i="7"/>
  <c r="L95" i="7"/>
  <c r="L86" i="7"/>
  <c r="L78" i="7"/>
  <c r="L69" i="7"/>
  <c r="L60" i="7"/>
  <c r="L7" i="7"/>
  <c r="M274" i="7"/>
  <c r="M266" i="7"/>
  <c r="M240" i="7"/>
  <c r="N240" i="7" s="1"/>
  <c r="M163" i="7"/>
  <c r="N163" i="7" s="1"/>
  <c r="M154" i="7"/>
  <c r="N154" i="7" s="1"/>
  <c r="M146" i="7"/>
  <c r="N146" i="7" s="1"/>
  <c r="M138" i="7"/>
  <c r="N138" i="7" s="1"/>
  <c r="M42" i="7"/>
  <c r="N42" i="7" s="1"/>
  <c r="L256" i="7"/>
  <c r="L192" i="7"/>
  <c r="L128" i="7"/>
  <c r="L64" i="7"/>
  <c r="M263" i="7"/>
  <c r="M135" i="7"/>
  <c r="M179" i="7"/>
  <c r="M50" i="7"/>
  <c r="N50" i="7" s="1"/>
  <c r="M153" i="7"/>
  <c r="N153" i="7" s="1"/>
  <c r="M145" i="7"/>
  <c r="N145" i="7" s="1"/>
  <c r="M137" i="7"/>
  <c r="N137" i="7" s="1"/>
  <c r="L248" i="7"/>
  <c r="L184" i="7"/>
  <c r="L120" i="7"/>
  <c r="L56" i="7"/>
  <c r="M90" i="7"/>
  <c r="N90" i="7" s="1"/>
  <c r="M26" i="7"/>
  <c r="N26" i="7" s="1"/>
  <c r="L212" i="7"/>
  <c r="L175" i="7"/>
  <c r="L166" i="7"/>
  <c r="L157" i="7"/>
  <c r="L148" i="7"/>
  <c r="L111" i="7"/>
  <c r="L102" i="7"/>
  <c r="L93" i="7"/>
  <c r="L84" i="7"/>
  <c r="L76" i="7"/>
  <c r="L31" i="7"/>
  <c r="L23" i="7"/>
  <c r="L14" i="7"/>
  <c r="L5" i="7"/>
  <c r="M272" i="7"/>
  <c r="M264" i="7"/>
  <c r="M255" i="7"/>
  <c r="N255" i="7" s="1"/>
  <c r="M247" i="7"/>
  <c r="N247" i="7" s="1"/>
  <c r="M195" i="7"/>
  <c r="N195" i="7" s="1"/>
  <c r="M187" i="7"/>
  <c r="N187" i="7" s="1"/>
  <c r="M178" i="7"/>
  <c r="M169" i="7"/>
  <c r="N169" i="7" s="1"/>
  <c r="M152" i="7"/>
  <c r="N152" i="7" s="1"/>
  <c r="M144" i="7"/>
  <c r="N144" i="7" s="1"/>
  <c r="M136" i="7"/>
  <c r="M127" i="7"/>
  <c r="N127" i="7" s="1"/>
  <c r="L240" i="7"/>
  <c r="L176" i="7"/>
  <c r="L112" i="7"/>
  <c r="L48" i="7"/>
  <c r="M235" i="7"/>
  <c r="N235" i="7" s="1"/>
  <c r="L275" i="7"/>
  <c r="L266" i="7"/>
  <c r="L247" i="7"/>
  <c r="L238" i="7"/>
  <c r="L229" i="7"/>
  <c r="L220" i="7"/>
  <c r="L211" i="7"/>
  <c r="L202" i="7"/>
  <c r="L183" i="7"/>
  <c r="L174" i="7"/>
  <c r="L165" i="7"/>
  <c r="L156" i="7"/>
  <c r="L147" i="7"/>
  <c r="L138" i="7"/>
  <c r="L119" i="7"/>
  <c r="L110" i="7"/>
  <c r="L101" i="7"/>
  <c r="L92" i="7"/>
  <c r="L83" i="7"/>
  <c r="L75" i="7"/>
  <c r="L66" i="7"/>
  <c r="L39" i="7"/>
  <c r="L30" i="7"/>
  <c r="L22" i="7"/>
  <c r="L13" i="7"/>
  <c r="L4" i="7"/>
  <c r="M279" i="7"/>
  <c r="M271" i="7"/>
  <c r="M262" i="7"/>
  <c r="M254" i="7"/>
  <c r="N254" i="7" s="1"/>
  <c r="M246" i="7"/>
  <c r="N246" i="7" s="1"/>
  <c r="M237" i="7"/>
  <c r="N237" i="7" s="1"/>
  <c r="M219" i="7"/>
  <c r="M211" i="7"/>
  <c r="N211" i="7" s="1"/>
  <c r="M203" i="7"/>
  <c r="N203" i="7" s="1"/>
  <c r="M194" i="7"/>
  <c r="N194" i="7" s="1"/>
  <c r="M186" i="7"/>
  <c r="M177" i="7"/>
  <c r="M168" i="7"/>
  <c r="N168" i="7" s="1"/>
  <c r="M159" i="7"/>
  <c r="N159" i="7" s="1"/>
  <c r="M151" i="7"/>
  <c r="N151" i="7" s="1"/>
  <c r="M143" i="7"/>
  <c r="N143" i="7" s="1"/>
  <c r="M134" i="7"/>
  <c r="M126" i="7"/>
  <c r="M58" i="7"/>
  <c r="N58" i="7" s="1"/>
  <c r="L232" i="7"/>
  <c r="L168" i="7"/>
  <c r="L104" i="7"/>
  <c r="L40" i="7"/>
  <c r="M226" i="7"/>
  <c r="M128" i="7" l="1"/>
  <c r="N128" i="7" s="1"/>
  <c r="M130" i="7"/>
  <c r="N130" i="7" s="1"/>
  <c r="M280" i="7"/>
  <c r="M170" i="7"/>
  <c r="N170" i="7" s="1"/>
  <c r="M160" i="7"/>
  <c r="N160" i="7" s="1"/>
  <c r="G282" i="7"/>
  <c r="M218" i="7"/>
  <c r="N218" i="7" s="1"/>
  <c r="M250" i="7"/>
  <c r="N250" i="7" s="1"/>
  <c r="G248" i="7"/>
  <c r="G99" i="7"/>
</calcChain>
</file>

<file path=xl/sharedStrings.xml><?xml version="1.0" encoding="utf-8"?>
<sst xmlns="http://schemas.openxmlformats.org/spreadsheetml/2006/main" count="50522" uniqueCount="10467">
  <si>
    <t>ASIN</t>
  </si>
  <si>
    <t>Numero del modello</t>
  </si>
  <si>
    <t>Codice marketplace</t>
  </si>
  <si>
    <t>Ricavi ordini</t>
  </si>
  <si>
    <t>Unità ordinate</t>
  </si>
  <si>
    <t>Ricavi spedizioni</t>
  </si>
  <si>
    <t>COGS spedizioni</t>
  </si>
  <si>
    <t>Unità spedite</t>
  </si>
  <si>
    <t>Resi cliente</t>
  </si>
  <si>
    <t>B07ZJQTGG8</t>
  </si>
  <si>
    <t>50.245</t>
  </si>
  <si>
    <t>IT</t>
  </si>
  <si>
    <t>B01I497WWM</t>
  </si>
  <si>
    <t>90.920R</t>
  </si>
  <si>
    <t>B096MX229M</t>
  </si>
  <si>
    <t>P102ROB050</t>
  </si>
  <si>
    <t>DE</t>
  </si>
  <si>
    <t>B08GY7286R</t>
  </si>
  <si>
    <t>P203TFO001</t>
  </si>
  <si>
    <t>B017IUJA50</t>
  </si>
  <si>
    <t>90.920G</t>
  </si>
  <si>
    <t>B08485QRVZ</t>
  </si>
  <si>
    <t>BC.261</t>
  </si>
  <si>
    <t>B095PQJGKX</t>
  </si>
  <si>
    <t>C107UTT002</t>
  </si>
  <si>
    <t>ES</t>
  </si>
  <si>
    <t>B01KMJ9OXW</t>
  </si>
  <si>
    <t>90.590Y</t>
  </si>
  <si>
    <t>FR</t>
  </si>
  <si>
    <t>B0BHHV552D</t>
  </si>
  <si>
    <t>P203TER201</t>
  </si>
  <si>
    <t>B09146GTKW</t>
  </si>
  <si>
    <t>P302VIS002</t>
  </si>
  <si>
    <t>B06Y17FS6D</t>
  </si>
  <si>
    <t>90.550</t>
  </si>
  <si>
    <t>B0B8DLSNJF</t>
  </si>
  <si>
    <t>P302VIS050</t>
  </si>
  <si>
    <t>B079SB5VJZ</t>
  </si>
  <si>
    <t>50451</t>
  </si>
  <si>
    <t>B0B39H1Z8J</t>
  </si>
  <si>
    <t>C106CAS001</t>
  </si>
  <si>
    <t>B085JJ8RC6</t>
  </si>
  <si>
    <t>BB.050</t>
  </si>
  <si>
    <t>B0BJL1Z674</t>
  </si>
  <si>
    <t>C102SPE001</t>
  </si>
  <si>
    <t>B07TSNB5WG</t>
  </si>
  <si>
    <t>BP.102</t>
  </si>
  <si>
    <t>B07Q38Z7CK</t>
  </si>
  <si>
    <t>BC.060</t>
  </si>
  <si>
    <t>B076Q7BR6F</t>
  </si>
  <si>
    <t>BC.041N</t>
  </si>
  <si>
    <t>B076DCKSTJ</t>
  </si>
  <si>
    <t>BT.602H</t>
  </si>
  <si>
    <t>B0757TJRR9</t>
  </si>
  <si>
    <t>40.500</t>
  </si>
  <si>
    <t>B095X9KDJR</t>
  </si>
  <si>
    <t>P101BOL100</t>
  </si>
  <si>
    <t>B08L9D9KR9</t>
  </si>
  <si>
    <t>P202VAL001</t>
  </si>
  <si>
    <t>B00NSNZSLM</t>
  </si>
  <si>
    <t>90.602</t>
  </si>
  <si>
    <t>B01MTSEGF9</t>
  </si>
  <si>
    <t>50.700</t>
  </si>
  <si>
    <t>B08LZN1PWY</t>
  </si>
  <si>
    <t>P101TEM001</t>
  </si>
  <si>
    <t>B07NQ2VYGD</t>
  </si>
  <si>
    <t>BT.710Y</t>
  </si>
  <si>
    <t>B08KYZ2FLN</t>
  </si>
  <si>
    <t>P101FRI001</t>
  </si>
  <si>
    <t>B084C3JTC2</t>
  </si>
  <si>
    <t>40.406</t>
  </si>
  <si>
    <t>B07V131F5W</t>
  </si>
  <si>
    <t>40.490</t>
  </si>
  <si>
    <t>B08JYDDFZ2</t>
  </si>
  <si>
    <t>C206UTI002</t>
  </si>
  <si>
    <t>B07NQC6S9V</t>
  </si>
  <si>
    <t>BT.651Y</t>
  </si>
  <si>
    <t>B07YZZZVXP</t>
  </si>
  <si>
    <t>MD.404</t>
  </si>
  <si>
    <t>B00L5H5KUW</t>
  </si>
  <si>
    <t>40.121</t>
  </si>
  <si>
    <t/>
  </si>
  <si>
    <t>B0BD4VX5JB</t>
  </si>
  <si>
    <t>P203PAN002</t>
  </si>
  <si>
    <t>B08B66J4C3</t>
  </si>
  <si>
    <t>P101PIA001</t>
  </si>
  <si>
    <t>B097HRQNRG</t>
  </si>
  <si>
    <t>P101FRI100</t>
  </si>
  <si>
    <t>B0823CVGHX</t>
  </si>
  <si>
    <t>BP.400</t>
  </si>
  <si>
    <t>B06Y1997YH</t>
  </si>
  <si>
    <t>90.883</t>
  </si>
  <si>
    <t>B085R2GCKX</t>
  </si>
  <si>
    <t>40.332</t>
  </si>
  <si>
    <t>B08FDYW72J</t>
  </si>
  <si>
    <t>P101CUD100</t>
  </si>
  <si>
    <t>B09ZBHJ91Q</t>
  </si>
  <si>
    <t>P201UTP100</t>
  </si>
  <si>
    <t>B00FAJUDU8</t>
  </si>
  <si>
    <t>40.967N</t>
  </si>
  <si>
    <t>B091LRR67V</t>
  </si>
  <si>
    <t>P101FRI050</t>
  </si>
  <si>
    <t>B011LFVLW8</t>
  </si>
  <si>
    <t>90.620</t>
  </si>
  <si>
    <t>B073B67PLQ</t>
  </si>
  <si>
    <t>90.884</t>
  </si>
  <si>
    <t>B076QFRRZ5</t>
  </si>
  <si>
    <t>40.931</t>
  </si>
  <si>
    <t>B08JYWF3PK</t>
  </si>
  <si>
    <t>C102COC101</t>
  </si>
  <si>
    <t>B08FMLPKY9</t>
  </si>
  <si>
    <t>P201UTP004</t>
  </si>
  <si>
    <t>B0BD83RNDG</t>
  </si>
  <si>
    <t>C106CAS002</t>
  </si>
  <si>
    <t>B07YBNB2QY</t>
  </si>
  <si>
    <t>50161</t>
  </si>
  <si>
    <t>B09495C38F</t>
  </si>
  <si>
    <t>P204FER002</t>
  </si>
  <si>
    <t>B08GS7XW73</t>
  </si>
  <si>
    <t>P204FER250</t>
  </si>
  <si>
    <t>B09B47S644</t>
  </si>
  <si>
    <t>P101CUD501</t>
  </si>
  <si>
    <t>B07HM7P6MP</t>
  </si>
  <si>
    <t>RI.080</t>
  </si>
  <si>
    <t>B09KYD9JGY</t>
  </si>
  <si>
    <t>P301PIS100</t>
  </si>
  <si>
    <t>B0BJ2TBPJW</t>
  </si>
  <si>
    <t>C206UTI004</t>
  </si>
  <si>
    <t>B07NQ1T7YK</t>
  </si>
  <si>
    <t>BP.101H</t>
  </si>
  <si>
    <t>B07ZJMFB3R</t>
  </si>
  <si>
    <t>BC.510</t>
  </si>
  <si>
    <t>B07SSLRCT6</t>
  </si>
  <si>
    <t>BP.304</t>
  </si>
  <si>
    <t>B07P7GGGQM</t>
  </si>
  <si>
    <t>BP.961</t>
  </si>
  <si>
    <t>B085JHTR6Q</t>
  </si>
  <si>
    <t>BP.790</t>
  </si>
  <si>
    <t>B085JJ81R7</t>
  </si>
  <si>
    <t>RCO9003028</t>
  </si>
  <si>
    <t>B09LHXJXQL</t>
  </si>
  <si>
    <t>P102SBA007</t>
  </si>
  <si>
    <t>B01CNX6Z78</t>
  </si>
  <si>
    <t>90.820</t>
  </si>
  <si>
    <t>B08HCT78N3</t>
  </si>
  <si>
    <t>P202ASP400</t>
  </si>
  <si>
    <t>B09HMK8JDN</t>
  </si>
  <si>
    <t>P203TER001</t>
  </si>
  <si>
    <t>B0B3N9ZNT2</t>
  </si>
  <si>
    <t>P101CUD051</t>
  </si>
  <si>
    <t>B0953R2W31</t>
  </si>
  <si>
    <t>P102ACP001</t>
  </si>
  <si>
    <t>B0B6JPXDN6</t>
  </si>
  <si>
    <t>P201UTP200</t>
  </si>
  <si>
    <t>B09L4SLDSZ</t>
  </si>
  <si>
    <t>P203TFO100</t>
  </si>
  <si>
    <t>B01M4O6145</t>
  </si>
  <si>
    <t>90.071</t>
  </si>
  <si>
    <t>B0BBH12BYN</t>
  </si>
  <si>
    <t>P101COS001</t>
  </si>
  <si>
    <t>B08MX1SQKC</t>
  </si>
  <si>
    <t>P302VIS001</t>
  </si>
  <si>
    <t>B09C2K1HQW</t>
  </si>
  <si>
    <t>P302MAS050</t>
  </si>
  <si>
    <t>B07B9CPH62</t>
  </si>
  <si>
    <t>BG.200Y</t>
  </si>
  <si>
    <t>B09NBXYF5J</t>
  </si>
  <si>
    <t>P101TOS002</t>
  </si>
  <si>
    <t>B085JJFLGY</t>
  </si>
  <si>
    <t>RCO9003022</t>
  </si>
  <si>
    <t>B09MFYXGV9</t>
  </si>
  <si>
    <t>P101FRI012</t>
  </si>
  <si>
    <t>B08JM7SZ36</t>
  </si>
  <si>
    <t>C206UTI001</t>
  </si>
  <si>
    <t>B095WCSSLC</t>
  </si>
  <si>
    <t>C301ABE101</t>
  </si>
  <si>
    <t>B076DCL19C</t>
  </si>
  <si>
    <t>BP.720</t>
  </si>
  <si>
    <t>B09B2NT2SV</t>
  </si>
  <si>
    <t>P102FRU150</t>
  </si>
  <si>
    <t>B07W7S9KYM</t>
  </si>
  <si>
    <t>BB.200</t>
  </si>
  <si>
    <t>B08NDZKNF5</t>
  </si>
  <si>
    <t>P102CON001</t>
  </si>
  <si>
    <t>B0B5XB4X2T</t>
  </si>
  <si>
    <t>P102ACP100</t>
  </si>
  <si>
    <t>B07BB2DQ4V</t>
  </si>
  <si>
    <t>BT.150Y</t>
  </si>
  <si>
    <t>B07YBNPZPJ</t>
  </si>
  <si>
    <t>BP.552</t>
  </si>
  <si>
    <t>B076D74TC7</t>
  </si>
  <si>
    <t>BT.700Y</t>
  </si>
  <si>
    <t>B09Y9DBPK5</t>
  </si>
  <si>
    <t>P101CUD300</t>
  </si>
  <si>
    <t>B0B2F48ZMP</t>
  </si>
  <si>
    <t>P102GEL100</t>
  </si>
  <si>
    <t>B07KYWNC7Z</t>
  </si>
  <si>
    <t>40.405</t>
  </si>
  <si>
    <t>B085JHTR6J</t>
  </si>
  <si>
    <t>BC.125</t>
  </si>
  <si>
    <t>B085JHSWJH</t>
  </si>
  <si>
    <t>BP.802</t>
  </si>
  <si>
    <t>B07N4C3H3V</t>
  </si>
  <si>
    <t>B00EYDRS1I</t>
  </si>
  <si>
    <t>90.349</t>
  </si>
  <si>
    <t>B01CNX71NA</t>
  </si>
  <si>
    <t>90.871</t>
  </si>
  <si>
    <t>GB</t>
  </si>
  <si>
    <t>B07YBN2FS3</t>
  </si>
  <si>
    <t>BF.640</t>
  </si>
  <si>
    <t>B08C7YJB5N</t>
  </si>
  <si>
    <t>P201UTP001</t>
  </si>
  <si>
    <t>B08KSBDTQD</t>
  </si>
  <si>
    <t>P102ROB001</t>
  </si>
  <si>
    <t>B07HFQH172</t>
  </si>
  <si>
    <t>BC.250</t>
  </si>
  <si>
    <t>B07TSNCJ5J</t>
  </si>
  <si>
    <t>BP.800</t>
  </si>
  <si>
    <t>B084TGLFLM</t>
  </si>
  <si>
    <t>C102BOT002</t>
  </si>
  <si>
    <t>B0823CLCWM</t>
  </si>
  <si>
    <t>BT.800</t>
  </si>
  <si>
    <t>B09D8G2H7Q</t>
  </si>
  <si>
    <t>P102SBA500</t>
  </si>
  <si>
    <t>B092QXCQ8K</t>
  </si>
  <si>
    <t>P205DIF001</t>
  </si>
  <si>
    <t>B084TG23R3</t>
  </si>
  <si>
    <t>C102BOT001</t>
  </si>
  <si>
    <t>B089BKBZV3</t>
  </si>
  <si>
    <t>P101TOS001</t>
  </si>
  <si>
    <t>B075RF5S3N</t>
  </si>
  <si>
    <t>BC.160A</t>
  </si>
  <si>
    <t>B06Y195DJN</t>
  </si>
  <si>
    <t>90.882</t>
  </si>
  <si>
    <t>B08B8M2B7B</t>
  </si>
  <si>
    <t>P102EST001</t>
  </si>
  <si>
    <t>B0B7WVD9L3</t>
  </si>
  <si>
    <t>P205DIF050</t>
  </si>
  <si>
    <t>B09BD8BG34</t>
  </si>
  <si>
    <t>P301PIS001</t>
  </si>
  <si>
    <t>B07RRBS54G</t>
  </si>
  <si>
    <t>BP.620</t>
  </si>
  <si>
    <t>B09HQN1LQ2</t>
  </si>
  <si>
    <t>P203TER100</t>
  </si>
  <si>
    <t>B07TQVD94L</t>
  </si>
  <si>
    <t>BP.690</t>
  </si>
  <si>
    <t>B0978ZKW4S</t>
  </si>
  <si>
    <t>P205DIF100</t>
  </si>
  <si>
    <t>B0B2SB1ZQL</t>
  </si>
  <si>
    <t>P102EST100</t>
  </si>
  <si>
    <t>B00OKE4RTM</t>
  </si>
  <si>
    <t>90.386</t>
  </si>
  <si>
    <t>B0B6JKJNCP</t>
  </si>
  <si>
    <t>P201UTP201</t>
  </si>
  <si>
    <t>B084TGLSDV</t>
  </si>
  <si>
    <t>C102BOT004</t>
  </si>
  <si>
    <t>B098QM485T</t>
  </si>
  <si>
    <t>P101CUD050</t>
  </si>
  <si>
    <t>B089BGZSNM</t>
  </si>
  <si>
    <t>P101CUD001</t>
  </si>
  <si>
    <t>B07NQ4G4NX</t>
  </si>
  <si>
    <t>BP.500</t>
  </si>
  <si>
    <t>B00L5GPWFG</t>
  </si>
  <si>
    <t>40.120</t>
  </si>
  <si>
    <t>B092J2RHL8</t>
  </si>
  <si>
    <t>P206ZAN200</t>
  </si>
  <si>
    <t>NL</t>
  </si>
  <si>
    <t>B08HN4DPJV</t>
  </si>
  <si>
    <t>P201UTP003</t>
  </si>
  <si>
    <t>B08J47XH38</t>
  </si>
  <si>
    <t>RCORI552</t>
  </si>
  <si>
    <t>B08MM2VK11</t>
  </si>
  <si>
    <t>P302MAS001</t>
  </si>
  <si>
    <t>B01MFCQKVN</t>
  </si>
  <si>
    <t>90.836</t>
  </si>
  <si>
    <t>B096KVY46G</t>
  </si>
  <si>
    <t>P303MED050</t>
  </si>
  <si>
    <t>B09968BKDS</t>
  </si>
  <si>
    <t>P102FRU003</t>
  </si>
  <si>
    <t>B08DL66NZ9</t>
  </si>
  <si>
    <t>P301ASC001</t>
  </si>
  <si>
    <t>B08JZDZTPG</t>
  </si>
  <si>
    <t>BP.803</t>
  </si>
  <si>
    <t>B01N5R491F</t>
  </si>
  <si>
    <t>PE.376</t>
  </si>
  <si>
    <t>B07Y3XHMMV</t>
  </si>
  <si>
    <t>BP.604</t>
  </si>
  <si>
    <t>B0BFS7CYLQ</t>
  </si>
  <si>
    <t>P101CUD052</t>
  </si>
  <si>
    <t>B08NF8TQKT</t>
  </si>
  <si>
    <t>P102FRU100</t>
  </si>
  <si>
    <t>B0B94FL5H8</t>
  </si>
  <si>
    <t>PE.387</t>
  </si>
  <si>
    <t>B07BHCZR84</t>
  </si>
  <si>
    <t>BA.200Y</t>
  </si>
  <si>
    <t>B085JJJR91</t>
  </si>
  <si>
    <t>BC.210</t>
  </si>
  <si>
    <t>B073B57HQH</t>
  </si>
  <si>
    <t>90.886</t>
  </si>
  <si>
    <t>SE</t>
  </si>
  <si>
    <t>B07JGVMFY1</t>
  </si>
  <si>
    <t>BP.581</t>
  </si>
  <si>
    <t>B075XR3T8V</t>
  </si>
  <si>
    <t>BT.600Y</t>
  </si>
  <si>
    <t>B097YTGFH7</t>
  </si>
  <si>
    <t>P102ROB200</t>
  </si>
  <si>
    <t>B088XJQ37J</t>
  </si>
  <si>
    <t>C301ABE001</t>
  </si>
  <si>
    <t>B07TTJQDC2</t>
  </si>
  <si>
    <t>70.404</t>
  </si>
  <si>
    <t>B0050IHH4E</t>
  </si>
  <si>
    <t>40.979</t>
  </si>
  <si>
    <t>B08FJGGZ1D</t>
  </si>
  <si>
    <t>70.405</t>
  </si>
  <si>
    <t>B07TWX2L8N</t>
  </si>
  <si>
    <t>40.361</t>
  </si>
  <si>
    <t>B08V4VTTQN</t>
  </si>
  <si>
    <t>C107UTT001</t>
  </si>
  <si>
    <t>B07RRBP1YR</t>
  </si>
  <si>
    <t>VE.502</t>
  </si>
  <si>
    <t>B01CNX704K</t>
  </si>
  <si>
    <t>90.825</t>
  </si>
  <si>
    <t>B07QY47V9Y</t>
  </si>
  <si>
    <t>40.453</t>
  </si>
  <si>
    <t>B07R984VMS</t>
  </si>
  <si>
    <t>BI.505</t>
  </si>
  <si>
    <t>B08FF245TD</t>
  </si>
  <si>
    <t>P101CUD500</t>
  </si>
  <si>
    <t>B08DHZDXVV</t>
  </si>
  <si>
    <t>P102SBA100</t>
  </si>
  <si>
    <t>B01N6SQYFM</t>
  </si>
  <si>
    <t>PE.377</t>
  </si>
  <si>
    <t>B0957PWXL8</t>
  </si>
  <si>
    <t>P102ACP010</t>
  </si>
  <si>
    <t>B07BHVLCF5</t>
  </si>
  <si>
    <t>BC.130</t>
  </si>
  <si>
    <t>B08GSK6C18</t>
  </si>
  <si>
    <t>P204FER200</t>
  </si>
  <si>
    <t>B09VQLJ1WK</t>
  </si>
  <si>
    <t>P204FER004</t>
  </si>
  <si>
    <t>B075FX6RFP</t>
  </si>
  <si>
    <t>BC.040N</t>
  </si>
  <si>
    <t>B01N4L0SUV</t>
  </si>
  <si>
    <t>40.926</t>
  </si>
  <si>
    <t>B096SVXQDX</t>
  </si>
  <si>
    <t>P201UTP011</t>
  </si>
  <si>
    <t>B0B8JVTQYQ</t>
  </si>
  <si>
    <t>P101CUD200</t>
  </si>
  <si>
    <t>B00EZ4185S</t>
  </si>
  <si>
    <t>RI.501SL</t>
  </si>
  <si>
    <t>B01II660SS</t>
  </si>
  <si>
    <t>MD.213</t>
  </si>
  <si>
    <t>B07XLT78B7</t>
  </si>
  <si>
    <t>1</t>
  </si>
  <si>
    <t>B08XQT9P5C</t>
  </si>
  <si>
    <t>P102GEL001</t>
  </si>
  <si>
    <t>B08NTD853X</t>
  </si>
  <si>
    <t>P102SBA006</t>
  </si>
  <si>
    <t>B07QX1RJRH</t>
  </si>
  <si>
    <t>40.742</t>
  </si>
  <si>
    <t>B06WGS8ZVG</t>
  </si>
  <si>
    <t>90.131</t>
  </si>
  <si>
    <t>B08GS96GPT</t>
  </si>
  <si>
    <t>P204FER100</t>
  </si>
  <si>
    <t>B0BQJSQ6PF</t>
  </si>
  <si>
    <t>P101CUD600</t>
  </si>
  <si>
    <t>B00C5CCJP0</t>
  </si>
  <si>
    <t>40.993</t>
  </si>
  <si>
    <t>B07RVLJ2KL</t>
  </si>
  <si>
    <t>BC.300</t>
  </si>
  <si>
    <t>B07RN75ZFL</t>
  </si>
  <si>
    <t>50.401</t>
  </si>
  <si>
    <t>B076DD35DZ</t>
  </si>
  <si>
    <t>BC.002</t>
  </si>
  <si>
    <t>B081QRX1K7</t>
  </si>
  <si>
    <t>40.473</t>
  </si>
  <si>
    <t>B084TG4594</t>
  </si>
  <si>
    <t>C102BOT003</t>
  </si>
  <si>
    <t>B085JJMBM7</t>
  </si>
  <si>
    <t>P206VEN400</t>
  </si>
  <si>
    <t>B0BKGZC9YH</t>
  </si>
  <si>
    <t>C301ABE200</t>
  </si>
  <si>
    <t>B08FDP7T13</t>
  </si>
  <si>
    <t>P101FOR001</t>
  </si>
  <si>
    <t>B08F5GYFKS</t>
  </si>
  <si>
    <t>P102FRU001</t>
  </si>
  <si>
    <t>B076DC4VWG</t>
  </si>
  <si>
    <t>40.501</t>
  </si>
  <si>
    <t>B07KG9T4M7</t>
  </si>
  <si>
    <t>50600</t>
  </si>
  <si>
    <t>B091C5XQZN</t>
  </si>
  <si>
    <t>P202ASP001</t>
  </si>
  <si>
    <t>B076QDRTK6</t>
  </si>
  <si>
    <t>40.915</t>
  </si>
  <si>
    <t>B00FFBFVG2</t>
  </si>
  <si>
    <t>40.100</t>
  </si>
  <si>
    <t>B00OLZPU5K</t>
  </si>
  <si>
    <t>40.947</t>
  </si>
  <si>
    <t>B07PCQJ1P8</t>
  </si>
  <si>
    <t>BT.410</t>
  </si>
  <si>
    <t>B09XN3Z69T</t>
  </si>
  <si>
    <t>P206VEN350</t>
  </si>
  <si>
    <t>B08LDDKBYG</t>
  </si>
  <si>
    <t>P202VAL002</t>
  </si>
  <si>
    <t>B09B15P5H1</t>
  </si>
  <si>
    <t>P102FRU200</t>
  </si>
  <si>
    <t>B0B887SKJ1</t>
  </si>
  <si>
    <t>P102SBA008</t>
  </si>
  <si>
    <t>B07B7YLZ6Z</t>
  </si>
  <si>
    <t>BF.550</t>
  </si>
  <si>
    <t>B09BBFTDLJ</t>
  </si>
  <si>
    <t>P101TOS501</t>
  </si>
  <si>
    <t>B085R2NT18</t>
  </si>
  <si>
    <t>3BEPI001</t>
  </si>
  <si>
    <t>B09BG1GGSM</t>
  </si>
  <si>
    <t>P204FER003</t>
  </si>
  <si>
    <t>B0B57933BC</t>
  </si>
  <si>
    <t>P102FRU300</t>
  </si>
  <si>
    <t>B076DCX3JH</t>
  </si>
  <si>
    <t>BB.103</t>
  </si>
  <si>
    <t>B07HHHBXHL</t>
  </si>
  <si>
    <t>50.940GO</t>
  </si>
  <si>
    <t>B075RF8FM9</t>
  </si>
  <si>
    <t>BC.160G</t>
  </si>
  <si>
    <t>B06XPK3BTC</t>
  </si>
  <si>
    <t>40.450GO</t>
  </si>
  <si>
    <t>B09251R9RJ</t>
  </si>
  <si>
    <t>P304CAP001</t>
  </si>
  <si>
    <t>B07XYJ64GP</t>
  </si>
  <si>
    <t>RI.064</t>
  </si>
  <si>
    <t>B07P7GH655</t>
  </si>
  <si>
    <t>BT.450</t>
  </si>
  <si>
    <t>B01HM47LF8</t>
  </si>
  <si>
    <t>MD.004</t>
  </si>
  <si>
    <t>B06XPYSCGJ</t>
  </si>
  <si>
    <t>40.939</t>
  </si>
  <si>
    <t>B01II7S968</t>
  </si>
  <si>
    <t>MD.217</t>
  </si>
  <si>
    <t>B084PN7WPZ</t>
  </si>
  <si>
    <t>XUADA001</t>
  </si>
  <si>
    <t>B088RZXVDL</t>
  </si>
  <si>
    <t>P206ZAN020</t>
  </si>
  <si>
    <t>B08LVS1MMY</t>
  </si>
  <si>
    <t>P202VAL100</t>
  </si>
  <si>
    <t>B07ZHSCYF5</t>
  </si>
  <si>
    <t>BF.700</t>
  </si>
  <si>
    <t>B01IHGX2HQ</t>
  </si>
  <si>
    <t>MD.104</t>
  </si>
  <si>
    <t>B0BRQB2J4B</t>
  </si>
  <si>
    <t>PET005</t>
  </si>
  <si>
    <t>B07TVTGQ5B</t>
  </si>
  <si>
    <t>40.918</t>
  </si>
  <si>
    <t>B076QCMZX1</t>
  </si>
  <si>
    <t>40.821</t>
  </si>
  <si>
    <t>B092DN1NCS</t>
  </si>
  <si>
    <t>P206VEN440</t>
  </si>
  <si>
    <t>B07TJGZNPN</t>
  </si>
  <si>
    <t>BP.654</t>
  </si>
  <si>
    <t>B08DJ3K9J8</t>
  </si>
  <si>
    <t>p102rob100</t>
  </si>
  <si>
    <t>B0BHTBMNX8</t>
  </si>
  <si>
    <t>P101CUD250</t>
  </si>
  <si>
    <t>B011LLILUM</t>
  </si>
  <si>
    <t>90.520</t>
  </si>
  <si>
    <t>B09XR94HF8</t>
  </si>
  <si>
    <t>C301ACC001</t>
  </si>
  <si>
    <t>B07NQ9JF3Z</t>
  </si>
  <si>
    <t>BT.604</t>
  </si>
  <si>
    <t>B07YBFRMM7</t>
  </si>
  <si>
    <t>BB.210</t>
  </si>
  <si>
    <t>B00FFBED98</t>
  </si>
  <si>
    <t>40.11</t>
  </si>
  <si>
    <t>B01CA687DI</t>
  </si>
  <si>
    <t>90.514</t>
  </si>
  <si>
    <t>B00YAIEPNQ</t>
  </si>
  <si>
    <t>90.605</t>
  </si>
  <si>
    <t>B00YCPX8R6</t>
  </si>
  <si>
    <t>40.969</t>
  </si>
  <si>
    <t>B01ITBZK38</t>
  </si>
  <si>
    <t>PO.002</t>
  </si>
  <si>
    <t>B0B57FLJFX</t>
  </si>
  <si>
    <t>P302VIS003</t>
  </si>
  <si>
    <t>B088V9LKW7</t>
  </si>
  <si>
    <t>P206VEN230</t>
  </si>
  <si>
    <t>B07RQ7FRCS</t>
  </si>
  <si>
    <t>BB.002</t>
  </si>
  <si>
    <t>B072FW64RR</t>
  </si>
  <si>
    <t>40.957N</t>
  </si>
  <si>
    <t>B0763R9MPM</t>
  </si>
  <si>
    <t>BP.600</t>
  </si>
  <si>
    <t>B00BH202XK</t>
  </si>
  <si>
    <t>40.808A</t>
  </si>
  <si>
    <t>B07J25HN6L</t>
  </si>
  <si>
    <t>ri.093</t>
  </si>
  <si>
    <t>B00CMAD2FG</t>
  </si>
  <si>
    <t>HK-NV009W</t>
  </si>
  <si>
    <t>B07P7L18T9</t>
  </si>
  <si>
    <t>40.102</t>
  </si>
  <si>
    <t>B089DTP1BQ</t>
  </si>
  <si>
    <t>XUADA010</t>
  </si>
  <si>
    <t>B0B131VWYS</t>
  </si>
  <si>
    <t>P201UTP020</t>
  </si>
  <si>
    <t>B06VWNNKF9</t>
  </si>
  <si>
    <t>90.130F2</t>
  </si>
  <si>
    <t>B097785V2V</t>
  </si>
  <si>
    <t>P202VAL110</t>
  </si>
  <si>
    <t>B0BNNH9RZQ</t>
  </si>
  <si>
    <t>P302VIS060</t>
  </si>
  <si>
    <t>B09PGHNKWP</t>
  </si>
  <si>
    <t>AC.116</t>
  </si>
  <si>
    <t>B016MWFVIU</t>
  </si>
  <si>
    <t>40.761</t>
  </si>
  <si>
    <t>B08XVV3PVK</t>
  </si>
  <si>
    <t>P303MED001</t>
  </si>
  <si>
    <t>B08X4VZV3S</t>
  </si>
  <si>
    <t>P303BIP001</t>
  </si>
  <si>
    <t>B07RMZYDCJ</t>
  </si>
  <si>
    <t>MD.127</t>
  </si>
  <si>
    <t>B098TQ6NHC</t>
  </si>
  <si>
    <t>P201UTP010</t>
  </si>
  <si>
    <t>B01HM47LI0</t>
  </si>
  <si>
    <t>MD.002</t>
  </si>
  <si>
    <t>B09MS5H54V</t>
  </si>
  <si>
    <t>P101TOS502</t>
  </si>
  <si>
    <t>B07V5TWWXM</t>
  </si>
  <si>
    <t>BC.200</t>
  </si>
  <si>
    <t>B07TWX1RX3</t>
  </si>
  <si>
    <t>40.919</t>
  </si>
  <si>
    <t>B088PL1CY6</t>
  </si>
  <si>
    <t>P206VEN100</t>
  </si>
  <si>
    <t>B092JNYG6Z</t>
  </si>
  <si>
    <t>P204CAL201</t>
  </si>
  <si>
    <t>B09294Z7XG</t>
  </si>
  <si>
    <t>P206ZAN300</t>
  </si>
  <si>
    <t>B07BHTW4X8</t>
  </si>
  <si>
    <t>VE.402</t>
  </si>
  <si>
    <t>B00EYF02AU</t>
  </si>
  <si>
    <t>90.502</t>
  </si>
  <si>
    <t>B09MKJBD92</t>
  </si>
  <si>
    <t>CP.007</t>
  </si>
  <si>
    <t>B00WR5UPZG</t>
  </si>
  <si>
    <t>40.978</t>
  </si>
  <si>
    <t>B07YBM3P68</t>
  </si>
  <si>
    <t>RI.096</t>
  </si>
  <si>
    <t>B08C7TN27W</t>
  </si>
  <si>
    <t>P204FER001</t>
  </si>
  <si>
    <t>B0BDFXPXY7</t>
  </si>
  <si>
    <t>P202ASP200</t>
  </si>
  <si>
    <t>B07Q47DQ4M</t>
  </si>
  <si>
    <t>BB.105</t>
  </si>
  <si>
    <t>B07JXMJLG9</t>
  </si>
  <si>
    <t>RI.552</t>
  </si>
  <si>
    <t>B09J57VDX5</t>
  </si>
  <si>
    <t>P203TER200</t>
  </si>
  <si>
    <t>B07FN14FSN</t>
  </si>
  <si>
    <t>50.160</t>
  </si>
  <si>
    <t>B0813VLDQY</t>
  </si>
  <si>
    <t>BI.507</t>
  </si>
  <si>
    <t>B072C5RN48</t>
  </si>
  <si>
    <t>BT.001R</t>
  </si>
  <si>
    <t>B07RVKV56Z</t>
  </si>
  <si>
    <t>CA.013</t>
  </si>
  <si>
    <t>B07NP6YY5W</t>
  </si>
  <si>
    <t>BP.200</t>
  </si>
  <si>
    <t>B06XQ25NLB</t>
  </si>
  <si>
    <t>40.220</t>
  </si>
  <si>
    <t>B095SWNCBS</t>
  </si>
  <si>
    <t>P101TOS500</t>
  </si>
  <si>
    <t>B01HGS9EPA</t>
  </si>
  <si>
    <t>40.531</t>
  </si>
  <si>
    <t>B06VWTF7V3</t>
  </si>
  <si>
    <t>90.436H</t>
  </si>
  <si>
    <t>B07TVSJDCL</t>
  </si>
  <si>
    <t>MD.500</t>
  </si>
  <si>
    <t>B098F33WBD</t>
  </si>
  <si>
    <t>RCO4091819</t>
  </si>
  <si>
    <t>B06Y4GZ9QP</t>
  </si>
  <si>
    <t>90.350V</t>
  </si>
  <si>
    <t>B091VSY78C</t>
  </si>
  <si>
    <t>P303BIP050</t>
  </si>
  <si>
    <t>B00J7MNQFS</t>
  </si>
  <si>
    <t>40.994</t>
  </si>
  <si>
    <t>B07RTKKND8</t>
  </si>
  <si>
    <t>BP.630</t>
  </si>
  <si>
    <t>B07NQ2ZBPV</t>
  </si>
  <si>
    <t>BT.300</t>
  </si>
  <si>
    <t>B076DN647N</t>
  </si>
  <si>
    <t>BB.001</t>
  </si>
  <si>
    <t>B06XYLCVBP</t>
  </si>
  <si>
    <t>50.920V</t>
  </si>
  <si>
    <t>B075K5C2QG</t>
  </si>
  <si>
    <t>RI.201</t>
  </si>
  <si>
    <t>B084HK5BF8</t>
  </si>
  <si>
    <t>RI.424</t>
  </si>
  <si>
    <t>B01MTAUFYF</t>
  </si>
  <si>
    <t>PE.361</t>
  </si>
  <si>
    <t>B00ZINWP5W</t>
  </si>
  <si>
    <t>40.996</t>
  </si>
  <si>
    <t>B08FMS5ZDK</t>
  </si>
  <si>
    <t>P201UTP002</t>
  </si>
  <si>
    <t>B0CLVS3FH6</t>
  </si>
  <si>
    <t>P201UTP111</t>
  </si>
  <si>
    <t>B0CLY2CF4T</t>
  </si>
  <si>
    <t>P201UTP113</t>
  </si>
  <si>
    <t>B0CHF7YW6B</t>
  </si>
  <si>
    <t>P203PAN010</t>
  </si>
  <si>
    <t>B0CLVR5JN6</t>
  </si>
  <si>
    <t>P201UTP112</t>
  </si>
  <si>
    <t>B0BTHSH5MK</t>
  </si>
  <si>
    <t>C103ACC001</t>
  </si>
  <si>
    <t>B0CHFQXMZX</t>
  </si>
  <si>
    <t>P203PAN001</t>
  </si>
  <si>
    <t>B0CFB71DMN</t>
  </si>
  <si>
    <t>C203PUL004</t>
  </si>
  <si>
    <t>B0CPFRMPTM</t>
  </si>
  <si>
    <t>P101CAF001</t>
  </si>
  <si>
    <t>B0CHWMFNNT</t>
  </si>
  <si>
    <t>P202ASP250</t>
  </si>
  <si>
    <t>B088V4DR59</t>
  </si>
  <si>
    <t>P206ZAN040</t>
  </si>
  <si>
    <t>B0BVBY1RWS</t>
  </si>
  <si>
    <t>P206VEN550</t>
  </si>
  <si>
    <t>B0C94Q6QZ9</t>
  </si>
  <si>
    <t>P101TOS100</t>
  </si>
  <si>
    <t>B0BVZG7FPY</t>
  </si>
  <si>
    <t>P206VEN600</t>
  </si>
  <si>
    <t>B08Y6RJ69Y</t>
  </si>
  <si>
    <t>P204CAL001</t>
  </si>
  <si>
    <t>B0C3R6NJVT</t>
  </si>
  <si>
    <t>P101FRI090</t>
  </si>
  <si>
    <t>B085JJ9J4N</t>
  </si>
  <si>
    <t>P206RAF200</t>
  </si>
  <si>
    <t>B0C154W8S4</t>
  </si>
  <si>
    <t>P206VEN450</t>
  </si>
  <si>
    <t>B07MC8ZVRM</t>
  </si>
  <si>
    <t>40.452</t>
  </si>
  <si>
    <t>B0BJ2DC3KX</t>
  </si>
  <si>
    <t>P101FRI080</t>
  </si>
  <si>
    <t>B07XVWXVK1</t>
  </si>
  <si>
    <t>RI.503</t>
  </si>
  <si>
    <t>B0BYZTG56X</t>
  </si>
  <si>
    <t>P201UTP101</t>
  </si>
  <si>
    <t>B088V7DR7L</t>
  </si>
  <si>
    <t>P206VEN130</t>
  </si>
  <si>
    <t>B0BWSFLRWN</t>
  </si>
  <si>
    <t>P206VEN151</t>
  </si>
  <si>
    <t>B0C9V6YP8X</t>
  </si>
  <si>
    <t>C301ABE002</t>
  </si>
  <si>
    <t>B07B9CBD91</t>
  </si>
  <si>
    <t>VE.550</t>
  </si>
  <si>
    <t>B0CXJCJF5B</t>
  </si>
  <si>
    <t>P101PIA003</t>
  </si>
  <si>
    <t>B0CMHZ2WNV</t>
  </si>
  <si>
    <t>P101FRI051</t>
  </si>
  <si>
    <t>B0CC5QZ9CJ</t>
  </si>
  <si>
    <t>C206UTI006</t>
  </si>
  <si>
    <t>B09YVL4VQ6</t>
  </si>
  <si>
    <t>P302MAS100</t>
  </si>
  <si>
    <t>B07CZ4WMB8</t>
  </si>
  <si>
    <t>40.330</t>
  </si>
  <si>
    <t>B085JHZT67</t>
  </si>
  <si>
    <t>P206VEN420</t>
  </si>
  <si>
    <t>B0929CVW7Q</t>
  </si>
  <si>
    <t>P206ZAN110</t>
  </si>
  <si>
    <t>B0BYZZKNN1</t>
  </si>
  <si>
    <t>P201UTP103</t>
  </si>
  <si>
    <t>B06Y1P6DPZ</t>
  </si>
  <si>
    <t>VE.112</t>
  </si>
  <si>
    <t>B0BYZTX2NR</t>
  </si>
  <si>
    <t>P201UTP102</t>
  </si>
  <si>
    <t>B097F45J2B</t>
  </si>
  <si>
    <t>P102FRU500</t>
  </si>
  <si>
    <t>B0BLSQJZJ3</t>
  </si>
  <si>
    <t>C206UTI005</t>
  </si>
  <si>
    <t>B0CHFVXXND</t>
  </si>
  <si>
    <t>P203TER010</t>
  </si>
  <si>
    <t>B07HFPYL56</t>
  </si>
  <si>
    <t>BC.353</t>
  </si>
  <si>
    <t>B07PTQPT16</t>
  </si>
  <si>
    <t>BF.570</t>
  </si>
  <si>
    <t>B0BWS8WNS9</t>
  </si>
  <si>
    <t>P206ZAN250</t>
  </si>
  <si>
    <t>B07NNZSW1W</t>
  </si>
  <si>
    <t>BT.110</t>
  </si>
  <si>
    <t>B01N12PI05</t>
  </si>
  <si>
    <t>PE.301</t>
  </si>
  <si>
    <t>B08YN2SRQS</t>
  </si>
  <si>
    <t>P206ZAN001</t>
  </si>
  <si>
    <t>B0BXDTH4VN</t>
  </si>
  <si>
    <t>P206VEN152</t>
  </si>
  <si>
    <t>B0C28S79G8</t>
  </si>
  <si>
    <t>P206VEN430</t>
  </si>
  <si>
    <t>B01CNX6T10</t>
  </si>
  <si>
    <t>PE.165</t>
  </si>
  <si>
    <t>B01CNX6UIM</t>
  </si>
  <si>
    <t>PE.300</t>
  </si>
  <si>
    <t>B07QZ89PLH</t>
  </si>
  <si>
    <t>40.403</t>
  </si>
  <si>
    <t>B0C2Q58PTZ</t>
  </si>
  <si>
    <t>P207OUT002</t>
  </si>
  <si>
    <t>B01CHW1L88</t>
  </si>
  <si>
    <t>PE.001</t>
  </si>
  <si>
    <t>B011LFM60E</t>
  </si>
  <si>
    <t>40.948T</t>
  </si>
  <si>
    <t>B00YH3FRV8</t>
  </si>
  <si>
    <t>40.998</t>
  </si>
  <si>
    <t>B07F187NFQ</t>
  </si>
  <si>
    <t>50.900</t>
  </si>
  <si>
    <t>B085JHSWJW</t>
  </si>
  <si>
    <t>RCOBP630</t>
  </si>
  <si>
    <t>B009O92WU4</t>
  </si>
  <si>
    <t>40.999</t>
  </si>
  <si>
    <t>B085JHSTQS</t>
  </si>
  <si>
    <t>P206VEN410</t>
  </si>
  <si>
    <t>B00FMZ2VW8</t>
  </si>
  <si>
    <t>HK-HQ601C PINK</t>
  </si>
  <si>
    <t>B085JJ747G</t>
  </si>
  <si>
    <t>P206VEN260</t>
  </si>
  <si>
    <t>B07HHDSJHM</t>
  </si>
  <si>
    <t>BI.504</t>
  </si>
  <si>
    <t>B08XWBGJHR</t>
  </si>
  <si>
    <t>P101PIA002</t>
  </si>
  <si>
    <t>B07BHTW4WV</t>
  </si>
  <si>
    <t>VE.210</t>
  </si>
  <si>
    <t>B06XYMCV3W</t>
  </si>
  <si>
    <t>90.485H</t>
  </si>
  <si>
    <t>B08ZJHV47V</t>
  </si>
  <si>
    <t>P206VEN150</t>
  </si>
  <si>
    <t>B06XSJPGR9</t>
  </si>
  <si>
    <t>50.130</t>
  </si>
  <si>
    <t>B076DD26WW</t>
  </si>
  <si>
    <t>CA.010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</si>
  <si>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</si>
  <si>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</si>
  <si>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</si>
  <si>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</si>
  <si>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</si>
  <si>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</si>
  <si>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</si>
  <si>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</si>
  <si>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</si>
  <si>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</si>
  <si>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</si>
  <si>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</si>
  <si>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</si>
  <si>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</si>
  <si>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</si>
  <si>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</si>
  <si>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</si>
  <si>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</si>
  <si>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</si>
  <si>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</si>
  <si>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</si>
  <si>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</si>
  <si>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</si>
  <si>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</si>
  <si>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</si>
  <si>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</si>
  <si>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</si>
  <si>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</si>
  <si>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</si>
  <si>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buyer-company-name</t>
  </si>
  <si>
    <t>buyer-cst-number</t>
  </si>
  <si>
    <t>buyer-vat-number</t>
  </si>
  <si>
    <t>buyer-tax-registration-id</t>
  </si>
  <si>
    <t>buyer-tax-registration-country</t>
  </si>
  <si>
    <t xml:space="preserve">buyer-tax-registration-type </t>
  </si>
  <si>
    <t>405-3843267-7979508</t>
  </si>
  <si>
    <t>2024-01-31T22:55:05+00:00</t>
  </si>
  <si>
    <t>2024-02-02T12:04:06+00:00</t>
  </si>
  <si>
    <t>Shipped</t>
  </si>
  <si>
    <t>Amazon</t>
  </si>
  <si>
    <t>Amazon.fr</t>
  </si>
  <si>
    <t>Standard</t>
  </si>
  <si>
    <t>BEPER BT.710Y Crêpière électrique avec poignée, 800 W, plaque en aluminium avec revêtement antiadhésif, rouge</t>
  </si>
  <si>
    <t>BT.710Y_FBA</t>
  </si>
  <si>
    <t>EUR</t>
  </si>
  <si>
    <t>clermont ferrand</t>
  </si>
  <si>
    <t>Free Shipping 2017/10/17 17-17-37-677</t>
  </si>
  <si>
    <t>402-3695688-5468327</t>
  </si>
  <si>
    <t>2024-01-31T22:02:27+00:00</t>
  </si>
  <si>
    <t>2024-01-31T22:11:42+00:00</t>
  </si>
  <si>
    <t>Cancelled</t>
  </si>
  <si>
    <t>Expedited</t>
  </si>
  <si>
    <t>Bavilliers</t>
  </si>
  <si>
    <t>406-8285919-0021116</t>
  </si>
  <si>
    <t>2024-01-31T21:34:06+00:00</t>
  </si>
  <si>
    <t>2024-02-01T15:25:59+00:00</t>
  </si>
  <si>
    <t>Chateauneuf Les Martigues</t>
  </si>
  <si>
    <t>408-3299766-2272353</t>
  </si>
  <si>
    <t>2024-01-31T20:39:21+00:00</t>
  </si>
  <si>
    <t>2024-02-03T00:44:57+00:00</t>
  </si>
  <si>
    <t>Nanteuil Le Haudouin</t>
  </si>
  <si>
    <t>406-4914578-1861133</t>
  </si>
  <si>
    <t>2024-01-31T20:17:37+00:00</t>
  </si>
  <si>
    <t>2024-02-02T09:38:34+00:00</t>
  </si>
  <si>
    <t>Bruxelles Uccle</t>
  </si>
  <si>
    <t>BE</t>
  </si>
  <si>
    <t>407-3888737-4981165</t>
  </si>
  <si>
    <t>2024-01-31T20:03:34+00:00</t>
  </si>
  <si>
    <t>2024-02-01T15:44:28+00:00</t>
  </si>
  <si>
    <t>Mer</t>
  </si>
  <si>
    <t>408-9077802-2293965</t>
  </si>
  <si>
    <t>2024-01-31T19:52:59+00:00</t>
  </si>
  <si>
    <t>2024-02-01T00:25:13+00:00</t>
  </si>
  <si>
    <t>BEPER 40.405 Seche Cheveux de Voyage Pliable - Mini Seche Cheveux Silencieux, 2 Températures et 2 Vitesses</t>
  </si>
  <si>
    <t>40.405_FBA</t>
  </si>
  <si>
    <t>BELLE ISLE EN TERRE</t>
  </si>
  <si>
    <t>405-9171375-5879521</t>
  </si>
  <si>
    <t>2024-01-31T17:48:58+00:00</t>
  </si>
  <si>
    <t>2024-02-01T00:32:57+00:00</t>
  </si>
  <si>
    <t>Maizieres</t>
  </si>
  <si>
    <t>404-2179655-8359551</t>
  </si>
  <si>
    <t>2024-01-31T17:21:55+00:00</t>
  </si>
  <si>
    <t>2024-01-31T17:50:06+00:00</t>
  </si>
  <si>
    <t>Nogent sur Oise</t>
  </si>
  <si>
    <t>406-3733820-1731557</t>
  </si>
  <si>
    <t>2024-01-31T16:02:50+00:00</t>
  </si>
  <si>
    <t>2024-01-31T21:02:08+00:00</t>
  </si>
  <si>
    <t>paris</t>
  </si>
  <si>
    <t>408-9259204-7038733</t>
  </si>
  <si>
    <t>2024-01-31T15:54:11+00:00</t>
  </si>
  <si>
    <t>2024-02-01T00:33:17+00:00</t>
  </si>
  <si>
    <t>Liège</t>
  </si>
  <si>
    <t>402-3114700-4349104</t>
  </si>
  <si>
    <t>2024-01-31T13:39:35+00:00</t>
  </si>
  <si>
    <t>2024-01-31T16:38:23+00:00</t>
  </si>
  <si>
    <t>Castelnaudary</t>
  </si>
  <si>
    <t>404-6584360-2083560</t>
  </si>
  <si>
    <t>2024-01-31T13:36:10+00:00</t>
  </si>
  <si>
    <t>2024-02-01T00:33:16+00:00</t>
  </si>
  <si>
    <t>PLAISIR</t>
  </si>
  <si>
    <t>404-1194761-5069908</t>
  </si>
  <si>
    <t>2024-01-31T12:03:55+00:00</t>
  </si>
  <si>
    <t>2024-02-02T02:48:44+00:00</t>
  </si>
  <si>
    <t>Nouilly</t>
  </si>
  <si>
    <t>406-0575986-7234744</t>
  </si>
  <si>
    <t>2024-01-31T09:45:23+00:00</t>
  </si>
  <si>
    <t>2024-02-01T04:01:47+00:00</t>
  </si>
  <si>
    <t>Beper - Machine à Pop-Corn, Pop-Corn en 3 Minutes, Sans Matières Grasses, Circulation d'Air Chaud, Puissance 1200W - Rouge [Classe d'efficacité én</t>
  </si>
  <si>
    <t>90.590Y_FBA</t>
  </si>
  <si>
    <t>Paris</t>
  </si>
  <si>
    <t>407-3519396-5821109</t>
  </si>
  <si>
    <t>2024-01-31T09:43:32+00:00</t>
  </si>
  <si>
    <t>2024-01-31T12:17:13+00:00</t>
  </si>
  <si>
    <t>Chambly</t>
  </si>
  <si>
    <t>402-5330354-4808345</t>
  </si>
  <si>
    <t>2024-01-31T09:03:04+00:00</t>
  </si>
  <si>
    <t>2024-02-01T01:00:42+00:00</t>
  </si>
  <si>
    <t>Ahuy</t>
  </si>
  <si>
    <t>402-2429105-0390756</t>
  </si>
  <si>
    <t>2024-01-31T08:14:18+00:00</t>
  </si>
  <si>
    <t>2024-01-31T12:16:49+00:00</t>
  </si>
  <si>
    <t>Benfeld</t>
  </si>
  <si>
    <t>402-6106346-5753960</t>
  </si>
  <si>
    <t>2024-01-30T22:25:58+00:00</t>
  </si>
  <si>
    <t>2024-02-02T16:55:43+00:00</t>
  </si>
  <si>
    <t>jarnac</t>
  </si>
  <si>
    <t>402-2680769-0229941</t>
  </si>
  <si>
    <t>2024-01-30T21:15:36+00:00</t>
  </si>
  <si>
    <t>2024-01-31T04:58:38+00:00</t>
  </si>
  <si>
    <t>Sospel</t>
  </si>
  <si>
    <t>407-2554927-9209102</t>
  </si>
  <si>
    <t>2024-01-30T21:04:08+00:00</t>
  </si>
  <si>
    <t>2024-01-31T12:21:41+00:00</t>
  </si>
  <si>
    <t>pontcharra</t>
  </si>
  <si>
    <t>408-5729419-0856354</t>
  </si>
  <si>
    <t>2024-01-30T19:48:40+00:00</t>
  </si>
  <si>
    <t>2024-01-31T15:53:13+00:00</t>
  </si>
  <si>
    <t>PARIS</t>
  </si>
  <si>
    <t>171-3066697-9063548</t>
  </si>
  <si>
    <t>2024-01-30T18:52:31+00:00</t>
  </si>
  <si>
    <t>2024-01-31T12:19:21+00:00</t>
  </si>
  <si>
    <t>Lapalud</t>
  </si>
  <si>
    <t>402-2534146-1417125</t>
  </si>
  <si>
    <t>2024-01-30T18:25:49+00:00</t>
  </si>
  <si>
    <t>2024-02-07T02:20:35+00:00</t>
  </si>
  <si>
    <t>403-1560444-7321108</t>
  </si>
  <si>
    <t>2024-01-30T18:00:18+00:00</t>
  </si>
  <si>
    <t>2024-02-01T18:46:24+00:00</t>
  </si>
  <si>
    <t>PIGNY</t>
  </si>
  <si>
    <t>Centre</t>
  </si>
  <si>
    <t>407-3854702-0293935</t>
  </si>
  <si>
    <t>2024-01-30T17:43:32+00:00</t>
  </si>
  <si>
    <t>2024-01-30T20:54:54+00:00</t>
  </si>
  <si>
    <t>St Soupplets</t>
  </si>
  <si>
    <t>406-7573909-8095551</t>
  </si>
  <si>
    <t>2024-01-30T17:42:03+00:00</t>
  </si>
  <si>
    <t>2024-01-31T08:59:35+00:00</t>
  </si>
  <si>
    <t>Sainte marie la mer</t>
  </si>
  <si>
    <t>404-3092103-0753101</t>
  </si>
  <si>
    <t>2024-01-30T17:26:39+00:00</t>
  </si>
  <si>
    <t>2024-01-31T12:51:59+00:00</t>
  </si>
  <si>
    <t>ST SOUPPLETS</t>
  </si>
  <si>
    <t>405-0174707-0062737</t>
  </si>
  <si>
    <t>2024-01-30T16:15:58+00:00</t>
  </si>
  <si>
    <t>2024-01-30T20:55:26+00:00</t>
  </si>
  <si>
    <t>Le Cannet Rocheville</t>
  </si>
  <si>
    <t>Sud</t>
  </si>
  <si>
    <t>403-1958801-9690746</t>
  </si>
  <si>
    <t>2024-01-30T15:10:38+00:00</t>
  </si>
  <si>
    <t>2024-01-31T05:02:33+00:00</t>
  </si>
  <si>
    <t>LAVERNOSE lacasse</t>
  </si>
  <si>
    <t>405-3145505-5999559</t>
  </si>
  <si>
    <t>2024-01-30T14:53:57+00:00</t>
  </si>
  <si>
    <t>2024-01-31T00:33:17+00:00</t>
  </si>
  <si>
    <t>CHELLES</t>
  </si>
  <si>
    <t>407-9216780-6296325</t>
  </si>
  <si>
    <t>2024-01-30T14:39:19+00:00</t>
  </si>
  <si>
    <t>2024-01-31T00:33:18+00:00</t>
  </si>
  <si>
    <t>Caudebec Lès Elbeuf</t>
  </si>
  <si>
    <t>406-8231380-3077109</t>
  </si>
  <si>
    <t>2024-01-30T13:57:20+00:00</t>
  </si>
  <si>
    <t>2024-01-31T01:47:16+00:00</t>
  </si>
  <si>
    <t>RESTIGNE</t>
  </si>
  <si>
    <t>406-1070790-2301149</t>
  </si>
  <si>
    <t>2024-01-30T13:11:48+00:00</t>
  </si>
  <si>
    <t>Linselles</t>
  </si>
  <si>
    <t>402-8553313-3173166</t>
  </si>
  <si>
    <t>2024-01-30T12:21:36+00:00</t>
  </si>
  <si>
    <t>2024-02-12T08:04:09+00:00</t>
  </si>
  <si>
    <t>St Pierre Montlimart</t>
  </si>
  <si>
    <t>405-3363135-7459552</t>
  </si>
  <si>
    <t>2024-01-30T12:18:04+00:00</t>
  </si>
  <si>
    <t>2024-01-30T20:55:30+00:00</t>
  </si>
  <si>
    <t>Draveil</t>
  </si>
  <si>
    <t>405-7404889-1469149</t>
  </si>
  <si>
    <t>2024-01-30T10:32:57+00:00</t>
  </si>
  <si>
    <t>2024-02-01T15:07:39+00:00</t>
  </si>
  <si>
    <t>Fos-sur-Mer</t>
  </si>
  <si>
    <t>402-2190183-7726739</t>
  </si>
  <si>
    <t>2024-01-30T10:15:59+00:00</t>
  </si>
  <si>
    <t>2024-02-04T10:19:29+00:00</t>
  </si>
  <si>
    <t>WALDOLWISHEIM</t>
  </si>
  <si>
    <t>171-9571645-3937903</t>
  </si>
  <si>
    <t>2024-01-30T09:42:23+00:00</t>
  </si>
  <si>
    <t>2024-01-31T00:38:18+00:00</t>
  </si>
  <si>
    <t>rimbach pres masevaux</t>
  </si>
  <si>
    <t>406-6833685-4361110</t>
  </si>
  <si>
    <t>2024-01-30T09:14:53+00:00</t>
  </si>
  <si>
    <t>2024-01-30T20:57:27+00:00</t>
  </si>
  <si>
    <t>Noaillac</t>
  </si>
  <si>
    <t>408-3542924-7539510</t>
  </si>
  <si>
    <t>2024-01-30T07:31:47+00:00</t>
  </si>
  <si>
    <t>2024-01-31T04:58:44+00:00</t>
  </si>
  <si>
    <t>Blagnac</t>
  </si>
  <si>
    <t>Sud Ouest</t>
  </si>
  <si>
    <t>402-0837085-9839568</t>
  </si>
  <si>
    <t>2024-01-30T00:50:29+00:00</t>
  </si>
  <si>
    <t>2024-01-30T12:06:59+00:00</t>
  </si>
  <si>
    <t>Aubagne</t>
  </si>
  <si>
    <t>408-2465957-3177117</t>
  </si>
  <si>
    <t>2024-01-30T00:24:09+00:00</t>
  </si>
  <si>
    <t>2024-01-30T16:35:54+00:00</t>
  </si>
  <si>
    <t>Toulouse</t>
  </si>
  <si>
    <t>404-4967350-3455514</t>
  </si>
  <si>
    <t>2024-01-30T00:13:21+00:00</t>
  </si>
  <si>
    <t>2024-01-30T04:21:27+00:00</t>
  </si>
  <si>
    <t>Les Ponts-de-Cé</t>
  </si>
  <si>
    <t>408-9181995-9055510</t>
  </si>
  <si>
    <t>2024-01-29T21:43:40+00:00</t>
  </si>
  <si>
    <t>2024-01-30T12:07:44+00:00</t>
  </si>
  <si>
    <t>Lyon</t>
  </si>
  <si>
    <t>408-9884586-8157912</t>
  </si>
  <si>
    <t>2024-01-29T21:30:11+00:00</t>
  </si>
  <si>
    <t>2024-01-31T02:34:52+00:00</t>
  </si>
  <si>
    <t>MARSEILLE</t>
  </si>
  <si>
    <t>402-7904381-9030763</t>
  </si>
  <si>
    <t>2024-01-29T20:15:54+00:00</t>
  </si>
  <si>
    <t>2024-01-30T00:35:17+00:00</t>
  </si>
  <si>
    <t>Charleville Mezieres</t>
  </si>
  <si>
    <t>402-1582164-3300309</t>
  </si>
  <si>
    <t>2024-01-29T19:55:24+00:00</t>
  </si>
  <si>
    <t>2024-01-30T00:35:15+00:00</t>
  </si>
  <si>
    <t>Caen</t>
  </si>
  <si>
    <t>408-2028799-3096326</t>
  </si>
  <si>
    <t>2024-01-29T19:54:28+00:00</t>
  </si>
  <si>
    <t>GARDANNE</t>
  </si>
  <si>
    <t>407-1957420-2940324</t>
  </si>
  <si>
    <t>2024-01-29T19:35:03+00:00</t>
  </si>
  <si>
    <t>2024-01-30T12:07:32+00:00</t>
  </si>
  <si>
    <t>villaines les prevotes</t>
  </si>
  <si>
    <t>402-9498380-7261919</t>
  </si>
  <si>
    <t>2024-01-29T19:01:04+00:00</t>
  </si>
  <si>
    <t>2024-01-30T12:17:06+00:00</t>
  </si>
  <si>
    <t>Aubigny Sur Nere</t>
  </si>
  <si>
    <t>403-3783802-9499522</t>
  </si>
  <si>
    <t>2024-01-29T17:40:14+00:00</t>
  </si>
  <si>
    <t>2024-01-30T05:49:55+00:00</t>
  </si>
  <si>
    <t>Tassin La Demi Lune</t>
  </si>
  <si>
    <t>408-7736349-1761101</t>
  </si>
  <si>
    <t>2024-01-29T16:58:31+00:00</t>
  </si>
  <si>
    <t>2024-02-13T17:53:38+00:00</t>
  </si>
  <si>
    <t>FEURS</t>
  </si>
  <si>
    <t>403-8060264-5916303</t>
  </si>
  <si>
    <t>2024-01-29T15:44:13+00:00</t>
  </si>
  <si>
    <t>2024-01-30T00:47:24+00:00</t>
  </si>
  <si>
    <t>Chanteloup-Les-Vignes</t>
  </si>
  <si>
    <t>406-9457504-3646728</t>
  </si>
  <si>
    <t>2024-01-29T15:32:48+00:00</t>
  </si>
  <si>
    <t>2024-01-29T21:05:35+00:00</t>
  </si>
  <si>
    <t>Strasbourg</t>
  </si>
  <si>
    <t>402-8585425-2188343</t>
  </si>
  <si>
    <t>2024-01-29T15:27:15+00:00</t>
  </si>
  <si>
    <t>2024-01-30T00:39:19+00:00</t>
  </si>
  <si>
    <t>405-8457661-8961954</t>
  </si>
  <si>
    <t>2024-01-29T15:02:21+00:00</t>
  </si>
  <si>
    <t>2024-01-30T22:24:21+00:00</t>
  </si>
  <si>
    <t>Maurage</t>
  </si>
  <si>
    <t>406-7484648-8952363</t>
  </si>
  <si>
    <t>2024-01-29T14:21:26+00:00</t>
  </si>
  <si>
    <t>2024-01-30T00:36:31+00:00</t>
  </si>
  <si>
    <t>405-2778255-3151560</t>
  </si>
  <si>
    <t>2024-01-29T14:19:51+00:00</t>
  </si>
  <si>
    <t>2024-01-29T21:07:01+00:00</t>
  </si>
  <si>
    <t>Malataverne</t>
  </si>
  <si>
    <t>407-6614282-1973100</t>
  </si>
  <si>
    <t>2024-01-29T13:53:56+00:00</t>
  </si>
  <si>
    <t>2024-01-30T00:36:28+00:00</t>
  </si>
  <si>
    <t>Villiers sur marne</t>
  </si>
  <si>
    <t>405-9776344-5603504</t>
  </si>
  <si>
    <t>2024-01-29T13:37:47+00:00</t>
  </si>
  <si>
    <t>2024-02-06T15:24:18+00:00</t>
  </si>
  <si>
    <t>Sollies Toucas</t>
  </si>
  <si>
    <t>171-1700949-8625129</t>
  </si>
  <si>
    <t>2024-01-29T13:30:24+00:00</t>
  </si>
  <si>
    <t>2024-01-30T01:58:37+00:00</t>
  </si>
  <si>
    <t>Marseille</t>
  </si>
  <si>
    <t>407-9083625-8677153</t>
  </si>
  <si>
    <t>2024-01-29T13:11:27+00:00</t>
  </si>
  <si>
    <t>2024-01-29T21:04:10+00:00</t>
  </si>
  <si>
    <t>LAMANON</t>
  </si>
  <si>
    <t>406-1728854-8564338</t>
  </si>
  <si>
    <t>2024-01-29T12:14:20+00:00</t>
  </si>
  <si>
    <t>2024-01-29T12:18:51+00:00</t>
  </si>
  <si>
    <t>GOURNAY EN BRAY</t>
  </si>
  <si>
    <t>408-7807528-2215511</t>
  </si>
  <si>
    <t>2024-01-29T11:05:33+00:00</t>
  </si>
  <si>
    <t>2024-01-29T21:07:04+00:00</t>
  </si>
  <si>
    <t>403-8110519-9474757</t>
  </si>
  <si>
    <t>2024-01-29T10:20:19+00:00</t>
  </si>
  <si>
    <t>2024-01-29T21:04:09+00:00</t>
  </si>
  <si>
    <t>roquefort la Bedoule</t>
  </si>
  <si>
    <t>403-6624575-4861131</t>
  </si>
  <si>
    <t>2024-01-29T10:10:05+00:00</t>
  </si>
  <si>
    <t>2024-01-29T22:44:01+00:00</t>
  </si>
  <si>
    <t>Beper - Cuiseur à Vapeur Multicombustion de 5L, Économiseur d'Espace, Minuterie de 60 minutes, Cuisson à la Vapeur Saine, Puissance 400-500W - Arge</t>
  </si>
  <si>
    <t>BC.261_FBA</t>
  </si>
  <si>
    <t>PARCIEUX</t>
  </si>
  <si>
    <t>402-9902156-4904360</t>
  </si>
  <si>
    <t>2024-01-29T10:03:40+00:00</t>
  </si>
  <si>
    <t>2024-01-30T00:36:29+00:00</t>
  </si>
  <si>
    <t>405-3692450-1421158</t>
  </si>
  <si>
    <t>2024-01-29T09:16:08+00:00</t>
  </si>
  <si>
    <t>2024-03-01T10:40:19+00:00</t>
  </si>
  <si>
    <t>BEPER P102ROB001 Hachoir en verre, récipient en verre, corps Abs, double paire de lames en acier, 2 vitesses, base antidérapante, capacité 1,5 L, g</t>
  </si>
  <si>
    <t>P102ROB001_FBA</t>
  </si>
  <si>
    <t>Luçon</t>
  </si>
  <si>
    <t>France</t>
  </si>
  <si>
    <t>408-9188321-0836360</t>
  </si>
  <si>
    <t>2024-01-29T09:16:05+00:00</t>
  </si>
  <si>
    <t>2024-01-29T12:21:17+00:00</t>
  </si>
  <si>
    <t>Samoens</t>
  </si>
  <si>
    <t>404-1648665-2689169</t>
  </si>
  <si>
    <t>2024-01-29T07:42:57+00:00</t>
  </si>
  <si>
    <t>2024-01-29T12:21:36+00:00</t>
  </si>
  <si>
    <t>capellen</t>
  </si>
  <si>
    <t>LU</t>
  </si>
  <si>
    <t>406-0359279-6618700</t>
  </si>
  <si>
    <t>2024-01-28T21:36:25+00:00</t>
  </si>
  <si>
    <t>2024-01-29T04:32:40+00:00</t>
  </si>
  <si>
    <t>St Maur Des Fosses</t>
  </si>
  <si>
    <t>403-6154612-6626757</t>
  </si>
  <si>
    <t>2024-01-28T20:18:39+00:00</t>
  </si>
  <si>
    <t>2024-01-29T12:19:29+00:00</t>
  </si>
  <si>
    <t>MARSANEIX</t>
  </si>
  <si>
    <t>404-7721453-4273900</t>
  </si>
  <si>
    <t>2024-01-28T20:06:45+00:00</t>
  </si>
  <si>
    <t>2024-01-29T02:23:21+00:00</t>
  </si>
  <si>
    <t>BEPER BT.150Y Machine à Hot Dog, 750W, 5 levels de Cuissons, Design Vintage, Rouge</t>
  </si>
  <si>
    <t>BT.150Y_FBA</t>
  </si>
  <si>
    <t>Brignais</t>
  </si>
  <si>
    <t>405-5722633-9685956</t>
  </si>
  <si>
    <t>2024-01-28T20:01:20+00:00</t>
  </si>
  <si>
    <t>2024-01-30T02:35:26+00:00</t>
  </si>
  <si>
    <t>FAMECK</t>
  </si>
  <si>
    <t>402-2794699-0975559</t>
  </si>
  <si>
    <t>2024-01-28T19:46:34+00:00</t>
  </si>
  <si>
    <t>2024-01-28T22:56:24+00:00</t>
  </si>
  <si>
    <t>VIDAUBAN</t>
  </si>
  <si>
    <t>403-9336058-0719531</t>
  </si>
  <si>
    <t>2024-01-28T19:09:30+00:00</t>
  </si>
  <si>
    <t>2024-01-29T16:38:10+00:00</t>
  </si>
  <si>
    <t>Beper BF.640 - Four ventilé multifonction 12L Anneau de rallonge pour capacité totale 18L Minuterie 60 minutes Température réglable jusqu'à 250°</t>
  </si>
  <si>
    <t>BF.640_FBA</t>
  </si>
  <si>
    <t>Ste Alauzie</t>
  </si>
  <si>
    <t>Castelnau montratier</t>
  </si>
  <si>
    <t>405-4908837-3059524</t>
  </si>
  <si>
    <t>2024-01-28T18:38:41+00:00</t>
  </si>
  <si>
    <t>2024-01-29T04:33:53+00:00</t>
  </si>
  <si>
    <t>Aix-en-Provence</t>
  </si>
  <si>
    <t>405-7551949-6333926</t>
  </si>
  <si>
    <t>2024-01-28T17:47:59+00:00</t>
  </si>
  <si>
    <t>2024-01-29T12:25:43+00:00</t>
  </si>
  <si>
    <t>Coudun</t>
  </si>
  <si>
    <t>406-7828393-6015543</t>
  </si>
  <si>
    <t>2024-01-28T17:34:37+00:00</t>
  </si>
  <si>
    <t>2024-01-29T04:35:26+00:00</t>
  </si>
  <si>
    <t>Mornant</t>
  </si>
  <si>
    <t>171-4382994-1810756</t>
  </si>
  <si>
    <t>2024-01-28T17:24:42+00:00</t>
  </si>
  <si>
    <t>2024-01-29T05:03:59+00:00</t>
  </si>
  <si>
    <t>MONCAUT</t>
  </si>
  <si>
    <t>405-0753049-2877900</t>
  </si>
  <si>
    <t>2024-01-28T16:43:09+00:00</t>
  </si>
  <si>
    <t>2024-01-29T00:32:52+00:00</t>
  </si>
  <si>
    <t>Coignieres</t>
  </si>
  <si>
    <t>Yvelines</t>
  </si>
  <si>
    <t>407-9231546-8774749</t>
  </si>
  <si>
    <t>2024-01-28T16:01:21+00:00</t>
  </si>
  <si>
    <t>2024-01-29T12:19:58+00:00</t>
  </si>
  <si>
    <t>Olivet</t>
  </si>
  <si>
    <t>406-7141477-0919520</t>
  </si>
  <si>
    <t>2024-01-28T14:15:31+00:00</t>
  </si>
  <si>
    <t>2024-01-28T22:54:45+00:00</t>
  </si>
  <si>
    <t>Thorigny Sur Oreuse</t>
  </si>
  <si>
    <t>402-8785122-7117929</t>
  </si>
  <si>
    <t>2024-01-28T14:12:25+00:00</t>
  </si>
  <si>
    <t>2024-01-28T22:56:23+00:00</t>
  </si>
  <si>
    <t>baron</t>
  </si>
  <si>
    <t>405-3271429-6253166</t>
  </si>
  <si>
    <t>2024-01-28T14:11:28+00:00</t>
  </si>
  <si>
    <t>2024-01-30T20:58:03+00:00</t>
  </si>
  <si>
    <t>FRENEUSE</t>
  </si>
  <si>
    <t>404-6442413-2764368</t>
  </si>
  <si>
    <t>2024-01-28T13:57:02+00:00</t>
  </si>
  <si>
    <t>Le Mans</t>
  </si>
  <si>
    <t>407-5249642-5201168</t>
  </si>
  <si>
    <t>2024-01-28T12:17:57+00:00</t>
  </si>
  <si>
    <t>2024-01-29T00:32:22+00:00</t>
  </si>
  <si>
    <t>COUME</t>
  </si>
  <si>
    <t>403-8062366-8746710</t>
  </si>
  <si>
    <t>2024-01-28T12:12:34+00:00</t>
  </si>
  <si>
    <t>2024-01-29T09:30:48+00:00</t>
  </si>
  <si>
    <t>ST PIERRE D IRUBE</t>
  </si>
  <si>
    <t>403-4838167-0769155</t>
  </si>
  <si>
    <t>2024-01-28T12:05:58+00:00</t>
  </si>
  <si>
    <t>2024-01-28T17:04:42+00:00</t>
  </si>
  <si>
    <t>Nogent sur marne</t>
  </si>
  <si>
    <t>171-4176070-2405914</t>
  </si>
  <si>
    <t>2024-01-28T10:43:07+00:00</t>
  </si>
  <si>
    <t>2024-01-29T00:34:30+00:00</t>
  </si>
  <si>
    <t>Vieux Conde</t>
  </si>
  <si>
    <t>403-9827706-8451539</t>
  </si>
  <si>
    <t>2024-01-28T10:16:12+00:00</t>
  </si>
  <si>
    <t>2024-01-28T21:56:02+00:00</t>
  </si>
  <si>
    <t>Cogolin</t>
  </si>
  <si>
    <t>404-9727000-2441923</t>
  </si>
  <si>
    <t>2024-01-28T09:33:58+00:00</t>
  </si>
  <si>
    <t>2024-01-29T00:36:38+00:00</t>
  </si>
  <si>
    <t>Goussainville</t>
  </si>
  <si>
    <t>408-9767081-4783515</t>
  </si>
  <si>
    <t>2024-01-28T09:08:57+00:00</t>
  </si>
  <si>
    <t>2024-01-29T12:20:08+00:00</t>
  </si>
  <si>
    <t>ISLE</t>
  </si>
  <si>
    <t>402-5714183-9694725</t>
  </si>
  <si>
    <t>2024-01-28T08:15:08+00:00</t>
  </si>
  <si>
    <t>2024-01-28T16:19:34+00:00</t>
  </si>
  <si>
    <t>Saint lys</t>
  </si>
  <si>
    <t>406-2852817-8193917</t>
  </si>
  <si>
    <t>2024-01-27T22:41:53+00:00</t>
  </si>
  <si>
    <t>2024-01-28T22:56:11+00:00</t>
  </si>
  <si>
    <t>Consac</t>
  </si>
  <si>
    <t>404-7281320-2313163</t>
  </si>
  <si>
    <t>2024-01-27T22:37:31+00:00</t>
  </si>
  <si>
    <t>2024-01-28T04:53:46+00:00</t>
  </si>
  <si>
    <t>Mezens</t>
  </si>
  <si>
    <t>Occitanie</t>
  </si>
  <si>
    <t>405-6521990-4162751</t>
  </si>
  <si>
    <t>2024-01-27T22:25:52+00:00</t>
  </si>
  <si>
    <t>2024-01-28T22:54:50+00:00</t>
  </si>
  <si>
    <t>LANDAUL</t>
  </si>
  <si>
    <t>408-4010216-7086751</t>
  </si>
  <si>
    <t>2024-01-27T20:56:49+00:00</t>
  </si>
  <si>
    <t>2024-01-28T22:56:12+00:00</t>
  </si>
  <si>
    <t>Massy</t>
  </si>
  <si>
    <t>Essonne</t>
  </si>
  <si>
    <t>402-3429567-1464324</t>
  </si>
  <si>
    <t>2024-01-27T20:31:53+00:00</t>
  </si>
  <si>
    <t>2024-01-28T22:57:31+00:00</t>
  </si>
  <si>
    <t>Yonval</t>
  </si>
  <si>
    <t>404-9841621-3432319</t>
  </si>
  <si>
    <t>2024-01-27T19:02:42+00:00</t>
  </si>
  <si>
    <t>2024-01-28T22:54:47+00:00</t>
  </si>
  <si>
    <t>Aigues-Mortes</t>
  </si>
  <si>
    <t>403-6116589-3189131</t>
  </si>
  <si>
    <t>2024-01-27T18:59:53+00:00</t>
  </si>
  <si>
    <t>2024-01-28T22:54:46+00:00</t>
  </si>
  <si>
    <t>Mauleon Soule</t>
  </si>
  <si>
    <t>406-6043227-9450755</t>
  </si>
  <si>
    <t>2024-01-27T18:58:46+00:00</t>
  </si>
  <si>
    <t>2024-01-28T04:54:03+00:00</t>
  </si>
  <si>
    <t>MIMIZAN</t>
  </si>
  <si>
    <t>402-5798984-2662739</t>
  </si>
  <si>
    <t>2024-01-27T17:41:13+00:00</t>
  </si>
  <si>
    <t>2024-01-28T22:56:19+00:00</t>
  </si>
  <si>
    <t>barberaz</t>
  </si>
  <si>
    <t>402-3681018-3958720</t>
  </si>
  <si>
    <t>2024-01-27T17:36:31+00:00</t>
  </si>
  <si>
    <t>2024-01-29T04:44:33+00:00</t>
  </si>
  <si>
    <t>St Sixte</t>
  </si>
  <si>
    <t>406-7725810-0088365</t>
  </si>
  <si>
    <t>2024-01-27T16:50:15+00:00</t>
  </si>
  <si>
    <t>2024-01-27T17:55:16+00:00</t>
  </si>
  <si>
    <t>404-9128978-9341132</t>
  </si>
  <si>
    <t>2024-01-27T15:54:59+00:00</t>
  </si>
  <si>
    <t>2024-01-28T22:56:52+00:00</t>
  </si>
  <si>
    <t>171-7505920-9202739</t>
  </si>
  <si>
    <t>2024-01-27T14:38:04+00:00</t>
  </si>
  <si>
    <t>2024-01-29T00:47:41+00:00</t>
  </si>
  <si>
    <t>Nice</t>
  </si>
  <si>
    <t>405-9114045-1877926</t>
  </si>
  <si>
    <t>2024-01-27T12:45:24+00:00</t>
  </si>
  <si>
    <t>2024-01-29T15:28:53+00:00</t>
  </si>
  <si>
    <t>Etriche</t>
  </si>
  <si>
    <t>402-0368135-6193105</t>
  </si>
  <si>
    <t>2024-01-27T10:27:28+00:00</t>
  </si>
  <si>
    <t>2024-01-28T23:00:50+00:00</t>
  </si>
  <si>
    <t>La coucourde</t>
  </si>
  <si>
    <t>171-3880680-1409946</t>
  </si>
  <si>
    <t>2024-01-27T10:00:52+00:00</t>
  </si>
  <si>
    <t>2024-01-28T00:34:52+00:00</t>
  </si>
  <si>
    <t>GAGNY</t>
  </si>
  <si>
    <t>403-2195115-2729915</t>
  </si>
  <si>
    <t>2024-01-27T08:53:58+00:00</t>
  </si>
  <si>
    <t>2024-01-29T08:18:12+00:00</t>
  </si>
  <si>
    <t>Nanterre</t>
  </si>
  <si>
    <t>403-1471384-3928364</t>
  </si>
  <si>
    <t>2024-01-27T08:33:59+00:00</t>
  </si>
  <si>
    <t>2024-01-29T02:05:32+00:00</t>
  </si>
  <si>
    <t>ORANGE</t>
  </si>
  <si>
    <t>403-8169083-0680360</t>
  </si>
  <si>
    <t>2024-01-27T08:23:18+00:00</t>
  </si>
  <si>
    <t>2024-01-29T07:05:05+00:00</t>
  </si>
  <si>
    <t>GIVRY</t>
  </si>
  <si>
    <t>406-0229134-9702776</t>
  </si>
  <si>
    <t>2024-01-27T07:57:30+00:00</t>
  </si>
  <si>
    <t>2024-01-28T00:34:45+00:00</t>
  </si>
  <si>
    <t>Arques-la-Bataille</t>
  </si>
  <si>
    <t>406-3747377-3904325</t>
  </si>
  <si>
    <t>2024-01-27T06:22:27+00:00</t>
  </si>
  <si>
    <t>2024-01-28T04:03:38+00:00</t>
  </si>
  <si>
    <t>Bondoufle</t>
  </si>
  <si>
    <t>171-4591661-3798751</t>
  </si>
  <si>
    <t>2024-01-26T22:57:50+00:00</t>
  </si>
  <si>
    <t>2024-01-27T10:26:35+00:00</t>
  </si>
  <si>
    <t>Vieuvicq</t>
  </si>
  <si>
    <t>FR09851472886</t>
  </si>
  <si>
    <t>VAT</t>
  </si>
  <si>
    <t>403-0086581-8509161</t>
  </si>
  <si>
    <t>2024-01-26T21:35:21+00:00</t>
  </si>
  <si>
    <t>2024-01-27T04:45:14+00:00</t>
  </si>
  <si>
    <t>Brive la gaillarde</t>
  </si>
  <si>
    <t>403-7432907-4982718</t>
  </si>
  <si>
    <t>2024-01-26T18:06:51+00:00</t>
  </si>
  <si>
    <t>2024-01-27T04:32:42+00:00</t>
  </si>
  <si>
    <t>Cugnaux</t>
  </si>
  <si>
    <t>408-4854865-2409138</t>
  </si>
  <si>
    <t>2024-01-26T17:54:26+00:00</t>
  </si>
  <si>
    <t>2024-01-27T04:32:35+00:00</t>
  </si>
  <si>
    <t>Vénissieux</t>
  </si>
  <si>
    <t>Rhône</t>
  </si>
  <si>
    <t>404-3781549-5697136</t>
  </si>
  <si>
    <t>2024-01-26T17:33:16+00:00</t>
  </si>
  <si>
    <t>2024-01-29T17:05:24+00:00</t>
  </si>
  <si>
    <t>Gosselies</t>
  </si>
  <si>
    <t>407-8406891-2572363</t>
  </si>
  <si>
    <t>2024-01-26T16:31:55+00:00</t>
  </si>
  <si>
    <t>2024-01-26T16:58:35+00:00</t>
  </si>
  <si>
    <t>402-1428920-8805951</t>
  </si>
  <si>
    <t>2024-01-26T15:52:38+00:00</t>
  </si>
  <si>
    <t>2024-01-28T00:00:59+00:00</t>
  </si>
  <si>
    <t>Issy-les-Moulineaux</t>
  </si>
  <si>
    <t>404-9377457-5397904</t>
  </si>
  <si>
    <t>2024-01-26T14:41:17+00:00</t>
  </si>
  <si>
    <t>2024-01-28T23:48:50+00:00</t>
  </si>
  <si>
    <t>Cholet</t>
  </si>
  <si>
    <t>407-1303949-8437932</t>
  </si>
  <si>
    <t>2024-01-26T12:42:25+00:00</t>
  </si>
  <si>
    <t>2024-01-27T02:41:30+00:00</t>
  </si>
  <si>
    <t>Marines</t>
  </si>
  <si>
    <t>406-2620149-5874754</t>
  </si>
  <si>
    <t>2024-01-25T23:51:42+00:00</t>
  </si>
  <si>
    <t>2024-01-26T03:36:19+00:00</t>
  </si>
  <si>
    <t>St Aubin Routot</t>
  </si>
  <si>
    <t>406-8988970-6967550</t>
  </si>
  <si>
    <t>2024-01-25T19:12:27+00:00</t>
  </si>
  <si>
    <t>2024-03-25T08:48:02+00:00</t>
  </si>
  <si>
    <t>Tournai</t>
  </si>
  <si>
    <t>171-5104365-4312311</t>
  </si>
  <si>
    <t>2024-01-25T18:22:30+00:00</t>
  </si>
  <si>
    <t>2024-01-26T02:28:44+00:00</t>
  </si>
  <si>
    <t>LES EPESSES</t>
  </si>
  <si>
    <t>403-1310866-6129933</t>
  </si>
  <si>
    <t>2024-01-25T13:35:17+00:00</t>
  </si>
  <si>
    <t>2024-01-26T01:48:02+00:00</t>
  </si>
  <si>
    <t>ETRECHY</t>
  </si>
  <si>
    <t>405-5025010-6280349</t>
  </si>
  <si>
    <t>2024-01-25T13:18:16+00:00</t>
  </si>
  <si>
    <t>2024-01-26T04:21:20+00:00</t>
  </si>
  <si>
    <t>ARGENTEUIL</t>
  </si>
  <si>
    <t>408-7089982-5529132</t>
  </si>
  <si>
    <t>2024-01-24T21:31:55+00:00</t>
  </si>
  <si>
    <t>2024-01-26T12:40:39+00:00</t>
  </si>
  <si>
    <t>Suresnes</t>
  </si>
  <si>
    <t>405-6945219-8403544</t>
  </si>
  <si>
    <t>2024-01-24T19:34:16+00:00</t>
  </si>
  <si>
    <t>2024-01-25T12:10:29+00:00</t>
  </si>
  <si>
    <t>Martigues</t>
  </si>
  <si>
    <t>406-6542037-5439510</t>
  </si>
  <si>
    <t>2024-01-24T18:01:28+00:00</t>
  </si>
  <si>
    <t>2024-01-25T09:08:02+00:00</t>
  </si>
  <si>
    <t>Weiler-la-tour</t>
  </si>
  <si>
    <t>171-8581035-0004323</t>
  </si>
  <si>
    <t>2024-01-24T17:52:34+00:00</t>
  </si>
  <si>
    <t>2024-01-25T12:10:26+00:00</t>
  </si>
  <si>
    <t>Nerac</t>
  </si>
  <si>
    <t>405-8051107-5266727</t>
  </si>
  <si>
    <t>2024-01-24T17:40:33+00:00</t>
  </si>
  <si>
    <t>2024-01-25T01:03:37+00:00</t>
  </si>
  <si>
    <t>MOUGINS</t>
  </si>
  <si>
    <t>BAT A. adagio</t>
  </si>
  <si>
    <t>402-9013375-1494769</t>
  </si>
  <si>
    <t>2024-01-24T14:48:17+00:00</t>
  </si>
  <si>
    <t>2024-01-25T22:53:44+00:00</t>
  </si>
  <si>
    <t>bougival</t>
  </si>
  <si>
    <t>403-1053652-9309967</t>
  </si>
  <si>
    <t>2024-01-24T12:19:47+00:00</t>
  </si>
  <si>
    <t>2024-01-25T21:28:33+00:00</t>
  </si>
  <si>
    <t>paimpol</t>
  </si>
  <si>
    <t>FR32878448141</t>
  </si>
  <si>
    <t>403-8301852-6756363</t>
  </si>
  <si>
    <t>2024-01-24T11:29:20+00:00</t>
  </si>
  <si>
    <t>2024-01-25T18:32:43+00:00</t>
  </si>
  <si>
    <t>Le Palais-sur-Vienne</t>
  </si>
  <si>
    <t>405-9963960-1578722</t>
  </si>
  <si>
    <t>2024-01-24T11:10:45+00:00</t>
  </si>
  <si>
    <t>2024-01-25T03:44:34+00:00</t>
  </si>
  <si>
    <t>Villebon sur Yvette</t>
  </si>
  <si>
    <t>405-6704763-8013126</t>
  </si>
  <si>
    <t>2024-01-24T11:00:13+00:00</t>
  </si>
  <si>
    <t>2024-01-24T21:01:02+00:00</t>
  </si>
  <si>
    <t>La Clisse</t>
  </si>
  <si>
    <t>402-2678252-6133902</t>
  </si>
  <si>
    <t>2024-01-24T10:49:43+00:00</t>
  </si>
  <si>
    <t>2024-01-25T20:57:41+00:00</t>
  </si>
  <si>
    <t>BIARRITZ</t>
  </si>
  <si>
    <t>406-2632350-6225102</t>
  </si>
  <si>
    <t>2024-01-24T09:50:04+00:00</t>
  </si>
  <si>
    <t>2024-01-24T16:25:24+00:00</t>
  </si>
  <si>
    <t>Santec</t>
  </si>
  <si>
    <t>408-7691015-3066753</t>
  </si>
  <si>
    <t>2024-01-24T09:05:20+00:00</t>
  </si>
  <si>
    <t>2024-01-24T20:59:30+00:00</t>
  </si>
  <si>
    <t>Suippes</t>
  </si>
  <si>
    <t>Marne</t>
  </si>
  <si>
    <t>404-9520431-0433913</t>
  </si>
  <si>
    <t>2024-01-24T07:08:45+00:00</t>
  </si>
  <si>
    <t>2024-01-24T12:17:22+00:00</t>
  </si>
  <si>
    <t>Cormeilles en parisis</t>
  </si>
  <si>
    <t>402-2428319-3033901</t>
  </si>
  <si>
    <t>2024-01-23T22:18:18+00:00</t>
  </si>
  <si>
    <t>2024-01-29T03:23:09+00:00</t>
  </si>
  <si>
    <t>DIEVAL</t>
  </si>
  <si>
    <t>406-6349465-5226769</t>
  </si>
  <si>
    <t>2024-01-23T19:45:48+00:00</t>
  </si>
  <si>
    <t>2024-01-24T00:57:42+00:00</t>
  </si>
  <si>
    <t>le soler</t>
  </si>
  <si>
    <t>407-7810888-4278760</t>
  </si>
  <si>
    <t>2024-01-23T18:45:04+00:00</t>
  </si>
  <si>
    <t>2024-01-24T03:45:50+00:00</t>
  </si>
  <si>
    <t>COURBEVOIE</t>
  </si>
  <si>
    <t>171-1301266-6250719</t>
  </si>
  <si>
    <t>2024-01-23T17:23:24+00:00</t>
  </si>
  <si>
    <t>2024-01-23T21:27:40+00:00</t>
  </si>
  <si>
    <t>Combloux</t>
  </si>
  <si>
    <t>171-5753760-7485940</t>
  </si>
  <si>
    <t>2024-01-23T17:22:43+00:00</t>
  </si>
  <si>
    <t>2024-01-23T17:45:39+00:00</t>
  </si>
  <si>
    <t>408-2474313-4396365</t>
  </si>
  <si>
    <t>2024-01-23T14:56:13+00:00</t>
  </si>
  <si>
    <t>2024-01-24T02:26:08+00:00</t>
  </si>
  <si>
    <t>ZOUAFQUES</t>
  </si>
  <si>
    <t>403-1961718-6273121</t>
  </si>
  <si>
    <t>2024-01-23T14:55:15+00:00</t>
  </si>
  <si>
    <t>2024-01-24T03:44:12+00:00</t>
  </si>
  <si>
    <t>Namêche</t>
  </si>
  <si>
    <t>BE0650699259</t>
  </si>
  <si>
    <t>408-7001882-1409901</t>
  </si>
  <si>
    <t>2024-01-23T14:53:33+00:00</t>
  </si>
  <si>
    <t>2024-01-23T14:54:48+00:00</t>
  </si>
  <si>
    <t>Zutkerque</t>
  </si>
  <si>
    <t>406-7708742-9208309</t>
  </si>
  <si>
    <t>2024-01-23T12:06:37+00:00</t>
  </si>
  <si>
    <t>2024-01-24T05:32:46+00:00</t>
  </si>
  <si>
    <t>Luisant</t>
  </si>
  <si>
    <t>406-6747128-4869144</t>
  </si>
  <si>
    <t>2024-01-23T11:25:55+00:00</t>
  </si>
  <si>
    <t>2024-01-24T00:27:09+00:00</t>
  </si>
  <si>
    <t>chennegy</t>
  </si>
  <si>
    <t>408-4795599-0910712</t>
  </si>
  <si>
    <t>2024-01-23T09:53:43+00:00</t>
  </si>
  <si>
    <t>2024-01-24T18:23:21+00:00</t>
  </si>
  <si>
    <t>L Isle Adam</t>
  </si>
  <si>
    <t>404-3469843-2697136</t>
  </si>
  <si>
    <t>2024-01-23T08:49:42+00:00</t>
  </si>
  <si>
    <t>2024-01-23T11:52:49+00:00</t>
  </si>
  <si>
    <t>MARGNY LES COMPIEGNE</t>
  </si>
  <si>
    <t>403-3551164-4985156</t>
  </si>
  <si>
    <t>2024-01-23T08:48:54+00:00</t>
  </si>
  <si>
    <t>2024-01-23T12:17:05+00:00</t>
  </si>
  <si>
    <t>margny les compiegne</t>
  </si>
  <si>
    <t>403-7220857-0789905</t>
  </si>
  <si>
    <t>2024-01-22T22:53:46+00:00</t>
  </si>
  <si>
    <t>2024-01-23T05:21:04+00:00</t>
  </si>
  <si>
    <t>La Courneuve</t>
  </si>
  <si>
    <t>171-7696731-5874733</t>
  </si>
  <si>
    <t>2024-01-22T22:50:53+00:00</t>
  </si>
  <si>
    <t>2024-01-23T05:21:17+00:00</t>
  </si>
  <si>
    <t>Dole</t>
  </si>
  <si>
    <t>402-9578537-4659513</t>
  </si>
  <si>
    <t>2024-01-22T21:13:35+00:00</t>
  </si>
  <si>
    <t>2024-01-24T03:44:10+00:00</t>
  </si>
  <si>
    <t>Lardy</t>
  </si>
  <si>
    <t>403-8618914-4435524</t>
  </si>
  <si>
    <t>2024-01-22T19:37:51+00:00</t>
  </si>
  <si>
    <t>2024-01-23T00:16:53+00:00</t>
  </si>
  <si>
    <t>hem</t>
  </si>
  <si>
    <t>402-1145985-4829966</t>
  </si>
  <si>
    <t>2024-01-22T18:10:35+00:00</t>
  </si>
  <si>
    <t>2024-01-23T12:15:54+00:00</t>
  </si>
  <si>
    <t>St Aubin De Medoc</t>
  </si>
  <si>
    <t>402-2759529-2845967</t>
  </si>
  <si>
    <t>2024-01-22T18:05:00+00:00</t>
  </si>
  <si>
    <t>2024-01-23T21:28:42+00:00</t>
  </si>
  <si>
    <t>Grenoble</t>
  </si>
  <si>
    <t>403-6962537-3707513</t>
  </si>
  <si>
    <t>2024-01-22T16:35:46+00:00</t>
  </si>
  <si>
    <t>2024-01-22T20:42:45+00:00</t>
  </si>
  <si>
    <t>Saint Symphorien sur Coise</t>
  </si>
  <si>
    <t>403-4925687-5284364</t>
  </si>
  <si>
    <t>2024-01-22T16:34:27+00:00</t>
  </si>
  <si>
    <t>2024-01-23T12:16:28+00:00</t>
  </si>
  <si>
    <t>Authon</t>
  </si>
  <si>
    <t>171-4562720-6764303</t>
  </si>
  <si>
    <t>2024-01-22T15:54:27+00:00</t>
  </si>
  <si>
    <t>2024-01-23T00:16:54+00:00</t>
  </si>
  <si>
    <t>Orgères</t>
  </si>
  <si>
    <t>bretagne</t>
  </si>
  <si>
    <t>405-1082138-4841147</t>
  </si>
  <si>
    <t>2024-01-22T14:31:49+00:00</t>
  </si>
  <si>
    <t>2024-01-22T15:19:52+00:00</t>
  </si>
  <si>
    <t>Thesee</t>
  </si>
  <si>
    <t>404-2769610-0477928</t>
  </si>
  <si>
    <t>2024-01-22T14:24:55+00:00</t>
  </si>
  <si>
    <t>2024-01-23T05:20:38+00:00</t>
  </si>
  <si>
    <t>406-0376838-6956344</t>
  </si>
  <si>
    <t>2024-01-21T20:42:50+00:00</t>
  </si>
  <si>
    <t>2024-01-23T01:45:53+00:00</t>
  </si>
  <si>
    <t>Lisieux</t>
  </si>
  <si>
    <t>403-2915164-6092341</t>
  </si>
  <si>
    <t>2024-01-21T19:37:07+00:00</t>
  </si>
  <si>
    <t>2024-01-24T00:17:44+00:00</t>
  </si>
  <si>
    <t>407-2804471-7422758</t>
  </si>
  <si>
    <t>2024-01-21T19:10:25+00:00</t>
  </si>
  <si>
    <t>2024-01-22T10:51:12+00:00</t>
  </si>
  <si>
    <t>St Cloud</t>
  </si>
  <si>
    <t>408-1647547-6033143</t>
  </si>
  <si>
    <t>2024-01-21T18:32:58+00:00</t>
  </si>
  <si>
    <t>2024-01-22T00:26:00+00:00</t>
  </si>
  <si>
    <t>ris orangis</t>
  </si>
  <si>
    <t>402-5632726-5616316</t>
  </si>
  <si>
    <t>2024-01-21T11:11:04+00:00</t>
  </si>
  <si>
    <t>2024-01-23T04:28:05+00:00</t>
  </si>
  <si>
    <t>Thiberville</t>
  </si>
  <si>
    <t>171-0705593-0959561</t>
  </si>
  <si>
    <t>2024-01-20T20:24:23+00:00</t>
  </si>
  <si>
    <t>2024-01-24T15:52:01+00:00</t>
  </si>
  <si>
    <t>BEPER BT.651Y Machine à Popcorn, ABS, Rouge/doré</t>
  </si>
  <si>
    <t>BT.651Y_FBA</t>
  </si>
  <si>
    <t>Avignon</t>
  </si>
  <si>
    <t>405-6332223-7025162</t>
  </si>
  <si>
    <t>2024-01-20T19:20:43+00:00</t>
  </si>
  <si>
    <t>2024-01-20T19:30:43+00:00</t>
  </si>
  <si>
    <t>402-8634103-7205905</t>
  </si>
  <si>
    <t>2024-01-20T16:40:33+00:00</t>
  </si>
  <si>
    <t>2024-01-21T22:15:19+00:00</t>
  </si>
  <si>
    <t>Entrelacs Albens</t>
  </si>
  <si>
    <t>406-1226811-0965912</t>
  </si>
  <si>
    <t>2024-01-20T15:10:56+00:00</t>
  </si>
  <si>
    <t>2024-01-21T01:47:03+00:00</t>
  </si>
  <si>
    <t>408-8000510-0409912</t>
  </si>
  <si>
    <t>2024-01-20T09:03:46+00:00</t>
  </si>
  <si>
    <t>2024-01-21T22:15:32+00:00</t>
  </si>
  <si>
    <t xml:space="preserve">Beper - Masseur Anti-Cellulite pour Femme 4 en 1, Massage Infrarouge, Triple Action Circulaire, Tonifiant et Raffermissant, Puissance Réglable, Syst </t>
  </si>
  <si>
    <t>40.500_FBA</t>
  </si>
  <si>
    <t>CHATUZANGE LE GOUBET</t>
  </si>
  <si>
    <t>171-2114809-1189118</t>
  </si>
  <si>
    <t>2024-01-19T22:38:27+00:00</t>
  </si>
  <si>
    <t>2024-01-26T15:06:40+00:00</t>
  </si>
  <si>
    <t>Saint-Laurent-Chabreuges</t>
  </si>
  <si>
    <t>403-7490201-0269153</t>
  </si>
  <si>
    <t>2024-01-19T17:06:19+00:00</t>
  </si>
  <si>
    <t>2024-01-20T01:36:42+00:00</t>
  </si>
  <si>
    <t>Hagondange</t>
  </si>
  <si>
    <t>403-5834366-4857943</t>
  </si>
  <si>
    <t>2024-01-19T16:55:16+00:00</t>
  </si>
  <si>
    <t>2024-01-24T17:32:49+00:00</t>
  </si>
  <si>
    <t>403-3440623-6826708</t>
  </si>
  <si>
    <t>2024-01-19T16:12:42+00:00</t>
  </si>
  <si>
    <t>2024-01-20T02:25:46+00:00</t>
  </si>
  <si>
    <t>171-5091784-9753108</t>
  </si>
  <si>
    <t>2024-01-19T13:07:14+00:00</t>
  </si>
  <si>
    <t>2024-01-22T10:00:58+00:00</t>
  </si>
  <si>
    <t>Brignoles</t>
  </si>
  <si>
    <t>171-3710711-3234737</t>
  </si>
  <si>
    <t>2024-01-19T12:59:31+00:00</t>
  </si>
  <si>
    <t>2024-01-19T13:10:27+00:00</t>
  </si>
  <si>
    <t>405-9559968-1296341</t>
  </si>
  <si>
    <t>2024-01-19T12:39:01+00:00</t>
  </si>
  <si>
    <t>2024-01-20T02:26:30+00:00</t>
  </si>
  <si>
    <t>402-3856612-8043517</t>
  </si>
  <si>
    <t>2024-01-19T11:03:51+00:00</t>
  </si>
  <si>
    <t>2024-01-20T02:46:23+00:00</t>
  </si>
  <si>
    <t>MASLIVES</t>
  </si>
  <si>
    <t>405-0356331-9045115</t>
  </si>
  <si>
    <t>2024-01-19T03:25:43+00:00</t>
  </si>
  <si>
    <t>2024-01-22T07:11:07+00:00</t>
  </si>
  <si>
    <t>Solesmes</t>
  </si>
  <si>
    <t>403-1863533-0389131</t>
  </si>
  <si>
    <t>2024-01-18T21:05:49+00:00</t>
  </si>
  <si>
    <t>2024-01-19T00:35:10+00:00</t>
  </si>
  <si>
    <t>Steinbrunn le bas</t>
  </si>
  <si>
    <t>403-0872918-5205115</t>
  </si>
  <si>
    <t>2024-01-18T21:02:18+00:00</t>
  </si>
  <si>
    <t>2024-01-18T21:04:12+00:00</t>
  </si>
  <si>
    <t>405-0453984-7421140</t>
  </si>
  <si>
    <t>2024-01-18T18:35:12+00:00</t>
  </si>
  <si>
    <t>2024-01-19T01:07:09+00:00</t>
  </si>
  <si>
    <t>Cannes</t>
  </si>
  <si>
    <t>407-4054259-5197942</t>
  </si>
  <si>
    <t>2024-01-18T14:30:28+00:00</t>
  </si>
  <si>
    <t>2024-01-19T08:52:07+00:00</t>
  </si>
  <si>
    <t>Thionville</t>
  </si>
  <si>
    <t>407-1772875-0417121</t>
  </si>
  <si>
    <t>2024-01-18T13:02:04+00:00</t>
  </si>
  <si>
    <t>2024-01-19T01:08:10+00:00</t>
  </si>
  <si>
    <t>Beuste</t>
  </si>
  <si>
    <t>408-3203507-0629962</t>
  </si>
  <si>
    <t>2024-01-18T10:55:07+00:00</t>
  </si>
  <si>
    <t>2024-01-18T21:16:15+00:00</t>
  </si>
  <si>
    <t>405-3157075-2433107</t>
  </si>
  <si>
    <t>2024-01-18T10:30:36+00:00</t>
  </si>
  <si>
    <t>2024-01-22T11:15:31+00:00</t>
  </si>
  <si>
    <t>THIERS SUR THEVE</t>
  </si>
  <si>
    <t>408-7111488-5914733</t>
  </si>
  <si>
    <t>2024-01-17T20:23:50+00:00</t>
  </si>
  <si>
    <t>2024-01-18T12:19:30+00:00</t>
  </si>
  <si>
    <t>SAINT PRIEST</t>
  </si>
  <si>
    <t>407-1261563-5448322</t>
  </si>
  <si>
    <t>2024-01-17T18:49:48+00:00</t>
  </si>
  <si>
    <t>2024-01-18T01:28:16+00:00</t>
  </si>
  <si>
    <t>405-7680070-4876320</t>
  </si>
  <si>
    <t>2024-01-17T16:00:45+00:00</t>
  </si>
  <si>
    <t>2024-01-17T16:11:05+00:00</t>
  </si>
  <si>
    <t>Bourg en Bresse</t>
  </si>
  <si>
    <t>405-0215945-4441178</t>
  </si>
  <si>
    <t>2024-01-17T15:37:19+00:00</t>
  </si>
  <si>
    <t>2024-01-22T11:56:11+00:00</t>
  </si>
  <si>
    <t>MARSEILLE 15</t>
  </si>
  <si>
    <t>171-7794540-3610758</t>
  </si>
  <si>
    <t>2024-01-17T14:38:04+00:00</t>
  </si>
  <si>
    <t>2024-01-18T01:31:13+00:00</t>
  </si>
  <si>
    <t>Mougins</t>
  </si>
  <si>
    <t>171-9921662-9314709</t>
  </si>
  <si>
    <t>2024-01-17T13:08:23+00:00</t>
  </si>
  <si>
    <t>2024-01-17T21:03:49+00:00</t>
  </si>
  <si>
    <t>406-4931645-4010766</t>
  </si>
  <si>
    <t>2024-01-17T11:55:11+00:00</t>
  </si>
  <si>
    <t>2024-01-18T10:19:04+00:00</t>
  </si>
  <si>
    <t>Bouchain</t>
  </si>
  <si>
    <t>402-6850000-4304348</t>
  </si>
  <si>
    <t>2024-01-17T09:48:52+00:00</t>
  </si>
  <si>
    <t>2024-01-19T02:32:18+00:00</t>
  </si>
  <si>
    <t>seysses</t>
  </si>
  <si>
    <t>402-8793859-8408356</t>
  </si>
  <si>
    <t>2024-01-17T09:47:21+00:00</t>
  </si>
  <si>
    <t>2024-01-17T12:20:58+00:00</t>
  </si>
  <si>
    <t>TOURS</t>
  </si>
  <si>
    <t>402-4033858-4644342</t>
  </si>
  <si>
    <t>2024-01-16T20:37:20+00:00</t>
  </si>
  <si>
    <t>2024-01-17T11:21:07+00:00</t>
  </si>
  <si>
    <t>Aucamville</t>
  </si>
  <si>
    <t>407-8218080-4098754</t>
  </si>
  <si>
    <t>2024-01-16T18:42:29+00:00</t>
  </si>
  <si>
    <t>2024-01-17T11:21:06+00:00</t>
  </si>
  <si>
    <t>monaco</t>
  </si>
  <si>
    <t>MC</t>
  </si>
  <si>
    <t>405-6036492-2146709</t>
  </si>
  <si>
    <t>2024-01-16T17:20:45+00:00</t>
  </si>
  <si>
    <t>2024-01-18T16:59:54+00:00</t>
  </si>
  <si>
    <t>montoir de bretagne</t>
  </si>
  <si>
    <t>france</t>
  </si>
  <si>
    <t>405-4662949-2036340</t>
  </si>
  <si>
    <t>2024-01-16T16:35:09+00:00</t>
  </si>
  <si>
    <t>2024-01-16T16:38:37+00:00</t>
  </si>
  <si>
    <t>402-0287355-9589167</t>
  </si>
  <si>
    <t>2024-01-16T10:57:19+00:00</t>
  </si>
  <si>
    <t>2024-01-17T00:38:31+00:00</t>
  </si>
  <si>
    <t>roubaix</t>
  </si>
  <si>
    <t>406-6021451-7592317</t>
  </si>
  <si>
    <t>2024-01-15T19:34:45+00:00</t>
  </si>
  <si>
    <t>2024-01-16T07:35:18+00:00</t>
  </si>
  <si>
    <t>405-9429076-5897128</t>
  </si>
  <si>
    <t>2024-01-15T17:36:48+00:00</t>
  </si>
  <si>
    <t>2024-01-16T12:24:29+00:00</t>
  </si>
  <si>
    <t>Chalon-sur-Saône</t>
  </si>
  <si>
    <t>Saône-et-Loire</t>
  </si>
  <si>
    <t>171-4428742-9105969</t>
  </si>
  <si>
    <t>2024-01-15T17:33:08+00:00</t>
  </si>
  <si>
    <t>2024-01-17T09:12:08+00:00</t>
  </si>
  <si>
    <t>RAMATUELLE</t>
  </si>
  <si>
    <t>405-5282291-8428317</t>
  </si>
  <si>
    <t>2024-01-15T13:21:33+00:00</t>
  </si>
  <si>
    <t>2024-01-16T02:22:32+00:00</t>
  </si>
  <si>
    <t>CABRIES</t>
  </si>
  <si>
    <t>403-7054950-9189907</t>
  </si>
  <si>
    <t>2024-01-15T10:39:11+00:00</t>
  </si>
  <si>
    <t>2024-01-16T07:35:00+00:00</t>
  </si>
  <si>
    <t>St Porchaire</t>
  </si>
  <si>
    <t>402-7507180-2669154</t>
  </si>
  <si>
    <t>2024-01-15T08:31:09+00:00</t>
  </si>
  <si>
    <t>2024-01-15T15:27:08+00:00</t>
  </si>
  <si>
    <t>408-6167614-6584351</t>
  </si>
  <si>
    <t>2024-01-15T07:47:14+00:00</t>
  </si>
  <si>
    <t>2024-01-15T21:05:42+00:00</t>
  </si>
  <si>
    <t>BASTIA</t>
  </si>
  <si>
    <t>407-0143455-8600344</t>
  </si>
  <si>
    <t>2024-01-14T21:50:52+00:00</t>
  </si>
  <si>
    <t>2024-01-15T04:06:27+00:00</t>
  </si>
  <si>
    <t>LIMOGES</t>
  </si>
  <si>
    <t>403-5311605-8413906</t>
  </si>
  <si>
    <t>2024-01-14T18:39:10+00:00</t>
  </si>
  <si>
    <t>2024-01-15T22:33:48+00:00</t>
  </si>
  <si>
    <t>Chennevieres sur Marne</t>
  </si>
  <si>
    <t>405-7677840-3060355</t>
  </si>
  <si>
    <t>2024-01-14T14:22:23+00:00</t>
  </si>
  <si>
    <t>2024-01-15T16:26:11+00:00</t>
  </si>
  <si>
    <t>Etreaupont</t>
  </si>
  <si>
    <t>403-6322500-6006733</t>
  </si>
  <si>
    <t>2024-01-14T08:42:40+00:00</t>
  </si>
  <si>
    <t>2024-01-15T16:20:07+00:00</t>
  </si>
  <si>
    <t>Chavanod</t>
  </si>
  <si>
    <t>407-5318566-7261114</t>
  </si>
  <si>
    <t>2024-01-13T21:21:40+00:00</t>
  </si>
  <si>
    <t>2024-01-15T02:19:27+00:00</t>
  </si>
  <si>
    <t>GRAVELINES</t>
  </si>
  <si>
    <t>406-8201008-0347515</t>
  </si>
  <si>
    <t>2024-01-13T20:16:02+00:00</t>
  </si>
  <si>
    <t>2024-01-14T22:22:11+00:00</t>
  </si>
  <si>
    <t>407-6385948-7527528</t>
  </si>
  <si>
    <t>2024-01-13T19:37:02+00:00</t>
  </si>
  <si>
    <t>2024-01-15T02:19:29+00:00</t>
  </si>
  <si>
    <t>THOMERY</t>
  </si>
  <si>
    <t>404-1558082-7404343</t>
  </si>
  <si>
    <t>2024-01-13T18:21:09+00:00</t>
  </si>
  <si>
    <t>2024-01-15T17:27:41+00:00</t>
  </si>
  <si>
    <t>biscarrosse</t>
  </si>
  <si>
    <t>404-8790766-9240364</t>
  </si>
  <si>
    <t>2024-01-13T16:49:16+00:00</t>
  </si>
  <si>
    <t>2024-01-14T22:20:52+00:00</t>
  </si>
  <si>
    <t>Beillé</t>
  </si>
  <si>
    <t>406-3588127-5143551</t>
  </si>
  <si>
    <t>2024-01-13T16:10:27+00:00</t>
  </si>
  <si>
    <t>2024-01-14T22:20:56+00:00</t>
  </si>
  <si>
    <t>Ornex</t>
  </si>
  <si>
    <t>171-3059365-9404348</t>
  </si>
  <si>
    <t>2024-01-13T11:59:05+00:00</t>
  </si>
  <si>
    <t>2024-01-15T04:02:24+00:00</t>
  </si>
  <si>
    <t>THIONVILLE</t>
  </si>
  <si>
    <t>405-9517755-7613162</t>
  </si>
  <si>
    <t>2024-01-13T09:00:11+00:00</t>
  </si>
  <si>
    <t>2024-01-15T10:33:24+00:00</t>
  </si>
  <si>
    <t>Luxembourg</t>
  </si>
  <si>
    <t>Grand-Duché de Luxembourg</t>
  </si>
  <si>
    <t>407-2068738-8006760</t>
  </si>
  <si>
    <t>2024-01-12T20:57:50+00:00</t>
  </si>
  <si>
    <t>2024-01-16T22:55:46+00:00</t>
  </si>
  <si>
    <t>La Ciotat</t>
  </si>
  <si>
    <t>405-8945389-7528315</t>
  </si>
  <si>
    <t>2024-01-12T20:51:51+00:00</t>
  </si>
  <si>
    <t>2024-01-14T22:56:56+00:00</t>
  </si>
  <si>
    <t>Clermont l herault</t>
  </si>
  <si>
    <t>402-4469659-0792366</t>
  </si>
  <si>
    <t>2024-01-12T19:30:14+00:00</t>
  </si>
  <si>
    <t>2024-01-14T21:35:00+00:00</t>
  </si>
  <si>
    <t>VILLEURBANNE</t>
  </si>
  <si>
    <t>404-9506470-9590743</t>
  </si>
  <si>
    <t>2024-01-12T09:28:08+00:00</t>
  </si>
  <si>
    <t>2024-01-16T07:35:17+00:00</t>
  </si>
  <si>
    <t>Rhône alpes</t>
  </si>
  <si>
    <t>402-0073392-3684348</t>
  </si>
  <si>
    <t>2024-01-10T19:25:30+00:00</t>
  </si>
  <si>
    <t>2024-01-12T20:51:00+00:00</t>
  </si>
  <si>
    <t>crassier</t>
  </si>
  <si>
    <t>vaud</t>
  </si>
  <si>
    <t>CH</t>
  </si>
  <si>
    <t>407-0356534-3599559</t>
  </si>
  <si>
    <t>2024-01-08T09:34:58+00:00</t>
  </si>
  <si>
    <t>2024-01-09T02:30:16+00:00</t>
  </si>
  <si>
    <t>Mauves-sur-Huisne</t>
  </si>
  <si>
    <t>404-2963725-7955532</t>
  </si>
  <si>
    <t>2024-01-06T18:43:14+00:00</t>
  </si>
  <si>
    <t>2024-01-08T02:00:56+00:00</t>
  </si>
  <si>
    <t>Langeais</t>
  </si>
  <si>
    <t>408-6549859-9950748</t>
  </si>
  <si>
    <t>2024-01-06T14:44:01+00:00</t>
  </si>
  <si>
    <t>2024-01-08T00:52:23+00:00</t>
  </si>
  <si>
    <t>Grisolles</t>
  </si>
  <si>
    <t>402-8485788-0169922</t>
  </si>
  <si>
    <t>2024-01-06T12:24:53+00:00</t>
  </si>
  <si>
    <t>2024-01-13T00:31:30+00:00</t>
  </si>
  <si>
    <t>Schiltigheim</t>
  </si>
  <si>
    <t>404-1010919-1444320</t>
  </si>
  <si>
    <t>2024-01-05T18:56:54+00:00</t>
  </si>
  <si>
    <t>2024-01-08T01:08:43+00:00</t>
  </si>
  <si>
    <t>HYERES</t>
  </si>
  <si>
    <t>404-8305263-4265957</t>
  </si>
  <si>
    <t>2024-01-05T18:52:22+00:00</t>
  </si>
  <si>
    <t>2024-01-05T18:53:55+00:00</t>
  </si>
  <si>
    <t>171-8469754-6895549</t>
  </si>
  <si>
    <t>2024-01-05T14:38:03+00:00</t>
  </si>
  <si>
    <t>2024-01-13T00:32:01+00:00</t>
  </si>
  <si>
    <t>408-9731198-0635525</t>
  </si>
  <si>
    <t>2024-01-05T13:14:15+00:00</t>
  </si>
  <si>
    <t>2024-01-05T23:51:14+00:00</t>
  </si>
  <si>
    <t>aramon</t>
  </si>
  <si>
    <t>402-6680250-1714700</t>
  </si>
  <si>
    <t>2024-01-04T18:03:35+00:00</t>
  </si>
  <si>
    <t>2024-01-13T00:30:47+00:00</t>
  </si>
  <si>
    <t>St Simeon De Bressieux</t>
  </si>
  <si>
    <t>404-9189558-6677132</t>
  </si>
  <si>
    <t>2024-01-04T16:59:46+00:00</t>
  </si>
  <si>
    <t>2024-01-05T23:52:24+00:00</t>
  </si>
  <si>
    <t>Durtal</t>
  </si>
  <si>
    <t>406-4967109-1835569</t>
  </si>
  <si>
    <t>2024-01-04T11:16:52+00:00</t>
  </si>
  <si>
    <t>2024-01-13T00:31:32+00:00</t>
  </si>
  <si>
    <t>Mougon</t>
  </si>
  <si>
    <t>408-5077346-6569942</t>
  </si>
  <si>
    <t>2024-01-04T11:15:05+00:00</t>
  </si>
  <si>
    <t>2024-01-07T22:44:45+00:00</t>
  </si>
  <si>
    <t>St Pierre D Irube</t>
  </si>
  <si>
    <t>407-2661807-7082708</t>
  </si>
  <si>
    <t>2024-01-03T20:06:38+00:00</t>
  </si>
  <si>
    <t>2024-01-13T00:34:03+00:00</t>
  </si>
  <si>
    <t>rognac</t>
  </si>
  <si>
    <t>171-0052523-4004327</t>
  </si>
  <si>
    <t>2024-01-03T16:38:31+00:00</t>
  </si>
  <si>
    <t>2024-01-07T22:42:03+00:00</t>
  </si>
  <si>
    <t>Savigny Sur Orge</t>
  </si>
  <si>
    <t>405-6078904-5449120</t>
  </si>
  <si>
    <t>2024-01-03T14:28:15+00:00</t>
  </si>
  <si>
    <t>2024-01-10T18:24:05+00:00</t>
  </si>
  <si>
    <t>Clermont Ferrand</t>
  </si>
  <si>
    <t>403-4813580-3202768</t>
  </si>
  <si>
    <t>2024-01-31T17:43:29+00:00</t>
  </si>
  <si>
    <t>2024-02-01T00:25:47+00:00</t>
  </si>
  <si>
    <t>Amazon.es</t>
  </si>
  <si>
    <t>Beper - Masajeador 4 en 1 anticelulítico para Mujer, Masaje Infrarrojo, Triple Acción Circular, Tonificación y Reafirmación, Potencia Ajustable</t>
  </si>
  <si>
    <t>Almazora</t>
  </si>
  <si>
    <t>Castellon</t>
  </si>
  <si>
    <t>405-1052686-2439518</t>
  </si>
  <si>
    <t>2024-01-30T21:59:19+00:00</t>
  </si>
  <si>
    <t>2024-01-31T00:47:37+00:00</t>
  </si>
  <si>
    <t>BEPER 90.590 Pop Corn Retro Máquina para Hacer Palomitas, 630 W, 260 milliliters, Plastic, Blanco/Rojo</t>
  </si>
  <si>
    <t>Casa Groga</t>
  </si>
  <si>
    <t>Alicante</t>
  </si>
  <si>
    <t>406-0030194-8066713</t>
  </si>
  <si>
    <t>2024-01-30T20:27:04+00:00</t>
  </si>
  <si>
    <t>2024-02-01T08:22:19+00:00</t>
  </si>
  <si>
    <t>BEPER BP.400 Rebanador de Verduras y Rallador Eléctrico de Acero, 3 Rodillos de Acero Intercambiables, Corte Juliana, Rodajas y Rejillas Fina, Multi-</t>
  </si>
  <si>
    <t>BP.400_FBA</t>
  </si>
  <si>
    <t>Barcelona</t>
  </si>
  <si>
    <t>J01852748</t>
  </si>
  <si>
    <t>BusinessReg</t>
  </si>
  <si>
    <t>406-5334640-1804342</t>
  </si>
  <si>
    <t>2024-01-29T19:04:14+00:00</t>
  </si>
  <si>
    <t>2024-01-31T09:12:35+00:00</t>
  </si>
  <si>
    <t>BEPER P102ROB050 Picadora recargable USB, Mini Robot de Cocina, Capacidad 250 ml, Potencia 3,7V,3 Cuchillas Acero Inoxidable, Batería recargable, Roj</t>
  </si>
  <si>
    <t>P102ROB050 _FBA</t>
  </si>
  <si>
    <t>Ávila</t>
  </si>
  <si>
    <t>avila</t>
  </si>
  <si>
    <t>404-9957168-8929968</t>
  </si>
  <si>
    <t>2024-01-28T22:31:34+00:00</t>
  </si>
  <si>
    <t>2024-01-29T05:02:42+00:00</t>
  </si>
  <si>
    <t>Torrejón de Ardoz</t>
  </si>
  <si>
    <t>Madrid</t>
  </si>
  <si>
    <t>402-9485218-2373915</t>
  </si>
  <si>
    <t>2024-01-27T13:21:19+00:00</t>
  </si>
  <si>
    <t>2024-01-28T21:54:57+00:00</t>
  </si>
  <si>
    <t>BEPER BT.710Y Crepera eléctrica con mango, 800W, Placa antiadherente, Espátula de madera incluida, Rojo</t>
  </si>
  <si>
    <t>Noia</t>
  </si>
  <si>
    <t>A Coruña</t>
  </si>
  <si>
    <t>408-9428575-5622725</t>
  </si>
  <si>
    <t>2024-01-26T11:03:25+00:00</t>
  </si>
  <si>
    <t>2024-01-28T21:55:01+00:00</t>
  </si>
  <si>
    <t>BEPER BC.261 Vaporera de 5 Litros con Temporizador - Vaporera Cocinar Vapor Arroz, Pescado, Raviolis, Verduras y Carne, Sin BPA</t>
  </si>
  <si>
    <t>PALMA DE MALLORCA (POLIGONO SON CASTELLO)</t>
  </si>
  <si>
    <t>Balears</t>
  </si>
  <si>
    <t>ESB57253841</t>
  </si>
  <si>
    <t>408-0325487-6200311</t>
  </si>
  <si>
    <t>2024-01-26T09:17:10+00:00</t>
  </si>
  <si>
    <t>2024-01-27T15:09:34+00:00</t>
  </si>
  <si>
    <t>BEPER BF.640 Horno Halógeno, Capacidad Máxima 18L, Temporizador 60 Minutos, Blanco</t>
  </si>
  <si>
    <t>Guadix</t>
  </si>
  <si>
    <t>Granada</t>
  </si>
  <si>
    <t>408-5165018-4554725</t>
  </si>
  <si>
    <t>2024-01-23T20:46:18+00:00</t>
  </si>
  <si>
    <t>2024-01-24T00:31:51+00:00</t>
  </si>
  <si>
    <t>Beper Gofrera, Blanco</t>
  </si>
  <si>
    <t>BT.602H_FBA</t>
  </si>
  <si>
    <t>Palma de Mallorca</t>
  </si>
  <si>
    <t>Illes Balears</t>
  </si>
  <si>
    <t>403-6392102-0715568</t>
  </si>
  <si>
    <t>2024-01-18T20:50:03+00:00</t>
  </si>
  <si>
    <t>2024-01-19T00:21:31+00:00</t>
  </si>
  <si>
    <t>gerindote</t>
  </si>
  <si>
    <t>toledo</t>
  </si>
  <si>
    <t>402-0327058-5409155</t>
  </si>
  <si>
    <t>2024-01-08T09:30:01+00:00</t>
  </si>
  <si>
    <t>2024-01-12T12:10:49+00:00</t>
  </si>
  <si>
    <t>El Prat de Ll.</t>
  </si>
  <si>
    <t>S02-0343205-8701960</t>
  </si>
  <si>
    <t>ank8K964mf</t>
  </si>
  <si>
    <t>2024-01-01T23:03:18+00:00</t>
  </si>
  <si>
    <t>2024-01-05T07:37:23+00:00</t>
  </si>
  <si>
    <t>Non-Amazon</t>
  </si>
  <si>
    <t>-</t>
  </si>
  <si>
    <t>amzn.gr.90.550-zAu2_A5qsBzPE1JGuqiP-d-PO</t>
  </si>
  <si>
    <t>Unshipped</t>
  </si>
  <si>
    <t>171-2878765-5657151</t>
  </si>
  <si>
    <t>2024-01-31T22:57:07+00:00</t>
  </si>
  <si>
    <t>2024-02-02T09:28:09+00:00</t>
  </si>
  <si>
    <t>Amazon.it</t>
  </si>
  <si>
    <t>BEPER - Scaldavivande Elettrico Portatile, 2 Contenitori Removibili, Piastra Riscaldante in Acciaio, Posate di Plastica in Dotazione, 220V - Rosso</t>
  </si>
  <si>
    <t>90.920R_FBA</t>
  </si>
  <si>
    <t>Ceregnano</t>
  </si>
  <si>
    <t>RO</t>
  </si>
  <si>
    <t>403-1283942-9411560</t>
  </si>
  <si>
    <t>2024-01-31T22:56:57+00:00</t>
  </si>
  <si>
    <t>2024-02-01T20:26:46+00:00</t>
  </si>
  <si>
    <t>Beper 40.500 Massaggiatore Anticellulite Donna 4 in 1, Massaggio a Raggi Infrarossi, Tripla Azione Circolare, Tonificante e Rassodante, Potenza Regola</t>
  </si>
  <si>
    <t>Noverasco</t>
  </si>
  <si>
    <t>MI</t>
  </si>
  <si>
    <t>404-8551127-0665918</t>
  </si>
  <si>
    <t>2024-01-31T22:56:21+00:00</t>
  </si>
  <si>
    <t>2024-02-01T15:51:04+00:00</t>
  </si>
  <si>
    <t>borgaro torinese</t>
  </si>
  <si>
    <t>TO</t>
  </si>
  <si>
    <t>404-2962422-4813142</t>
  </si>
  <si>
    <t>2024-01-31T22:54:33+00:00</t>
  </si>
  <si>
    <t>2024-02-01T01:29:27+00:00</t>
  </si>
  <si>
    <t>BEPER 90.590Y Macchina per Popcorn, Popcorn in 3 Minuti, 1200 W, Circolazione di Aria Calda, Rosso</t>
  </si>
  <si>
    <t>CERELLO</t>
  </si>
  <si>
    <t>Milano</t>
  </si>
  <si>
    <t>404-4603053-7737941</t>
  </si>
  <si>
    <t>2024-01-31T22:54:19+00:00</t>
  </si>
  <si>
    <t>2024-02-01T15:54:02+00:00</t>
  </si>
  <si>
    <t>BEPER P102ROB001 Tritatutto in vetro, Contenitore in vetro, Corpo in Abs, Doppia coppia di lame in acciaio,2 velocità, base antiscivolo, Capacità di</t>
  </si>
  <si>
    <t>Modena</t>
  </si>
  <si>
    <t>408-2225475-4641143</t>
  </si>
  <si>
    <t>2024-01-31T22:45:24+00:00</t>
  </si>
  <si>
    <t>2024-02-01T13:33:55+00:00</t>
  </si>
  <si>
    <t>Merchant</t>
  </si>
  <si>
    <t>WebsiteOrderChannel</t>
  </si>
  <si>
    <t>Beper P203TFO001, Borsa acqua calda elettrica, ‎Nero, 7.5 x 25 x 16 cm</t>
  </si>
  <si>
    <t>SAN GIOVANNI IN PERSICETO</t>
  </si>
  <si>
    <t>Bologna</t>
  </si>
  <si>
    <t>408-7376819-0028360</t>
  </si>
  <si>
    <t>2024-01-31T22:39:37+00:00</t>
  </si>
  <si>
    <t>2024-02-01T15:50:48+00:00</t>
  </si>
  <si>
    <t>Collegno</t>
  </si>
  <si>
    <t>Torino</t>
  </si>
  <si>
    <t>408-7667375-9662738</t>
  </si>
  <si>
    <t>2024-01-31T22:32:46+00:00</t>
  </si>
  <si>
    <t>2024-02-01T15:50:16+00:00</t>
  </si>
  <si>
    <t>Castel Goffredo</t>
  </si>
  <si>
    <t>Mantova</t>
  </si>
  <si>
    <t>171-6103857-0674714</t>
  </si>
  <si>
    <t>2024-01-31T22:15:48+00:00</t>
  </si>
  <si>
    <t>2024-02-02T10:35:03+00:00</t>
  </si>
  <si>
    <t>BEPER P102ROB050 Tritatutto ricaricabile USB, Mini Robot da Cucina, Capacità 250 ml, Potenza 3,7V,3 Lame Acciaio Inossidabile, Batteria ricaricabile, Rosso/Bianco</t>
  </si>
  <si>
    <t>Bolzano</t>
  </si>
  <si>
    <t>171-6395204-3867503</t>
  </si>
  <si>
    <t>2024-01-31T21:56:12+00:00</t>
  </si>
  <si>
    <t>2024-02-01T02:28:19+00:00</t>
  </si>
  <si>
    <t>Ottaviano</t>
  </si>
  <si>
    <t>Napoli</t>
  </si>
  <si>
    <t>404-8395699-8621944</t>
  </si>
  <si>
    <t>2024-01-31T21:54:20+00:00</t>
  </si>
  <si>
    <t>2024-02-01T02:26:51+00:00</t>
  </si>
  <si>
    <t>Villa Adriana</t>
  </si>
  <si>
    <t>Roma</t>
  </si>
  <si>
    <t>404-2566455-2809917</t>
  </si>
  <si>
    <t>2024-01-31T21:42:14+00:00</t>
  </si>
  <si>
    <t>2024-02-01T17:53:56+00:00</t>
  </si>
  <si>
    <t>MILANO</t>
  </si>
  <si>
    <t>406-5962600-6558755</t>
  </si>
  <si>
    <t>2024-01-31T21:33:40+00:00</t>
  </si>
  <si>
    <t>2024-02-01T04:30:56+00:00</t>
  </si>
  <si>
    <t>Volpago del Montello</t>
  </si>
  <si>
    <t>Treviso</t>
  </si>
  <si>
    <t>404-2210429-0905106</t>
  </si>
  <si>
    <t>2024-01-31T21:32:00+00:00</t>
  </si>
  <si>
    <t>2024-02-01T12:13:21+00:00</t>
  </si>
  <si>
    <t>RM</t>
  </si>
  <si>
    <t>406-4974320-2109929</t>
  </si>
  <si>
    <t>2024-01-31T21:31:37+00:00</t>
  </si>
  <si>
    <t>2024-02-01T15:46:41+00:00</t>
  </si>
  <si>
    <t>BEPER BT.710Y Crepiera elettrica con Manico, 800 W, Piastra in Alluminio con Rivestimento Antiaderente</t>
  </si>
  <si>
    <t>Castel Sant'Elia</t>
  </si>
  <si>
    <t>VT</t>
  </si>
  <si>
    <t>402-8043213-1229122</t>
  </si>
  <si>
    <t>2024-01-31T21:30:17+00:00</t>
  </si>
  <si>
    <t>2024-02-02T01:34:54+00:00</t>
  </si>
  <si>
    <t>Dalmine</t>
  </si>
  <si>
    <t>Bergamo</t>
  </si>
  <si>
    <t>405-4772692-3847550</t>
  </si>
  <si>
    <t>2024-01-31T21:25:27+00:00</t>
  </si>
  <si>
    <t>2024-02-05T09:29:41+00:00</t>
  </si>
  <si>
    <t>orsara di puglia</t>
  </si>
  <si>
    <t>foggia</t>
  </si>
  <si>
    <t>403-5019633-5664336</t>
  </si>
  <si>
    <t>2024-01-31T21:14:28+00:00</t>
  </si>
  <si>
    <t>2024-02-01T02:24:52+00:00</t>
  </si>
  <si>
    <t>Isernia</t>
  </si>
  <si>
    <t>IS</t>
  </si>
  <si>
    <t>407-9820252-0696335</t>
  </si>
  <si>
    <t>2024-01-31T21:03:46+00:00</t>
  </si>
  <si>
    <t>2024-02-02T17:46:08+00:00</t>
  </si>
  <si>
    <t>abano terme</t>
  </si>
  <si>
    <t>padova</t>
  </si>
  <si>
    <t>403-4221570-3961118</t>
  </si>
  <si>
    <t>2024-01-31T21:02:45+00:00</t>
  </si>
  <si>
    <t>2024-02-01T02:33:35+00:00</t>
  </si>
  <si>
    <t>roma</t>
  </si>
  <si>
    <t>404-3571897-8575529</t>
  </si>
  <si>
    <t>2024-01-31T20:58:11+00:00</t>
  </si>
  <si>
    <t>2024-02-01T17:54:04+00:00</t>
  </si>
  <si>
    <t>Beper BC.261 Vaporiera da 5 litri - Vaporiera Elettrica Con Timer per Cottura al Vapore di Riso, Pesce, Ravioli, Verdure, Carne - BFA Free</t>
  </si>
  <si>
    <t>milano</t>
  </si>
  <si>
    <t>407-9149085-5364326</t>
  </si>
  <si>
    <t>2024-01-31T20:53:09+00:00</t>
  </si>
  <si>
    <t>2024-02-01T01:35:58+00:00</t>
  </si>
  <si>
    <t>Monza</t>
  </si>
  <si>
    <t>403-5098240-8791518</t>
  </si>
  <si>
    <t>2024-01-31T20:46:04+00:00</t>
  </si>
  <si>
    <t>2024-02-01T02:30:26+00:00</t>
  </si>
  <si>
    <t>Atessa</t>
  </si>
  <si>
    <t>Ch</t>
  </si>
  <si>
    <t>402-1279812-6853956</t>
  </si>
  <si>
    <t>2024-01-31T20:43:16+00:00</t>
  </si>
  <si>
    <t>2024-02-01T16:36:06+00:00</t>
  </si>
  <si>
    <t>Oyace</t>
  </si>
  <si>
    <t>Italia</t>
  </si>
  <si>
    <t>407-2981583-5195509</t>
  </si>
  <si>
    <t>2024-01-31T20:43:11+00:00</t>
  </si>
  <si>
    <t>2024-02-01T12:51:54+00:00</t>
  </si>
  <si>
    <t>Agrigento</t>
  </si>
  <si>
    <t>404-2164866-3605940</t>
  </si>
  <si>
    <t>2024-01-31T20:35:14+00:00</t>
  </si>
  <si>
    <t>2024-02-01T15:50:55+00:00</t>
  </si>
  <si>
    <t>barge</t>
  </si>
  <si>
    <t>cuneo</t>
  </si>
  <si>
    <t>407-7636598-6717110</t>
  </si>
  <si>
    <t>2024-01-31T20:29:38+00:00</t>
  </si>
  <si>
    <t>2024-02-01T04:32:30+00:00</t>
  </si>
  <si>
    <t>Fara vicentino</t>
  </si>
  <si>
    <t>Vicenza</t>
  </si>
  <si>
    <t>406-4702462-6821965</t>
  </si>
  <si>
    <t>2024-01-31T20:29:13+00:00</t>
  </si>
  <si>
    <t>2024-02-01T14:52:24+00:00</t>
  </si>
  <si>
    <t>Sutri</t>
  </si>
  <si>
    <t>407-5192939-5793138</t>
  </si>
  <si>
    <t>2024-01-31T20:18:46+00:00</t>
  </si>
  <si>
    <t>2024-02-01T02:20:59+00:00</t>
  </si>
  <si>
    <t>Firenze</t>
  </si>
  <si>
    <t>408-3006913-1221136</t>
  </si>
  <si>
    <t>2024-01-31T20:05:14+00:00</t>
  </si>
  <si>
    <t>2024-02-01T16:16:19+00:00</t>
  </si>
  <si>
    <t>Corsico</t>
  </si>
  <si>
    <t>406-7679794-4482734</t>
  </si>
  <si>
    <t>2024-01-31T19:58:56+00:00</t>
  </si>
  <si>
    <t>2024-02-01T02:28:49+00:00</t>
  </si>
  <si>
    <t>Acerra</t>
  </si>
  <si>
    <t>404-1558887-8730767</t>
  </si>
  <si>
    <t>2024-01-31T19:55:56+00:00</t>
  </si>
  <si>
    <t>2024-02-02T20:46:15+00:00</t>
  </si>
  <si>
    <t>Giugliano in Campania</t>
  </si>
  <si>
    <t>PAWS-V2-24410021917-91-  DPWS</t>
  </si>
  <si>
    <t>402-4033472-8186742</t>
  </si>
  <si>
    <t>2024-01-31T19:50:10+00:00</t>
  </si>
  <si>
    <t>2024-02-01T15:51:43+00:00</t>
  </si>
  <si>
    <t>Poggio Renatico</t>
  </si>
  <si>
    <t>FE</t>
  </si>
  <si>
    <t>406-5274031-1312355</t>
  </si>
  <si>
    <t>2024-01-31T19:44:21+00:00</t>
  </si>
  <si>
    <t>2024-02-01T16:11:44+00:00</t>
  </si>
  <si>
    <t>Castelforte</t>
  </si>
  <si>
    <t>LT</t>
  </si>
  <si>
    <t>404-2466010-8330726</t>
  </si>
  <si>
    <t>2024-01-31T19:40:08+00:00</t>
  </si>
  <si>
    <t>2024-02-01T02:28:54+00:00</t>
  </si>
  <si>
    <t>Roccarainola</t>
  </si>
  <si>
    <t>NA</t>
  </si>
  <si>
    <t>405-4897983-0087533</t>
  </si>
  <si>
    <t>2024-01-31T19:37:26+00:00</t>
  </si>
  <si>
    <t>2024-02-01T02:33:33+00:00</t>
  </si>
  <si>
    <t>STORO</t>
  </si>
  <si>
    <t>Trento</t>
  </si>
  <si>
    <t>402-9652322-5441939</t>
  </si>
  <si>
    <t>2024-01-31T19:32:09+00:00</t>
  </si>
  <si>
    <t>2024-02-01T01:32:26+00:00</t>
  </si>
  <si>
    <t>cesano maderno</t>
  </si>
  <si>
    <t>mb</t>
  </si>
  <si>
    <t>171-3402142-6049949</t>
  </si>
  <si>
    <t>2024-01-31T19:30:30+00:00</t>
  </si>
  <si>
    <t>2024-02-01T02:30:19+00:00</t>
  </si>
  <si>
    <t>Moscufo</t>
  </si>
  <si>
    <t>Pescara</t>
  </si>
  <si>
    <t>406-9108792-3768358</t>
  </si>
  <si>
    <t>2024-01-31T19:06:57+00:00</t>
  </si>
  <si>
    <t>2024-02-01T12:53:15+00:00</t>
  </si>
  <si>
    <t>BEPER Macchina per Popcorn, Popcorn in 3 Minuti, No Grassi, Circolazione di Aria Calda, Senza Olio Potenza 1200 W, Rosso/ Oro</t>
  </si>
  <si>
    <t>SIDERNO</t>
  </si>
  <si>
    <t>Reggio Calabria</t>
  </si>
  <si>
    <t>404-6380656-5668362</t>
  </si>
  <si>
    <t>2024-01-31T18:55:21+00:00</t>
  </si>
  <si>
    <t>2024-02-01T13:18:50+00:00</t>
  </si>
  <si>
    <t>Aci catena</t>
  </si>
  <si>
    <t>Catania</t>
  </si>
  <si>
    <t>171-7131100-4663567</t>
  </si>
  <si>
    <t>2024-01-31T18:51:54+00:00</t>
  </si>
  <si>
    <t>2024-02-01T09:31:07+00:00</t>
  </si>
  <si>
    <t>BEPER 40.405 Phon da Viaggio con Manico Pieghevole - Phon da Viaggio Piccolo e Leggero 1200W</t>
  </si>
  <si>
    <t>BARDOLINO</t>
  </si>
  <si>
    <t>Verona</t>
  </si>
  <si>
    <t>403-2802655-2212320</t>
  </si>
  <si>
    <t>2024-01-31T18:50:27+00:00</t>
  </si>
  <si>
    <t>2024-01-31T21:28:26+00:00</t>
  </si>
  <si>
    <t>Fonte Nuova</t>
  </si>
  <si>
    <t>171-0247215-5719575</t>
  </si>
  <si>
    <t>2024-01-31T18:40:35+00:00</t>
  </si>
  <si>
    <t>2024-01-31T19:10:59+00:00</t>
  </si>
  <si>
    <t>SEGGIANO</t>
  </si>
  <si>
    <t>171-9859093-7825116</t>
  </si>
  <si>
    <t>2024-01-31T18:39:07+00:00</t>
  </si>
  <si>
    <t>2024-02-05T08:47:06+00:00</t>
  </si>
  <si>
    <t>Gallipoli</t>
  </si>
  <si>
    <t>LE</t>
  </si>
  <si>
    <t>406-0249631-4760333</t>
  </si>
  <si>
    <t>2024-01-31T18:34:43+00:00</t>
  </si>
  <si>
    <t>2024-02-01T03:44:28+00:00</t>
  </si>
  <si>
    <t>Montesolaro</t>
  </si>
  <si>
    <t>CO</t>
  </si>
  <si>
    <t>402-5726996-5449922</t>
  </si>
  <si>
    <t>2024-01-31T18:27:51+00:00</t>
  </si>
  <si>
    <t>2024-02-03T00:02:59+00:00</t>
  </si>
  <si>
    <t>QUINTO DI TREVISO</t>
  </si>
  <si>
    <t>405-2242828-4575521</t>
  </si>
  <si>
    <t>2024-01-31T18:22:24+00:00</t>
  </si>
  <si>
    <t>2024-02-01T07:45:55+00:00</t>
  </si>
  <si>
    <t>San Fratello</t>
  </si>
  <si>
    <t>ME</t>
  </si>
  <si>
    <t>405-5594544-2765131</t>
  </si>
  <si>
    <t>2024-01-31T18:21:40+00:00</t>
  </si>
  <si>
    <t>2024-02-01T07:46:00+00:00</t>
  </si>
  <si>
    <t>Messina</t>
  </si>
  <si>
    <t>171-5777163-4908325</t>
  </si>
  <si>
    <t>2024-01-31T18:21:31+00:00</t>
  </si>
  <si>
    <t>2024-02-01T02:31:40+00:00</t>
  </si>
  <si>
    <t>Casaloldo</t>
  </si>
  <si>
    <t>Mn</t>
  </si>
  <si>
    <t>405-0588538-2574749</t>
  </si>
  <si>
    <t>2024-01-31T18:04:18+00:00</t>
  </si>
  <si>
    <t>2024-02-01T12:51:52+00:00</t>
  </si>
  <si>
    <t>Enna</t>
  </si>
  <si>
    <t>406-3016286-2851512</t>
  </si>
  <si>
    <t>2024-01-31T18:01:35+00:00</t>
  </si>
  <si>
    <t>2024-02-02T20:57:32+00:00</t>
  </si>
  <si>
    <t>Rimini</t>
  </si>
  <si>
    <t>405-7567493-4676356</t>
  </si>
  <si>
    <t>2024-01-31T17:32:43+00:00</t>
  </si>
  <si>
    <t>2024-02-01T12:24:48+00:00</t>
  </si>
  <si>
    <t>Usini</t>
  </si>
  <si>
    <t>SS</t>
  </si>
  <si>
    <t>405-3955107-8194739</t>
  </si>
  <si>
    <t>2024-01-31T17:32:16+00:00</t>
  </si>
  <si>
    <t>2024-01-31T20:32:27+00:00</t>
  </si>
  <si>
    <t>Bibbiano</t>
  </si>
  <si>
    <t>Reggio Emilia</t>
  </si>
  <si>
    <t>404-4263086-9011516</t>
  </si>
  <si>
    <t>2024-01-31T17:28:15+00:00</t>
  </si>
  <si>
    <t>2024-01-31T20:24:46+00:00</t>
  </si>
  <si>
    <t>Cantù</t>
  </si>
  <si>
    <t>Como</t>
  </si>
  <si>
    <t>408-5768367-8557950</t>
  </si>
  <si>
    <t>2024-01-31T17:24:38+00:00</t>
  </si>
  <si>
    <t>2024-01-31T21:22:55+00:00</t>
  </si>
  <si>
    <t>Palmanova</t>
  </si>
  <si>
    <t>UD</t>
  </si>
  <si>
    <t>405-1242362-4085134</t>
  </si>
  <si>
    <t>2024-01-31T17:24:17+00:00</t>
  </si>
  <si>
    <t>2024-01-31T20:58:40+00:00</t>
  </si>
  <si>
    <t>Vitulazio</t>
  </si>
  <si>
    <t>Caserta</t>
  </si>
  <si>
    <t>406-3145246-0937917</t>
  </si>
  <si>
    <t>2024-01-31T17:21:52+00:00</t>
  </si>
  <si>
    <t>2024-02-01T00:22:47+00:00</t>
  </si>
  <si>
    <t>Rufina</t>
  </si>
  <si>
    <t>405-0628111-3977104</t>
  </si>
  <si>
    <t>2024-01-31T17:12:50+00:00</t>
  </si>
  <si>
    <t>2024-02-01T02:26:21+00:00</t>
  </si>
  <si>
    <t>ROMA</t>
  </si>
  <si>
    <t>404-5239721-1327503</t>
  </si>
  <si>
    <t>2024-01-31T17:00:14+00:00</t>
  </si>
  <si>
    <t>2024-01-31T21:27:20+00:00</t>
  </si>
  <si>
    <t>Palestrina</t>
  </si>
  <si>
    <t>403-6167016-2289107</t>
  </si>
  <si>
    <t>2024-01-31T16:31:33+00:00</t>
  </si>
  <si>
    <t>2024-02-01T02:36:17+00:00</t>
  </si>
  <si>
    <t>Alatri</t>
  </si>
  <si>
    <t>Frosinone</t>
  </si>
  <si>
    <t>406-6035281-5561934</t>
  </si>
  <si>
    <t>2024-01-31T16:25:18+00:00</t>
  </si>
  <si>
    <t>2024-02-01T01:29:52+00:00</t>
  </si>
  <si>
    <t>Venegono Inferiore</t>
  </si>
  <si>
    <t>Italy</t>
  </si>
  <si>
    <t>408-7880364-7619530</t>
  </si>
  <si>
    <t>2024-01-31T16:21:14+00:00</t>
  </si>
  <si>
    <t>2024-01-31T20:58:28+00:00</t>
  </si>
  <si>
    <t>Corbara</t>
  </si>
  <si>
    <t>Salerno</t>
  </si>
  <si>
    <t>171-4299325-8385149</t>
  </si>
  <si>
    <t>2024-01-31T16:17:32+00:00</t>
  </si>
  <si>
    <t>2024-02-01T15:52:45+00:00</t>
  </si>
  <si>
    <t>Gorlago</t>
  </si>
  <si>
    <t>BG</t>
  </si>
  <si>
    <t>404-4317367-9285911</t>
  </si>
  <si>
    <t>2024-01-31T15:59:59+00:00</t>
  </si>
  <si>
    <t>2024-01-31T23:14:30+00:00</t>
  </si>
  <si>
    <t>Beper - Piastra per Waffle, Cialdiera, 5 Waffle Alla Volta, Piastra Antiaderente 18cm, 800-100W - Rosso/Bianco</t>
  </si>
  <si>
    <t>BT.603Y_FBA</t>
  </si>
  <si>
    <t>Bagni di Lucca</t>
  </si>
  <si>
    <t>Lucca</t>
  </si>
  <si>
    <t>403-5838385-0605134</t>
  </si>
  <si>
    <t>2024-01-31T15:57:23+00:00</t>
  </si>
  <si>
    <t>2024-01-31T21:34:34+00:00</t>
  </si>
  <si>
    <t>Viareggio</t>
  </si>
  <si>
    <t>405-2027076-8357149</t>
  </si>
  <si>
    <t>2024-01-31T15:49:21+00:00</t>
  </si>
  <si>
    <t>2024-01-31T20:09:18+00:00</t>
  </si>
  <si>
    <t>portici</t>
  </si>
  <si>
    <t>napoli</t>
  </si>
  <si>
    <t>404-2941756-1917932</t>
  </si>
  <si>
    <t>2024-01-31T15:43:58+00:00</t>
  </si>
  <si>
    <t>2024-02-06T04:31:36+00:00</t>
  </si>
  <si>
    <t>LUGAGNANO VAL D'ARDA</t>
  </si>
  <si>
    <t>PC</t>
  </si>
  <si>
    <t>405-1172904-5912330</t>
  </si>
  <si>
    <t>2024-01-31T15:21:10+00:00</t>
  </si>
  <si>
    <t>2024-02-01T09:08:55+00:00</t>
  </si>
  <si>
    <t>Manziana</t>
  </si>
  <si>
    <t>402-8090883-7436363</t>
  </si>
  <si>
    <t>2024-01-31T15:13:45+00:00</t>
  </si>
  <si>
    <t>2024-02-01T07:36:40+00:00</t>
  </si>
  <si>
    <t>Nereto</t>
  </si>
  <si>
    <t>Teramo</t>
  </si>
  <si>
    <t>407-5254690-0477944</t>
  </si>
  <si>
    <t>2024-01-31T15:05:41+00:00</t>
  </si>
  <si>
    <t>2024-02-01T01:33:59+00:00</t>
  </si>
  <si>
    <t>VILLA D'ALME'</t>
  </si>
  <si>
    <t>402-3763368-3766767</t>
  </si>
  <si>
    <t>2024-01-31T15:04:03+00:00</t>
  </si>
  <si>
    <t>2024-01-31T21:01:27+00:00</t>
  </si>
  <si>
    <t>Battipaglia</t>
  </si>
  <si>
    <t>SA</t>
  </si>
  <si>
    <t>402-5052309-5115554</t>
  </si>
  <si>
    <t>2024-01-31T14:45:21+00:00</t>
  </si>
  <si>
    <t>2024-01-31T18:09:38+00:00</t>
  </si>
  <si>
    <t>CARPI</t>
  </si>
  <si>
    <t>402-7932949-5119556</t>
  </si>
  <si>
    <t>2024-01-31T14:44:47+00:00</t>
  </si>
  <si>
    <t>2024-02-01T12:02:33+00:00</t>
  </si>
  <si>
    <t>villette</t>
  </si>
  <si>
    <t>Verbano Cusio Ossola</t>
  </si>
  <si>
    <t>407-0335455-4281972</t>
  </si>
  <si>
    <t>2024-01-31T14:43:34+00:00</t>
  </si>
  <si>
    <t>2024-02-01T13:33:52+00:00</t>
  </si>
  <si>
    <t>Beper P101TEM001 Scaldavivande per buffet, Acciaio inossidabile, 4 vassoi rimovibili, Termostato per la temperatura, Luce funzionamento, Ideale per buffet</t>
  </si>
  <si>
    <t>grottammare</t>
  </si>
  <si>
    <t>AP</t>
  </si>
  <si>
    <t>407-9257760-3900333</t>
  </si>
  <si>
    <t>2024-01-31T14:42:02+00:00</t>
  </si>
  <si>
    <t>2024-02-01T02:34:38+00:00</t>
  </si>
  <si>
    <t>404-5338854-6233919</t>
  </si>
  <si>
    <t>2024-01-31T14:40:04+00:00</t>
  </si>
  <si>
    <t>2024-01-31T18:23:48+00:00</t>
  </si>
  <si>
    <t>FI</t>
  </si>
  <si>
    <t>402-0011040-5805110</t>
  </si>
  <si>
    <t>2024-01-31T14:38:28+00:00</t>
  </si>
  <si>
    <t>2024-01-31T20:08:11+00:00</t>
  </si>
  <si>
    <t>408-7686690-3792339</t>
  </si>
  <si>
    <t>2024-01-31T14:35:26+00:00</t>
  </si>
  <si>
    <t>2024-01-31T21:20:00+00:00</t>
  </si>
  <si>
    <t>L'AQUILA</t>
  </si>
  <si>
    <t>AQ</t>
  </si>
  <si>
    <t>408-3019023-9214758</t>
  </si>
  <si>
    <t>2024-01-31T14:29:25+00:00</t>
  </si>
  <si>
    <t>2024-01-31T21:39:19+00:00</t>
  </si>
  <si>
    <t>TELVE</t>
  </si>
  <si>
    <t>402-9174144-5780319</t>
  </si>
  <si>
    <t>2024-01-31T14:24:24+00:00</t>
  </si>
  <si>
    <t>2024-01-31T18:11:42+00:00</t>
  </si>
  <si>
    <t>SERRICCIOLO</t>
  </si>
  <si>
    <t>Massa-Carrara</t>
  </si>
  <si>
    <t>406-5644978-9399528</t>
  </si>
  <si>
    <t>2024-01-31T14:22:46+00:00</t>
  </si>
  <si>
    <t>2024-02-04T14:54:45+00:00</t>
  </si>
  <si>
    <t>Mezzane di sotto</t>
  </si>
  <si>
    <t>403-4282237-3542735</t>
  </si>
  <si>
    <t>2024-01-31T14:08:29+00:00</t>
  </si>
  <si>
    <t>2024-01-31T21:36:39+00:00</t>
  </si>
  <si>
    <t>Prato</t>
  </si>
  <si>
    <t>407-0636182-4468363</t>
  </si>
  <si>
    <t>2024-01-31T13:53:53+00:00</t>
  </si>
  <si>
    <t>2024-02-02T16:49:22+00:00</t>
  </si>
  <si>
    <t>Beper C206UTI001 Dispenser Casa e Ufficio, 100 Copriscarpe Monouso Inclusi C206UTI001-Distributore Automatico, ABS, Bianco, 42.5 x 22.5 x 13.5 cm</t>
  </si>
  <si>
    <t>MARANO DI NAPOLI</t>
  </si>
  <si>
    <t>407-0077423-5576320</t>
  </si>
  <si>
    <t>2024-02-02T15:39:16+00:00</t>
  </si>
  <si>
    <t>BEPER C206UTI002 Copriscarpe Monouso Set 100 Sacchetti - Copriscarpe da Casa o Lavoro</t>
  </si>
  <si>
    <t>C206UTI002_FBA</t>
  </si>
  <si>
    <t>405-1769801-5796342</t>
  </si>
  <si>
    <t>2024-01-31T13:49:39+00:00</t>
  </si>
  <si>
    <t>2024-01-31T21:36:09+00:00</t>
  </si>
  <si>
    <t>BO</t>
  </si>
  <si>
    <t>403-7627236-2685928</t>
  </si>
  <si>
    <t>2024-01-31T13:46:22+00:00</t>
  </si>
  <si>
    <t>2024-02-05T13:53:26+00:00</t>
  </si>
  <si>
    <t>408-6220792-3074704</t>
  </si>
  <si>
    <t>2024-01-31T13:41:52+00:00</t>
  </si>
  <si>
    <t>2024-02-01T08:43:18+00:00</t>
  </si>
  <si>
    <t>Coloretta di Zeri</t>
  </si>
  <si>
    <t>402-7850185-4596342</t>
  </si>
  <si>
    <t>2024-01-31T13:36:14+00:00</t>
  </si>
  <si>
    <t>2024-02-01T03:44:14+00:00</t>
  </si>
  <si>
    <t>Elmas</t>
  </si>
  <si>
    <t>ca</t>
  </si>
  <si>
    <t>408-0213569-3218720</t>
  </si>
  <si>
    <t>2024-01-31T13:30:38+00:00</t>
  </si>
  <si>
    <t>2024-01-31T13:31:32+00:00</t>
  </si>
  <si>
    <t>Legnago</t>
  </si>
  <si>
    <t>402-5947319-1609114</t>
  </si>
  <si>
    <t>2024-01-31T13:17:17+00:00</t>
  </si>
  <si>
    <t>2024-02-03T00:28:55+00:00</t>
  </si>
  <si>
    <t>403-3341307-8487544</t>
  </si>
  <si>
    <t>2024-01-31T13:13:53+00:00</t>
  </si>
  <si>
    <t>2024-01-31T17:24:49+00:00</t>
  </si>
  <si>
    <t>Ortelle</t>
  </si>
  <si>
    <t>Lecce</t>
  </si>
  <si>
    <t>407-0331588-2396357</t>
  </si>
  <si>
    <t>2024-01-31T13:07:04+00:00</t>
  </si>
  <si>
    <t>2024-01-31T18:23:09+00:00</t>
  </si>
  <si>
    <t>Volterra</t>
  </si>
  <si>
    <t>Pisa</t>
  </si>
  <si>
    <t>405-0138698-7426774</t>
  </si>
  <si>
    <t>2024-01-31T12:53:17+00:00</t>
  </si>
  <si>
    <t>2024-01-31T16:35:38+00:00</t>
  </si>
  <si>
    <t>Buttigliera Alta</t>
  </si>
  <si>
    <t>402-2478660-0847500</t>
  </si>
  <si>
    <t>2024-01-31T12:48:46+00:00</t>
  </si>
  <si>
    <t>2024-01-31T21:37:44+00:00</t>
  </si>
  <si>
    <t>Beper 90.882 - Fornetto Elettrico 12L, Elementi Riscaldanti al Quarzo, Temperatura Regolabile fino a 230°C, Timer Regolabile fino a 30 Minuti, Autosp</t>
  </si>
  <si>
    <t>90.882_FBA</t>
  </si>
  <si>
    <t>Ostiglia</t>
  </si>
  <si>
    <t>404-9947047-6128308</t>
  </si>
  <si>
    <t>2024-01-31T12:44:33+00:00</t>
  </si>
  <si>
    <t>2024-01-31T17:20:57+00:00</t>
  </si>
  <si>
    <t>mi</t>
  </si>
  <si>
    <t>406-6908357-5433151</t>
  </si>
  <si>
    <t>2024-01-31T12:44:24+00:00</t>
  </si>
  <si>
    <t>2024-01-31T20:09:04+00:00</t>
  </si>
  <si>
    <t>capriglia Irpina</t>
  </si>
  <si>
    <t>avellino</t>
  </si>
  <si>
    <t>403-7838605-6731525</t>
  </si>
  <si>
    <t>2024-01-31T12:35:25+00:00</t>
  </si>
  <si>
    <t>2024-02-01T20:06:59+00:00</t>
  </si>
  <si>
    <t>407-0848319-6351506</t>
  </si>
  <si>
    <t>2024-01-31T12:31:50+00:00</t>
  </si>
  <si>
    <t>2024-01-31T16:33:32+00:00</t>
  </si>
  <si>
    <t>405-6292179-2543528</t>
  </si>
  <si>
    <t>2024-01-31T12:28:44+00:00</t>
  </si>
  <si>
    <t>2024-02-01T13:33:51+00:00</t>
  </si>
  <si>
    <t>IT03967611207</t>
  </si>
  <si>
    <t>406-5334232-6721118</t>
  </si>
  <si>
    <t>2024-01-31T12:26:57+00:00</t>
  </si>
  <si>
    <t>2024-02-02T20:26:34+00:00</t>
  </si>
  <si>
    <t>BEPER BT.150Y Macchina per Hot Dog, 5 Livelli di Cottura, 750 Watt, Design Vintage, Rosso</t>
  </si>
  <si>
    <t>Quinto vicentino</t>
  </si>
  <si>
    <t>Italia/Vicenza</t>
  </si>
  <si>
    <t>406-1078467-5250758</t>
  </si>
  <si>
    <t>2024-01-31T12:17:27+00:00</t>
  </si>
  <si>
    <t>2024-01-31T21:01:12+00:00</t>
  </si>
  <si>
    <t>Valle di Casies</t>
  </si>
  <si>
    <t>406-2351101-2769135</t>
  </si>
  <si>
    <t>2024-01-31T12:13:20+00:00</t>
  </si>
  <si>
    <t>2024-02-01T13:20:34+00:00</t>
  </si>
  <si>
    <t>ALI' TERME</t>
  </si>
  <si>
    <t>408-5151660-1952331</t>
  </si>
  <si>
    <t>2024-01-31T11:57:36+00:00</t>
  </si>
  <si>
    <t>2024-02-01T02:34:48+00:00</t>
  </si>
  <si>
    <t>LAZIO</t>
  </si>
  <si>
    <t>407-0189967-0141921</t>
  </si>
  <si>
    <t>2024-01-31T11:53:04+00:00</t>
  </si>
  <si>
    <t>2024-01-31T16:35:51+00:00</t>
  </si>
  <si>
    <t>Dubino</t>
  </si>
  <si>
    <t>Sondrio, Lombardia , Italia</t>
  </si>
  <si>
    <t>171-4956131-6707529</t>
  </si>
  <si>
    <t>2024-01-31T11:40:29+00:00</t>
  </si>
  <si>
    <t>2024-02-01T11:16:41+00:00</t>
  </si>
  <si>
    <t>Palermo</t>
  </si>
  <si>
    <t>PA</t>
  </si>
  <si>
    <t>404-1331619-2202754</t>
  </si>
  <si>
    <t>2024-01-31T11:38:24+00:00</t>
  </si>
  <si>
    <t>2024-02-02T22:37:41+00:00</t>
  </si>
  <si>
    <t>408-2449391-6481948</t>
  </si>
  <si>
    <t>2024-01-31T11:36:00+00:00</t>
  </si>
  <si>
    <t>2024-01-31T17:25:50+00:00</t>
  </si>
  <si>
    <t>Casarano</t>
  </si>
  <si>
    <t>403-0837905-8817141</t>
  </si>
  <si>
    <t>2024-01-31T11:19:18+00:00</t>
  </si>
  <si>
    <t>2024-02-01T01:34:22+00:00</t>
  </si>
  <si>
    <t>403-4623255-1512311</t>
  </si>
  <si>
    <t>2024-01-31T11:12:24+00:00</t>
  </si>
  <si>
    <t>2024-01-31T18:03:18+00:00</t>
  </si>
  <si>
    <t>Cinisello Balsamo</t>
  </si>
  <si>
    <t>408-7240568-5778722</t>
  </si>
  <si>
    <t>2024-01-31T11:10:14+00:00</t>
  </si>
  <si>
    <t>2024-01-31T15:49:11+00:00</t>
  </si>
  <si>
    <t>Casale monferrato</t>
  </si>
  <si>
    <t>Alessandria</t>
  </si>
  <si>
    <t>407-5993760-2608325</t>
  </si>
  <si>
    <t>2024-01-31T11:07:33+00:00</t>
  </si>
  <si>
    <t>2024-02-02T12:14:21+00:00</t>
  </si>
  <si>
    <t>Castel di Sangro</t>
  </si>
  <si>
    <t>L'Aquila</t>
  </si>
  <si>
    <t>402-5393435-6909137</t>
  </si>
  <si>
    <t>2024-01-31T10:56:18+00:00</t>
  </si>
  <si>
    <t>2024-01-31T13:26:04+00:00</t>
  </si>
  <si>
    <t>Merano</t>
  </si>
  <si>
    <t>BOLZANO</t>
  </si>
  <si>
    <t>404-8613961-7813940</t>
  </si>
  <si>
    <t>2024-01-31T10:43:21+00:00</t>
  </si>
  <si>
    <t>2024-01-31T21:32:14+00:00</t>
  </si>
  <si>
    <t>FANO</t>
  </si>
  <si>
    <t>PESARO E URBINO</t>
  </si>
  <si>
    <t>405-5528553-5584350</t>
  </si>
  <si>
    <t>2024-01-31T10:36:49+00:00</t>
  </si>
  <si>
    <t>2024-02-01T14:42:58+00:00</t>
  </si>
  <si>
    <t>Pontedera</t>
  </si>
  <si>
    <t>407-5083646-3557963</t>
  </si>
  <si>
    <t>2024-01-31T10:20:46+00:00</t>
  </si>
  <si>
    <t>2024-01-31T18:07:04+00:00</t>
  </si>
  <si>
    <t>Lugo Di Romagna</t>
  </si>
  <si>
    <t>RA</t>
  </si>
  <si>
    <t>407-3507543-7122702</t>
  </si>
  <si>
    <t>2024-01-31T10:12:07+00:00</t>
  </si>
  <si>
    <t>2024-02-02T12:19:12+00:00</t>
  </si>
  <si>
    <t xml:space="preserve">Beper BF.640 - Forno Ventilato Multifunzione 12L, Anello di Prolungamento per Capienza Totale 18L, Timer 60 Minuti, Temperatura Regolabile fino a 250 </t>
  </si>
  <si>
    <t>Assemini</t>
  </si>
  <si>
    <t>CA</t>
  </si>
  <si>
    <t>406-7038595-9553165</t>
  </si>
  <si>
    <t>2024-01-31T10:03:07+00:00</t>
  </si>
  <si>
    <t>2024-02-01T02:05:36+00:00</t>
  </si>
  <si>
    <t>BEPER BP.400 Affetta verdure e Grattugia Elettrica per Formaggio in Acciaio - Grattugia Formaggio, Affetta o Taglia Verdure a Julienne</t>
  </si>
  <si>
    <t>ZELO BUON PERSICO</t>
  </si>
  <si>
    <t>Lodi</t>
  </si>
  <si>
    <t>403-7089035-8056309</t>
  </si>
  <si>
    <t>2024-01-31T09:59:54+00:00</t>
  </si>
  <si>
    <t>2024-01-31T21:38:51+00:00</t>
  </si>
  <si>
    <t>407-8742952-2316348</t>
  </si>
  <si>
    <t>2024-01-31T09:46:06+00:00</t>
  </si>
  <si>
    <t>2024-01-31T16:37:14+00:00</t>
  </si>
  <si>
    <t>407-1927895-6176329</t>
  </si>
  <si>
    <t>2024-01-31T09:22:00+00:00</t>
  </si>
  <si>
    <t>2024-02-01T17:05:46+00:00</t>
  </si>
  <si>
    <t>406-3930227-5366733</t>
  </si>
  <si>
    <t>2024-01-31T09:12:49+00:00</t>
  </si>
  <si>
    <t>2024-01-31T12:16:52+00:00</t>
  </si>
  <si>
    <t>Málaga</t>
  </si>
  <si>
    <t>Andalusia</t>
  </si>
  <si>
    <t>403-3108266-7575546</t>
  </si>
  <si>
    <t>2024-01-31T09:10:05+00:00</t>
  </si>
  <si>
    <t>2024-01-31T20:29:44+00:00</t>
  </si>
  <si>
    <t>PERUGIA</t>
  </si>
  <si>
    <t>403-0510457-5659542</t>
  </si>
  <si>
    <t>2024-01-31T09:04:40+00:00</t>
  </si>
  <si>
    <t>2024-01-31T20:08:21+00:00</t>
  </si>
  <si>
    <t>NAPOLI</t>
  </si>
  <si>
    <t>406-4228405-2765112</t>
  </si>
  <si>
    <t>2024-01-31T09:04:12+00:00</t>
  </si>
  <si>
    <t>2024-01-31T23:13:03+00:00</t>
  </si>
  <si>
    <t>Beper Friggitrice elettrica P101FRI100 1 L, 950 W, cestello in acciaio rimovibile, coperchio con oblò, filtro rimovibile lavabile, temperatura regola</t>
  </si>
  <si>
    <t>P101FRI100_FBA</t>
  </si>
  <si>
    <t>405-8946935-4266733</t>
  </si>
  <si>
    <t>2024-01-31T08:53:48+00:00</t>
  </si>
  <si>
    <t>2024-02-01T17:09:19+00:00</t>
  </si>
  <si>
    <t>Mugnano di Napoli</t>
  </si>
  <si>
    <t>407-5818145-6400316</t>
  </si>
  <si>
    <t>2024-01-31T08:41:47+00:00</t>
  </si>
  <si>
    <t>2024-01-31T21:38:35+00:00</t>
  </si>
  <si>
    <t>VR</t>
  </si>
  <si>
    <t>407-6133753-2337107</t>
  </si>
  <si>
    <t>2024-01-31T08:39:38+00:00</t>
  </si>
  <si>
    <t>2024-01-31T12:07:07+00:00</t>
  </si>
  <si>
    <t>Pianella</t>
  </si>
  <si>
    <t>Province of Pescara</t>
  </si>
  <si>
    <t>407-2338952-0774725</t>
  </si>
  <si>
    <t>2024-01-31T08:35:42+00:00</t>
  </si>
  <si>
    <t>2024-01-31T08:36:37+00:00</t>
  </si>
  <si>
    <t>408-8780908-4865168</t>
  </si>
  <si>
    <t>2024-01-31T08:30:21+00:00</t>
  </si>
  <si>
    <t>2024-01-31T13:24:58+00:00</t>
  </si>
  <si>
    <t>406-3166474-8102768</t>
  </si>
  <si>
    <t>2024-01-31T08:22:57+00:00</t>
  </si>
  <si>
    <t>2024-01-31T15:46:15+00:00</t>
  </si>
  <si>
    <t>Sanremo</t>
  </si>
  <si>
    <t>IM</t>
  </si>
  <si>
    <t>404-9657420-3217107</t>
  </si>
  <si>
    <t>2024-01-31T08:09:46+00:00</t>
  </si>
  <si>
    <t>2024-01-31T12:39:39+00:00</t>
  </si>
  <si>
    <t>SAN GIOVANNI ROTONDO</t>
  </si>
  <si>
    <t>Foggia</t>
  </si>
  <si>
    <t>407-5723114-5396340</t>
  </si>
  <si>
    <t>2024-01-31T07:46:23+00:00</t>
  </si>
  <si>
    <t>2024-01-31T15:59:08+00:00</t>
  </si>
  <si>
    <t>RMNFNC01S68L219O</t>
  </si>
  <si>
    <t>CitizenId</t>
  </si>
  <si>
    <t>406-4803634-0802721</t>
  </si>
  <si>
    <t>2024-01-31T07:44:09+00:00</t>
  </si>
  <si>
    <t>2024-01-31T14:32:28+00:00</t>
  </si>
  <si>
    <t>Perugia</t>
  </si>
  <si>
    <t>PG</t>
  </si>
  <si>
    <t>403-5482020-9641915</t>
  </si>
  <si>
    <t>2024-01-31T07:31:29+00:00</t>
  </si>
  <si>
    <t>2024-01-31T15:48:00+00:00</t>
  </si>
  <si>
    <t>Garzigliana</t>
  </si>
  <si>
    <t>171-9177828-3402725</t>
  </si>
  <si>
    <t>2024-01-31T06:47:40+00:00</t>
  </si>
  <si>
    <t>2024-01-31T17:26:10+00:00</t>
  </si>
  <si>
    <t>CONVERSANO</t>
  </si>
  <si>
    <t>BA</t>
  </si>
  <si>
    <t>408-5588456-1649913</t>
  </si>
  <si>
    <t>2024-01-31T03:51:29+00:00</t>
  </si>
  <si>
    <t>2024-01-31T21:28:19+00:00</t>
  </si>
  <si>
    <t>Montelibretti</t>
  </si>
  <si>
    <t>408-8354053-4587520</t>
  </si>
  <si>
    <t>2024-01-30T23:11:03+00:00</t>
  </si>
  <si>
    <t>2024-02-04T23:14:15+00:00</t>
  </si>
  <si>
    <t>Crotone</t>
  </si>
  <si>
    <t>403-7499859-6237138</t>
  </si>
  <si>
    <t>2024-01-30T23:01:31+00:00</t>
  </si>
  <si>
    <t>2024-01-31T20:48:30+00:00</t>
  </si>
  <si>
    <t>Acqualagna</t>
  </si>
  <si>
    <t>PU</t>
  </si>
  <si>
    <t>171-3323237-7550744</t>
  </si>
  <si>
    <t>2024-01-30T22:58:30+00:00</t>
  </si>
  <si>
    <t>2024-01-31T02:30:06+00:00</t>
  </si>
  <si>
    <t>403-4495700-4054730</t>
  </si>
  <si>
    <t>2024-01-30T22:57:34+00:00</t>
  </si>
  <si>
    <t>2024-01-31T02:34:40+00:00</t>
  </si>
  <si>
    <t>Pumenengo</t>
  </si>
  <si>
    <t>403-3680307-6567508</t>
  </si>
  <si>
    <t>2024-01-30T22:49:14+00:00</t>
  </si>
  <si>
    <t>2024-01-31T02:02:20+00:00</t>
  </si>
  <si>
    <t>Trieste</t>
  </si>
  <si>
    <t>Ts</t>
  </si>
  <si>
    <t>171-7517520-6274700</t>
  </si>
  <si>
    <t>2024-01-30T22:44:59+00:00</t>
  </si>
  <si>
    <t>2024-01-31T02:29:12+00:00</t>
  </si>
  <si>
    <t>Brisighella</t>
  </si>
  <si>
    <t>Ravenna</t>
  </si>
  <si>
    <t>402-1002889-7101133</t>
  </si>
  <si>
    <t>2024-01-30T22:07:33+00:00</t>
  </si>
  <si>
    <t>2024-02-02T11:02:03+00:00</t>
  </si>
  <si>
    <t>SORICO</t>
  </si>
  <si>
    <t>406-5408367-1569106</t>
  </si>
  <si>
    <t>2024-01-30T22:03:11+00:00</t>
  </si>
  <si>
    <t>2024-01-30T22:36:02+00:00</t>
  </si>
  <si>
    <t>MONTEFORTINO</t>
  </si>
  <si>
    <t>FM</t>
  </si>
  <si>
    <t>402-3651289-2788369</t>
  </si>
  <si>
    <t>2024-01-30T21:57:57+00:00</t>
  </si>
  <si>
    <t>2024-01-31T02:29:54+00:00</t>
  </si>
  <si>
    <t>406-9848348-4300355</t>
  </si>
  <si>
    <t>2024-01-30T21:54:41+00:00</t>
  </si>
  <si>
    <t>2024-01-30T21:56:31+00:00</t>
  </si>
  <si>
    <t>402-2653917-4793929</t>
  </si>
  <si>
    <t>2024-01-30T21:53:55+00:00</t>
  </si>
  <si>
    <t>2024-01-31T12:49:55+00:00</t>
  </si>
  <si>
    <t>Cerchiara di Calabria</t>
  </si>
  <si>
    <t>Cosenza</t>
  </si>
  <si>
    <t>408-0439770-0069164</t>
  </si>
  <si>
    <t>2024-01-30T21:47:29+00:00</t>
  </si>
  <si>
    <t>2024-01-31T18:14:52+00:00</t>
  </si>
  <si>
    <t>Lagonegro</t>
  </si>
  <si>
    <t>Potenza</t>
  </si>
  <si>
    <t>405-8514559-7761162</t>
  </si>
  <si>
    <t>2024-01-30T21:42:54+00:00</t>
  </si>
  <si>
    <t>2024-01-31T09:25:10+00:00</t>
  </si>
  <si>
    <t>Ospedaletto euganeo</t>
  </si>
  <si>
    <t>Padova</t>
  </si>
  <si>
    <t>406-6611538-3317904</t>
  </si>
  <si>
    <t>2024-01-30T21:26:53+00:00</t>
  </si>
  <si>
    <t>2024-01-31T18:27:59+00:00</t>
  </si>
  <si>
    <t>Tarquinia</t>
  </si>
  <si>
    <t>Viterbo</t>
  </si>
  <si>
    <t>407-8241787-8630726</t>
  </si>
  <si>
    <t>2024-01-30T21:14:40+00:00</t>
  </si>
  <si>
    <t>2024-01-31T18:05:29+00:00</t>
  </si>
  <si>
    <t>403-6300830-0647555</t>
  </si>
  <si>
    <t>2024-01-30T20:33:57+00:00</t>
  </si>
  <si>
    <t>2024-01-31T15:49:52+00:00</t>
  </si>
  <si>
    <t>404-9252686-7439549</t>
  </si>
  <si>
    <t>2024-01-30T20:28:24+00:00</t>
  </si>
  <si>
    <t>2024-01-30T22:59:13+00:00</t>
  </si>
  <si>
    <t>Rm</t>
  </si>
  <si>
    <t>403-9329261-5997155</t>
  </si>
  <si>
    <t>2024-01-30T20:22:24+00:00</t>
  </si>
  <si>
    <t>2024-01-31T08:45:42+00:00</t>
  </si>
  <si>
    <t>Santo Stefano al Mare  ( IM )</t>
  </si>
  <si>
    <t>171-2953792-9358746</t>
  </si>
  <si>
    <t>2024-01-30T20:11:54+00:00</t>
  </si>
  <si>
    <t>2024-01-31T16:35:09+00:00</t>
  </si>
  <si>
    <t>Ischitella</t>
  </si>
  <si>
    <t>403-9418509-3513958</t>
  </si>
  <si>
    <t>2024-01-30T20:11:01+00:00</t>
  </si>
  <si>
    <t>2024-02-04T21:59:28+00:00</t>
  </si>
  <si>
    <t>Bojano</t>
  </si>
  <si>
    <t>CB</t>
  </si>
  <si>
    <t>408-5342556-3228309</t>
  </si>
  <si>
    <t>2024-01-30T20:09:58+00:00</t>
  </si>
  <si>
    <t>2024-01-31T02:30:43+00:00</t>
  </si>
  <si>
    <t>171-5127084-0605928</t>
  </si>
  <si>
    <t>2024-01-30T20:02:05+00:00</t>
  </si>
  <si>
    <t>2024-01-31T02:39:22+00:00</t>
  </si>
  <si>
    <t>Cesena</t>
  </si>
  <si>
    <t>Province of Forlì-Cesena</t>
  </si>
  <si>
    <t>171-2626979-8944348</t>
  </si>
  <si>
    <t>2024-01-30T20:01:22+00:00</t>
  </si>
  <si>
    <t>2024-01-30T22:59:12+00:00</t>
  </si>
  <si>
    <t>404-3302882-3933902</t>
  </si>
  <si>
    <t>2024-01-30T19:56:14+00:00</t>
  </si>
  <si>
    <t>2024-01-31T02:30:37+00:00</t>
  </si>
  <si>
    <t>Villaricca</t>
  </si>
  <si>
    <t>171-1320087-2971508</t>
  </si>
  <si>
    <t>2024-01-30T19:54:08+00:00</t>
  </si>
  <si>
    <t>2024-01-31T00:22:12+00:00</t>
  </si>
  <si>
    <t>PONTASSIEVE</t>
  </si>
  <si>
    <t>FIRENZE</t>
  </si>
  <si>
    <t>402-8454869-3286700</t>
  </si>
  <si>
    <t>2024-01-30T19:51:11+00:00</t>
  </si>
  <si>
    <t>2024-01-31T01:32:59+00:00</t>
  </si>
  <si>
    <t>Aprilia</t>
  </si>
  <si>
    <t>171-1801601-0191503</t>
  </si>
  <si>
    <t>2024-01-30T19:47:38+00:00</t>
  </si>
  <si>
    <t>2024-01-31T00:22:18+00:00</t>
  </si>
  <si>
    <t>407-0217660-6581163</t>
  </si>
  <si>
    <t>2024-01-30T19:47:37+00:00</t>
  </si>
  <si>
    <t>2024-01-31T02:31:06+00:00</t>
  </si>
  <si>
    <t>MUGNANO DI NAPOLI</t>
  </si>
  <si>
    <t>408-9297047-2916337</t>
  </si>
  <si>
    <t>2024-01-30T19:41:04+00:00</t>
  </si>
  <si>
    <t>2024-01-31T09:13:24+00:00</t>
  </si>
  <si>
    <t>Bitritto</t>
  </si>
  <si>
    <t>Bari</t>
  </si>
  <si>
    <t>404-4717658-4352310</t>
  </si>
  <si>
    <t>2024-01-30T19:32:23+00:00</t>
  </si>
  <si>
    <t>2024-01-30T19:45:58+00:00</t>
  </si>
  <si>
    <t>genova</t>
  </si>
  <si>
    <t>Genova</t>
  </si>
  <si>
    <t>403-3046810-6767516</t>
  </si>
  <si>
    <t>2024-01-30T19:25:58+00:00</t>
  </si>
  <si>
    <t>2024-01-31T02:31:40+00:00</t>
  </si>
  <si>
    <t>408-1390838-0793906</t>
  </si>
  <si>
    <t>2024-01-30T19:24:27+00:00</t>
  </si>
  <si>
    <t>2024-01-31T16:21:59+00:00</t>
  </si>
  <si>
    <t>171-9815660-6958749</t>
  </si>
  <si>
    <t>2024-01-30T19:09:30+00:00</t>
  </si>
  <si>
    <t>2024-01-31T01:34:40+00:00</t>
  </si>
  <si>
    <t>408-8048111-5036350</t>
  </si>
  <si>
    <t>2024-01-30T19:07:40+00:00</t>
  </si>
  <si>
    <t>2024-01-31T18:15:20+00:00</t>
  </si>
  <si>
    <t>Freienfeld</t>
  </si>
  <si>
    <t>Bozen</t>
  </si>
  <si>
    <t>404-7285098-4305116</t>
  </si>
  <si>
    <t>2024-01-30T19:07:21+00:00</t>
  </si>
  <si>
    <t>2024-01-31T01:20:14+00:00</t>
  </si>
  <si>
    <t>VARESE</t>
  </si>
  <si>
    <t>VA</t>
  </si>
  <si>
    <t>403-0175636-0329166</t>
  </si>
  <si>
    <t>2024-01-30T19:03:03+00:00</t>
  </si>
  <si>
    <t>2024-01-30T23:49:16+00:00</t>
  </si>
  <si>
    <t>Pistoia</t>
  </si>
  <si>
    <t>PT</t>
  </si>
  <si>
    <t>405-2315093-7951547</t>
  </si>
  <si>
    <t>2024-01-30T18:49:58+00:00</t>
  </si>
  <si>
    <t>2024-01-30T20:40:04+00:00</t>
  </si>
  <si>
    <t>Bovolenta</t>
  </si>
  <si>
    <t>407-7012605-6959505</t>
  </si>
  <si>
    <t>2024-01-30T18:46:02+00:00</t>
  </si>
  <si>
    <t>2024-02-01T12:51:57+00:00</t>
  </si>
  <si>
    <t>Vittoria</t>
  </si>
  <si>
    <t>Ragusa</t>
  </si>
  <si>
    <t>171-2739289-6049114</t>
  </si>
  <si>
    <t>2024-01-30T18:39:30+00:00</t>
  </si>
  <si>
    <t>2024-01-31T13:25:35+00:00</t>
  </si>
  <si>
    <t>Milazzo</t>
  </si>
  <si>
    <t>406-5438242-0184332</t>
  </si>
  <si>
    <t>2024-01-30T18:34:22+00:00</t>
  </si>
  <si>
    <t>2024-01-30T23:25:28+00:00</t>
  </si>
  <si>
    <t>Cecina</t>
  </si>
  <si>
    <t>Livorno</t>
  </si>
  <si>
    <t>407-8588375-4617149</t>
  </si>
  <si>
    <t>2024-01-30T18:23:31+00:00</t>
  </si>
  <si>
    <t>2024-01-31T16:36:15+00:00</t>
  </si>
  <si>
    <t>BAGNOLO SAN VITO</t>
  </si>
  <si>
    <t>171-0073596-7538708</t>
  </si>
  <si>
    <t>2024-01-30T18:20:04+00:00</t>
  </si>
  <si>
    <t>2024-01-31T16:54:13+00:00</t>
  </si>
  <si>
    <t>BEPER BT.602H Waffle Maker con Piastre Antiaderenti, Avvolgicavo e Piedini Antiscivolo - Piastra Waffle 780 W</t>
  </si>
  <si>
    <t>407-1746209-8355538</t>
  </si>
  <si>
    <t>2024-01-30T18:18:52+00:00</t>
  </si>
  <si>
    <t>2024-01-30T21:17:40+00:00</t>
  </si>
  <si>
    <t>403-6785080-6704365</t>
  </si>
  <si>
    <t>2024-01-30T18:08:34+00:00</t>
  </si>
  <si>
    <t>2024-02-01T08:21:14+00:00</t>
  </si>
  <si>
    <t>RUTIGLIANO</t>
  </si>
  <si>
    <t>406-9990317-1381927</t>
  </si>
  <si>
    <t>2024-01-30T18:01:57+00:00</t>
  </si>
  <si>
    <t>2024-01-31T21:43:08+00:00</t>
  </si>
  <si>
    <t>FC</t>
  </si>
  <si>
    <t>405-2284211-2741964</t>
  </si>
  <si>
    <t>2024-01-30T18:01:36+00:00</t>
  </si>
  <si>
    <t>2024-01-31T09:25:39+00:00</t>
  </si>
  <si>
    <t>Casier</t>
  </si>
  <si>
    <t>405-7983017-0747500</t>
  </si>
  <si>
    <t>2024-01-30T18:01:27+00:00</t>
  </si>
  <si>
    <t>2024-01-31T04:21:01+00:00</t>
  </si>
  <si>
    <t>407-0280401-2232375</t>
  </si>
  <si>
    <t>2024-01-30T18:00:53+00:00</t>
  </si>
  <si>
    <t>2024-01-30T20:22:32+00:00</t>
  </si>
  <si>
    <t>Lentate sul Seveso</t>
  </si>
  <si>
    <t>Monza e Brianza</t>
  </si>
  <si>
    <t>408-5690559-1193923</t>
  </si>
  <si>
    <t>2024-01-30T17:41:28+00:00</t>
  </si>
  <si>
    <t>2024-01-31T05:54:56+00:00</t>
  </si>
  <si>
    <t>Noci</t>
  </si>
  <si>
    <t>408-9087299-3540359</t>
  </si>
  <si>
    <t>2024-01-30T17:40:33+00:00</t>
  </si>
  <si>
    <t>2024-01-31T12:08:04+00:00</t>
  </si>
  <si>
    <t>sairano</t>
  </si>
  <si>
    <t>pavia</t>
  </si>
  <si>
    <t>171-5078681-2345939</t>
  </si>
  <si>
    <t>2024-01-30T17:38:15+00:00</t>
  </si>
  <si>
    <t>2024-01-31T15:50:34+00:00</t>
  </si>
  <si>
    <t>LOMBARDORE</t>
  </si>
  <si>
    <t>408-1012895-9082714</t>
  </si>
  <si>
    <t>2024-01-30T17:36:33+00:00</t>
  </si>
  <si>
    <t>2024-01-30T21:01:05+00:00</t>
  </si>
  <si>
    <t>http://www.amazon.it</t>
  </si>
  <si>
    <t>San Bellino (Rovigo)</t>
  </si>
  <si>
    <t>404-5292638-6878758</t>
  </si>
  <si>
    <t>2024-01-30T17:34:10+00:00</t>
  </si>
  <si>
    <t>2024-01-30T20:54:16+00:00</t>
  </si>
  <si>
    <t>Imperia</t>
  </si>
  <si>
    <t>403-5343638-5504356</t>
  </si>
  <si>
    <t>2024-01-30T17:31:20+00:00</t>
  </si>
  <si>
    <t>2024-01-30T21:01:48+00:00</t>
  </si>
  <si>
    <t>406-3359637-4830720</t>
  </si>
  <si>
    <t>2024-01-30T17:08:15+00:00</t>
  </si>
  <si>
    <t>2024-01-31T09:17:59+00:00</t>
  </si>
  <si>
    <t>Ferrara</t>
  </si>
  <si>
    <t>405-7484802-7932323</t>
  </si>
  <si>
    <t>2024-01-30T16:58:43+00:00</t>
  </si>
  <si>
    <t>2024-01-31T02:29:24+00:00</t>
  </si>
  <si>
    <t>Latina scalo</t>
  </si>
  <si>
    <t>408-7859245-8682713</t>
  </si>
  <si>
    <t>2024-01-30T16:49:48+00:00</t>
  </si>
  <si>
    <t>2024-01-30T22:30:14+00:00</t>
  </si>
  <si>
    <t>BEPER P102ROB050 Tritatutto ricaricabile USB, Mini Robot da Cucina, Capacità 250 ml, Potenza 3,7V,3 Lame Acciaio Inossidabile, Batteria ricaricabile,</t>
  </si>
  <si>
    <t>407-9486787-0572303</t>
  </si>
  <si>
    <t>2024-01-30T16:43:56+00:00</t>
  </si>
  <si>
    <t>2024-01-31T15:08:37+00:00</t>
  </si>
  <si>
    <t>minori</t>
  </si>
  <si>
    <t>406-4498964-4324318</t>
  </si>
  <si>
    <t>2024-01-30T16:35:39+00:00</t>
  </si>
  <si>
    <t>2024-02-01T02:06:20+00:00</t>
  </si>
  <si>
    <t>Pavia</t>
  </si>
  <si>
    <t>Pv</t>
  </si>
  <si>
    <t>408-5751631-0830762</t>
  </si>
  <si>
    <t>2024-01-30T16:33:53+00:00</t>
  </si>
  <si>
    <t>2024-01-31T02:37:38+00:00</t>
  </si>
  <si>
    <t>406-5933901-8129924</t>
  </si>
  <si>
    <t>2024-01-30T16:29:58+00:00</t>
  </si>
  <si>
    <t>2024-02-01T01:45:23+00:00</t>
  </si>
  <si>
    <t>OLGINATE</t>
  </si>
  <si>
    <t>LECCO</t>
  </si>
  <si>
    <t>408-8939701-1093926</t>
  </si>
  <si>
    <t>2024-01-30T16:29:35+00:00</t>
  </si>
  <si>
    <t>2024-01-31T09:07:44+00:00</t>
  </si>
  <si>
    <t>408-5643096-8630719</t>
  </si>
  <si>
    <t>2024-01-30T16:29:32+00:00</t>
  </si>
  <si>
    <t>2024-01-30T22:31:56+00:00</t>
  </si>
  <si>
    <t>405-6839260-8809105</t>
  </si>
  <si>
    <t>2024-01-30T16:02:34+00:00</t>
  </si>
  <si>
    <t>2024-01-30T23:50:17+00:00</t>
  </si>
  <si>
    <t>Torrita di Siena</t>
  </si>
  <si>
    <t>Italia, Siena, Toscana</t>
  </si>
  <si>
    <t>403-9206112-6453156</t>
  </si>
  <si>
    <t>2024-01-30T16:02:26+00:00</t>
  </si>
  <si>
    <t>2024-01-31T16:22:00+00:00</t>
  </si>
  <si>
    <t>406-9960444-3461148</t>
  </si>
  <si>
    <t>2024-01-30T15:58:17+00:00</t>
  </si>
  <si>
    <t>2024-01-31T18:14:48+00:00</t>
  </si>
  <si>
    <t>406-7741727-2201162</t>
  </si>
  <si>
    <t>2024-01-30T15:58:07+00:00</t>
  </si>
  <si>
    <t>2024-01-31T01:36:42+00:00</t>
  </si>
  <si>
    <t>Casalguidi</t>
  </si>
  <si>
    <t>403-2054967-0218710</t>
  </si>
  <si>
    <t>2024-01-30T15:57:52+00:00</t>
  </si>
  <si>
    <t>2024-01-31T16:35:04+00:00</t>
  </si>
  <si>
    <t>Nicosia</t>
  </si>
  <si>
    <t>405-4475726-7611564</t>
  </si>
  <si>
    <t>2024-01-30T15:35:01+00:00</t>
  </si>
  <si>
    <t>2024-01-31T18:08:33+00:00</t>
  </si>
  <si>
    <t>404-6034622-7146742</t>
  </si>
  <si>
    <t>2024-01-30T15:31:02+00:00</t>
  </si>
  <si>
    <t>2024-01-30T17:23:24+00:00</t>
  </si>
  <si>
    <t>407-4191448-0255550</t>
  </si>
  <si>
    <t>2024-01-30T15:28:52+00:00</t>
  </si>
  <si>
    <t>2024-01-30T17:54:05+00:00</t>
  </si>
  <si>
    <t>Frattaminore</t>
  </si>
  <si>
    <t>MCCFNC94S18F839B</t>
  </si>
  <si>
    <t>402-2071078-3245159</t>
  </si>
  <si>
    <t>2024-01-30T15:28:24+00:00</t>
  </si>
  <si>
    <t>2024-01-31T00:00:39+00:00</t>
  </si>
  <si>
    <t>407-8007904-4337133</t>
  </si>
  <si>
    <t>2024-01-30T15:24:26+00:00</t>
  </si>
  <si>
    <t>2024-01-30T17:54:13+00:00</t>
  </si>
  <si>
    <t>C206UTI001_FBA</t>
  </si>
  <si>
    <t>402-4069654-3934746</t>
  </si>
  <si>
    <t>2024-01-30T15:21:54+00:00</t>
  </si>
  <si>
    <t>2024-01-30T21:25:43+00:00</t>
  </si>
  <si>
    <t>404-8429657-7266737</t>
  </si>
  <si>
    <t>2024-01-30T15:03:09+00:00</t>
  </si>
  <si>
    <t>2024-01-30T21:25:44+00:00</t>
  </si>
  <si>
    <t>407-1988568-4587518</t>
  </si>
  <si>
    <t>2024-01-30T14:57:03+00:00</t>
  </si>
  <si>
    <t>2024-01-30T21:50:18+00:00</t>
  </si>
  <si>
    <t>408-6520113-9177916</t>
  </si>
  <si>
    <t>2024-01-30T14:56:01+00:00</t>
  </si>
  <si>
    <t>2024-02-01T17:23:12+00:00</t>
  </si>
  <si>
    <t>Livigno</t>
  </si>
  <si>
    <t>Sondrio</t>
  </si>
  <si>
    <t>407-6861482-1040301</t>
  </si>
  <si>
    <t>2024-01-30T14:55:23+00:00</t>
  </si>
  <si>
    <t>2024-01-31T15:51:40+00:00</t>
  </si>
  <si>
    <t>DELLO</t>
  </si>
  <si>
    <t>BRESCIA</t>
  </si>
  <si>
    <t>408-1444870-1058757</t>
  </si>
  <si>
    <t>2024-01-30T14:54:53+00:00</t>
  </si>
  <si>
    <t>2024-01-31T09:08:10+00:00</t>
  </si>
  <si>
    <t>408-8545216-2544300</t>
  </si>
  <si>
    <t>2024-01-30T14:54:35+00:00</t>
  </si>
  <si>
    <t>2024-01-30T17:16:59+00:00</t>
  </si>
  <si>
    <t>Borghetto Lodigiano</t>
  </si>
  <si>
    <t>406-6005642-1596353</t>
  </si>
  <si>
    <t>2024-01-30T14:42:13+00:00</t>
  </si>
  <si>
    <t>2024-01-30T21:34:49+00:00</t>
  </si>
  <si>
    <t>S.Marco</t>
  </si>
  <si>
    <t>404-1751770-4349157</t>
  </si>
  <si>
    <t>2024-01-30T14:39:58+00:00</t>
  </si>
  <si>
    <t>2024-01-30T21:28:00+00:00</t>
  </si>
  <si>
    <t>Alba Adriatica</t>
  </si>
  <si>
    <t>TE</t>
  </si>
  <si>
    <t>404-6517249-0189116</t>
  </si>
  <si>
    <t>2024-01-30T14:39:43+00:00</t>
  </si>
  <si>
    <t>2024-02-05T02:52:44+00:00</t>
  </si>
  <si>
    <t>CAVA DE' TIRRENI</t>
  </si>
  <si>
    <t>IT03951470651</t>
  </si>
  <si>
    <t>407-8866803-4069931</t>
  </si>
  <si>
    <t>2024-01-30T14:37:29+00:00</t>
  </si>
  <si>
    <t>2024-01-30T18:01:01+00:00</t>
  </si>
  <si>
    <t>407-5361519-1534769</t>
  </si>
  <si>
    <t>2024-01-30T14:35:47+00:00</t>
  </si>
  <si>
    <t>Martina Franca</t>
  </si>
  <si>
    <t>Taranto</t>
  </si>
  <si>
    <t>406-0643341-0340348</t>
  </si>
  <si>
    <t>2024-01-30T14:34:38+00:00</t>
  </si>
  <si>
    <t>2024-01-30T20:22:51+00:00</t>
  </si>
  <si>
    <t>legnano</t>
  </si>
  <si>
    <t>408-9729671-2025111</t>
  </si>
  <si>
    <t>2024-01-30T14:30:51+00:00</t>
  </si>
  <si>
    <t>Ghedi</t>
  </si>
  <si>
    <t>BS</t>
  </si>
  <si>
    <t>403-6697794-4802762</t>
  </si>
  <si>
    <t>2024-01-30T14:16:55+00:00</t>
  </si>
  <si>
    <t>2024-01-31T05:48:10+00:00</t>
  </si>
  <si>
    <t>405-5790995-4353139</t>
  </si>
  <si>
    <t>2024-01-30T14:03:10+00:00</t>
  </si>
  <si>
    <t>2024-01-31T11:28:41+00:00</t>
  </si>
  <si>
    <t>171-3716910-2567550</t>
  </si>
  <si>
    <t>2024-01-30T14:01:35+00:00</t>
  </si>
  <si>
    <t>2024-01-31T11:25:52+00:00</t>
  </si>
  <si>
    <t>Avigliano Umbro</t>
  </si>
  <si>
    <t>Terni</t>
  </si>
  <si>
    <t>408-9224492-3915505</t>
  </si>
  <si>
    <t>2024-01-30T13:54:00+00:00</t>
  </si>
  <si>
    <t>2024-01-31T06:18:40+00:00</t>
  </si>
  <si>
    <t>Sermide</t>
  </si>
  <si>
    <t>171-7919533-5853911</t>
  </si>
  <si>
    <t>2024-01-30T13:19:03+00:00</t>
  </si>
  <si>
    <t>2024-01-30T15:46:59+00:00</t>
  </si>
  <si>
    <t>408-0645618-4163521</t>
  </si>
  <si>
    <t>2024-01-30T13:12:37+00:00</t>
  </si>
  <si>
    <t>2024-01-31T12:24:50+00:00</t>
  </si>
  <si>
    <t>SAN MARZANO SUL SARNO</t>
  </si>
  <si>
    <t>CAMPANIA</t>
  </si>
  <si>
    <t>407-5036442-4265902</t>
  </si>
  <si>
    <t>2024-01-30T13:10:50+00:00</t>
  </si>
  <si>
    <t>2024-02-04T13:14:01+00:00</t>
  </si>
  <si>
    <t>Pesaro</t>
  </si>
  <si>
    <t>Pesaro e Urbino</t>
  </si>
  <si>
    <t>404-9759699-4122711</t>
  </si>
  <si>
    <t>2024-01-30T13:07:55+00:00</t>
  </si>
  <si>
    <t>2024-01-30T18:29:41+00:00</t>
  </si>
  <si>
    <t>Isola vicentina</t>
  </si>
  <si>
    <t>VI</t>
  </si>
  <si>
    <t>407-9784686-4026724</t>
  </si>
  <si>
    <t>2024-01-30T13:03:09+00:00</t>
  </si>
  <si>
    <t>2024-01-30T21:27:30+00:00</t>
  </si>
  <si>
    <t>405-5991980-5417117</t>
  </si>
  <si>
    <t>2024-01-30T13:01:03+00:00</t>
  </si>
  <si>
    <t>2024-01-30T21:27:35+00:00</t>
  </si>
  <si>
    <t>Madonna del Piano</t>
  </si>
  <si>
    <t>404-9688248-2837967</t>
  </si>
  <si>
    <t>2024-01-30T12:55:21+00:00</t>
  </si>
  <si>
    <t>2024-01-30T17:21:41+00:00</t>
  </si>
  <si>
    <t>Molfetta</t>
  </si>
  <si>
    <t>406-8749236-7609129</t>
  </si>
  <si>
    <t>2024-01-30T12:50:26+00:00</t>
  </si>
  <si>
    <t>2024-02-04T12:54:26+00:00</t>
  </si>
  <si>
    <t>171-0799732-5230748</t>
  </si>
  <si>
    <t>2024-01-30T12:48:53+00:00</t>
  </si>
  <si>
    <t>2024-01-30T15:45:59+00:00</t>
  </si>
  <si>
    <t>171-5208845-3144364</t>
  </si>
  <si>
    <t>2024-01-30T12:41:06+00:00</t>
  </si>
  <si>
    <t>2024-01-30T19:24:20+00:00</t>
  </si>
  <si>
    <t>Montanaro</t>
  </si>
  <si>
    <t>171-3645511-5773947</t>
  </si>
  <si>
    <t>2024-01-30T12:39:54+00:00</t>
  </si>
  <si>
    <t>2024-01-30T17:42:49+00:00</t>
  </si>
  <si>
    <t>salerno</t>
  </si>
  <si>
    <t>404-8736742-8943548</t>
  </si>
  <si>
    <t>2024-01-30T12:26:24+00:00</t>
  </si>
  <si>
    <t>2024-01-31T15:47:33+00:00</t>
  </si>
  <si>
    <t>BEPER BP.961 Mescolatore Automatico</t>
  </si>
  <si>
    <t>404-4865441-2737938</t>
  </si>
  <si>
    <t>2024-01-30T12:23:24+00:00</t>
  </si>
  <si>
    <t>2024-01-30T17:18:49+00:00</t>
  </si>
  <si>
    <t>SAN GIULIANO MILANESE</t>
  </si>
  <si>
    <t>171-9904654-5886737</t>
  </si>
  <si>
    <t>2024-01-30T12:22:13+00:00</t>
  </si>
  <si>
    <t>2024-01-30T17:42:32+00:00</t>
  </si>
  <si>
    <t>Striano</t>
  </si>
  <si>
    <t>404-0735488-0215543</t>
  </si>
  <si>
    <t>2024-01-30T12:16:50+00:00</t>
  </si>
  <si>
    <t>2024-01-30T20:37:19+00:00</t>
  </si>
  <si>
    <t>Gassino Torinese</t>
  </si>
  <si>
    <t>404-9613526-7220301</t>
  </si>
  <si>
    <t>2024-01-30T12:12:37+00:00</t>
  </si>
  <si>
    <t>2024-01-31T01:29:24+00:00</t>
  </si>
  <si>
    <t>cordenons</t>
  </si>
  <si>
    <t>pn</t>
  </si>
  <si>
    <t>408-2285748-9769931</t>
  </si>
  <si>
    <t>2024-01-30T12:10:18+00:00</t>
  </si>
  <si>
    <t>2024-01-31T09:51:34+00:00</t>
  </si>
  <si>
    <t>405-8210853-2728321</t>
  </si>
  <si>
    <t>2024-01-30T12:09:37+00:00</t>
  </si>
  <si>
    <t>2024-01-31T15:08:34+00:00</t>
  </si>
  <si>
    <t>BEPER Sauna Facciale e Aromaterapia 2 Potenze, Trattamenti Curativi e Rilassanti, Idratazione e Pulizia Viso, Serbatoio per Essenze Profumate Bianco/Verde</t>
  </si>
  <si>
    <t>MUGGIA</t>
  </si>
  <si>
    <t>TS</t>
  </si>
  <si>
    <t>408-7669528-3705963</t>
  </si>
  <si>
    <t>2024-01-30T12:02:34+00:00</t>
  </si>
  <si>
    <t>2024-01-30T21:26:11+00:00</t>
  </si>
  <si>
    <t>TR</t>
  </si>
  <si>
    <t>406-4617830-6149119</t>
  </si>
  <si>
    <t>2024-01-30T11:40:09+00:00</t>
  </si>
  <si>
    <t>2024-01-30T18:09:29+00:00</t>
  </si>
  <si>
    <t>406-6018014-5070756</t>
  </si>
  <si>
    <t>2024-01-30T11:33:28+00:00</t>
  </si>
  <si>
    <t>2024-01-31T18:11:26+00:00</t>
  </si>
  <si>
    <t>SIGNA</t>
  </si>
  <si>
    <t>408-0408345-1967531</t>
  </si>
  <si>
    <t>2024-01-30T11:26:48+00:00</t>
  </si>
  <si>
    <t>2024-01-31T09:25:21+00:00</t>
  </si>
  <si>
    <t>BZ</t>
  </si>
  <si>
    <t>406-3966745-9371540</t>
  </si>
  <si>
    <t>2024-01-30T11:17:09+00:00</t>
  </si>
  <si>
    <t>2024-02-01T02:34:34+00:00</t>
  </si>
  <si>
    <t>403-3894150-0247527</t>
  </si>
  <si>
    <t>2024-01-30T11:15:39+00:00</t>
  </si>
  <si>
    <t>2024-01-30T21:49:58+00:00</t>
  </si>
  <si>
    <t>408-3653573-5690709</t>
  </si>
  <si>
    <t>2024-01-30T11:15:10+00:00</t>
  </si>
  <si>
    <t>2024-02-01T07:13:40+00:00</t>
  </si>
  <si>
    <t>sorisole</t>
  </si>
  <si>
    <t>bergamo</t>
  </si>
  <si>
    <t>403-3370164-6204362</t>
  </si>
  <si>
    <t>2024-01-30T11:14:37+00:00</t>
  </si>
  <si>
    <t>2024-01-31T00:31:46+00:00</t>
  </si>
  <si>
    <t>Ercolano</t>
  </si>
  <si>
    <t>171-9535008-0125927</t>
  </si>
  <si>
    <t>2024-01-30T11:00:21+00:00</t>
  </si>
  <si>
    <t>2024-01-30T18:22:34+00:00</t>
  </si>
  <si>
    <t>Montecatini-Terme</t>
  </si>
  <si>
    <t>171-9382914-6241936</t>
  </si>
  <si>
    <t>2024-01-30T10:58:39+00:00</t>
  </si>
  <si>
    <t>2024-02-04T11:01:50+00:00</t>
  </si>
  <si>
    <t>403-7435167-2439527</t>
  </si>
  <si>
    <t>2024-01-30T10:57:45+00:00</t>
  </si>
  <si>
    <t>2024-01-31T09:12:47+00:00</t>
  </si>
  <si>
    <t>Adelfia</t>
  </si>
  <si>
    <t>Italia/Puglia/Bari</t>
  </si>
  <si>
    <t>403-9898399-4884351</t>
  </si>
  <si>
    <t>2024-01-30T10:53:46+00:00</t>
  </si>
  <si>
    <t>2024-01-31T01:36:48+00:00</t>
  </si>
  <si>
    <t>Ponte Lambro</t>
  </si>
  <si>
    <t>402-4658529-3333103</t>
  </si>
  <si>
    <t>2024-01-30T10:48:44+00:00</t>
  </si>
  <si>
    <t>2024-01-30T15:45:41+00:00</t>
  </si>
  <si>
    <t>perosa argentina</t>
  </si>
  <si>
    <t>torino</t>
  </si>
  <si>
    <t>405-6990636-5469966</t>
  </si>
  <si>
    <t>2024-01-30T10:48:29+00:00</t>
  </si>
  <si>
    <t>2024-01-30T20:29:42+00:00</t>
  </si>
  <si>
    <t>Casalmaggiore</t>
  </si>
  <si>
    <t>Cremona</t>
  </si>
  <si>
    <t>406-7244292-0565932</t>
  </si>
  <si>
    <t>2024-01-30T10:41:05+00:00</t>
  </si>
  <si>
    <t>2024-01-30T21:18:22+00:00</t>
  </si>
  <si>
    <t>TA</t>
  </si>
  <si>
    <t>402-8518379-3053945</t>
  </si>
  <si>
    <t>2024-01-30T10:33:13+00:00</t>
  </si>
  <si>
    <t>2024-01-31T15:08:30+00:00</t>
  </si>
  <si>
    <t>bologna</t>
  </si>
  <si>
    <t>GRNNTN53A23D005F</t>
  </si>
  <si>
    <t>404-7054410-5410762</t>
  </si>
  <si>
    <t>2024-01-30T10:29:49+00:00</t>
  </si>
  <si>
    <t>2024-01-30T17:30:04+00:00</t>
  </si>
  <si>
    <t>Assago</t>
  </si>
  <si>
    <t>404-6066544-7609924</t>
  </si>
  <si>
    <t>2024-01-30T10:22:14+00:00</t>
  </si>
  <si>
    <t>2024-01-30T12:32:32+00:00</t>
  </si>
  <si>
    <t>Camaiore</t>
  </si>
  <si>
    <t>407-5026362-8749162</t>
  </si>
  <si>
    <t>2024-01-30T10:16:44+00:00</t>
  </si>
  <si>
    <t>2024-01-31T14:38:27+00:00</t>
  </si>
  <si>
    <t>171-6090017-6430737</t>
  </si>
  <si>
    <t>2024-01-30T10:15:28+00:00</t>
  </si>
  <si>
    <t>2024-01-31T15:48:41+00:00</t>
  </si>
  <si>
    <t>406-4379207-3643542</t>
  </si>
  <si>
    <t>2024-01-30T10:14:48+00:00</t>
  </si>
  <si>
    <t>2024-02-01T08:21:22+00:00</t>
  </si>
  <si>
    <t>Trani</t>
  </si>
  <si>
    <t>BAT</t>
  </si>
  <si>
    <t>404-9748380-0512319</t>
  </si>
  <si>
    <t>2024-01-30T10:12:06+00:00</t>
  </si>
  <si>
    <t>2024-01-30T16:03:55+00:00</t>
  </si>
  <si>
    <t>Frascati</t>
  </si>
  <si>
    <t>403-7054038-8091556</t>
  </si>
  <si>
    <t>2024-01-30T10:03:41+00:00</t>
  </si>
  <si>
    <t>2024-01-30T20:56:42+00:00</t>
  </si>
  <si>
    <t>RIMINI</t>
  </si>
  <si>
    <t>RN</t>
  </si>
  <si>
    <t>403-3195645-8730730</t>
  </si>
  <si>
    <t>2024-01-30T10:01:27+00:00</t>
  </si>
  <si>
    <t>2024-01-30T15:44:38+00:00</t>
  </si>
  <si>
    <t>Cuneo</t>
  </si>
  <si>
    <t>CN</t>
  </si>
  <si>
    <t>406-0331946-0689127</t>
  </si>
  <si>
    <t>2024-01-30T09:56:25+00:00</t>
  </si>
  <si>
    <t>2024-01-30T12:48:27+00:00</t>
  </si>
  <si>
    <t>Matera</t>
  </si>
  <si>
    <t>408-9026642-3724359</t>
  </si>
  <si>
    <t>2024-01-30T09:44:25+00:00</t>
  </si>
  <si>
    <t>2024-01-30T18:35:27+00:00</t>
  </si>
  <si>
    <t>404-7514346-9201938</t>
  </si>
  <si>
    <t>2024-01-30T09:44:11+00:00</t>
  </si>
  <si>
    <t>2024-01-30T23:15:25+00:00</t>
  </si>
  <si>
    <t>GE</t>
  </si>
  <si>
    <t>403-0126447-0191513</t>
  </si>
  <si>
    <t>2024-01-30T09:37:38+00:00</t>
  </si>
  <si>
    <t>2024-01-30T16:28:18+00:00</t>
  </si>
  <si>
    <t>408-2782826-1441161</t>
  </si>
  <si>
    <t>2024-01-30T09:16:36+00:00</t>
  </si>
  <si>
    <t>2024-01-30T17:17:37+00:00</t>
  </si>
  <si>
    <t>Mi</t>
  </si>
  <si>
    <t>408-5314769-6613938</t>
  </si>
  <si>
    <t>2024-01-30T09:15:33+00:00</t>
  </si>
  <si>
    <t>2024-01-30T11:34:09+00:00</t>
  </si>
  <si>
    <t>405-3695836-8583566</t>
  </si>
  <si>
    <t>2024-01-30T09:01:50+00:00</t>
  </si>
  <si>
    <t>2024-01-30T12:14:11+00:00</t>
  </si>
  <si>
    <t>albino</t>
  </si>
  <si>
    <t>405-7462754-0793166</t>
  </si>
  <si>
    <t>2024-01-30T08:57:37+00:00</t>
  </si>
  <si>
    <t>2024-01-31T15:47:36+00:00</t>
  </si>
  <si>
    <t>BEPER 90.825 Fornello Elettrico in Acciaio Inossidabile con 5 Livelli di Potenza - Fornello Elettrico 2 Piastre</t>
  </si>
  <si>
    <t>ALESSANDRIA</t>
  </si>
  <si>
    <t>407-6536289-3933903</t>
  </si>
  <si>
    <t>2024-01-30T08:47:47+00:00</t>
  </si>
  <si>
    <t>2024-01-30T20:54:21+00:00</t>
  </si>
  <si>
    <t>407-7838753-5314744</t>
  </si>
  <si>
    <t>2024-01-30T08:43:37+00:00</t>
  </si>
  <si>
    <t>2024-01-30T12:37:57+00:00</t>
  </si>
  <si>
    <t>Roccavaldina</t>
  </si>
  <si>
    <t>405-5795881-0465909</t>
  </si>
  <si>
    <t>2024-01-30T08:35:19+00:00</t>
  </si>
  <si>
    <t>2024-01-31T02:25:02+00:00</t>
  </si>
  <si>
    <t>405-0530153-1005914</t>
  </si>
  <si>
    <t>2024-01-30T08:22:15+00:00</t>
  </si>
  <si>
    <t>2024-01-30T16:28:20+00:00</t>
  </si>
  <si>
    <t>403-1863277-2320310</t>
  </si>
  <si>
    <t>2024-01-30T08:21:33+00:00</t>
  </si>
  <si>
    <t>2024-02-01T11:24:41+00:00</t>
  </si>
  <si>
    <t>403-9255558-6240359</t>
  </si>
  <si>
    <t>2024-01-30T08:13:12+00:00</t>
  </si>
  <si>
    <t>2024-01-30T21:23:25+00:00</t>
  </si>
  <si>
    <t>Montemurlo</t>
  </si>
  <si>
    <t>403-2290472-3429169</t>
  </si>
  <si>
    <t>2024-01-30T08:06:37+00:00</t>
  </si>
  <si>
    <t>2024-01-30T08:08:50+00:00</t>
  </si>
  <si>
    <t>404-0422777-0187534</t>
  </si>
  <si>
    <t>2024-01-30T07:58:24+00:00</t>
  </si>
  <si>
    <t>2024-01-30T16:50:38+00:00</t>
  </si>
  <si>
    <t>busto arsizio</t>
  </si>
  <si>
    <t>varese</t>
  </si>
  <si>
    <t>407-9433484-5011513</t>
  </si>
  <si>
    <t>2024-01-30T07:56:41+00:00</t>
  </si>
  <si>
    <t>2024-01-30T20:57:22+00:00</t>
  </si>
  <si>
    <t>Riccione</t>
  </si>
  <si>
    <t>402-6209936-0001906</t>
  </si>
  <si>
    <t>2024-01-30T07:54:55+00:00</t>
  </si>
  <si>
    <t>2024-01-30T13:30:25+00:00</t>
  </si>
  <si>
    <t>ROBEGANO</t>
  </si>
  <si>
    <t>Venezia</t>
  </si>
  <si>
    <t>171-1362765-3229147</t>
  </si>
  <si>
    <t>2024-01-30T07:50:48+00:00</t>
  </si>
  <si>
    <t>2024-01-31T10:53:00+00:00</t>
  </si>
  <si>
    <t>Valvori</t>
  </si>
  <si>
    <t>408-1825280-3792322</t>
  </si>
  <si>
    <t>2024-01-30T07:49:19+00:00</t>
  </si>
  <si>
    <t>2024-01-30T15:44:04+00:00</t>
  </si>
  <si>
    <t>Quinzano d'Oglio</t>
  </si>
  <si>
    <t>Brescia</t>
  </si>
  <si>
    <t>407-7015591-5245924</t>
  </si>
  <si>
    <t>2024-01-30T07:49:05+00:00</t>
  </si>
  <si>
    <t>2024-01-31T09:16:35+00:00</t>
  </si>
  <si>
    <t>Policoro</t>
  </si>
  <si>
    <t>171-4604306-4669963</t>
  </si>
  <si>
    <t>2024-01-30T07:42:32+00:00</t>
  </si>
  <si>
    <t>2024-01-31T12:48:40+00:00</t>
  </si>
  <si>
    <t>QUARTU SANT'ELENA</t>
  </si>
  <si>
    <t>405-3515995-7273963</t>
  </si>
  <si>
    <t>2024-01-30T07:19:44+00:00</t>
  </si>
  <si>
    <t>2024-02-01T21:04:45+00:00</t>
  </si>
  <si>
    <t>Gorgonzola</t>
  </si>
  <si>
    <t>403-4825877-5461103</t>
  </si>
  <si>
    <t>2024-01-30T07:03:16+00:00</t>
  </si>
  <si>
    <t>2024-01-31T01:23:57+00:00</t>
  </si>
  <si>
    <t>Macerata</t>
  </si>
  <si>
    <t>407-9169109-8078702</t>
  </si>
  <si>
    <t>2024-01-30T07:02:50+00:00</t>
  </si>
  <si>
    <t>2024-01-30T15:43:49+00:00</t>
  </si>
  <si>
    <t>Tirano</t>
  </si>
  <si>
    <t>407-1110723-7432321</t>
  </si>
  <si>
    <t>2024-01-30T06:57:38+00:00</t>
  </si>
  <si>
    <t>2024-01-30T17:41:27+00:00</t>
  </si>
  <si>
    <t>Na</t>
  </si>
  <si>
    <t>405-1909638-5323542</t>
  </si>
  <si>
    <t>2024-01-30T06:23:57+00:00</t>
  </si>
  <si>
    <t>2024-01-30T23:51:40+00:00</t>
  </si>
  <si>
    <t>Scandicci</t>
  </si>
  <si>
    <t>408-8534513-7001946</t>
  </si>
  <si>
    <t>2024-01-30T05:45:11+00:00</t>
  </si>
  <si>
    <t>2024-01-30T12:52:32+00:00</t>
  </si>
  <si>
    <t>Oristano</t>
  </si>
  <si>
    <t>402-7133195-3263539</t>
  </si>
  <si>
    <t>2024-01-30T05:26:45+00:00</t>
  </si>
  <si>
    <t>2024-01-30T17:59:16+00:00</t>
  </si>
  <si>
    <t>Lissone</t>
  </si>
  <si>
    <t>MB</t>
  </si>
  <si>
    <t>402-1022083-8364327</t>
  </si>
  <si>
    <t>2024-01-30T05:22:33+00:00</t>
  </si>
  <si>
    <t>2024-01-31T16:34:55+00:00</t>
  </si>
  <si>
    <t>Tanaunella</t>
  </si>
  <si>
    <t>Sassari</t>
  </si>
  <si>
    <t>408-3243808-7221960</t>
  </si>
  <si>
    <t>2024-01-30T02:45:58+00:00</t>
  </si>
  <si>
    <t>2024-01-30T12:37:37+00:00</t>
  </si>
  <si>
    <t>408-0700748-6368308</t>
  </si>
  <si>
    <t>2024-01-30T00:08:50+00:00</t>
  </si>
  <si>
    <t>2024-01-30T05:06:27+00:00</t>
  </si>
  <si>
    <t>san vendemiano</t>
  </si>
  <si>
    <t>408-7003534-3912318</t>
  </si>
  <si>
    <t>2024-01-29T22:54:56+00:00</t>
  </si>
  <si>
    <t>2024-01-30T04:02:11+00:00</t>
  </si>
  <si>
    <t>Pozzolo di Villaga</t>
  </si>
  <si>
    <t>407-9992322-0255528</t>
  </si>
  <si>
    <t>2024-01-29T22:42:42+00:00</t>
  </si>
  <si>
    <t>2024-01-30T23:49:02+00:00</t>
  </si>
  <si>
    <t>bagno a ripoli</t>
  </si>
  <si>
    <t>firenze</t>
  </si>
  <si>
    <t>IT03700680485</t>
  </si>
  <si>
    <t>407-7906168-6852366</t>
  </si>
  <si>
    <t>2024-01-29T22:30:57+00:00</t>
  </si>
  <si>
    <t>2024-02-03T22:34:07+00:00</t>
  </si>
  <si>
    <t>Francavilla al mare</t>
  </si>
  <si>
    <t>Chieti</t>
  </si>
  <si>
    <t>171-1981759-0741140</t>
  </si>
  <si>
    <t>2024-01-29T22:15:00+00:00</t>
  </si>
  <si>
    <t>2024-01-30T17:27:46+00:00</t>
  </si>
  <si>
    <t>Perignano</t>
  </si>
  <si>
    <t>408-4622812-7461946</t>
  </si>
  <si>
    <t>2024-01-29T22:04:33+00:00</t>
  </si>
  <si>
    <t>2024-02-01T05:27:41+00:00</t>
  </si>
  <si>
    <t>404-4330214-5742704</t>
  </si>
  <si>
    <t>2024-01-29T22:04:16+00:00</t>
  </si>
  <si>
    <t>2024-01-30T03:46:05+00:00</t>
  </si>
  <si>
    <t>407-1791897-4797923</t>
  </si>
  <si>
    <t>2024-01-29T21:57:51+00:00</t>
  </si>
  <si>
    <t>2024-01-30T23:08:13+00:00</t>
  </si>
  <si>
    <t>Nogara</t>
  </si>
  <si>
    <t>406-9161149-2028308</t>
  </si>
  <si>
    <t>2024-01-29T21:49:22+00:00</t>
  </si>
  <si>
    <t>2024-01-30T21:28:45+00:00</t>
  </si>
  <si>
    <t>405-1143702-5586766</t>
  </si>
  <si>
    <t>2024-01-29T21:47:24+00:00</t>
  </si>
  <si>
    <t>2024-01-30T01:06:11+00:00</t>
  </si>
  <si>
    <t>CAPANNORI</t>
  </si>
  <si>
    <t>lucca</t>
  </si>
  <si>
    <t>402-7263684-1345137</t>
  </si>
  <si>
    <t>2024-01-29T21:26:05+00:00</t>
  </si>
  <si>
    <t>2024-01-30T08:38:53+00:00</t>
  </si>
  <si>
    <t>Melilli</t>
  </si>
  <si>
    <t>Siracusa</t>
  </si>
  <si>
    <t>402-7021905-0440322</t>
  </si>
  <si>
    <t>2024-01-29T21:20:00+00:00</t>
  </si>
  <si>
    <t>2024-01-30T21:18:53+00:00</t>
  </si>
  <si>
    <t>Fontanafredda</t>
  </si>
  <si>
    <t>Pordenone</t>
  </si>
  <si>
    <t>407-5675068-2757101</t>
  </si>
  <si>
    <t>2024-01-29T20:55:23+00:00</t>
  </si>
  <si>
    <t>2024-01-30T05:06:50+00:00</t>
  </si>
  <si>
    <t>Castelfranco Veneto</t>
  </si>
  <si>
    <t>TV</t>
  </si>
  <si>
    <t>402-6542513-8951541</t>
  </si>
  <si>
    <t>2024-01-29T20:54:48+00:00</t>
  </si>
  <si>
    <t>2024-01-31T02:26:07+00:00</t>
  </si>
  <si>
    <t>FROSINONE</t>
  </si>
  <si>
    <t>408-2175076-0586714</t>
  </si>
  <si>
    <t>2024-01-29T20:34:31+00:00</t>
  </si>
  <si>
    <t>2024-01-30T04:54:51+00:00</t>
  </si>
  <si>
    <t>171-0145650-2305122</t>
  </si>
  <si>
    <t>2024-01-29T20:29:59+00:00</t>
  </si>
  <si>
    <t>2024-01-30T12:13:34+00:00</t>
  </si>
  <si>
    <t>MUGGIO'</t>
  </si>
  <si>
    <t>406-4288361-9237949</t>
  </si>
  <si>
    <t>2024-01-29T20:18:36+00:00</t>
  </si>
  <si>
    <t>2024-01-30T01:38:15+00:00</t>
  </si>
  <si>
    <t>406-5797937-1621104</t>
  </si>
  <si>
    <t>2024-01-29T20:14:38+00:00</t>
  </si>
  <si>
    <t>2024-02-01T13:07:30+00:00</t>
  </si>
  <si>
    <t>Guastalla</t>
  </si>
  <si>
    <t>402-0869802-2709131</t>
  </si>
  <si>
    <t>2024-01-29T20:13:11+00:00</t>
  </si>
  <si>
    <t>2024-01-30T01:59:04+00:00</t>
  </si>
  <si>
    <t>rm</t>
  </si>
  <si>
    <t>402-1870604-9723523</t>
  </si>
  <si>
    <t>2024-01-29T20:12:15+00:00</t>
  </si>
  <si>
    <t>2024-01-30T15:47:13+00:00</t>
  </si>
  <si>
    <t>Verolengo</t>
  </si>
  <si>
    <t>406-8156468-3644338</t>
  </si>
  <si>
    <t>2024-01-29T20:11:49+00:00</t>
  </si>
  <si>
    <t>2024-01-30T02:30:37+00:00</t>
  </si>
  <si>
    <t>Frattamaggiore</t>
  </si>
  <si>
    <t>407-3607558-7377924</t>
  </si>
  <si>
    <t>2024-01-29T20:04:14+00:00</t>
  </si>
  <si>
    <t>2024-01-30T23:05:57+00:00</t>
  </si>
  <si>
    <t>Caprino veronese</t>
  </si>
  <si>
    <t>404-9378617-2590715</t>
  </si>
  <si>
    <t>2024-01-29T19:58:29+00:00</t>
  </si>
  <si>
    <t>2024-01-30T19:06:19+00:00</t>
  </si>
  <si>
    <t>171-8403766-5181947</t>
  </si>
  <si>
    <t>2024-01-29T19:56:10+00:00</t>
  </si>
  <si>
    <t>2024-01-31T21:28:20+00:00</t>
  </si>
  <si>
    <t>Revello</t>
  </si>
  <si>
    <t>406-3539261-9161166</t>
  </si>
  <si>
    <t>2024-01-29T19:49:35+00:00</t>
  </si>
  <si>
    <t>2024-01-30T10:57:36+00:00</t>
  </si>
  <si>
    <t>PINETO</t>
  </si>
  <si>
    <t>402-4058390-1573116</t>
  </si>
  <si>
    <t>2024-01-29T19:49:22+00:00</t>
  </si>
  <si>
    <t>2024-01-30T17:16:41+00:00</t>
  </si>
  <si>
    <t>Nova Milanese</t>
  </si>
  <si>
    <t>408-0632508-0931547</t>
  </si>
  <si>
    <t>2024-01-29T19:46:41+00:00</t>
  </si>
  <si>
    <t>2024-01-30T17:22:32+00:00</t>
  </si>
  <si>
    <t>408-1268930-9589913</t>
  </si>
  <si>
    <t>2024-01-29T19:46:39+00:00</t>
  </si>
  <si>
    <t>2024-01-31T19:15:40+00:00</t>
  </si>
  <si>
    <t>Seveso</t>
  </si>
  <si>
    <t>(MB)</t>
  </si>
  <si>
    <t>402-2899419-0298722</t>
  </si>
  <si>
    <t>2024-01-29T19:32:58+00:00</t>
  </si>
  <si>
    <t>2024-01-30T17:16:45+00:00</t>
  </si>
  <si>
    <t>BARUCCANA</t>
  </si>
  <si>
    <t>403-7228513-9545947</t>
  </si>
  <si>
    <t>2024-01-29T19:32:57+00:00</t>
  </si>
  <si>
    <t>2024-01-30T11:24:28+00:00</t>
  </si>
  <si>
    <t>Goito</t>
  </si>
  <si>
    <t>407-4345084-5684346</t>
  </si>
  <si>
    <t>2024-01-29T19:31:28+00:00</t>
  </si>
  <si>
    <t>2024-01-30T15:43:21+00:00</t>
  </si>
  <si>
    <t>Cologno al serio</t>
  </si>
  <si>
    <t>408-9898466-7383541</t>
  </si>
  <si>
    <t>2024-01-29T19:29:05+00:00</t>
  </si>
  <si>
    <t>2024-01-30T09:47:50+00:00</t>
  </si>
  <si>
    <t>408-7983446-1906757</t>
  </si>
  <si>
    <t>2024-01-29T19:19:36+00:00</t>
  </si>
  <si>
    <t>2024-01-30T02:32:43+00:00</t>
  </si>
  <si>
    <t>villa carcina</t>
  </si>
  <si>
    <t>brescia</t>
  </si>
  <si>
    <t>408-4894347-7302716</t>
  </si>
  <si>
    <t>2024-01-29T19:10:24+00:00</t>
  </si>
  <si>
    <t>2024-01-30T04:54:09+00:00</t>
  </si>
  <si>
    <t>Masate</t>
  </si>
  <si>
    <t>403-4894346-1943538</t>
  </si>
  <si>
    <t>2024-01-29T19:08:23+00:00</t>
  </si>
  <si>
    <t>2024-01-31T12:08:50+00:00</t>
  </si>
  <si>
    <t>Manfredonia</t>
  </si>
  <si>
    <t>171-0806367-5201111</t>
  </si>
  <si>
    <t>2024-01-29T19:08:21+00:00</t>
  </si>
  <si>
    <t>2024-01-30T17:18:55+00:00</t>
  </si>
  <si>
    <t>OPERA</t>
  </si>
  <si>
    <t>405-6233839-9509936</t>
  </si>
  <si>
    <t>2024-01-29T19:08:19+00:00</t>
  </si>
  <si>
    <t>2024-01-30T01:58:04+00:00</t>
  </si>
  <si>
    <t>406-5712965-8329901</t>
  </si>
  <si>
    <t>2024-01-29T19:00:31+00:00</t>
  </si>
  <si>
    <t>2024-01-30T04:02:37+00:00</t>
  </si>
  <si>
    <t>Olginate</t>
  </si>
  <si>
    <t>Lecco</t>
  </si>
  <si>
    <t>404-3025520-3987536</t>
  </si>
  <si>
    <t>2024-01-29T18:56:57+00:00</t>
  </si>
  <si>
    <t>2024-01-30T15:43:25+00:00</t>
  </si>
  <si>
    <t>GORLE</t>
  </si>
  <si>
    <t>406-4882475-9894766</t>
  </si>
  <si>
    <t>2024-01-29T18:55:03+00:00</t>
  </si>
  <si>
    <t>2024-01-29T21:27:37+00:00</t>
  </si>
  <si>
    <t>Chieti Scalo</t>
  </si>
  <si>
    <t>403-6790530-7029147</t>
  </si>
  <si>
    <t>2024-01-29T18:41:20+00:00</t>
  </si>
  <si>
    <t>2024-01-30T20:49:51+00:00</t>
  </si>
  <si>
    <t>PADOVA</t>
  </si>
  <si>
    <t>408-0324723-4609168</t>
  </si>
  <si>
    <t>2024-01-29T18:39:58+00:00</t>
  </si>
  <si>
    <t>2024-01-30T14:21:41+00:00</t>
  </si>
  <si>
    <t>Sezzadio</t>
  </si>
  <si>
    <t>AL</t>
  </si>
  <si>
    <t>403-1239737-1634733</t>
  </si>
  <si>
    <t>2024-01-29T18:32:46+00:00</t>
  </si>
  <si>
    <t>2024-01-30T08:38:40+00:00</t>
  </si>
  <si>
    <t>Beper Pulitore a Vapore Igenizzante, Caldaia in Alluminio da 350 Ml, Pulsante Vapore Continuo, Pressione 3.2 Bar, 30 G/Min, Cavo da 3 M Giallo/Nero</t>
  </si>
  <si>
    <t>50.700_FBA</t>
  </si>
  <si>
    <t>407-5565787-5614747</t>
  </si>
  <si>
    <t>2024-01-29T18:23:22+00:00</t>
  </si>
  <si>
    <t>2024-01-29T20:47:03+00:00</t>
  </si>
  <si>
    <t>Gauro</t>
  </si>
  <si>
    <t>407-1444506-8579524</t>
  </si>
  <si>
    <t>2024-01-29T18:20:46+00:00</t>
  </si>
  <si>
    <t>2024-01-30T16:28:45+00:00</t>
  </si>
  <si>
    <t>Inveruno</t>
  </si>
  <si>
    <t>408-2655220-7096353</t>
  </si>
  <si>
    <t>2024-01-29T18:19:37+00:00</t>
  </si>
  <si>
    <t>2024-01-29T22:29:22+00:00</t>
  </si>
  <si>
    <t>408-2701204-8181146</t>
  </si>
  <si>
    <t>2024-01-29T18:14:53+00:00</t>
  </si>
  <si>
    <t>2024-01-30T03:17:38+00:00</t>
  </si>
  <si>
    <t>Recanati</t>
  </si>
  <si>
    <t>406-3941853-1029164</t>
  </si>
  <si>
    <t>2024-01-29T18:04:57+00:00</t>
  </si>
  <si>
    <t>2024-01-29T23:55:52+00:00</t>
  </si>
  <si>
    <t>BEPER P302VIS050 Specchio con Luci, Ingranditore 1x / 2x / 5x - Make-Up per Postazione Trucco, 35x24 cm</t>
  </si>
  <si>
    <t>P302VIS050_FBA</t>
  </si>
  <si>
    <t>pistoia</t>
  </si>
  <si>
    <t>171-2661054-5854701</t>
  </si>
  <si>
    <t>2024-01-29T18:02:14+00:00</t>
  </si>
  <si>
    <t>2024-01-30T11:34:45+00:00</t>
  </si>
  <si>
    <t>Aranova Fiumicino</t>
  </si>
  <si>
    <t>408-6017949-2051554</t>
  </si>
  <si>
    <t>2024-01-29T18:01:51+00:00</t>
  </si>
  <si>
    <t>2024-01-30T07:52:36+00:00</t>
  </si>
  <si>
    <t>Carbonia</t>
  </si>
  <si>
    <t>SU</t>
  </si>
  <si>
    <t>408-8244799-6556329</t>
  </si>
  <si>
    <t>2024-01-29T18:01:41+00:00</t>
  </si>
  <si>
    <t>2024-01-29T20:45:45+00:00</t>
  </si>
  <si>
    <t>Ariano Irpino</t>
  </si>
  <si>
    <t>405-6357093-9567516</t>
  </si>
  <si>
    <t>2024-01-29T17:44:29+00:00</t>
  </si>
  <si>
    <t>2024-01-30T18:20:39+00:00</t>
  </si>
  <si>
    <t>San Giovanni Rotondo</t>
  </si>
  <si>
    <t>Fg</t>
  </si>
  <si>
    <t>405-0726604-6761909</t>
  </si>
  <si>
    <t>2024-01-29T17:30:43+00:00</t>
  </si>
  <si>
    <t>2024-01-29T21:18:46+00:00</t>
  </si>
  <si>
    <t>San Vito Chietino</t>
  </si>
  <si>
    <t>408-2258693-3700336</t>
  </si>
  <si>
    <t>2024-01-29T17:25:53+00:00</t>
  </si>
  <si>
    <t>2024-01-29T21:32:40+00:00</t>
  </si>
  <si>
    <t>407-5399441-0499523</t>
  </si>
  <si>
    <t>2024-01-29T17:21:44+00:00</t>
  </si>
  <si>
    <t>2024-01-29T20:46:15+00:00</t>
  </si>
  <si>
    <t>Torre del Greco</t>
  </si>
  <si>
    <t>407-4272090-0473128</t>
  </si>
  <si>
    <t>2024-01-29T17:20:57+00:00</t>
  </si>
  <si>
    <t>2024-01-30T11:36:39+00:00</t>
  </si>
  <si>
    <t>BEPER 40.490 Asciugacapelli Da Parete 2000 W - Phon da Parete con Cavo Lungo 2 Metri</t>
  </si>
  <si>
    <t>Catanzaro</t>
  </si>
  <si>
    <t>408-9937001-3659535</t>
  </si>
  <si>
    <t>2024-01-29T17:17:53+00:00</t>
  </si>
  <si>
    <t>2024-01-29T20:19:05+00:00</t>
  </si>
  <si>
    <t>San Michele Salentino</t>
  </si>
  <si>
    <t>Brindisi</t>
  </si>
  <si>
    <t>403-5474663-0321963</t>
  </si>
  <si>
    <t>2024-01-29T17:12:31+00:00</t>
  </si>
  <si>
    <t>2024-01-30T16:33:52+00:00</t>
  </si>
  <si>
    <t>La Thuile</t>
  </si>
  <si>
    <t>Aosta</t>
  </si>
  <si>
    <t>171-9785272-2507565</t>
  </si>
  <si>
    <t>2024-01-29T17:09:23+00:00</t>
  </si>
  <si>
    <t>2024-01-30T01:30:17+00:00</t>
  </si>
  <si>
    <t>171-4952186-6951557</t>
  </si>
  <si>
    <t>2024-01-29T16:42:52+00:00</t>
  </si>
  <si>
    <t>2024-01-30T15:52:48+00:00</t>
  </si>
  <si>
    <t>403-8182626-6679542</t>
  </si>
  <si>
    <t>2024-01-29T16:40:54+00:00</t>
  </si>
  <si>
    <t>2024-01-30T01:30:11+00:00</t>
  </si>
  <si>
    <t>Casorate Sempione</t>
  </si>
  <si>
    <t>408-5541428-1633117</t>
  </si>
  <si>
    <t>2024-01-29T16:20:26+00:00</t>
  </si>
  <si>
    <t>2024-01-30T01:36:20+00:00</t>
  </si>
  <si>
    <t>prato</t>
  </si>
  <si>
    <t>po</t>
  </si>
  <si>
    <t>406-6733560-2848336</t>
  </si>
  <si>
    <t>2024-01-29T16:20:22+00:00</t>
  </si>
  <si>
    <t>2024-01-30T18:28:57+00:00</t>
  </si>
  <si>
    <t>PESCARA</t>
  </si>
  <si>
    <t>408-9465586-8363502</t>
  </si>
  <si>
    <t>2024-01-29T16:19:47+00:00</t>
  </si>
  <si>
    <t>2024-01-30T09:48:05+00:00</t>
  </si>
  <si>
    <t>405-9846663-4384331</t>
  </si>
  <si>
    <t>2024-01-29T16:09:42+00:00</t>
  </si>
  <si>
    <t>2024-01-30T11:36:40+00:00</t>
  </si>
  <si>
    <t>407-6180332-8688301</t>
  </si>
  <si>
    <t>2024-01-29T15:52:10+00:00</t>
  </si>
  <si>
    <t>2024-01-29T20:57:19+00:00</t>
  </si>
  <si>
    <t>Montoro</t>
  </si>
  <si>
    <t>Avellino</t>
  </si>
  <si>
    <t>402-3254080-4341164</t>
  </si>
  <si>
    <t>2024-01-29T15:44:29+00:00</t>
  </si>
  <si>
    <t>2024-01-30T01:34:34+00:00</t>
  </si>
  <si>
    <t>BREMBATE DI SOPRA</t>
  </si>
  <si>
    <t>405-4771182-4620306</t>
  </si>
  <si>
    <t>2024-01-29T15:42:25+00:00</t>
  </si>
  <si>
    <t>2024-01-30T12:46:41+00:00</t>
  </si>
  <si>
    <t>402-7540406-0708317</t>
  </si>
  <si>
    <t>2024-01-29T15:37:38+00:00</t>
  </si>
  <si>
    <t>2024-01-30T09:23:36+00:00</t>
  </si>
  <si>
    <t>404-5061913-3157960</t>
  </si>
  <si>
    <t>2024-01-29T15:34:40+00:00</t>
  </si>
  <si>
    <t>2024-01-30T04:18:06+00:00</t>
  </si>
  <si>
    <t>Poggio Miterto</t>
  </si>
  <si>
    <t>Rietie</t>
  </si>
  <si>
    <t>402-0190618-4489966</t>
  </si>
  <si>
    <t>2024-01-29T15:32:20+00:00</t>
  </si>
  <si>
    <t>2024-01-29T20:46:36+00:00</t>
  </si>
  <si>
    <t>torre del greco</t>
  </si>
  <si>
    <t>403-1351001-2261126</t>
  </si>
  <si>
    <t>2024-01-29T15:24:01+00:00</t>
  </si>
  <si>
    <t>2024-01-30T07:06:16+00:00</t>
  </si>
  <si>
    <t>Pula</t>
  </si>
  <si>
    <t>cagliari</t>
  </si>
  <si>
    <t>407-3518276-7565913</t>
  </si>
  <si>
    <t>2024-01-29T15:20:31+00:00</t>
  </si>
  <si>
    <t>2024-01-30T09:19:46+00:00</t>
  </si>
  <si>
    <t>PALO DEL COLLE</t>
  </si>
  <si>
    <t>405-3962295-1481963</t>
  </si>
  <si>
    <t>2024-01-29T15:05:13+00:00</t>
  </si>
  <si>
    <t>2024-01-30T11:00:08+00:00</t>
  </si>
  <si>
    <t>402-0771014-2702716</t>
  </si>
  <si>
    <t>2024-01-29T15:04:18+00:00</t>
  </si>
  <si>
    <t>2024-01-29T21:28:05+00:00</t>
  </si>
  <si>
    <t>405-8045273-8217131</t>
  </si>
  <si>
    <t>2024-01-29T15:03:13+00:00</t>
  </si>
  <si>
    <t>2024-01-30T01:37:05+00:00</t>
  </si>
  <si>
    <t>PONTE GIURINO</t>
  </si>
  <si>
    <t>402-5896193-8692330</t>
  </si>
  <si>
    <t>2024-01-29T14:58:23+00:00</t>
  </si>
  <si>
    <t>2024-01-30T15:20:49+00:00</t>
  </si>
  <si>
    <t>171-4745610-3518716</t>
  </si>
  <si>
    <t>2024-01-29T14:51:45+00:00</t>
  </si>
  <si>
    <t>2024-01-30T17:00:50+00:00</t>
  </si>
  <si>
    <t>404-6873460-9606751</t>
  </si>
  <si>
    <t>2024-01-29T14:50:39+00:00</t>
  </si>
  <si>
    <t>2024-01-30T02:34:20+00:00</t>
  </si>
  <si>
    <t>san pietro al natisone</t>
  </si>
  <si>
    <t>Udine</t>
  </si>
  <si>
    <t>405-6076596-8088302</t>
  </si>
  <si>
    <t>2024-01-29T14:31:08+00:00</t>
  </si>
  <si>
    <t>2024-01-30T12:37:24+00:00</t>
  </si>
  <si>
    <t>caltagirone</t>
  </si>
  <si>
    <t>407-4170461-0918766</t>
  </si>
  <si>
    <t>2024-01-29T14:15:46+00:00</t>
  </si>
  <si>
    <t>2024-01-30T15:47:09+00:00</t>
  </si>
  <si>
    <t>Pecetto Torinese</t>
  </si>
  <si>
    <t>405-5399797-9855561</t>
  </si>
  <si>
    <t>2024-01-29T14:11:52+00:00</t>
  </si>
  <si>
    <t>Livorno Ferraris</t>
  </si>
  <si>
    <t>Vercelli</t>
  </si>
  <si>
    <t>404-6113214-1757919</t>
  </si>
  <si>
    <t>2024-01-29T14:09:56+00:00</t>
  </si>
  <si>
    <t>2024-01-29T17:21:06+00:00</t>
  </si>
  <si>
    <t>Pieve emanuele</t>
  </si>
  <si>
    <t>405-8997359-6298765</t>
  </si>
  <si>
    <t>2024-01-29T14:07:33+00:00</t>
  </si>
  <si>
    <t>2024-01-30T01:36:32+00:00</t>
  </si>
  <si>
    <t>Brembate di Sopra</t>
  </si>
  <si>
    <t>405-0949977-1443521</t>
  </si>
  <si>
    <t>2024-01-29T14:04:12+00:00</t>
  </si>
  <si>
    <t>2024-01-29T20:45:54+00:00</t>
  </si>
  <si>
    <t>403-0145747-8964321</t>
  </si>
  <si>
    <t>2024-01-29T14:00:44+00:00</t>
  </si>
  <si>
    <t>2024-01-30T10:57:41+00:00</t>
  </si>
  <si>
    <t>San Nicolò</t>
  </si>
  <si>
    <t>Piacenza</t>
  </si>
  <si>
    <t>408-1352643-1126731</t>
  </si>
  <si>
    <t>2024-01-29T13:54:08+00:00</t>
  </si>
  <si>
    <t>2024-01-30T09:47:17+00:00</t>
  </si>
  <si>
    <t>406-9500043-0352356</t>
  </si>
  <si>
    <t>2024-01-29T13:47:33+00:00</t>
  </si>
  <si>
    <t>2024-01-29T16:34:26+00:00</t>
  </si>
  <si>
    <t>408-2502803-6524342</t>
  </si>
  <si>
    <t>2024-01-29T13:17:08+00:00</t>
  </si>
  <si>
    <t>2024-01-29T17:32:19+00:00</t>
  </si>
  <si>
    <t>PUTIGNANO</t>
  </si>
  <si>
    <t>406-0061632-2845923</t>
  </si>
  <si>
    <t>2024-01-29T13:13:22+00:00</t>
  </si>
  <si>
    <t>2024-01-30T02:22:02+00:00</t>
  </si>
  <si>
    <t>latina</t>
  </si>
  <si>
    <t>403-5730992-2875521</t>
  </si>
  <si>
    <t>2024-01-29T13:10:42+00:00</t>
  </si>
  <si>
    <t>2024-01-29T16:25:37+00:00</t>
  </si>
  <si>
    <t>sermoneta</t>
  </si>
  <si>
    <t>Latina</t>
  </si>
  <si>
    <t>171-9042936-7176335</t>
  </si>
  <si>
    <t>2024-01-29T13:05:45+00:00</t>
  </si>
  <si>
    <t>2024-01-29T16:38:44+00:00</t>
  </si>
  <si>
    <t>406-1488635-3596322</t>
  </si>
  <si>
    <t>2024-01-29T13:04:16+00:00</t>
  </si>
  <si>
    <t>2024-01-31T07:51:19+00:00</t>
  </si>
  <si>
    <t>Tolmezzo</t>
  </si>
  <si>
    <t>404-8604920-3461954</t>
  </si>
  <si>
    <t>2024-01-29T13:02:37+00:00</t>
  </si>
  <si>
    <t>2024-01-29T18:55:13+00:00</t>
  </si>
  <si>
    <t>CALALZO DI CADORE</t>
  </si>
  <si>
    <t>Belluno</t>
  </si>
  <si>
    <t>406-3595750-5011510</t>
  </si>
  <si>
    <t>2024-01-29T12:59:24+00:00</t>
  </si>
  <si>
    <t>2024-01-29T16:34:19+00:00</t>
  </si>
  <si>
    <t>407-8953928-1261910</t>
  </si>
  <si>
    <t>2024-01-29T12:58:57+00:00</t>
  </si>
  <si>
    <t>2024-01-30T01:45:39+00:00</t>
  </si>
  <si>
    <t>Valbrembo</t>
  </si>
  <si>
    <t>405-1628408-3905151</t>
  </si>
  <si>
    <t>2024-01-29T12:55:47+00:00</t>
  </si>
  <si>
    <t>2024-01-29T15:50:49+00:00</t>
  </si>
  <si>
    <t>171-6043162-6717956</t>
  </si>
  <si>
    <t>2024-01-29T12:51:40+00:00</t>
  </si>
  <si>
    <t>2024-01-29T15:58:14+00:00</t>
  </si>
  <si>
    <t>Massazza</t>
  </si>
  <si>
    <t>Biella</t>
  </si>
  <si>
    <t>404-8524853-4965913</t>
  </si>
  <si>
    <t>2024-01-29T12:49:05+00:00</t>
  </si>
  <si>
    <t>2024-01-29T21:38:11+00:00</t>
  </si>
  <si>
    <t>406-7462178-9852338</t>
  </si>
  <si>
    <t>2024-01-29T12:36:59+00:00</t>
  </si>
  <si>
    <t>2024-01-29T17:24:17+00:00</t>
  </si>
  <si>
    <t>408-1047651-7065136</t>
  </si>
  <si>
    <t>2024-01-29T12:20:09+00:00</t>
  </si>
  <si>
    <t>2024-01-30T08:56:04+00:00</t>
  </si>
  <si>
    <t>404-7220330-2785966</t>
  </si>
  <si>
    <t>2024-01-29T12:14:31+00:00</t>
  </si>
  <si>
    <t>2024-01-31T15:48:26+00:00</t>
  </si>
  <si>
    <t>FORMELLO</t>
  </si>
  <si>
    <t>402-9146561-8237943</t>
  </si>
  <si>
    <t>2024-01-29T12:09:01+00:00</t>
  </si>
  <si>
    <t>2024-01-30T02:03:02+00:00</t>
  </si>
  <si>
    <t>San Giuliano Milanese</t>
  </si>
  <si>
    <t>408-9890180-7197953</t>
  </si>
  <si>
    <t>2024-01-29T11:56:12+00:00</t>
  </si>
  <si>
    <t>2024-01-29T20:54:09+00:00</t>
  </si>
  <si>
    <t>404-9500946-6819527</t>
  </si>
  <si>
    <t>2024-01-29T11:53:39+00:00</t>
  </si>
  <si>
    <t>2024-01-29T15:40:04+00:00</t>
  </si>
  <si>
    <t>Cantalupo in Sabina</t>
  </si>
  <si>
    <t>RIETI</t>
  </si>
  <si>
    <t>408-9946051-6029918</t>
  </si>
  <si>
    <t>2024-01-29T11:49:12+00:00</t>
  </si>
  <si>
    <t>2024-01-30T03:06:59+00:00</t>
  </si>
  <si>
    <t>405-2277972-8481103</t>
  </si>
  <si>
    <t>2024-01-29T11:43:29+00:00</t>
  </si>
  <si>
    <t>2024-01-30T10:17:18+00:00</t>
  </si>
  <si>
    <t>RC</t>
  </si>
  <si>
    <t>406-7244992-7353139</t>
  </si>
  <si>
    <t>2024-01-29T11:41:15+00:00</t>
  </si>
  <si>
    <t>2024-01-30T09:20:01+00:00</t>
  </si>
  <si>
    <t>monteiasi</t>
  </si>
  <si>
    <t>406-3593467-5052343</t>
  </si>
  <si>
    <t>2024-01-29T11:38:39+00:00</t>
  </si>
  <si>
    <t>2024-01-30T15:55:55+00:00</t>
  </si>
  <si>
    <t>TOSCOLANO-MADERNO</t>
  </si>
  <si>
    <t>IT00087390985</t>
  </si>
  <si>
    <t>404-2109750-6571512</t>
  </si>
  <si>
    <t>2024-01-29T11:38:35+00:00</t>
  </si>
  <si>
    <t>2024-01-30T02:23:09+00:00</t>
  </si>
  <si>
    <t>Velletri</t>
  </si>
  <si>
    <t>404-7917365-7697145</t>
  </si>
  <si>
    <t>2024-01-29T11:38:27+00:00</t>
  </si>
  <si>
    <t>2024-01-29T17:03:37+00:00</t>
  </si>
  <si>
    <t>Borgomanero</t>
  </si>
  <si>
    <t>Novara</t>
  </si>
  <si>
    <t>408-4700133-0584322</t>
  </si>
  <si>
    <t>2024-01-29T11:35:04+00:00</t>
  </si>
  <si>
    <t>2024-01-30T10:35:01+00:00</t>
  </si>
  <si>
    <t>404-8447207-6537122</t>
  </si>
  <si>
    <t>2024-01-29T11:32:03+00:00</t>
  </si>
  <si>
    <t>2024-01-29T20:18:59+00:00</t>
  </si>
  <si>
    <t>San Donato</t>
  </si>
  <si>
    <t>Italia taranto puglia</t>
  </si>
  <si>
    <t>407-0866809-1728331</t>
  </si>
  <si>
    <t>2024-01-29T11:31:18+00:00</t>
  </si>
  <si>
    <t>2024-01-30T01:31:58+00:00</t>
  </si>
  <si>
    <t>Filottrano</t>
  </si>
  <si>
    <t>ancona</t>
  </si>
  <si>
    <t>405-9703611-2824356</t>
  </si>
  <si>
    <t>2024-01-29T11:28:45+00:00</t>
  </si>
  <si>
    <t>2024-01-29T23:49:43+00:00</t>
  </si>
  <si>
    <t>Po</t>
  </si>
  <si>
    <t>407-4038439-2123567</t>
  </si>
  <si>
    <t>2024-01-29T11:22:53+00:00</t>
  </si>
  <si>
    <t>2024-01-29T20:18:24+00:00</t>
  </si>
  <si>
    <t>Latiano</t>
  </si>
  <si>
    <t>407-2291951-4309938</t>
  </si>
  <si>
    <t>2024-01-29T11:19:08+00:00</t>
  </si>
  <si>
    <t>2024-01-30T11:36:45+00:00</t>
  </si>
  <si>
    <t>Lallio</t>
  </si>
  <si>
    <t>Bg</t>
  </si>
  <si>
    <t>405-6560127-4620309</t>
  </si>
  <si>
    <t>2024-01-29T11:06:09+00:00</t>
  </si>
  <si>
    <t>2024-02-03T11:08:06+00:00</t>
  </si>
  <si>
    <t>gavirate</t>
  </si>
  <si>
    <t>Varese</t>
  </si>
  <si>
    <t>405-5974860-8013919</t>
  </si>
  <si>
    <t>2024-01-29T11:00:11+00:00</t>
  </si>
  <si>
    <t>2024-01-29T21:32:56+00:00</t>
  </si>
  <si>
    <t>407-6737166-6886724</t>
  </si>
  <si>
    <t>2024-01-29T10:54:59+00:00</t>
  </si>
  <si>
    <t>2024-01-29T16:00:49+00:00</t>
  </si>
  <si>
    <t>CARRU'</t>
  </si>
  <si>
    <t>408-4357523-0918706</t>
  </si>
  <si>
    <t>2024-01-29T10:46:46+00:00</t>
  </si>
  <si>
    <t>2024-01-29T21:17:55+00:00</t>
  </si>
  <si>
    <t>404-5186204-7807513</t>
  </si>
  <si>
    <t>2024-01-29T10:34:41+00:00</t>
  </si>
  <si>
    <t>2024-01-30T18:08:01+00:00</t>
  </si>
  <si>
    <t>Massa</t>
  </si>
  <si>
    <t>408-4927889-7352350</t>
  </si>
  <si>
    <t>2024-01-29T10:19:50+00:00</t>
  </si>
  <si>
    <t>2024-01-29T18:16:54+00:00</t>
  </si>
  <si>
    <t>CASTEL SAN PIETRO TERME</t>
  </si>
  <si>
    <t>402-1826813-5198745</t>
  </si>
  <si>
    <t>2024-01-29T10:15:07+00:00</t>
  </si>
  <si>
    <t>2024-01-30T10:57:37+00:00</t>
  </si>
  <si>
    <t>Vecchiano</t>
  </si>
  <si>
    <t>405-1342908-9471550</t>
  </si>
  <si>
    <t>2024-01-29T10:01:57+00:00</t>
  </si>
  <si>
    <t>2024-01-29T18:52:12+00:00</t>
  </si>
  <si>
    <t>IT02917980597</t>
  </si>
  <si>
    <t>408-9989165-7292367</t>
  </si>
  <si>
    <t>2024-01-29T09:55:26+00:00</t>
  </si>
  <si>
    <t>2024-01-29T16:45:58+00:00</t>
  </si>
  <si>
    <t>Amalfi</t>
  </si>
  <si>
    <t>404-7448408-8498735</t>
  </si>
  <si>
    <t>2024-01-29T09:51:52+00:00</t>
  </si>
  <si>
    <t>2024-01-29T23:12:44+00:00</t>
  </si>
  <si>
    <t>406-1387376-1760356</t>
  </si>
  <si>
    <t>2024-01-29T09:40:16+00:00</t>
  </si>
  <si>
    <t>2024-01-29T13:20:05+00:00</t>
  </si>
  <si>
    <t>PD</t>
  </si>
  <si>
    <t>407-1098102-4480320</t>
  </si>
  <si>
    <t>2024-01-29T09:27:18+00:00</t>
  </si>
  <si>
    <t>2024-01-30T01:33:22+00:00</t>
  </si>
  <si>
    <t>Cagliari</t>
  </si>
  <si>
    <t>404-9148307-4638727</t>
  </si>
  <si>
    <t>2024-01-29T09:22:15+00:00</t>
  </si>
  <si>
    <t>2024-01-29T17:32:02+00:00</t>
  </si>
  <si>
    <t>403-6303909-5235510</t>
  </si>
  <si>
    <t>2024-01-29T09:15:36+00:00</t>
  </si>
  <si>
    <t>2024-01-30T15:44:50+00:00</t>
  </si>
  <si>
    <t>Puianello</t>
  </si>
  <si>
    <t>171-1051999-3396336</t>
  </si>
  <si>
    <t>2024-01-29T08:56:09+00:00</t>
  </si>
  <si>
    <t>2024-01-30T05:09:45+00:00</t>
  </si>
  <si>
    <t>408-6870571-5581157</t>
  </si>
  <si>
    <t>2024-01-29T08:54:30+00:00</t>
  </si>
  <si>
    <t>2024-01-29T21:18:10+00:00</t>
  </si>
  <si>
    <t>Ortona</t>
  </si>
  <si>
    <t>CHIETI</t>
  </si>
  <si>
    <t>406-1664313-4268312</t>
  </si>
  <si>
    <t>2024-01-29T08:48:15+00:00</t>
  </si>
  <si>
    <t>2024-01-29T08:54:52+00:00</t>
  </si>
  <si>
    <t>Cento</t>
  </si>
  <si>
    <t>406-4873129-5756320</t>
  </si>
  <si>
    <t>2024-01-29T08:45:01+00:00</t>
  </si>
  <si>
    <t>2024-01-31T02:36:52+00:00</t>
  </si>
  <si>
    <t>Cazzago San Martino</t>
  </si>
  <si>
    <t>403-7383074-2726755</t>
  </si>
  <si>
    <t>2024-01-29T08:44:13+00:00</t>
  </si>
  <si>
    <t>2024-01-30T00:34:52+00:00</t>
  </si>
  <si>
    <t>Piove di Sacco</t>
  </si>
  <si>
    <t>403-3390846-7147512</t>
  </si>
  <si>
    <t>2024-01-29T07:57:07+00:00</t>
  </si>
  <si>
    <t>2024-01-29T12:02:54+00:00</t>
  </si>
  <si>
    <t>Canzo</t>
  </si>
  <si>
    <t>406-7736608-9610751</t>
  </si>
  <si>
    <t>2024-01-29T07:54:54+00:00</t>
  </si>
  <si>
    <t>2024-01-29T15:38:59+00:00</t>
  </si>
  <si>
    <t>Aversa</t>
  </si>
  <si>
    <t>CE</t>
  </si>
  <si>
    <t>404-5783964-2193923</t>
  </si>
  <si>
    <t>2024-01-29T07:42:44+00:00</t>
  </si>
  <si>
    <t>2024-01-29T15:50:58+00:00</t>
  </si>
  <si>
    <t>San Maurizio Canavese</t>
  </si>
  <si>
    <t>402-6969655-8417168</t>
  </si>
  <si>
    <t>2024-01-29T07:40:31+00:00</t>
  </si>
  <si>
    <t>403-2056126-9120306</t>
  </si>
  <si>
    <t>2024-01-29T07:26:15+00:00</t>
  </si>
  <si>
    <t>2024-01-29T18:15:59+00:00</t>
  </si>
  <si>
    <t>Maranello </t>
  </si>
  <si>
    <t>MO</t>
  </si>
  <si>
    <t>403-2115162-3106741</t>
  </si>
  <si>
    <t>2024-01-29T07:08:21+00:00</t>
  </si>
  <si>
    <t>2024-01-29T17:10:20+00:00</t>
  </si>
  <si>
    <t>CAPACCIO PAESTUM</t>
  </si>
  <si>
    <t>171-0831709-6653101</t>
  </si>
  <si>
    <t>2024-01-29T06:17:05+00:00</t>
  </si>
  <si>
    <t>2024-01-29T14:23:01+00:00</t>
  </si>
  <si>
    <t>402-7625491-4837949</t>
  </si>
  <si>
    <t>2024-01-29T06:06:18+00:00</t>
  </si>
  <si>
    <t>2024-01-31T01:36:59+00:00</t>
  </si>
  <si>
    <t>VERDELLINO</t>
  </si>
  <si>
    <t>406-7495825-8864316</t>
  </si>
  <si>
    <t>2024-01-29T05:54:09+00:00</t>
  </si>
  <si>
    <t>2024-01-29T06:15:39+00:00</t>
  </si>
  <si>
    <t>171-5643055-8241155</t>
  </si>
  <si>
    <t>2024-01-29T05:08:46+00:00</t>
  </si>
  <si>
    <t>2024-01-29T16:38:08+00:00</t>
  </si>
  <si>
    <t>Gonnosfanadiga</t>
  </si>
  <si>
    <t>VS</t>
  </si>
  <si>
    <t>404-5293101-4818700</t>
  </si>
  <si>
    <t>2024-01-29T05:03:12+00:00</t>
  </si>
  <si>
    <t>2024-01-30T01:37:18+00:00</t>
  </si>
  <si>
    <t>408-7771037-7726700</t>
  </si>
  <si>
    <t>2024-01-29T04:54:48+00:00</t>
  </si>
  <si>
    <t>2024-01-29T08:23:19+00:00</t>
  </si>
  <si>
    <t>408-9836736-8247501</t>
  </si>
  <si>
    <t>2024-01-29T00:08:42+00:00</t>
  </si>
  <si>
    <t>2024-01-29T08:26:14+00:00</t>
  </si>
  <si>
    <t>Monselice</t>
  </si>
  <si>
    <t>408-7602918-8437946</t>
  </si>
  <si>
    <t>2024-01-28T23:25:21+00:00</t>
  </si>
  <si>
    <t>2024-01-29T20:36:16+00:00</t>
  </si>
  <si>
    <t>408-6437616-2289947</t>
  </si>
  <si>
    <t>2024-01-28T22:28:05+00:00</t>
  </si>
  <si>
    <t>2024-01-31T18:29:41+00:00</t>
  </si>
  <si>
    <t>Massagno</t>
  </si>
  <si>
    <t>Ticino</t>
  </si>
  <si>
    <t>403-2086341-0226754</t>
  </si>
  <si>
    <t>2024-01-28T22:03:39+00:00</t>
  </si>
  <si>
    <t>2024-01-29T00:28:03+00:00</t>
  </si>
  <si>
    <t>407-2782174-4633132</t>
  </si>
  <si>
    <t>2024-01-28T21:47:51+00:00</t>
  </si>
  <si>
    <t>2024-01-29T15:29:59+00:00</t>
  </si>
  <si>
    <t>grosseto</t>
  </si>
  <si>
    <t>405-0639964-5365108</t>
  </si>
  <si>
    <t>2024-01-28T21:40:29+00:00</t>
  </si>
  <si>
    <t>2024-01-30T00:16:32+00:00</t>
  </si>
  <si>
    <t>Villa Cortese</t>
  </si>
  <si>
    <t>404-9981078-0300326</t>
  </si>
  <si>
    <t>2024-01-28T21:40:17+00:00</t>
  </si>
  <si>
    <t>2024-01-29T01:55:58+00:00</t>
  </si>
  <si>
    <t>Tivoli</t>
  </si>
  <si>
    <t>406-7511675-9308336</t>
  </si>
  <si>
    <t>2024-01-28T21:34:24+00:00</t>
  </si>
  <si>
    <t>2024-01-29T01:56:44+00:00</t>
  </si>
  <si>
    <t>CASTROCIELO</t>
  </si>
  <si>
    <t>406-4829952-1158738</t>
  </si>
  <si>
    <t>2024-01-28T21:31:11+00:00</t>
  </si>
  <si>
    <t>2024-01-29T19:02:50+00:00</t>
  </si>
  <si>
    <t>408-7488455-3249963</t>
  </si>
  <si>
    <t>2024-01-28T21:20:42+00:00</t>
  </si>
  <si>
    <t>2024-01-29T11:27:55+00:00</t>
  </si>
  <si>
    <t>CAPRANICA</t>
  </si>
  <si>
    <t>407-5959091-3585115</t>
  </si>
  <si>
    <t>2024-01-28T21:17:35+00:00</t>
  </si>
  <si>
    <t>2024-01-29T21:20:45+00:00</t>
  </si>
  <si>
    <t>402-4906818-8204330</t>
  </si>
  <si>
    <t>2024-01-28T21:15:30+00:00</t>
  </si>
  <si>
    <t>2024-01-30T16:35:33+00:00</t>
  </si>
  <si>
    <t>Ispica</t>
  </si>
  <si>
    <t>171-5311901-0611552</t>
  </si>
  <si>
    <t>2024-01-28T21:14:38+00:00</t>
  </si>
  <si>
    <t>2024-01-29T01:22:47+00:00</t>
  </si>
  <si>
    <t>Sesto Fiorentino</t>
  </si>
  <si>
    <t>408-6397985-3395527</t>
  </si>
  <si>
    <t>2024-01-28T21:03:01+00:00</t>
  </si>
  <si>
    <t>2024-01-29T02:33:40+00:00</t>
  </si>
  <si>
    <t>171-4928287-0357936</t>
  </si>
  <si>
    <t>2024-01-28T21:01:43+00:00</t>
  </si>
  <si>
    <t>2024-01-29T15:55:07+00:00</t>
  </si>
  <si>
    <t>Giaveno</t>
  </si>
  <si>
    <t>171-4178580-3522751</t>
  </si>
  <si>
    <t>2024-01-28T21:00:28+00:00</t>
  </si>
  <si>
    <t>2024-01-29T01:57:41+00:00</t>
  </si>
  <si>
    <t>171-8734399-3297908</t>
  </si>
  <si>
    <t>2024-01-28T20:54:50+00:00</t>
  </si>
  <si>
    <t>2024-01-29T00:44:13+00:00</t>
  </si>
  <si>
    <t>Calvizzano</t>
  </si>
  <si>
    <t>408-1360849-5673903</t>
  </si>
  <si>
    <t>2024-01-28T20:37:12+00:00</t>
  </si>
  <si>
    <t>2024-02-22T21:27:11+00:00</t>
  </si>
  <si>
    <t>408-1312044-9794750</t>
  </si>
  <si>
    <t>2024-01-28T20:36:23+00:00</t>
  </si>
  <si>
    <t>2024-02-01T01:02:43+00:00</t>
  </si>
  <si>
    <t>Calcinate</t>
  </si>
  <si>
    <t>403-3084280-7637139</t>
  </si>
  <si>
    <t>2024-01-28T20:33:39+00:00</t>
  </si>
  <si>
    <t>2024-01-29T14:49:47+00:00</t>
  </si>
  <si>
    <t>403-7041922-0996344</t>
  </si>
  <si>
    <t>2024-01-28T20:31:03+00:00</t>
  </si>
  <si>
    <t>2024-01-28T23:06:58+00:00</t>
  </si>
  <si>
    <t>Ponsacco</t>
  </si>
  <si>
    <t>408-0776007-3372325</t>
  </si>
  <si>
    <t>2024-01-28T20:27:41+00:00</t>
  </si>
  <si>
    <t>2024-01-29T15:28:49+00:00</t>
  </si>
  <si>
    <t>PALERMO</t>
  </si>
  <si>
    <t>408-9935124-9444351</t>
  </si>
  <si>
    <t>2024-01-28T20:21:29+00:00</t>
  </si>
  <si>
    <t>2024-01-29T20:49:56+00:00</t>
  </si>
  <si>
    <t>403-8954612-0050717</t>
  </si>
  <si>
    <t>2024-01-28T20:12:42+00:00</t>
  </si>
  <si>
    <t>2024-01-28T20:27:42+00:00</t>
  </si>
  <si>
    <t>171-0206191-8476338</t>
  </si>
  <si>
    <t>2024-01-28T20:09:47+00:00</t>
  </si>
  <si>
    <t>2024-01-29T22:04:02+00:00</t>
  </si>
  <si>
    <t>zevio</t>
  </si>
  <si>
    <t>verona</t>
  </si>
  <si>
    <t>408-9547311-4229910</t>
  </si>
  <si>
    <t>2024-01-28T20:06:19+00:00</t>
  </si>
  <si>
    <t>2024-01-29T03:32:57+00:00</t>
  </si>
  <si>
    <t>Passo Corese (RI)</t>
  </si>
  <si>
    <t>Rieti</t>
  </si>
  <si>
    <t>171-9107661-8753917</t>
  </si>
  <si>
    <t>2024-01-28T20:01:52+00:00</t>
  </si>
  <si>
    <t>2024-01-29T02:34:08+00:00</t>
  </si>
  <si>
    <t>TRAVAGLIATO</t>
  </si>
  <si>
    <t>406-9388391-2712356</t>
  </si>
  <si>
    <t>2024-01-28T19:59:43+00:00</t>
  </si>
  <si>
    <t>2024-01-28T23:43:32+00:00</t>
  </si>
  <si>
    <t>407-5446933-9261126</t>
  </si>
  <si>
    <t>2024-01-28T19:56:25+00:00</t>
  </si>
  <si>
    <t>2024-01-29T16:08:17+00:00</t>
  </si>
  <si>
    <t>Chieri</t>
  </si>
  <si>
    <t>408-8525203-1121108</t>
  </si>
  <si>
    <t>2024-01-28T19:54:33+00:00</t>
  </si>
  <si>
    <t>2024-01-29T08:13:24+00:00</t>
  </si>
  <si>
    <t>407-6316693-3026739</t>
  </si>
  <si>
    <t>2024-01-28T19:51:09+00:00</t>
  </si>
  <si>
    <t>2024-01-29T03:14:32+00:00</t>
  </si>
  <si>
    <t>Dairago</t>
  </si>
  <si>
    <t>408-5354018-0837945</t>
  </si>
  <si>
    <t>2024-01-28T19:49:33+00:00</t>
  </si>
  <si>
    <t>2024-01-29T09:00:00+00:00</t>
  </si>
  <si>
    <t>402-8267678-5684310</t>
  </si>
  <si>
    <t>2024-01-28T19:02:57+00:00</t>
  </si>
  <si>
    <t>2024-01-29T04:55:51+00:00</t>
  </si>
  <si>
    <t>Galbiate</t>
  </si>
  <si>
    <t>407-7800393-0814725</t>
  </si>
  <si>
    <t>2024-01-28T18:57:37+00:00</t>
  </si>
  <si>
    <t>2024-01-29T20:44:47+00:00</t>
  </si>
  <si>
    <t>408-4988923-9502706</t>
  </si>
  <si>
    <t>2024-01-28T18:55:06+00:00</t>
  </si>
  <si>
    <t>2024-02-01T01:12:00+00:00</t>
  </si>
  <si>
    <t>Orta di Atella</t>
  </si>
  <si>
    <t>406-3319352-3586765</t>
  </si>
  <si>
    <t>2024-01-28T18:39:55+00:00</t>
  </si>
  <si>
    <t>2024-01-29T14:49:55+00:00</t>
  </si>
  <si>
    <t>408-6759386-0917131</t>
  </si>
  <si>
    <t>2024-01-28T18:23:49+00:00</t>
  </si>
  <si>
    <t>2024-01-29T08:09:52+00:00</t>
  </si>
  <si>
    <t>408-5670807-6007508</t>
  </si>
  <si>
    <t>2024-01-28T18:06:06+00:00</t>
  </si>
  <si>
    <t>2024-01-28T20:46:46+00:00</t>
  </si>
  <si>
    <t>Orbetello</t>
  </si>
  <si>
    <t>Grosseto</t>
  </si>
  <si>
    <t>407-8511877-3553902</t>
  </si>
  <si>
    <t>2024-01-28T18:04:06+00:00</t>
  </si>
  <si>
    <t>2024-01-29T15:49:50+00:00</t>
  </si>
  <si>
    <t>San Raffaele Cimena</t>
  </si>
  <si>
    <t>403-7104449-6582721</t>
  </si>
  <si>
    <t>2024-01-28T18:03:16+00:00</t>
  </si>
  <si>
    <t>2024-01-29T14:49:45+00:00</t>
  </si>
  <si>
    <t>Salandra</t>
  </si>
  <si>
    <t>MT</t>
  </si>
  <si>
    <t>404-1053950-2112328</t>
  </si>
  <si>
    <t>2024-01-28T17:41:55+00:00</t>
  </si>
  <si>
    <t>2024-01-29T02:33:10+00:00</t>
  </si>
  <si>
    <t>LI</t>
  </si>
  <si>
    <t>171-9076461-9885149</t>
  </si>
  <si>
    <t>2024-01-28T17:39:58+00:00</t>
  </si>
  <si>
    <t>2024-01-29T01:19:45+00:00</t>
  </si>
  <si>
    <t>Cesano maderno</t>
  </si>
  <si>
    <t>402-7110089-4088348</t>
  </si>
  <si>
    <t>2024-01-28T17:39:50+00:00</t>
  </si>
  <si>
    <t>2024-01-30T20:56:31+00:00</t>
  </si>
  <si>
    <t>TAVULLIA</t>
  </si>
  <si>
    <t>407-0905912-1581941</t>
  </si>
  <si>
    <t>2024-01-28T17:31:58+00:00</t>
  </si>
  <si>
    <t>2024-01-30T12:21:45+00:00</t>
  </si>
  <si>
    <t>Pa</t>
  </si>
  <si>
    <t>402-1964083-3079549</t>
  </si>
  <si>
    <t>2024-01-28T17:29:52+00:00</t>
  </si>
  <si>
    <t>2024-01-29T01:23:01+00:00</t>
  </si>
  <si>
    <t>408-0062363-3909950</t>
  </si>
  <si>
    <t>2024-01-28T17:28:42+00:00</t>
  </si>
  <si>
    <t>2024-01-29T15:28:51+00:00</t>
  </si>
  <si>
    <t>Vieste</t>
  </si>
  <si>
    <t>404-8165403-6941968</t>
  </si>
  <si>
    <t>2024-01-28T17:18:42+00:00</t>
  </si>
  <si>
    <t>2024-01-28T22:16:41+00:00</t>
  </si>
  <si>
    <t>Mentana</t>
  </si>
  <si>
    <t>407-8240617-8790765</t>
  </si>
  <si>
    <t>2024-01-28T17:07:28+00:00</t>
  </si>
  <si>
    <t>2024-01-28T20:18:23+00:00</t>
  </si>
  <si>
    <t>171-9751028-5001951</t>
  </si>
  <si>
    <t>2024-01-28T17:03:50+00:00</t>
  </si>
  <si>
    <t>2024-01-28T20:23:34+00:00</t>
  </si>
  <si>
    <t>406-6740519-6675549</t>
  </si>
  <si>
    <t>2024-01-28T16:59:28+00:00</t>
  </si>
  <si>
    <t>2024-01-29T14:49:53+00:00</t>
  </si>
  <si>
    <t>GRNFNC90C07D810Q</t>
  </si>
  <si>
    <t>405-8545701-1997943</t>
  </si>
  <si>
    <t>2024-01-28T16:51:11+00:00</t>
  </si>
  <si>
    <t>2024-01-29T01:20:34+00:00</t>
  </si>
  <si>
    <t>Signa</t>
  </si>
  <si>
    <t>404-7340968-4679563</t>
  </si>
  <si>
    <t>2024-01-28T16:48:33+00:00</t>
  </si>
  <si>
    <t>2024-01-29T18:45:45+00:00</t>
  </si>
  <si>
    <t>cremeno</t>
  </si>
  <si>
    <t>LC</t>
  </si>
  <si>
    <t>403-9345591-4099521</t>
  </si>
  <si>
    <t>2024-01-28T16:24:59+00:00</t>
  </si>
  <si>
    <t>2024-01-29T14:49:52+00:00</t>
  </si>
  <si>
    <t>403-2942585-1518701</t>
  </si>
  <si>
    <t>2024-01-28T16:16:56+00:00</t>
  </si>
  <si>
    <t>2024-01-29T15:42:18+00:00</t>
  </si>
  <si>
    <t>fara novarese</t>
  </si>
  <si>
    <t>no</t>
  </si>
  <si>
    <t>402-0728375-2649954</t>
  </si>
  <si>
    <t>2024-01-28T16:11:08+00:00</t>
  </si>
  <si>
    <t>2024-01-30T20:56:25+00:00</t>
  </si>
  <si>
    <t>Sant'Elpidio A Mare</t>
  </si>
  <si>
    <t>407-7122909-3272310</t>
  </si>
  <si>
    <t>2024-01-28T15:59:32+00:00</t>
  </si>
  <si>
    <t>2024-01-30T12:12:39+00:00</t>
  </si>
  <si>
    <t>Rionero in Vulture</t>
  </si>
  <si>
    <t>405-8643220-1039553</t>
  </si>
  <si>
    <t>2024-01-28T15:56:16+00:00</t>
  </si>
  <si>
    <t>2024-01-30T18:30:06+00:00</t>
  </si>
  <si>
    <t>Tremestierietneo</t>
  </si>
  <si>
    <t>IT05818020876</t>
  </si>
  <si>
    <t>405-6784337-7327526</t>
  </si>
  <si>
    <t>2024-01-30T18:31:10+00:00</t>
  </si>
  <si>
    <t>406-1985610-7125146</t>
  </si>
  <si>
    <t>2024-01-28T15:42:54+00:00</t>
  </si>
  <si>
    <t>2024-01-29T15:29:48+00:00</t>
  </si>
  <si>
    <t>Brembate</t>
  </si>
  <si>
    <t>406-2170785-9912337</t>
  </si>
  <si>
    <t>2024-01-28T15:38:02+00:00</t>
  </si>
  <si>
    <t>Rivera</t>
  </si>
  <si>
    <t>Canton Ticino</t>
  </si>
  <si>
    <t>406-5690761-9256355</t>
  </si>
  <si>
    <t>2024-01-28T15:31:53+00:00</t>
  </si>
  <si>
    <t>2024-01-28T21:42:23+00:00</t>
  </si>
  <si>
    <t>406-1052687-7940344</t>
  </si>
  <si>
    <t>2024-01-28T15:22:07+00:00</t>
  </si>
  <si>
    <t>2024-01-29T04:30:13+00:00</t>
  </si>
  <si>
    <t>Cittadella</t>
  </si>
  <si>
    <t>406-5954551-5743551</t>
  </si>
  <si>
    <t>2024-01-28T15:16:03+00:00</t>
  </si>
  <si>
    <t>2024-01-28T15:28:50+00:00</t>
  </si>
  <si>
    <t>BEPER P201UTP100 Lampada di Sale con Intensità di Luce Regolabile - Lampada Unica, Intagliata a Mano con Base in Legno</t>
  </si>
  <si>
    <t>CORIGLIANO D'OTRANTO</t>
  </si>
  <si>
    <t>403-4922695-6433132</t>
  </si>
  <si>
    <t>2024-01-28T15:01:44+00:00</t>
  </si>
  <si>
    <t>2024-01-28T17:30:33+00:00</t>
  </si>
  <si>
    <t>Masera</t>
  </si>
  <si>
    <t>VB</t>
  </si>
  <si>
    <t>403-8554605-3833101</t>
  </si>
  <si>
    <t>2024-01-28T14:58:45+00:00</t>
  </si>
  <si>
    <t>2024-01-28T15:09:18+00:00</t>
  </si>
  <si>
    <t>Lombardia, milano</t>
  </si>
  <si>
    <t>171-8857273-8579562</t>
  </si>
  <si>
    <t>2024-01-28T14:49:55+00:00</t>
  </si>
  <si>
    <t>2024-01-28T20:54:15+00:00</t>
  </si>
  <si>
    <t>Gragnano</t>
  </si>
  <si>
    <t>405-9926770-5111526</t>
  </si>
  <si>
    <t>2024-01-28T14:49:50+00:00</t>
  </si>
  <si>
    <t>2024-01-29T03:14:48+00:00</t>
  </si>
  <si>
    <t>Trichiana</t>
  </si>
  <si>
    <t>408-4792116-4259522</t>
  </si>
  <si>
    <t>2024-01-28T14:47:32+00:00</t>
  </si>
  <si>
    <t>2024-01-29T08:09:58+00:00</t>
  </si>
  <si>
    <t>404-1255839-5779528</t>
  </si>
  <si>
    <t>2024-01-28T14:47:19+00:00</t>
  </si>
  <si>
    <t>2024-01-29T15:02:51+00:00</t>
  </si>
  <si>
    <t>San marzano sul sarno</t>
  </si>
  <si>
    <t>402-2480250-5937918</t>
  </si>
  <si>
    <t>2024-01-28T14:09:53+00:00</t>
  </si>
  <si>
    <t>2024-01-28T17:31:06+00:00</t>
  </si>
  <si>
    <t>171-6754649-3988357</t>
  </si>
  <si>
    <t>2024-01-28T13:54:51+00:00</t>
  </si>
  <si>
    <t>2024-01-28T22:22:46+00:00</t>
  </si>
  <si>
    <t>Boville ernica</t>
  </si>
  <si>
    <t>408-6434277-2849952</t>
  </si>
  <si>
    <t>2024-01-28T13:40:51+00:00</t>
  </si>
  <si>
    <t>2024-01-28T21:41:09+00:00</t>
  </si>
  <si>
    <t>COLOMBARE DI SIRMIONE</t>
  </si>
  <si>
    <t>BTAFNC99B02D284D</t>
  </si>
  <si>
    <t>404-1497281-6801141</t>
  </si>
  <si>
    <t>2024-01-28T13:33:03+00:00</t>
  </si>
  <si>
    <t>2024-01-28T20:55:08+00:00</t>
  </si>
  <si>
    <t>Afragola</t>
  </si>
  <si>
    <t>405-3133535-1513109</t>
  </si>
  <si>
    <t>2024-01-28T13:28:27+00:00</t>
  </si>
  <si>
    <t>2024-01-29T13:18:53+00:00</t>
  </si>
  <si>
    <t>Acireale</t>
  </si>
  <si>
    <t>407-9991936-9029912</t>
  </si>
  <si>
    <t>2024-01-28T13:01:14+00:00</t>
  </si>
  <si>
    <t>2024-01-29T12:38:23+00:00</t>
  </si>
  <si>
    <t>ISOLA DI CAPO RIZZUTO</t>
  </si>
  <si>
    <t>407-5270440-9410761</t>
  </si>
  <si>
    <t>2024-01-28T12:49:00+00:00</t>
  </si>
  <si>
    <t>2024-01-30T01:32:45+00:00</t>
  </si>
  <si>
    <t>Samassi</t>
  </si>
  <si>
    <t>408-0400929-1803549</t>
  </si>
  <si>
    <t>2024-01-28T12:48:49+00:00</t>
  </si>
  <si>
    <t>2024-01-29T08:52:36+00:00</t>
  </si>
  <si>
    <t>406-8918172-6714769</t>
  </si>
  <si>
    <t>2024-01-28T12:27:21+00:00</t>
  </si>
  <si>
    <t>2024-01-29T07:50:47+00:00</t>
  </si>
  <si>
    <t>serramanna</t>
  </si>
  <si>
    <t>408-0297135-4660354</t>
  </si>
  <si>
    <t>2024-01-28T12:27:12+00:00</t>
  </si>
  <si>
    <t>2024-01-28T21:25:26+00:00</t>
  </si>
  <si>
    <t>171-2905021-5293954</t>
  </si>
  <si>
    <t>2024-01-28T12:26:18+00:00</t>
  </si>
  <si>
    <t>2024-01-28T22:45:44+00:00</t>
  </si>
  <si>
    <t>Spilamberto</t>
  </si>
  <si>
    <t>403-1684186-4955554</t>
  </si>
  <si>
    <t>2024-01-28T12:19:11+00:00</t>
  </si>
  <si>
    <t>2024-01-28T12:20:54+00:00</t>
  </si>
  <si>
    <t>408-5416463-0007535</t>
  </si>
  <si>
    <t>2024-01-28T12:06:57+00:00</t>
  </si>
  <si>
    <t>2024-01-28T17:26:03+00:00</t>
  </si>
  <si>
    <t>407-0736085-2497935</t>
  </si>
  <si>
    <t>2024-01-28T12:04:34+00:00</t>
  </si>
  <si>
    <t>2024-01-29T23:38:46+00:00</t>
  </si>
  <si>
    <t>402-4290574-8009902</t>
  </si>
  <si>
    <t>2024-01-28T11:51:57+00:00</t>
  </si>
  <si>
    <t>2024-01-29T12:54:45+00:00</t>
  </si>
  <si>
    <t>404-0278132-2276328</t>
  </si>
  <si>
    <t>2024-01-28T11:43:44+00:00</t>
  </si>
  <si>
    <t>2024-01-29T10:36:23+00:00</t>
  </si>
  <si>
    <t>Rudiano</t>
  </si>
  <si>
    <t>406-3856041-2993115</t>
  </si>
  <si>
    <t>2024-01-28T11:41:15+00:00</t>
  </si>
  <si>
    <t>2024-01-28T19:18:17+00:00</t>
  </si>
  <si>
    <t>foglianise</t>
  </si>
  <si>
    <t>Benevento</t>
  </si>
  <si>
    <t>408-8677410-7028327</t>
  </si>
  <si>
    <t>2024-01-28T11:27:08+00:00</t>
  </si>
  <si>
    <t>2024-01-29T08:57:44+00:00</t>
  </si>
  <si>
    <t>402-5604314-8080325</t>
  </si>
  <si>
    <t>2024-01-28T11:26:15+00:00</t>
  </si>
  <si>
    <t>2024-01-28T11:27:11+00:00</t>
  </si>
  <si>
    <t>Porto san Giorgio</t>
  </si>
  <si>
    <t>Fermo</t>
  </si>
  <si>
    <t>408-0695671-1065106</t>
  </si>
  <si>
    <t>2024-01-28T11:25:55+00:00</t>
  </si>
  <si>
    <t>2024-01-29T08:22:20+00:00</t>
  </si>
  <si>
    <t>407-7572282-4603549</t>
  </si>
  <si>
    <t>2024-01-28T11:14:06+00:00</t>
  </si>
  <si>
    <t>2024-01-28T23:03:27+00:00</t>
  </si>
  <si>
    <t>Ciampino</t>
  </si>
  <si>
    <t>405-7954936-0698727</t>
  </si>
  <si>
    <t>2024-01-28T11:06:34+00:00</t>
  </si>
  <si>
    <t>2024-01-30T18:22:02+00:00</t>
  </si>
  <si>
    <t>Meleto Cavriglia</t>
  </si>
  <si>
    <t>Arezzo</t>
  </si>
  <si>
    <t>406-5703217-3744317</t>
  </si>
  <si>
    <t>2024-01-28T10:49:27+00:00</t>
  </si>
  <si>
    <t>2024-01-28T21:27:17+00:00</t>
  </si>
  <si>
    <t>SAN GIOVANNI TEATINO</t>
  </si>
  <si>
    <t>403-6632187-9732305</t>
  </si>
  <si>
    <t>2024-01-28T10:49:05+00:00</t>
  </si>
  <si>
    <t>2024-01-29T14:30:13+00:00</t>
  </si>
  <si>
    <t>GRANAROLO DELL'EMILIA</t>
  </si>
  <si>
    <t>404-8920571-7421105</t>
  </si>
  <si>
    <t>2024-01-28T10:48:21+00:00</t>
  </si>
  <si>
    <t>2024-01-28T15:35:33+00:00</t>
  </si>
  <si>
    <t>Cassino</t>
  </si>
  <si>
    <t>408-0907656-4893922</t>
  </si>
  <si>
    <t>2024-01-28T10:33:22+00:00</t>
  </si>
  <si>
    <t>2024-01-29T17:10:24+00:00</t>
  </si>
  <si>
    <t>TORINO</t>
  </si>
  <si>
    <t>PIEMONTE</t>
  </si>
  <si>
    <t>403-0609438-8253904</t>
  </si>
  <si>
    <t>2024-01-28T10:18:23+00:00</t>
  </si>
  <si>
    <t>2024-01-28T17:27:57+00:00</t>
  </si>
  <si>
    <t>404-3688155-4712347</t>
  </si>
  <si>
    <t>2024-01-28T10:13:41+00:00</t>
  </si>
  <si>
    <t>2024-01-28T15:48:38+00:00</t>
  </si>
  <si>
    <t>405-3980405-7375558</t>
  </si>
  <si>
    <t>2024-01-28T09:33:05+00:00</t>
  </si>
  <si>
    <t>2024-01-28T18:11:19+00:00</t>
  </si>
  <si>
    <t>Santo Stefano al Mare</t>
  </si>
  <si>
    <t>408-2430860-5407505</t>
  </si>
  <si>
    <t>2024-01-28T09:21:40+00:00</t>
  </si>
  <si>
    <t>2024-01-28T12:33:55+00:00</t>
  </si>
  <si>
    <t>Almese</t>
  </si>
  <si>
    <t>405-1196160-2307504</t>
  </si>
  <si>
    <t>2024-01-28T09:15:59+00:00</t>
  </si>
  <si>
    <t>2024-01-29T14:49:42+00:00</t>
  </si>
  <si>
    <t>morciano di romagna</t>
  </si>
  <si>
    <t>rimini</t>
  </si>
  <si>
    <t>403-3223219-7094706</t>
  </si>
  <si>
    <t>2024-01-28T09:10:38+00:00</t>
  </si>
  <si>
    <t>2024-01-30T12:24:14+00:00</t>
  </si>
  <si>
    <t>404-4965523-5153148</t>
  </si>
  <si>
    <t>2024-01-28T09:04:40+00:00</t>
  </si>
  <si>
    <t>2024-01-30T14:38:29+00:00</t>
  </si>
  <si>
    <t>IT02178220238</t>
  </si>
  <si>
    <t>405-5167033-5729945</t>
  </si>
  <si>
    <t>2024-01-28T09:03:47+00:00</t>
  </si>
  <si>
    <t>2024-01-28T21:42:24+00:00</t>
  </si>
  <si>
    <t>Volta Mantovana</t>
  </si>
  <si>
    <t>405-0072877-4625137</t>
  </si>
  <si>
    <t>2024-01-28T08:55:15+00:00</t>
  </si>
  <si>
    <t>2024-01-28T20:55:03+00:00</t>
  </si>
  <si>
    <t>407-3324244-1457918</t>
  </si>
  <si>
    <t>2024-01-28T08:43:49+00:00</t>
  </si>
  <si>
    <t>2024-01-29T17:21:50+00:00</t>
  </si>
  <si>
    <t>403-8086151-9306738</t>
  </si>
  <si>
    <t>2024-01-28T08:27:56+00:00</t>
  </si>
  <si>
    <t>2024-01-29T15:28:56+00:00</t>
  </si>
  <si>
    <t>Mezzane di Sotto</t>
  </si>
  <si>
    <t>405-3356038-8617918</t>
  </si>
  <si>
    <t>2024-01-28T08:20:58+00:00</t>
  </si>
  <si>
    <t>2024-01-29T17:36:04+00:00</t>
  </si>
  <si>
    <t>407-6005615-1556327</t>
  </si>
  <si>
    <t>2024-01-28T08:06:14+00:00</t>
  </si>
  <si>
    <t>2024-01-28T16:47:06+00:00</t>
  </si>
  <si>
    <t>Buccinasco</t>
  </si>
  <si>
    <t>406-4564412-8829902</t>
  </si>
  <si>
    <t>2024-01-28T07:50:51+00:00</t>
  </si>
  <si>
    <t>2024-01-29T15:28:58+00:00</t>
  </si>
  <si>
    <t>403-0715989-6371562</t>
  </si>
  <si>
    <t>2024-01-28T07:46:19+00:00</t>
  </si>
  <si>
    <t>2024-01-28T20:55:12+00:00</t>
  </si>
  <si>
    <t>FORLI'</t>
  </si>
  <si>
    <t>408-1840888-1459525</t>
  </si>
  <si>
    <t>2024-01-28T07:29:13+00:00</t>
  </si>
  <si>
    <t>2024-01-28T11:21:53+00:00</t>
  </si>
  <si>
    <t>ISOLA SACRA</t>
  </si>
  <si>
    <t>407-0683691-9352345</t>
  </si>
  <si>
    <t>2024-01-28T06:50:52+00:00</t>
  </si>
  <si>
    <t>403-0421693-5101924</t>
  </si>
  <si>
    <t>2024-01-28T01:10:40+00:00</t>
  </si>
  <si>
    <t>2024-01-28T17:23:23+00:00</t>
  </si>
  <si>
    <t>403-4222714-8466750</t>
  </si>
  <si>
    <t>2024-01-27T22:35:56+00:00</t>
  </si>
  <si>
    <t>2024-02-01T22:43:13+00:00</t>
  </si>
  <si>
    <t>404-0015551-5535541</t>
  </si>
  <si>
    <t>2024-01-27T22:13:56+00:00</t>
  </si>
  <si>
    <t>2024-01-28T14:26:16+00:00</t>
  </si>
  <si>
    <t>Feltre</t>
  </si>
  <si>
    <t>408-6716760-3764368</t>
  </si>
  <si>
    <t>2024-01-27T21:36:21+00:00</t>
  </si>
  <si>
    <t>2024-01-28T02:22:55+00:00</t>
  </si>
  <si>
    <t>Varcaturo</t>
  </si>
  <si>
    <t>403-4300096-8658701</t>
  </si>
  <si>
    <t>2024-01-27T21:31:41+00:00</t>
  </si>
  <si>
    <t>2024-01-29T17:23:48+00:00</t>
  </si>
  <si>
    <t>Crema</t>
  </si>
  <si>
    <t>402-9813455-5765105</t>
  </si>
  <si>
    <t>2024-01-27T21:04:31+00:00</t>
  </si>
  <si>
    <t>2024-01-29T02:35:07+00:00</t>
  </si>
  <si>
    <t>Bs</t>
  </si>
  <si>
    <t>171-2393206-1753926</t>
  </si>
  <si>
    <t>2024-01-27T20:52:29+00:00</t>
  </si>
  <si>
    <t>2024-01-28T08:56:53+00:00</t>
  </si>
  <si>
    <t>408-6632211-8714730</t>
  </si>
  <si>
    <t>2024-01-27T20:45:43+00:00</t>
  </si>
  <si>
    <t>2024-01-28T15:56:34+00:00</t>
  </si>
  <si>
    <t>Parma</t>
  </si>
  <si>
    <t>171-3073592-2763539</t>
  </si>
  <si>
    <t>2024-01-27T20:43:05+00:00</t>
  </si>
  <si>
    <t>2024-01-30T21:27:44+00:00</t>
  </si>
  <si>
    <t>Ri</t>
  </si>
  <si>
    <t>406-4296046-3432361</t>
  </si>
  <si>
    <t>2024-01-27T20:00:50+00:00</t>
  </si>
  <si>
    <t>2024-01-28T02:34:27+00:00</t>
  </si>
  <si>
    <t>COGOLLO DEL CENGIO</t>
  </si>
  <si>
    <t>VICENZA</t>
  </si>
  <si>
    <t>171-5148286-1325108</t>
  </si>
  <si>
    <t>2024-01-27T19:52:30+00:00</t>
  </si>
  <si>
    <t>2024-01-28T01:06:13+00:00</t>
  </si>
  <si>
    <t>Massa finalese</t>
  </si>
  <si>
    <t>404-3167701-2669146</t>
  </si>
  <si>
    <t>2024-01-27T19:33:18+00:00</t>
  </si>
  <si>
    <t>2024-01-28T00:28:11+00:00</t>
  </si>
  <si>
    <t>noale</t>
  </si>
  <si>
    <t>ve</t>
  </si>
  <si>
    <t>408-4585025-4441113</t>
  </si>
  <si>
    <t>2024-01-27T19:23:41+00:00</t>
  </si>
  <si>
    <t>2024-01-29T22:30:54+00:00</t>
  </si>
  <si>
    <t>Francavilla al Mare</t>
  </si>
  <si>
    <t>402-0172164-3153936</t>
  </si>
  <si>
    <t>2024-01-27T19:19:52+00:00</t>
  </si>
  <si>
    <t>2024-01-28T15:35:31+00:00</t>
  </si>
  <si>
    <t>SAN POLO DEI CAVALIERI</t>
  </si>
  <si>
    <t>403-0955532-9387564</t>
  </si>
  <si>
    <t>2024-01-27T19:10:07+00:00</t>
  </si>
  <si>
    <t>2024-01-28T20:47:10+00:00</t>
  </si>
  <si>
    <t>404-6774282-2249943</t>
  </si>
  <si>
    <t>2024-01-27T18:56:29+00:00</t>
  </si>
  <si>
    <t>2024-01-28T04:56:14+00:00</t>
  </si>
  <si>
    <t>Pombia</t>
  </si>
  <si>
    <t>novara</t>
  </si>
  <si>
    <t>408-7759884-7666731</t>
  </si>
  <si>
    <t>2024-01-27T18:46:42+00:00</t>
  </si>
  <si>
    <t>2024-01-29T08:09:53+00:00</t>
  </si>
  <si>
    <t>404-4442929-7297906</t>
  </si>
  <si>
    <t>2024-01-27T18:28:53+00:00</t>
  </si>
  <si>
    <t>2024-01-27T21:16:40+00:00</t>
  </si>
  <si>
    <t>MELITO DI NAPOLI</t>
  </si>
  <si>
    <t>402-5023837-9980337</t>
  </si>
  <si>
    <t>2024-01-27T18:22:44+00:00</t>
  </si>
  <si>
    <t>2024-01-28T13:23:32+00:00</t>
  </si>
  <si>
    <t>Villacidro</t>
  </si>
  <si>
    <t>Sud Sardegna</t>
  </si>
  <si>
    <t>406-4442835-0969100</t>
  </si>
  <si>
    <t>2024-01-27T17:54:32+00:00</t>
  </si>
  <si>
    <t>403-4894361-8248313</t>
  </si>
  <si>
    <t>2024-01-27T17:46:40+00:00</t>
  </si>
  <si>
    <t>2024-01-28T15:33:50+00:00</t>
  </si>
  <si>
    <t>406-8441185-2048334</t>
  </si>
  <si>
    <t>2024-01-27T17:45:47+00:00</t>
  </si>
  <si>
    <t>2024-01-28T19:15:25+00:00</t>
  </si>
  <si>
    <t>408-6094438-2181905</t>
  </si>
  <si>
    <t>2024-01-27T17:42:25+00:00</t>
  </si>
  <si>
    <t>2024-01-29T09:00:02+00:00</t>
  </si>
  <si>
    <t>406-0900270-1041165</t>
  </si>
  <si>
    <t>2024-01-27T17:34:22+00:00</t>
  </si>
  <si>
    <t>2024-01-28T10:44:12+00:00</t>
  </si>
  <si>
    <t>messina</t>
  </si>
  <si>
    <t>MESSINA</t>
  </si>
  <si>
    <t>403-9909318-1364339</t>
  </si>
  <si>
    <t>2024-01-27T17:21:37+00:00</t>
  </si>
  <si>
    <t>2024-01-27T23:46:15+00:00</t>
  </si>
  <si>
    <t>Desenzano del Garda</t>
  </si>
  <si>
    <t>171-6871204-5385938</t>
  </si>
  <si>
    <t>2024-01-27T17:18:19+00:00</t>
  </si>
  <si>
    <t>2024-01-28T01:04:07+00:00</t>
  </si>
  <si>
    <t>405-7311249-8656326</t>
  </si>
  <si>
    <t>2024-01-27T17:00:11+00:00</t>
  </si>
  <si>
    <t>2024-01-30T08:33:31+00:00</t>
  </si>
  <si>
    <t>406-1520808-7532328</t>
  </si>
  <si>
    <t>2024-01-27T16:45:47+00:00</t>
  </si>
  <si>
    <t>2024-01-27T21:19:08+00:00</t>
  </si>
  <si>
    <t>171-9126289-1780323</t>
  </si>
  <si>
    <t>2024-01-27T16:26:12+00:00</t>
  </si>
  <si>
    <t>2024-01-28T11:21:44+00:00</t>
  </si>
  <si>
    <t>405-4020895-9965114</t>
  </si>
  <si>
    <t>2024-01-27T16:25:12+00:00</t>
  </si>
  <si>
    <t>2024-01-28T21:42:10+00:00</t>
  </si>
  <si>
    <t>LAVIS</t>
  </si>
  <si>
    <t>403-0507729-8216317</t>
  </si>
  <si>
    <t>2024-01-27T16:20:36+00:00</t>
  </si>
  <si>
    <t>2024-01-27T21:16:23+00:00</t>
  </si>
  <si>
    <t>Casandrino</t>
  </si>
  <si>
    <t>404-8545763-7382760</t>
  </si>
  <si>
    <t>2024-01-27T16:08:23+00:00</t>
  </si>
  <si>
    <t>2024-01-28T01:34:50+00:00</t>
  </si>
  <si>
    <t>Sedico</t>
  </si>
  <si>
    <t>BL</t>
  </si>
  <si>
    <t>405-7279033-5917119</t>
  </si>
  <si>
    <t>2024-01-27T16:03:43+00:00</t>
  </si>
  <si>
    <t>2024-01-27T16:38:52+00:00</t>
  </si>
  <si>
    <t>404-3403217-5948332</t>
  </si>
  <si>
    <t>2024-01-27T16:01:42+00:00</t>
  </si>
  <si>
    <t>2024-02-01T17:02:44+00:00</t>
  </si>
  <si>
    <t>404-8856618-3115510</t>
  </si>
  <si>
    <t>2024-01-27T15:59:43+00:00</t>
  </si>
  <si>
    <t>2024-01-28T15:35:55+00:00</t>
  </si>
  <si>
    <t>404-9472968-6479511</t>
  </si>
  <si>
    <t>2024-01-27T15:26:46+00:00</t>
  </si>
  <si>
    <t>2024-01-29T22:46:24+00:00</t>
  </si>
  <si>
    <t>francavilla al mare</t>
  </si>
  <si>
    <t>404-3955691-9618729</t>
  </si>
  <si>
    <t>2024-01-27T15:22:35+00:00</t>
  </si>
  <si>
    <t>2024-01-27T18:09:30+00:00</t>
  </si>
  <si>
    <t>Carpi</t>
  </si>
  <si>
    <t>403-6045414-0535511</t>
  </si>
  <si>
    <t>2024-01-27T15:15:47+00:00</t>
  </si>
  <si>
    <t>2024-01-30T21:49:56+00:00</t>
  </si>
  <si>
    <t>405-0478629-2372355</t>
  </si>
  <si>
    <t>2024-01-27T14:55:45+00:00</t>
  </si>
  <si>
    <t>2024-01-29T00:40:03+00:00</t>
  </si>
  <si>
    <t>Selvazzano dentro</t>
  </si>
  <si>
    <t>402-2775484-3365165</t>
  </si>
  <si>
    <t>2024-01-27T14:46:56+00:00</t>
  </si>
  <si>
    <t>2024-01-28T21:24:30+00:00</t>
  </si>
  <si>
    <t>402-2379058-5493948</t>
  </si>
  <si>
    <t>2024-01-27T14:45:34+00:00</t>
  </si>
  <si>
    <t>2024-02-01T14:48:44+00:00</t>
  </si>
  <si>
    <t>404-6964483-1503569</t>
  </si>
  <si>
    <t>2024-01-27T14:45:23+00:00</t>
  </si>
  <si>
    <t>2024-01-27T22:31:55+00:00</t>
  </si>
  <si>
    <t>171-8343585-3519564</t>
  </si>
  <si>
    <t>2024-01-27T14:43:05+00:00</t>
  </si>
  <si>
    <t>Uta</t>
  </si>
  <si>
    <t>403-2585130-5614754</t>
  </si>
  <si>
    <t>2024-01-27T14:40:56+00:00</t>
  </si>
  <si>
    <t>2024-01-28T16:46:04+00:00</t>
  </si>
  <si>
    <t>408-9153542-1636335</t>
  </si>
  <si>
    <t>2024-01-27T14:39:13+00:00</t>
  </si>
  <si>
    <t>2024-01-28T12:06:17+00:00</t>
  </si>
  <si>
    <t>Scilla</t>
  </si>
  <si>
    <t>404-8910087-6655529</t>
  </si>
  <si>
    <t>2024-01-27T14:37:15+00:00</t>
  </si>
  <si>
    <t>2024-02-01T14:51:48+00:00</t>
  </si>
  <si>
    <t>Campegine</t>
  </si>
  <si>
    <t>404-9939004-6289147</t>
  </si>
  <si>
    <t>2024-01-27T14:20:32+00:00</t>
  </si>
  <si>
    <t>2024-01-27T17:30:46+00:00</t>
  </si>
  <si>
    <t>405-9274286-8775551</t>
  </si>
  <si>
    <t>2024-01-27T14:20:17+00:00</t>
  </si>
  <si>
    <t>2024-01-28T02:37:01+00:00</t>
  </si>
  <si>
    <t>402-3518939-5509109</t>
  </si>
  <si>
    <t>2024-01-27T14:19:00+00:00</t>
  </si>
  <si>
    <t>2024-01-29T15:30:04+00:00</t>
  </si>
  <si>
    <t>SELVA DI VAL GARDENA</t>
  </si>
  <si>
    <t>407-5475353-1522739</t>
  </si>
  <si>
    <t>2024-01-27T13:52:20+00:00</t>
  </si>
  <si>
    <t>2024-01-27T20:24:37+00:00</t>
  </si>
  <si>
    <t>408-4242470-2724312</t>
  </si>
  <si>
    <t>2024-01-27T13:36:22+00:00</t>
  </si>
  <si>
    <t>2024-01-28T12:22:12+00:00</t>
  </si>
  <si>
    <t>Pianezza</t>
  </si>
  <si>
    <t>406-3905505-4980310</t>
  </si>
  <si>
    <t>2024-01-27T13:28:07+00:00</t>
  </si>
  <si>
    <t>2024-01-28T01:52:17+00:00</t>
  </si>
  <si>
    <t>MELZO</t>
  </si>
  <si>
    <t>406-8082596-5949124</t>
  </si>
  <si>
    <t>2024-01-27T13:12:10+00:00</t>
  </si>
  <si>
    <t>2024-01-28T16:18:11+00:00</t>
  </si>
  <si>
    <t>404-0376403-8756365</t>
  </si>
  <si>
    <t>2024-01-27T13:06:59+00:00</t>
  </si>
  <si>
    <t>2024-01-28T02:22:54+00:00</t>
  </si>
  <si>
    <t>406-6856144-9974768</t>
  </si>
  <si>
    <t>2024-01-27T13:04:21+00:00</t>
  </si>
  <si>
    <t>2024-01-27T16:47:59+00:00</t>
  </si>
  <si>
    <t>Pozzuoli</t>
  </si>
  <si>
    <t>408-8621013-8322714</t>
  </si>
  <si>
    <t>2024-01-27T13:02:45+00:00</t>
  </si>
  <si>
    <t>2024-01-29T09:00:04+00:00</t>
  </si>
  <si>
    <t>404-5761267-1245944</t>
  </si>
  <si>
    <t>2024-01-27T13:01:52+00:00</t>
  </si>
  <si>
    <t>2024-01-27T17:20:39+00:00</t>
  </si>
  <si>
    <t>404-6572228-4485124</t>
  </si>
  <si>
    <t>2024-01-27T12:43:21+00:00</t>
  </si>
  <si>
    <t>2024-01-27T13:05:53+00:00</t>
  </si>
  <si>
    <t>404-3071677-6613160</t>
  </si>
  <si>
    <t>2024-01-27T12:41:39+00:00</t>
  </si>
  <si>
    <t>2024-01-28T19:13:42+00:00</t>
  </si>
  <si>
    <t>Casoria</t>
  </si>
  <si>
    <t>405-9541847-1813139</t>
  </si>
  <si>
    <t>2024-01-27T12:40:48+00:00</t>
  </si>
  <si>
    <t>2024-01-28T09:50:23+00:00</t>
  </si>
  <si>
    <t>MN</t>
  </si>
  <si>
    <t>402-4927933-5201126</t>
  </si>
  <si>
    <t>2024-01-27T12:31:24+00:00</t>
  </si>
  <si>
    <t>2024-02-09T21:10:42+00:00</t>
  </si>
  <si>
    <t>Beper 40.500 Massaggiatore Anticellulite Donna 4 in 1, Massaggio a Raggi Infrarossi, Tripla Azione Circolare, Tonificante e Rassodante, Potenza Regolabile, 25 W</t>
  </si>
  <si>
    <t>COLNAGO</t>
  </si>
  <si>
    <t>402-3491588-3672353</t>
  </si>
  <si>
    <t>2024-02-09T21:11:43+00:00</t>
  </si>
  <si>
    <t>403-1998322-9042768</t>
  </si>
  <si>
    <t>2024-01-27T12:25:55+00:00</t>
  </si>
  <si>
    <t>2024-01-27T20:22:58+00:00</t>
  </si>
  <si>
    <t>Collecchio</t>
  </si>
  <si>
    <t>407-1589479-9610747</t>
  </si>
  <si>
    <t>2024-01-27T12:19:58+00:00</t>
  </si>
  <si>
    <t>2024-01-27T18:10:23+00:00</t>
  </si>
  <si>
    <t>Mirandola</t>
  </si>
  <si>
    <t>405-0047033-8127517</t>
  </si>
  <si>
    <t>2024-01-27T12:19:45+00:00</t>
  </si>
  <si>
    <t>2024-01-29T12:25:28+00:00</t>
  </si>
  <si>
    <t>rieti</t>
  </si>
  <si>
    <t>402-2736517-5519568</t>
  </si>
  <si>
    <t>2024-01-27T12:18:29+00:00</t>
  </si>
  <si>
    <t>2024-01-28T02:36:51+00:00</t>
  </si>
  <si>
    <t>MAGRE' DI SCHIO</t>
  </si>
  <si>
    <t>404-9034378-3833911</t>
  </si>
  <si>
    <t>2024-01-27T12:10:16+00:00</t>
  </si>
  <si>
    <t>407-5071802-9863522</t>
  </si>
  <si>
    <t>2024-01-27T11:58:53+00:00</t>
  </si>
  <si>
    <t>2024-01-28T04:53:54+00:00</t>
  </si>
  <si>
    <t>406-0300696-6093945</t>
  </si>
  <si>
    <t>2024-01-27T11:57:19+00:00</t>
  </si>
  <si>
    <t>2024-01-27T21:16:34+00:00</t>
  </si>
  <si>
    <t>407-4926372-8235531</t>
  </si>
  <si>
    <t>2024-01-27T11:54:32+00:00</t>
  </si>
  <si>
    <t>2024-01-28T10:42:41+00:00</t>
  </si>
  <si>
    <t>CT</t>
  </si>
  <si>
    <t>403-5104467-7415507</t>
  </si>
  <si>
    <t>2024-01-27T11:33:14+00:00</t>
  </si>
  <si>
    <t>2024-01-28T20:21:37+00:00</t>
  </si>
  <si>
    <t>FRASSO TELESINO</t>
  </si>
  <si>
    <t>406-6337387-3466756</t>
  </si>
  <si>
    <t>2024-01-27T11:21:37+00:00</t>
  </si>
  <si>
    <t>2024-01-27T23:46:10+00:00</t>
  </si>
  <si>
    <t>Quistello</t>
  </si>
  <si>
    <t>406-3976155-0901967</t>
  </si>
  <si>
    <t>2024-01-27T11:05:20+00:00</t>
  </si>
  <si>
    <t>Prata di Principato Ultra</t>
  </si>
  <si>
    <t>171-6749124-8537127</t>
  </si>
  <si>
    <t>2024-01-27T11:04:39+00:00</t>
  </si>
  <si>
    <t>2024-01-27T17:10:13+00:00</t>
  </si>
  <si>
    <t>san vittore olona</t>
  </si>
  <si>
    <t>405-3528983-0944359</t>
  </si>
  <si>
    <t>2024-01-27T11:03:59+00:00</t>
  </si>
  <si>
    <t>2024-01-27T21:16:38+00:00</t>
  </si>
  <si>
    <t>Forino</t>
  </si>
  <si>
    <t>402-3367012-6781117</t>
  </si>
  <si>
    <t>2024-01-27T10:56:22+00:00</t>
  </si>
  <si>
    <t>2024-01-27T18:11:17+00:00</t>
  </si>
  <si>
    <t>407-5720743-6990763</t>
  </si>
  <si>
    <t>2024-01-27T10:54:43+00:00</t>
  </si>
  <si>
    <t>2024-01-29T02:34:54+00:00</t>
  </si>
  <si>
    <t>Gorizia</t>
  </si>
  <si>
    <t>GO</t>
  </si>
  <si>
    <t>408-3362233-0750710</t>
  </si>
  <si>
    <t>2024-01-27T10:50:34+00:00</t>
  </si>
  <si>
    <t>2024-01-27T21:20:13+00:00</t>
  </si>
  <si>
    <t>corciano</t>
  </si>
  <si>
    <t>perugia</t>
  </si>
  <si>
    <t>171-4836806-2546735</t>
  </si>
  <si>
    <t>2024-01-27T10:39:51+00:00</t>
  </si>
  <si>
    <t>2024-01-27T18:10:55+00:00</t>
  </si>
  <si>
    <t>Castel San Pietro Terme</t>
  </si>
  <si>
    <t>403-9015650-5937145</t>
  </si>
  <si>
    <t>2024-01-27T10:37:21+00:00</t>
  </si>
  <si>
    <t>2024-01-28T20:45:56+00:00</t>
  </si>
  <si>
    <t>Santarcangelo di Romagna</t>
  </si>
  <si>
    <t>408-3743512-6329914</t>
  </si>
  <si>
    <t>2024-01-27T10:33:07+00:00</t>
  </si>
  <si>
    <t>2024-01-28T20:54:24+00:00</t>
  </si>
  <si>
    <t>408-2814705-3918736</t>
  </si>
  <si>
    <t>2024-01-27T10:22:34+00:00</t>
  </si>
  <si>
    <t>2024-01-29T09:28:09+00:00</t>
  </si>
  <si>
    <t>GALDO</t>
  </si>
  <si>
    <t>407-6526994-7308317</t>
  </si>
  <si>
    <t>2024-01-27T10:13:11+00:00</t>
  </si>
  <si>
    <t>2024-01-28T01:48:59+00:00</t>
  </si>
  <si>
    <t>marino</t>
  </si>
  <si>
    <t>171-2828198-4441148</t>
  </si>
  <si>
    <t>2024-01-27T10:11:22+00:00</t>
  </si>
  <si>
    <t>2024-01-28T02:22:12+00:00</t>
  </si>
  <si>
    <t>Cisterna di Latina</t>
  </si>
  <si>
    <t>402-5943560-5067507</t>
  </si>
  <si>
    <t>2024-01-27T09:41:57+00:00</t>
  </si>
  <si>
    <t>2024-01-29T17:25:23+00:00</t>
  </si>
  <si>
    <t>Alpignano</t>
  </si>
  <si>
    <t>408-8748228-9719545</t>
  </si>
  <si>
    <t>2024-01-27T09:32:43+00:00</t>
  </si>
  <si>
    <t>2024-01-28T04:55:24+00:00</t>
  </si>
  <si>
    <t>Cordenons</t>
  </si>
  <si>
    <t>PN</t>
  </si>
  <si>
    <t>402-6841998-1818757</t>
  </si>
  <si>
    <t>2024-01-27T09:27:48+00:00</t>
  </si>
  <si>
    <t>2024-01-29T15:29:16+00:00</t>
  </si>
  <si>
    <t>Beper Macchina per la Pasta Fatta in casa, Acciaio Inossidabile</t>
  </si>
  <si>
    <t>MD.500_ScatoleRotte_BuoneCondizioni</t>
  </si>
  <si>
    <t>407-8308957-3741101</t>
  </si>
  <si>
    <t>2024-01-27T09:27:10+00:00</t>
  </si>
  <si>
    <t>2024-01-27T17:12:11+00:00</t>
  </si>
  <si>
    <t>Legnano</t>
  </si>
  <si>
    <t>404-1410300-5978724</t>
  </si>
  <si>
    <t>2024-01-27T09:12:34+00:00</t>
  </si>
  <si>
    <t>2024-01-29T14:20:56+00:00</t>
  </si>
  <si>
    <t>BEPER P101CUD100 Waffle Maker a Forma di Stecco - Piastra Waffle per 6 Mini Waffle in pochi Minuti</t>
  </si>
  <si>
    <t>408-3062623-6257134</t>
  </si>
  <si>
    <t>2024-01-27T09:08:34+00:00</t>
  </si>
  <si>
    <t>2024-01-29T21:36:59+00:00</t>
  </si>
  <si>
    <t>Italia, Terni, Umbria</t>
  </si>
  <si>
    <t>403-8865513-6749127</t>
  </si>
  <si>
    <t>2024-01-27T09:04:20+00:00</t>
  </si>
  <si>
    <t>2024-01-28T13:43:06+00:00</t>
  </si>
  <si>
    <t>SGURGOLA</t>
  </si>
  <si>
    <t>403-2510310-5248352</t>
  </si>
  <si>
    <t>2024-01-27T09:03:53+00:00</t>
  </si>
  <si>
    <t>2024-01-28T13:43:01+00:00</t>
  </si>
  <si>
    <t>403-4163438-0987512</t>
  </si>
  <si>
    <t>2024-01-27T08:57:50+00:00</t>
  </si>
  <si>
    <t>2024-01-28T11:21:10+00:00</t>
  </si>
  <si>
    <t>Calabria</t>
  </si>
  <si>
    <t>407-5086224-5597936</t>
  </si>
  <si>
    <t>2024-01-27T08:53:41+00:00</t>
  </si>
  <si>
    <t>2024-01-29T08:40:47+00:00</t>
  </si>
  <si>
    <t>Decimoputzu</t>
  </si>
  <si>
    <t>404-2517649-6319561</t>
  </si>
  <si>
    <t>2024-01-27T08:44:58+00:00</t>
  </si>
  <si>
    <t>2024-01-28T01:49:01+00:00</t>
  </si>
  <si>
    <t>Ardea</t>
  </si>
  <si>
    <t>402-8312203-3329920</t>
  </si>
  <si>
    <t>2024-01-27T08:41:38+00:00</t>
  </si>
  <si>
    <t>2024-01-27T17:20:27+00:00</t>
  </si>
  <si>
    <t>San Vito Dei Normanni</t>
  </si>
  <si>
    <t>BR</t>
  </si>
  <si>
    <t>171-6639101-3545135</t>
  </si>
  <si>
    <t>2024-01-27T08:39:03+00:00</t>
  </si>
  <si>
    <t>2024-01-28T00:30:51+00:00</t>
  </si>
  <si>
    <t>Carugo</t>
  </si>
  <si>
    <t>404-7397112-0210702</t>
  </si>
  <si>
    <t>2024-01-27T08:27:55+00:00</t>
  </si>
  <si>
    <t>2024-01-28T09:17:23+00:00</t>
  </si>
  <si>
    <t>Mestre</t>
  </si>
  <si>
    <t>408-8549492-9642768</t>
  </si>
  <si>
    <t>2024-01-27T08:16:21+00:00</t>
  </si>
  <si>
    <t>2024-01-27T16:49:07+00:00</t>
  </si>
  <si>
    <t>Angri</t>
  </si>
  <si>
    <t>408-6742071-2216340</t>
  </si>
  <si>
    <t>2024-01-27T08:14:49+00:00</t>
  </si>
  <si>
    <t>2024-01-28T20:49:57+00:00</t>
  </si>
  <si>
    <t>405-2727256-0962708</t>
  </si>
  <si>
    <t>2024-01-27T08:06:45+00:00</t>
  </si>
  <si>
    <t>2024-01-27T17:50:23+00:00</t>
  </si>
  <si>
    <t>PESCANTINA</t>
  </si>
  <si>
    <t>408-9064221-3745920</t>
  </si>
  <si>
    <t>2024-01-27T08:06:07+00:00</t>
  </si>
  <si>
    <t>2024-01-28T22:33:39+00:00</t>
  </si>
  <si>
    <t>402-0555737-2267547</t>
  </si>
  <si>
    <t>2024-01-27T08:01:13+00:00</t>
  </si>
  <si>
    <t>2024-01-29T14:21:05+00:00</t>
  </si>
  <si>
    <t>Solarolo</t>
  </si>
  <si>
    <t>402-4181849-7606718</t>
  </si>
  <si>
    <t>2024-01-27T07:45:46+00:00</t>
  </si>
  <si>
    <t>2024-01-28T20:26:22+00:00</t>
  </si>
  <si>
    <t>TRENTO</t>
  </si>
  <si>
    <t>407-2755113-8471555</t>
  </si>
  <si>
    <t>2024-01-27T07:37:46+00:00</t>
  </si>
  <si>
    <t>2024-01-27T23:42:42+00:00</t>
  </si>
  <si>
    <t>Subbiano</t>
  </si>
  <si>
    <t>171-1046753-0157111</t>
  </si>
  <si>
    <t>2024-01-27T07:35:18+00:00</t>
  </si>
  <si>
    <t>2024-01-28T02:34:02+00:00</t>
  </si>
  <si>
    <t>403-6677030-6252343</t>
  </si>
  <si>
    <t>2024-01-27T07:33:30+00:00</t>
  </si>
  <si>
    <t>2024-01-28T01:51:35+00:00</t>
  </si>
  <si>
    <t>CAMBIASCA</t>
  </si>
  <si>
    <t>Verbania</t>
  </si>
  <si>
    <t>171-3248911-6149146</t>
  </si>
  <si>
    <t>2024-01-27T06:24:35+00:00</t>
  </si>
  <si>
    <t>2024-01-28T01:04:29+00:00</t>
  </si>
  <si>
    <t>Bo</t>
  </si>
  <si>
    <t>171-9394562-6447553</t>
  </si>
  <si>
    <t>2024-01-27T06:19:36+00:00</t>
  </si>
  <si>
    <t>2024-01-29T14:26:26+00:00</t>
  </si>
  <si>
    <t>IT07224790480</t>
  </si>
  <si>
    <t>406-5356348-4667564</t>
  </si>
  <si>
    <t>2024-01-27T05:50:46+00:00</t>
  </si>
  <si>
    <t>2024-01-27T21:17:34+00:00</t>
  </si>
  <si>
    <t>San Prisco</t>
  </si>
  <si>
    <t>Italia/campania/caserta</t>
  </si>
  <si>
    <t>406-3726641-4356362</t>
  </si>
  <si>
    <t>2024-01-27T05:40:28+00:00</t>
  </si>
  <si>
    <t>2024-01-28T02:14:40+00:00</t>
  </si>
  <si>
    <t>SOLARA</t>
  </si>
  <si>
    <t>408-9954202-0273165</t>
  </si>
  <si>
    <t>2024-01-27T05:26:08+00:00</t>
  </si>
  <si>
    <t>2024-01-29T01:52:40+00:00</t>
  </si>
  <si>
    <t>Santo Stefano di Magra</t>
  </si>
  <si>
    <t>SP</t>
  </si>
  <si>
    <t>408-1477112-9678721</t>
  </si>
  <si>
    <t>2024-01-27T05:13:18+00:00</t>
  </si>
  <si>
    <t>2024-01-29T17:23:46+00:00</t>
  </si>
  <si>
    <t>MISANO DI GERA D'ADDA</t>
  </si>
  <si>
    <t>407-3042886-5006729</t>
  </si>
  <si>
    <t>2024-01-27T02:04:31+00:00</t>
  </si>
  <si>
    <t>2024-01-28T20:49:09+00:00</t>
  </si>
  <si>
    <t>GENOVA</t>
  </si>
  <si>
    <t>404-0293770-9272334</t>
  </si>
  <si>
    <t>2024-01-27T00:47:32+00:00</t>
  </si>
  <si>
    <t>2024-01-28T15:22:30+00:00</t>
  </si>
  <si>
    <t>CASCINA</t>
  </si>
  <si>
    <t>171-9442553-0701138</t>
  </si>
  <si>
    <t>2024-01-26T23:49:44+00:00</t>
  </si>
  <si>
    <t>2024-01-28T08:33:12+00:00</t>
  </si>
  <si>
    <t>Pinerolo</t>
  </si>
  <si>
    <t>404-7300320-5094762</t>
  </si>
  <si>
    <t>2024-01-26T23:01:26+00:00</t>
  </si>
  <si>
    <t>2024-01-28T12:47:49+00:00</t>
  </si>
  <si>
    <t>Or</t>
  </si>
  <si>
    <t>171-9033857-1849111</t>
  </si>
  <si>
    <t>2024-01-26T22:46:45+00:00</t>
  </si>
  <si>
    <t>2024-01-28T12:50:46+00:00</t>
  </si>
  <si>
    <t>Lucera</t>
  </si>
  <si>
    <t>402-2029227-8774746</t>
  </si>
  <si>
    <t>2024-01-26T22:19:30+00:00</t>
  </si>
  <si>
    <t>2024-01-29T20:13:01+00:00</t>
  </si>
  <si>
    <t>La villa</t>
  </si>
  <si>
    <t>402-5130260-8237134</t>
  </si>
  <si>
    <t>2024-01-26T22:07:38+00:00</t>
  </si>
  <si>
    <t>2024-01-27T19:45:06+00:00</t>
  </si>
  <si>
    <t>Cassano Magnago</t>
  </si>
  <si>
    <t>407-1552290-6484317</t>
  </si>
  <si>
    <t>2024-01-26T21:59:05+00:00</t>
  </si>
  <si>
    <t>2024-01-29T16:19:54+00:00</t>
  </si>
  <si>
    <t>Trezzano sul naviglio</t>
  </si>
  <si>
    <t>408-3506428-1305969</t>
  </si>
  <si>
    <t>2024-01-26T21:56:59+00:00</t>
  </si>
  <si>
    <t>2024-01-28T14:24:21+00:00</t>
  </si>
  <si>
    <t>171-2075999-3221156</t>
  </si>
  <si>
    <t>2024-01-26T21:49:51+00:00</t>
  </si>
  <si>
    <t>2024-01-27T02:31:34+00:00</t>
  </si>
  <si>
    <t>404-6075413-2561914</t>
  </si>
  <si>
    <t>2024-01-26T21:39:50+00:00</t>
  </si>
  <si>
    <t>2024-01-27T02:24:13+00:00</t>
  </si>
  <si>
    <t>Villa San Sebastiano Nuova di Tagliacozzo</t>
  </si>
  <si>
    <t>408-5967477-6860348</t>
  </si>
  <si>
    <t>2024-01-26T21:36:50+00:00</t>
  </si>
  <si>
    <t>2024-01-27T18:19:49+00:00</t>
  </si>
  <si>
    <t>Palma Campania</t>
  </si>
  <si>
    <t>407-3318071-5601967</t>
  </si>
  <si>
    <t>2024-01-26T21:12:35+00:00</t>
  </si>
  <si>
    <t>2024-01-27T02:30:48+00:00</t>
  </si>
  <si>
    <t>171-8262280-3419514</t>
  </si>
  <si>
    <t>2024-01-26T21:09:28+00:00</t>
  </si>
  <si>
    <t>2024-01-27T04:57:29+00:00</t>
  </si>
  <si>
    <t>Toritto</t>
  </si>
  <si>
    <t>408-0811892-0345109</t>
  </si>
  <si>
    <t>2024-01-26T20:47:56+00:00</t>
  </si>
  <si>
    <t>2024-01-28T08:57:08+00:00</t>
  </si>
  <si>
    <t>VIGODARZERE</t>
  </si>
  <si>
    <t>406-0448695-4925952</t>
  </si>
  <si>
    <t>2024-01-26T20:27:49+00:00</t>
  </si>
  <si>
    <t>2024-01-28T02:03:48+00:00</t>
  </si>
  <si>
    <t>406-2955503-4488366</t>
  </si>
  <si>
    <t>2024-01-26T20:25:28+00:00</t>
  </si>
  <si>
    <t>2024-01-27T02:34:35+00:00</t>
  </si>
  <si>
    <t>SONCINO</t>
  </si>
  <si>
    <t>CR</t>
  </si>
  <si>
    <t>406-4044507-2861910</t>
  </si>
  <si>
    <t>2024-01-26T19:53:54+00:00</t>
  </si>
  <si>
    <t>2024-01-29T14:51:07+00:00</t>
  </si>
  <si>
    <t>Bagheria</t>
  </si>
  <si>
    <t>402-8704501-7209159</t>
  </si>
  <si>
    <t>2024-01-26T19:31:15+00:00</t>
  </si>
  <si>
    <t>2024-01-27T01:25:00+00:00</t>
  </si>
  <si>
    <t>171-3168002-5335531</t>
  </si>
  <si>
    <t>2024-01-26T19:30:29+00:00</t>
  </si>
  <si>
    <t>2024-01-28T17:30:55+00:00</t>
  </si>
  <si>
    <t>Campodimele</t>
  </si>
  <si>
    <t>404-1486575-3465146</t>
  </si>
  <si>
    <t>2024-01-26T18:59:39+00:00</t>
  </si>
  <si>
    <t>2024-01-28T08:34:22+00:00</t>
  </si>
  <si>
    <t>To</t>
  </si>
  <si>
    <t>402-6064291-8662734</t>
  </si>
  <si>
    <t>2024-01-26T18:54:23+00:00</t>
  </si>
  <si>
    <t>2024-01-29T12:14:41+00:00</t>
  </si>
  <si>
    <t>404-7671967-4539527</t>
  </si>
  <si>
    <t>2024-01-26T18:51:51+00:00</t>
  </si>
  <si>
    <t>2024-01-26T23:14:38+00:00</t>
  </si>
  <si>
    <t>MS</t>
  </si>
  <si>
    <t>406-4561804-6479566</t>
  </si>
  <si>
    <t>2024-01-26T18:40:16+00:00</t>
  </si>
  <si>
    <t>2024-01-26T20:46:04+00:00</t>
  </si>
  <si>
    <t>Sant'Arpino</t>
  </si>
  <si>
    <t>408-5411830-4795502</t>
  </si>
  <si>
    <t>2024-01-26T18:22:58+00:00</t>
  </si>
  <si>
    <t>2024-01-29T02:19:03+00:00</t>
  </si>
  <si>
    <t>171-9817713-9081166</t>
  </si>
  <si>
    <t>2024-01-26T18:07:57+00:00</t>
  </si>
  <si>
    <t>2024-01-27T20:32:33+00:00</t>
  </si>
  <si>
    <t>403-7945397-6896355</t>
  </si>
  <si>
    <t>2024-01-26T18:01:02+00:00</t>
  </si>
  <si>
    <t>2024-01-28T12:55:37+00:00</t>
  </si>
  <si>
    <t>Caorso</t>
  </si>
  <si>
    <t>171-0529842-2347540</t>
  </si>
  <si>
    <t>2024-01-26T17:48:17+00:00</t>
  </si>
  <si>
    <t>2024-01-27T02:00:16+00:00</t>
  </si>
  <si>
    <t>171-3378935-3570723</t>
  </si>
  <si>
    <t>2024-01-26T17:46:39+00:00</t>
  </si>
  <si>
    <t>2024-01-28T11:20:15+00:00</t>
  </si>
  <si>
    <t>407-8218245-1438732</t>
  </si>
  <si>
    <t>2024-01-26T17:25:19+00:00</t>
  </si>
  <si>
    <t>2024-01-26T22:21:31+00:00</t>
  </si>
  <si>
    <t>408-4760852-5579531</t>
  </si>
  <si>
    <t>2024-01-26T17:22:38+00:00</t>
  </si>
  <si>
    <t>2024-01-26T20:12:04+00:00</t>
  </si>
  <si>
    <t>171-1431808-8983549</t>
  </si>
  <si>
    <t>2024-01-26T17:14:23+00:00</t>
  </si>
  <si>
    <t>2024-01-27T01:26:02+00:00</t>
  </si>
  <si>
    <t>Montevarchi</t>
  </si>
  <si>
    <t>402-1784873-0885939</t>
  </si>
  <si>
    <t>2024-01-26T17:13:20+00:00</t>
  </si>
  <si>
    <t>2024-02-06T17:47:38+00:00</t>
  </si>
  <si>
    <t>poviglio</t>
  </si>
  <si>
    <t>407-7058514-2570759</t>
  </si>
  <si>
    <t>2024-01-26T17:12:47+00:00</t>
  </si>
  <si>
    <t>2024-01-27T01:18:38+00:00</t>
  </si>
  <si>
    <t>Jesi</t>
  </si>
  <si>
    <t>Ancona</t>
  </si>
  <si>
    <t>406-5087755-7030754</t>
  </si>
  <si>
    <t>2024-01-26T17:04:42+00:00</t>
  </si>
  <si>
    <t>2024-01-30T17:19:56+00:00</t>
  </si>
  <si>
    <t>Porto Recanati</t>
  </si>
  <si>
    <t>408-1963681-3290756</t>
  </si>
  <si>
    <t>2024-01-26T16:49:28+00:00</t>
  </si>
  <si>
    <t>2024-01-27T01:26:08+00:00</t>
  </si>
  <si>
    <t>PONTE A SIGNA</t>
  </si>
  <si>
    <t>403-2416997-8810746</t>
  </si>
  <si>
    <t>2024-01-26T16:41:39+00:00</t>
  </si>
  <si>
    <t>2024-01-26T21:11:02+00:00</t>
  </si>
  <si>
    <t>Albinia</t>
  </si>
  <si>
    <t>402-8066534-5292362</t>
  </si>
  <si>
    <t>2024-01-26T16:40:23+00:00</t>
  </si>
  <si>
    <t>2024-01-27T18:28:00+00:00</t>
  </si>
  <si>
    <t>Valenza</t>
  </si>
  <si>
    <t>406-4912616-5613165</t>
  </si>
  <si>
    <t>2024-01-26T16:38:08+00:00</t>
  </si>
  <si>
    <t>2024-01-26T20:51:07+00:00</t>
  </si>
  <si>
    <t>quartu sant'elena</t>
  </si>
  <si>
    <t>406-5765024-7093925</t>
  </si>
  <si>
    <t>2024-01-26T16:29:23+00:00</t>
  </si>
  <si>
    <t>2024-01-26T23:14:04+00:00</t>
  </si>
  <si>
    <t>PORCARI</t>
  </si>
  <si>
    <t>405-1939544-9737964</t>
  </si>
  <si>
    <t>2024-01-26T15:59:08+00:00</t>
  </si>
  <si>
    <t>2024-01-27T02:34:42+00:00</t>
  </si>
  <si>
    <t>Stezzano</t>
  </si>
  <si>
    <t>403-6581951-1767543</t>
  </si>
  <si>
    <t>2024-01-26T15:58:38+00:00</t>
  </si>
  <si>
    <t>2024-01-31T16:05:49+00:00</t>
  </si>
  <si>
    <t>Saronno</t>
  </si>
  <si>
    <t>404-6325073-8760324</t>
  </si>
  <si>
    <t>2024-01-26T15:54:48+00:00</t>
  </si>
  <si>
    <t>2024-01-26T23:31:09+00:00</t>
  </si>
  <si>
    <t>COPPARO</t>
  </si>
  <si>
    <t>FERRARA</t>
  </si>
  <si>
    <t>402-7364632-4095535</t>
  </si>
  <si>
    <t>2024-01-26T15:50:00+00:00</t>
  </si>
  <si>
    <t>2024-01-27T02:00:14+00:00</t>
  </si>
  <si>
    <t>Piovene Rocchette</t>
  </si>
  <si>
    <t>408-9894274-2682754</t>
  </si>
  <si>
    <t>2024-01-26T15:48:20+00:00</t>
  </si>
  <si>
    <t>2024-01-26T18:20:58+00:00</t>
  </si>
  <si>
    <t>Castelcovati</t>
  </si>
  <si>
    <t>171-7018821-0405130</t>
  </si>
  <si>
    <t>2024-01-26T15:40:45+00:00</t>
  </si>
  <si>
    <t>2024-01-28T20:27:46+00:00</t>
  </si>
  <si>
    <t>BASTIA UMBRA</t>
  </si>
  <si>
    <t>402-4270837-3644312</t>
  </si>
  <si>
    <t>2024-01-26T15:38:14+00:00</t>
  </si>
  <si>
    <t>2024-01-27T10:32:34+00:00</t>
  </si>
  <si>
    <t>Ceglie Messapica</t>
  </si>
  <si>
    <t>403-2908554-9558743</t>
  </si>
  <si>
    <t>2024-01-26T15:19:59+00:00</t>
  </si>
  <si>
    <t>2024-01-26T23:00:56+00:00</t>
  </si>
  <si>
    <t>Fiumicino</t>
  </si>
  <si>
    <t>IT01449130622</t>
  </si>
  <si>
    <t>405-4456142-8504308</t>
  </si>
  <si>
    <t>2024-01-26T15:18:25+00:00</t>
  </si>
  <si>
    <t>2024-01-29T17:17:03+00:00</t>
  </si>
  <si>
    <t>Free Shipping 2017/03/07 18-55-47-776</t>
  </si>
  <si>
    <t>403-9628105-0934766</t>
  </si>
  <si>
    <t>2024-01-26T15:13:40+00:00</t>
  </si>
  <si>
    <t>2024-01-26T20:40:25+00:00</t>
  </si>
  <si>
    <t>Cerveteri</t>
  </si>
  <si>
    <t>Lazio</t>
  </si>
  <si>
    <t>403-0551391-0433937</t>
  </si>
  <si>
    <t>2024-01-26T15:01:15+00:00</t>
  </si>
  <si>
    <t>2024-01-29T01:04:22+00:00</t>
  </si>
  <si>
    <t>403-4401530-0841938</t>
  </si>
  <si>
    <t>2024-01-26T14:59:34+00:00</t>
  </si>
  <si>
    <t>2024-01-28T18:18:20+00:00</t>
  </si>
  <si>
    <t>404-3143841-5377107</t>
  </si>
  <si>
    <t>2024-01-26T14:43:39+00:00</t>
  </si>
  <si>
    <t>2024-01-29T19:03:12+00:00</t>
  </si>
  <si>
    <t>LENNO</t>
  </si>
  <si>
    <t>405-2150840-6789105</t>
  </si>
  <si>
    <t>2024-01-26T14:29:24+00:00</t>
  </si>
  <si>
    <t>2024-01-28T08:33:22+00:00</t>
  </si>
  <si>
    <t>Cadempino</t>
  </si>
  <si>
    <t>Ticion</t>
  </si>
  <si>
    <t>171-0664731-2253121</t>
  </si>
  <si>
    <t>2024-01-26T14:14:31+00:00</t>
  </si>
  <si>
    <t>2024-01-26T20:24:17+00:00</t>
  </si>
  <si>
    <t>PR</t>
  </si>
  <si>
    <t>405-6550702-3192353</t>
  </si>
  <si>
    <t>2024-01-26T14:09:31+00:00</t>
  </si>
  <si>
    <t>2024-01-27T01:59:11+00:00</t>
  </si>
  <si>
    <t>Valenza Po</t>
  </si>
  <si>
    <t>408-6108366-2925922</t>
  </si>
  <si>
    <t>2024-01-26T13:52:22+00:00</t>
  </si>
  <si>
    <t>406-0573757-7109925</t>
  </si>
  <si>
    <t>2024-01-26T13:28:53+00:00</t>
  </si>
  <si>
    <t>2024-01-26T20:20:53+00:00</t>
  </si>
  <si>
    <t>Rozzano</t>
  </si>
  <si>
    <t>403-3305066-9214765</t>
  </si>
  <si>
    <t>2024-01-26T13:19:07+00:00</t>
  </si>
  <si>
    <t>2024-01-26T17:12:19+00:00</t>
  </si>
  <si>
    <t>PADERNO DUGNANO</t>
  </si>
  <si>
    <t>406-5242602-4910748</t>
  </si>
  <si>
    <t>2024-01-26T13:09:52+00:00</t>
  </si>
  <si>
    <t>2024-01-28T11:21:34+00:00</t>
  </si>
  <si>
    <t>402-1477782-4449128</t>
  </si>
  <si>
    <t>2024-01-26T12:45:18+00:00</t>
  </si>
  <si>
    <t>2024-01-26T17:15:43+00:00</t>
  </si>
  <si>
    <t>Villafranca in Lunigiana</t>
  </si>
  <si>
    <t>403-5484933-6455533</t>
  </si>
  <si>
    <t>2024-01-26T12:38:15+00:00</t>
  </si>
  <si>
    <t>2024-01-28T18:19:47+00:00</t>
  </si>
  <si>
    <t>404-7899128-4296340</t>
  </si>
  <si>
    <t>2024-01-26T12:36:06+00:00</t>
  </si>
  <si>
    <t>2024-01-29T15:29:56+00:00</t>
  </si>
  <si>
    <t>171-9614738-0206702</t>
  </si>
  <si>
    <t>2024-01-26T12:19:02+00:00</t>
  </si>
  <si>
    <t>2024-01-27T01:18:16+00:00</t>
  </si>
  <si>
    <t>Senigallia</t>
  </si>
  <si>
    <t>PE</t>
  </si>
  <si>
    <t>402-2395501-8358766</t>
  </si>
  <si>
    <t>2024-01-26T12:14:07+00:00</t>
  </si>
  <si>
    <t>2024-01-26T15:47:31+00:00</t>
  </si>
  <si>
    <t>Bedizzole</t>
  </si>
  <si>
    <t>402-4484460-3288353</t>
  </si>
  <si>
    <t>2024-01-26T12:13:22+00:00</t>
  </si>
  <si>
    <t>2024-01-27T01:18:47+00:00</t>
  </si>
  <si>
    <t>Ostra</t>
  </si>
  <si>
    <t>408-3395185-9721168</t>
  </si>
  <si>
    <t>2024-01-26T12:13:01+00:00</t>
  </si>
  <si>
    <t>2024-01-29T15:28:57+00:00</t>
  </si>
  <si>
    <t>Beper RI.080 - Termoventilatore Ceramico a Basso Consumo - Stufetta Elettrica con Protezione Anti-Surriscaldamento</t>
  </si>
  <si>
    <t>402-7340773-4453120</t>
  </si>
  <si>
    <t>2024-01-26T12:03:20+00:00</t>
  </si>
  <si>
    <t>2024-01-26T20:20:00+00:00</t>
  </si>
  <si>
    <t>171-7209576-1061151</t>
  </si>
  <si>
    <t>2024-01-26T12:02:37+00:00</t>
  </si>
  <si>
    <t>2024-01-29T15:30:05+00:00</t>
  </si>
  <si>
    <t>407-3720183-2254719</t>
  </si>
  <si>
    <t>2024-01-26T11:51:56+00:00</t>
  </si>
  <si>
    <t>2024-01-27T12:59:55+00:00</t>
  </si>
  <si>
    <t>monopoli</t>
  </si>
  <si>
    <t>ba</t>
  </si>
  <si>
    <t>407-7214561-5708329</t>
  </si>
  <si>
    <t>2024-01-26T11:51:15+00:00</t>
  </si>
  <si>
    <t>2024-01-26T18:13:10+00:00</t>
  </si>
  <si>
    <t>Lamezia Terme</t>
  </si>
  <si>
    <t>Italia, Catanzaro, Calabria</t>
  </si>
  <si>
    <t>408-0013258-8865953</t>
  </si>
  <si>
    <t>2024-01-26T11:46:05+00:00</t>
  </si>
  <si>
    <t>2024-01-27T02:52:30+00:00</t>
  </si>
  <si>
    <t>403-0994193-0223540</t>
  </si>
  <si>
    <t>2024-01-26T11:43:23+00:00</t>
  </si>
  <si>
    <t>2024-01-26T17:04:18+00:00</t>
  </si>
  <si>
    <t>Italia/Lombardia/milano</t>
  </si>
  <si>
    <t>406-0410021-5981923</t>
  </si>
  <si>
    <t>2024-01-26T11:42:17+00:00</t>
  </si>
  <si>
    <t>2024-01-29T15:29:27+00:00</t>
  </si>
  <si>
    <t>TIARNO DI SOPRA</t>
  </si>
  <si>
    <t>171-4226457-5254735</t>
  </si>
  <si>
    <t>2024-01-26T11:40:41+00:00</t>
  </si>
  <si>
    <t>2024-01-28T08:25:05+00:00</t>
  </si>
  <si>
    <t>bisacquino</t>
  </si>
  <si>
    <t>pa</t>
  </si>
  <si>
    <t>403-3067355-4088357</t>
  </si>
  <si>
    <t>2024-01-26T11:37:15+00:00</t>
  </si>
  <si>
    <t>2024-01-26T20:40:21+00:00</t>
  </si>
  <si>
    <t>Bracciano</t>
  </si>
  <si>
    <t>403-7990420-9333102</t>
  </si>
  <si>
    <t>2024-01-26T11:30:03+00:00</t>
  </si>
  <si>
    <t>2024-01-26T20:44:43+00:00</t>
  </si>
  <si>
    <t>Morciano di Romagna</t>
  </si>
  <si>
    <t>403-3874380-2693146</t>
  </si>
  <si>
    <t>2024-01-26T11:18:38+00:00</t>
  </si>
  <si>
    <t>2024-01-26T23:30:37+00:00</t>
  </si>
  <si>
    <t>legnaro</t>
  </si>
  <si>
    <t>403-8498241-6182704</t>
  </si>
  <si>
    <t>2024-01-26T11:06:47+00:00</t>
  </si>
  <si>
    <t>2024-01-29T14:19:43+00:00</t>
  </si>
  <si>
    <t>MONCALIERI</t>
  </si>
  <si>
    <t>IT08831790012</t>
  </si>
  <si>
    <t>407-5383133-5650735</t>
  </si>
  <si>
    <t>2024-01-26T10:29:23+00:00</t>
  </si>
  <si>
    <t>2024-01-28T22:08:43+00:00</t>
  </si>
  <si>
    <t>402-8203608-7618721</t>
  </si>
  <si>
    <t>2024-01-26T10:06:20+00:00</t>
  </si>
  <si>
    <t>2024-01-29T14:49:54+00:00</t>
  </si>
  <si>
    <t>406-8252417-5331517</t>
  </si>
  <si>
    <t>2024-01-26T09:58:48+00:00</t>
  </si>
  <si>
    <t>2024-01-29T14:21:48+00:00</t>
  </si>
  <si>
    <t>Beper 90.882 - Fornetto Elettrico 12L, Elementi Riscaldanti al Quarzo, Temperatura Regolabile fino a 230°C, Timer Regolabile fino a 30 Minuti, Autospegnimenti, Nero, 35.5 x 28 x 19.4 cm</t>
  </si>
  <si>
    <t>IT07828001219</t>
  </si>
  <si>
    <t>171-6506117-8672346</t>
  </si>
  <si>
    <t>2024-01-26T09:30:57+00:00</t>
  </si>
  <si>
    <t>2024-01-26T15:47:39+00:00</t>
  </si>
  <si>
    <t>408-6888206-6284319</t>
  </si>
  <si>
    <t>2024-01-26T08:55:44+00:00</t>
  </si>
  <si>
    <t>2024-01-29T10:18:27+00:00</t>
  </si>
  <si>
    <t>Calalzo di Cadore</t>
  </si>
  <si>
    <t>IT00061860250</t>
  </si>
  <si>
    <t>406-3845184-1327522</t>
  </si>
  <si>
    <t>2024-01-26T08:55:00+00:00</t>
  </si>
  <si>
    <t>2024-01-29T14:22:31+00:00</t>
  </si>
  <si>
    <t>ponza</t>
  </si>
  <si>
    <t>IT01981740598</t>
  </si>
  <si>
    <t>404-2066323-8174753</t>
  </si>
  <si>
    <t>2024-01-26T08:38:08+00:00</t>
  </si>
  <si>
    <t>2024-01-28T01:52:12+00:00</t>
  </si>
  <si>
    <t>GRIGNASCO</t>
  </si>
  <si>
    <t>NO</t>
  </si>
  <si>
    <t>402-5417032-7803508</t>
  </si>
  <si>
    <t>2024-01-26T08:37:50+00:00</t>
  </si>
  <si>
    <t>2024-01-26T13:21:22+00:00</t>
  </si>
  <si>
    <t>Gravina di catania</t>
  </si>
  <si>
    <t>403-3741003-8060312</t>
  </si>
  <si>
    <t>2024-01-26T08:35:15+00:00</t>
  </si>
  <si>
    <t>2024-01-29T14:50:56+00:00</t>
  </si>
  <si>
    <t>171-7228530-1211552</t>
  </si>
  <si>
    <t>2024-01-26T07:21:56+00:00</t>
  </si>
  <si>
    <t>2024-01-26T15:46:51+00:00</t>
  </si>
  <si>
    <t>Pedrengo</t>
  </si>
  <si>
    <t>408-2806361-8765943</t>
  </si>
  <si>
    <t>2024-01-26T07:03:12+00:00</t>
  </si>
  <si>
    <t>2024-01-29T02:18:34+00:00</t>
  </si>
  <si>
    <t>406-2666487-7537110</t>
  </si>
  <si>
    <t>2024-01-26T06:32:38+00:00</t>
  </si>
  <si>
    <t>2024-01-26T17:15:20+00:00</t>
  </si>
  <si>
    <t>MONTE SAN QUIRICO</t>
  </si>
  <si>
    <t>408-5805922-3147521</t>
  </si>
  <si>
    <t>2024-01-26T06:30:04+00:00</t>
  </si>
  <si>
    <t>2024-01-26T21:17:30+00:00</t>
  </si>
  <si>
    <t>171-1659294-9985945</t>
  </si>
  <si>
    <t>2024-01-26T05:22:00+00:00</t>
  </si>
  <si>
    <t>2024-01-26T05:23:16+00:00</t>
  </si>
  <si>
    <t>Cassola</t>
  </si>
  <si>
    <t>Vi</t>
  </si>
  <si>
    <t>405-2461549-8430730</t>
  </si>
  <si>
    <t>2024-01-26T02:00:46+00:00</t>
  </si>
  <si>
    <t>2024-01-26T09:16:20+00:00</t>
  </si>
  <si>
    <t>COLOGNO MONZESE</t>
  </si>
  <si>
    <t>405-6257771-6100315</t>
  </si>
  <si>
    <t>2024-01-26T01:11:23+00:00</t>
  </si>
  <si>
    <t>2024-01-26T22:11:45+00:00</t>
  </si>
  <si>
    <t>DESENZANO DEL GARDA</t>
  </si>
  <si>
    <t>bs</t>
  </si>
  <si>
    <t>408-8312560-3528333</t>
  </si>
  <si>
    <t>2024-01-25T22:59:18+00:00</t>
  </si>
  <si>
    <t>2024-01-26T02:25:59+00:00</t>
  </si>
  <si>
    <t>Bettona</t>
  </si>
  <si>
    <t>Pg</t>
  </si>
  <si>
    <t>171-5806814-6705142</t>
  </si>
  <si>
    <t>2024-01-25T22:46:57+00:00</t>
  </si>
  <si>
    <t>2024-01-26T05:12:38+00:00</t>
  </si>
  <si>
    <t>Urbino</t>
  </si>
  <si>
    <t>171-1459534-4032342</t>
  </si>
  <si>
    <t>2024-01-25T22:41:07+00:00</t>
  </si>
  <si>
    <t>2024-01-27T08:53:24+00:00</t>
  </si>
  <si>
    <t>MODUGNO</t>
  </si>
  <si>
    <t>404-6944202-3336368</t>
  </si>
  <si>
    <t>2024-01-25T22:22:40+00:00</t>
  </si>
  <si>
    <t>2024-01-26T02:30:26+00:00</t>
  </si>
  <si>
    <t>408-9087893-5347541</t>
  </si>
  <si>
    <t>2024-01-25T21:59:47+00:00</t>
  </si>
  <si>
    <t>2024-01-26T02:06:31+00:00</t>
  </si>
  <si>
    <t>404-5835776-8064307</t>
  </si>
  <si>
    <t>2024-01-25T21:43:04+00:00</t>
  </si>
  <si>
    <t>2024-01-26T01:29:32+00:00</t>
  </si>
  <si>
    <t>403-5246721-6995526</t>
  </si>
  <si>
    <t>2024-01-25T21:42:08+00:00</t>
  </si>
  <si>
    <t>2024-01-26T18:17:20+00:00</t>
  </si>
  <si>
    <t>Marconia di Pisticci</t>
  </si>
  <si>
    <t>404-3097007-7365956</t>
  </si>
  <si>
    <t>2024-01-25T21:10:20+00:00</t>
  </si>
  <si>
    <t>2024-01-25T23:13:14+00:00</t>
  </si>
  <si>
    <t>PI</t>
  </si>
  <si>
    <t>408-3465790-1288303</t>
  </si>
  <si>
    <t>2024-01-25T21:04:31+00:00</t>
  </si>
  <si>
    <t>2024-01-26T16:09:51+00:00</t>
  </si>
  <si>
    <t>Voghera</t>
  </si>
  <si>
    <t>PV</t>
  </si>
  <si>
    <t>405-9919290-5420310</t>
  </si>
  <si>
    <t>2024-01-25T21:00:38+00:00</t>
  </si>
  <si>
    <t>2024-01-26T12:29:04+00:00</t>
  </si>
  <si>
    <t>Trapani</t>
  </si>
  <si>
    <t>407-4390633-2165915</t>
  </si>
  <si>
    <t>2024-01-25T20:56:20+00:00</t>
  </si>
  <si>
    <t>2024-01-26T15:28:47+00:00</t>
  </si>
  <si>
    <t>171-8584907-1393148</t>
  </si>
  <si>
    <t>2024-01-25T20:56:15+00:00</t>
  </si>
  <si>
    <t>2024-01-26T02:28:49+00:00</t>
  </si>
  <si>
    <t>405-6463875-4618711</t>
  </si>
  <si>
    <t>2024-01-25T20:45:16+00:00</t>
  </si>
  <si>
    <t>2024-01-26T04:36:32+00:00</t>
  </si>
  <si>
    <t>Montesilvano</t>
  </si>
  <si>
    <t>402-0920012-6802723</t>
  </si>
  <si>
    <t>2024-01-25T20:39:54+00:00</t>
  </si>
  <si>
    <t>2024-01-26T12:31:55+00:00</t>
  </si>
  <si>
    <t>Cercola</t>
  </si>
  <si>
    <t>406-4243267-9834738</t>
  </si>
  <si>
    <t>2024-01-25T20:28:06+00:00</t>
  </si>
  <si>
    <t>2024-01-26T14:56:09+00:00</t>
  </si>
  <si>
    <t>La spezia</t>
  </si>
  <si>
    <t>406-8115688-8337921</t>
  </si>
  <si>
    <t>2024-01-25T20:17:34+00:00</t>
  </si>
  <si>
    <t>2024-01-26T01:29:15+00:00</t>
  </si>
  <si>
    <t>Marino Santa Maria delle Mole</t>
  </si>
  <si>
    <t>405-7916473-3327506</t>
  </si>
  <si>
    <t>2024-01-25T20:11:35+00:00</t>
  </si>
  <si>
    <t>2024-01-26T01:24:07+00:00</t>
  </si>
  <si>
    <t>pordenone</t>
  </si>
  <si>
    <t>405-4504663-2112317</t>
  </si>
  <si>
    <t>2024-01-25T19:51:24+00:00</t>
  </si>
  <si>
    <t>2024-01-26T01:29:18+00:00</t>
  </si>
  <si>
    <t>FIESOLE</t>
  </si>
  <si>
    <t>406-1407292-4325117</t>
  </si>
  <si>
    <t>2024-01-25T19:47:27+00:00</t>
  </si>
  <si>
    <t>2024-01-25T19:49:25+00:00</t>
  </si>
  <si>
    <t>Nerviano</t>
  </si>
  <si>
    <t>408-3133450-5297139</t>
  </si>
  <si>
    <t>2024-01-25T19:24:58+00:00</t>
  </si>
  <si>
    <t>2024-01-26T13:08:09+00:00</t>
  </si>
  <si>
    <t>SOSSANO</t>
  </si>
  <si>
    <t>408-2881556-6201907</t>
  </si>
  <si>
    <t>2024-01-25T19:19:11+00:00</t>
  </si>
  <si>
    <t>2024-01-26T15:47:21+00:00</t>
  </si>
  <si>
    <t>Reggio emilia</t>
  </si>
  <si>
    <t>RE</t>
  </si>
  <si>
    <t>405-7517161-0225131</t>
  </si>
  <si>
    <t>2024-01-25T19:12:20+00:00</t>
  </si>
  <si>
    <t>2024-01-26T02:28:05+00:00</t>
  </si>
  <si>
    <t>407-1628666-2606729</t>
  </si>
  <si>
    <t>2024-01-25T19:10:56+00:00</t>
  </si>
  <si>
    <t>2024-01-26T15:49:21+00:00</t>
  </si>
  <si>
    <t>SAN GENUARIO</t>
  </si>
  <si>
    <t>407-1874193-1560322</t>
  </si>
  <si>
    <t>2024-01-25T19:08:02+00:00</t>
  </si>
  <si>
    <t>2024-01-26T13:08:03+00:00</t>
  </si>
  <si>
    <t>Ronciglione</t>
  </si>
  <si>
    <t>407-1585140-8361100</t>
  </si>
  <si>
    <t>2024-01-25T19:06:53+00:00</t>
  </si>
  <si>
    <t>2024-01-27T08:58:22+00:00</t>
  </si>
  <si>
    <t>FICARAZZI</t>
  </si>
  <si>
    <t>406-9631317-2808338</t>
  </si>
  <si>
    <t>2024-01-25T19:01:02+00:00</t>
  </si>
  <si>
    <t>2024-01-26T15:48:40+00:00</t>
  </si>
  <si>
    <t>Cologno al Serio</t>
  </si>
  <si>
    <t>405-7716048-3246739</t>
  </si>
  <si>
    <t>2024-01-25T18:58:18+00:00</t>
  </si>
  <si>
    <t>2024-01-25T21:25:55+00:00</t>
  </si>
  <si>
    <t>402-3701087-2102759</t>
  </si>
  <si>
    <t>2024-01-25T18:50:59+00:00</t>
  </si>
  <si>
    <t>2024-01-25T21:29:50+00:00</t>
  </si>
  <si>
    <t>407-2651699-0214759</t>
  </si>
  <si>
    <t>2024-01-25T18:29:06+00:00</t>
  </si>
  <si>
    <t>2024-01-25T18:31:02+00:00</t>
  </si>
  <si>
    <t>Santhia</t>
  </si>
  <si>
    <t>VC</t>
  </si>
  <si>
    <t>407-9695892-8093953</t>
  </si>
  <si>
    <t>2024-01-25T18:22:26+00:00</t>
  </si>
  <si>
    <t>2024-01-25T18:23:21+00:00</t>
  </si>
  <si>
    <t>SANTHIA'</t>
  </si>
  <si>
    <t>405-4968031-3249118</t>
  </si>
  <si>
    <t>2024-01-25T18:12:46+00:00</t>
  </si>
  <si>
    <t>2024-01-26T18:33:26+00:00</t>
  </si>
  <si>
    <t>Corigliano Calabro</t>
  </si>
  <si>
    <t>404-8163080-5452361</t>
  </si>
  <si>
    <t>2024-01-25T17:56:00+00:00</t>
  </si>
  <si>
    <t>2024-01-26T20:41:17+00:00</t>
  </si>
  <si>
    <t>171-5887047-2051526</t>
  </si>
  <si>
    <t>2024-01-25T17:53:23+00:00</t>
  </si>
  <si>
    <t>2024-01-26T17:06:07+00:00</t>
  </si>
  <si>
    <t>405-9594469-4269960</t>
  </si>
  <si>
    <t>2024-01-25T17:43:11+00:00</t>
  </si>
  <si>
    <t>2024-01-25T20:58:05+00:00</t>
  </si>
  <si>
    <t>castel san giorgio</t>
  </si>
  <si>
    <t>407-7297025-6401157</t>
  </si>
  <si>
    <t>2024-01-25T17:42:14+00:00</t>
  </si>
  <si>
    <t>2024-01-25T20:46:03+00:00</t>
  </si>
  <si>
    <t>Casavatore</t>
  </si>
  <si>
    <t>404-1992259-6712365</t>
  </si>
  <si>
    <t>2024-01-25T17:38:15+00:00</t>
  </si>
  <si>
    <t>2024-01-25T20:18:43+00:00</t>
  </si>
  <si>
    <t>Casalgrande</t>
  </si>
  <si>
    <t>407-9931895-4440310</t>
  </si>
  <si>
    <t>2024-01-25T17:34:22+00:00</t>
  </si>
  <si>
    <t>2024-01-30T18:57:56+00:00</t>
  </si>
  <si>
    <t>Carugate</t>
  </si>
  <si>
    <t>Italia Milano Lombardia</t>
  </si>
  <si>
    <t>406-7096202-6843531</t>
  </si>
  <si>
    <t>2024-01-25T17:32:58+00:00</t>
  </si>
  <si>
    <t>2024-01-26T13:28:48+00:00</t>
  </si>
  <si>
    <t>Poggibonsi</t>
  </si>
  <si>
    <t>Siena</t>
  </si>
  <si>
    <t>404-6031141-6018739</t>
  </si>
  <si>
    <t>2024-01-25T17:31:12+00:00</t>
  </si>
  <si>
    <t>2024-01-28T22:35:44+00:00</t>
  </si>
  <si>
    <t>406-8318066-5337132</t>
  </si>
  <si>
    <t>2024-01-25T17:23:59+00:00</t>
  </si>
  <si>
    <t>2024-01-26T15:38:45+00:00</t>
  </si>
  <si>
    <t>Capoterra</t>
  </si>
  <si>
    <t>171-8923519-0781927</t>
  </si>
  <si>
    <t>2024-01-25T17:20:37+00:00</t>
  </si>
  <si>
    <t>2024-01-25T20:46:05+00:00</t>
  </si>
  <si>
    <t>405-9360642-7586767</t>
  </si>
  <si>
    <t>2024-01-25T17:02:18+00:00</t>
  </si>
  <si>
    <t>2024-01-26T13:09:12+00:00</t>
  </si>
  <si>
    <t>Melfi</t>
  </si>
  <si>
    <t>407-8780125-1158710</t>
  </si>
  <si>
    <t>2024-01-25T16:41:10+00:00</t>
  </si>
  <si>
    <t>2024-01-26T09:16:25+00:00</t>
  </si>
  <si>
    <t>Sant'Angelo di Piove di Sacco</t>
  </si>
  <si>
    <t>407-0042968-0193127</t>
  </si>
  <si>
    <t>2024-01-25T16:37:44+00:00</t>
  </si>
  <si>
    <t>2024-01-26T08:26:28+00:00</t>
  </si>
  <si>
    <t>BEPER BT.700Y Crepiera Elettrica, 1300 W, Plastica, Alluminio pressofuso, rinvestimento Antiaderente, Rosso/Nero</t>
  </si>
  <si>
    <t>BT.700Y_FBA</t>
  </si>
  <si>
    <t>CASALNUOVO DI NAPOLI</t>
  </si>
  <si>
    <t>406-6261011-3508305</t>
  </si>
  <si>
    <t>2024-01-25T16:37:19+00:00</t>
  </si>
  <si>
    <t>2024-01-26T13:29:00+00:00</t>
  </si>
  <si>
    <t>VE</t>
  </si>
  <si>
    <t>403-9271025-5021910</t>
  </si>
  <si>
    <t>2024-01-25T16:30:57+00:00</t>
  </si>
  <si>
    <t>2024-01-25T20:47:00+00:00</t>
  </si>
  <si>
    <t>408-6347157-4387546</t>
  </si>
  <si>
    <t>2024-01-25T16:29:43+00:00</t>
  </si>
  <si>
    <t>2024-01-26T01:17:44+00:00</t>
  </si>
  <si>
    <t>408-9636755-2591519</t>
  </si>
  <si>
    <t>2024-01-25T16:00:41+00:00</t>
  </si>
  <si>
    <t>2024-01-26T12:10:10+00:00</t>
  </si>
  <si>
    <t>bressanone</t>
  </si>
  <si>
    <t>bolzano</t>
  </si>
  <si>
    <t>402-8286575-1890755</t>
  </si>
  <si>
    <t>2024-01-25T15:50:55+00:00</t>
  </si>
  <si>
    <t>San Lazzaro di Savena</t>
  </si>
  <si>
    <t>408-5744743-0229131</t>
  </si>
  <si>
    <t>2024-01-25T15:28:16+00:00</t>
  </si>
  <si>
    <t>2024-01-25T17:24:06+00:00</t>
  </si>
  <si>
    <t>rutigliano</t>
  </si>
  <si>
    <t>bari</t>
  </si>
  <si>
    <t>405-1185404-7966759</t>
  </si>
  <si>
    <t>2024-01-25T15:21:49+00:00</t>
  </si>
  <si>
    <t>2024-01-26T12:29:02+00:00</t>
  </si>
  <si>
    <t>Partinico</t>
  </si>
  <si>
    <t>408-8356093-4335562</t>
  </si>
  <si>
    <t>2024-01-25T15:03:03+00:00</t>
  </si>
  <si>
    <t>2024-01-26T13:07:59+00:00</t>
  </si>
  <si>
    <t>San Giuseppe vesuviano</t>
  </si>
  <si>
    <t>404-1453591-9949937</t>
  </si>
  <si>
    <t>2024-01-25T14:45:54+00:00</t>
  </si>
  <si>
    <t>2024-01-25T20:20:23+00:00</t>
  </si>
  <si>
    <t>Casalbuono</t>
  </si>
  <si>
    <t>402-1847802-9222708</t>
  </si>
  <si>
    <t>2024-01-25T14:42:52+00:00</t>
  </si>
  <si>
    <t>2024-01-28T04:13:46+00:00</t>
  </si>
  <si>
    <t>Sale</t>
  </si>
  <si>
    <t>408-5295120-2321149</t>
  </si>
  <si>
    <t>2024-01-25T14:09:18+00:00</t>
  </si>
  <si>
    <t>2024-01-26T12:09:03+00:00</t>
  </si>
  <si>
    <t>Chiavari</t>
  </si>
  <si>
    <t>406-3883387-4560300</t>
  </si>
  <si>
    <t>2024-01-25T13:58:36+00:00</t>
  </si>
  <si>
    <t>2024-01-25T23:09:56+00:00</t>
  </si>
  <si>
    <t>407-9016379-3602750</t>
  </si>
  <si>
    <t>2024-01-25T13:19:53+00:00</t>
  </si>
  <si>
    <t>2024-01-26T04:14:41+00:00</t>
  </si>
  <si>
    <t>Roccapiemonte</t>
  </si>
  <si>
    <t>403-4364230-9220328</t>
  </si>
  <si>
    <t>2024-01-25T13:19:19+00:00</t>
  </si>
  <si>
    <t>2024-01-25T23:40:41+00:00</t>
  </si>
  <si>
    <t>FALCONARA ALTA</t>
  </si>
  <si>
    <t>171-4342387-5097125</t>
  </si>
  <si>
    <t>2024-01-25T13:05:38+00:00</t>
  </si>
  <si>
    <t>2024-01-26T04:51:56+00:00</t>
  </si>
  <si>
    <t>Marostica</t>
  </si>
  <si>
    <t>405-1217331-3659557</t>
  </si>
  <si>
    <t>2024-01-25T13:04:45+00:00</t>
  </si>
  <si>
    <t>2024-01-25T17:54:48+00:00</t>
  </si>
  <si>
    <t>Omegna</t>
  </si>
  <si>
    <t>407-2785853-6637169</t>
  </si>
  <si>
    <t>2024-01-25T13:04:39+00:00</t>
  </si>
  <si>
    <t>2024-01-25T20:48:32+00:00</t>
  </si>
  <si>
    <t>Faenza</t>
  </si>
  <si>
    <t>406-6425961-1801167</t>
  </si>
  <si>
    <t>2024-01-25T12:59:46+00:00</t>
  </si>
  <si>
    <t>2024-01-25T18:39:59+00:00</t>
  </si>
  <si>
    <t>402-3356038-2622730</t>
  </si>
  <si>
    <t>2024-01-25T12:55:51+00:00</t>
  </si>
  <si>
    <t>2024-01-26T13:08:06+00:00</t>
  </si>
  <si>
    <t>405-8581614-8117165</t>
  </si>
  <si>
    <t>2024-01-25T12:47:18+00:00</t>
  </si>
  <si>
    <t>2024-01-25T18:40:02+00:00</t>
  </si>
  <si>
    <t>Boscotrecase</t>
  </si>
  <si>
    <t>406-6404385-4564318</t>
  </si>
  <si>
    <t>2024-01-25T12:42:21+00:00</t>
  </si>
  <si>
    <t>2024-01-26T04:25:24+00:00</t>
  </si>
  <si>
    <t>bassano del grappa</t>
  </si>
  <si>
    <t>IT03373090244</t>
  </si>
  <si>
    <t>408-6304789-0001967</t>
  </si>
  <si>
    <t>2024-01-25T12:35:05+00:00</t>
  </si>
  <si>
    <t>2024-01-25T20:22:39+00:00</t>
  </si>
  <si>
    <t>Ceriano Laghetto</t>
  </si>
  <si>
    <t>171-3591478-4473935</t>
  </si>
  <si>
    <t>2024-01-25T12:30:34+00:00</t>
  </si>
  <si>
    <t>2024-01-25T23:10:05+00:00</t>
  </si>
  <si>
    <t>403-0521650-4003519</t>
  </si>
  <si>
    <t>2024-01-25T12:27:07+00:00</t>
  </si>
  <si>
    <t>2024-01-25T21:34:34+00:00</t>
  </si>
  <si>
    <t>Misano adriatico</t>
  </si>
  <si>
    <t>403-9892094-1407555</t>
  </si>
  <si>
    <t>2024-01-25T12:17:20+00:00</t>
  </si>
  <si>
    <t>2024-01-25T15:48:19+00:00</t>
  </si>
  <si>
    <t>405-5370397-6593126</t>
  </si>
  <si>
    <t>2024-01-25T12:16:47+00:00</t>
  </si>
  <si>
    <t>2024-01-26T17:16:14+00:00</t>
  </si>
  <si>
    <t>Morimondo</t>
  </si>
  <si>
    <t>407-4463362-6553918</t>
  </si>
  <si>
    <t>2024-01-25T11:49:34+00:00</t>
  </si>
  <si>
    <t>2024-01-28T17:28:03+00:00</t>
  </si>
  <si>
    <t>Manduria</t>
  </si>
  <si>
    <t>171-9926305-2530724</t>
  </si>
  <si>
    <t>2024-01-25T11:40:53+00:00</t>
  </si>
  <si>
    <t>2024-01-26T04:28:27+00:00</t>
  </si>
  <si>
    <t>Conco</t>
  </si>
  <si>
    <t>406-9908031-8264358</t>
  </si>
  <si>
    <t>2024-01-25T11:40:38+00:00</t>
  </si>
  <si>
    <t>2024-01-25T20:22:31+00:00</t>
  </si>
  <si>
    <t>RHO</t>
  </si>
  <si>
    <t>406-2873076-7009112</t>
  </si>
  <si>
    <t>2024-01-25T11:36:31+00:00</t>
  </si>
  <si>
    <t>2024-01-25T17:23:52+00:00</t>
  </si>
  <si>
    <t>407-2681506-9602755</t>
  </si>
  <si>
    <t>2024-01-25T11:32:01+00:00</t>
  </si>
  <si>
    <t>2024-01-25T22:23:43+00:00</t>
  </si>
  <si>
    <t>Ladispoli</t>
  </si>
  <si>
    <t>406-5742516-1157926</t>
  </si>
  <si>
    <t>2024-01-25T11:21:20+00:00</t>
  </si>
  <si>
    <t>2024-01-26T12:39:26+00:00</t>
  </si>
  <si>
    <t>403-5538629-6259510</t>
  </si>
  <si>
    <t>2024-01-25T11:20:49+00:00</t>
  </si>
  <si>
    <t>2024-01-25T18:52:53+00:00</t>
  </si>
  <si>
    <t>408-0688992-9976336</t>
  </si>
  <si>
    <t>2024-01-25T11:19:55+00:00</t>
  </si>
  <si>
    <t>2024-01-25T20:31:21+00:00</t>
  </si>
  <si>
    <t>Ribolla</t>
  </si>
  <si>
    <t>404-0337657-2121153</t>
  </si>
  <si>
    <t>2024-01-25T11:15:25+00:00</t>
  </si>
  <si>
    <t>2024-01-26T13:09:16+00:00</t>
  </si>
  <si>
    <t>171-8239209-6667559</t>
  </si>
  <si>
    <t>2024-01-25T11:11:29+00:00</t>
  </si>
  <si>
    <t>2024-01-25T18:26:40+00:00</t>
  </si>
  <si>
    <t>Figline Valdarno</t>
  </si>
  <si>
    <t>406-1736068-8935554</t>
  </si>
  <si>
    <t>2024-01-25T11:07:46+00:00</t>
  </si>
  <si>
    <t>2024-01-26T13:11:01+00:00</t>
  </si>
  <si>
    <t>suzzara</t>
  </si>
  <si>
    <t>mantova</t>
  </si>
  <si>
    <t>404-2708181-2493161</t>
  </si>
  <si>
    <t>2024-01-25T11:07:11+00:00</t>
  </si>
  <si>
    <t>2024-01-27T20:50:18+00:00</t>
  </si>
  <si>
    <t>Parola</t>
  </si>
  <si>
    <t>405-5352884-4841130</t>
  </si>
  <si>
    <t>2024-01-25T11:02:36+00:00</t>
  </si>
  <si>
    <t>2024-01-28T17:04:03+00:00</t>
  </si>
  <si>
    <t>MONTALTO UFFUGO</t>
  </si>
  <si>
    <t>402-8288247-2871505</t>
  </si>
  <si>
    <t>2024-01-25T10:43:07+00:00</t>
  </si>
  <si>
    <t>2024-01-25T18:41:40+00:00</t>
  </si>
  <si>
    <t>403-1853291-4353138</t>
  </si>
  <si>
    <t>2024-01-25T10:41:37+00:00</t>
  </si>
  <si>
    <t>2024-01-26T13:07:58+00:00</t>
  </si>
  <si>
    <t>Melissano</t>
  </si>
  <si>
    <t>403-9327694-5875521</t>
  </si>
  <si>
    <t>2024-01-25T10:40:47+00:00</t>
  </si>
  <si>
    <t>2024-01-25T20:22:14+00:00</t>
  </si>
  <si>
    <t>402-4490717-6379549</t>
  </si>
  <si>
    <t>2024-01-25T10:13:32+00:00</t>
  </si>
  <si>
    <t>2024-01-25T17:22:19+00:00</t>
  </si>
  <si>
    <t>Castana</t>
  </si>
  <si>
    <t>402-3839224-8201149</t>
  </si>
  <si>
    <t>2024-01-25T10:13:05+00:00</t>
  </si>
  <si>
    <t>2024-01-25T18:37:40+00:00</t>
  </si>
  <si>
    <t>Paola</t>
  </si>
  <si>
    <t>171-0355253-4048307</t>
  </si>
  <si>
    <t>2024-01-25T10:06:51+00:00</t>
  </si>
  <si>
    <t>2024-01-26T13:08:11+00:00</t>
  </si>
  <si>
    <t>mignanego</t>
  </si>
  <si>
    <t>PRDMRT83A44D969X</t>
  </si>
  <si>
    <t>407-9393009-1910724</t>
  </si>
  <si>
    <t>2024-01-25T10:05:14+00:00</t>
  </si>
  <si>
    <t>2024-01-25T20:13:34+00:00</t>
  </si>
  <si>
    <t>MACCARESE</t>
  </si>
  <si>
    <t>405-8033958-2901110</t>
  </si>
  <si>
    <t>2024-01-25T10:04:40+00:00</t>
  </si>
  <si>
    <t>2024-01-25T12:53:29+00:00</t>
  </si>
  <si>
    <t>171-3826127-4499536</t>
  </si>
  <si>
    <t>2024-01-25T10:03:35+00:00</t>
  </si>
  <si>
    <t>2024-01-25T17:45:18+00:00</t>
  </si>
  <si>
    <t>402-5626076-6743529</t>
  </si>
  <si>
    <t>2024-01-25T09:45:33+00:00</t>
  </si>
  <si>
    <t>2024-01-25T13:27:17+00:00</t>
  </si>
  <si>
    <t>407-2385566-3554738</t>
  </si>
  <si>
    <t>2024-01-25T09:31:58+00:00</t>
  </si>
  <si>
    <t>2024-02-04T15:10:17+00:00</t>
  </si>
  <si>
    <t>amzn.gr.BT.710Y-m_rMJX0XWOKRxfp7Jvoem-VG</t>
  </si>
  <si>
    <t>CAGLIARI</t>
  </si>
  <si>
    <t>402-5781444-0941937</t>
  </si>
  <si>
    <t>2024-01-25T09:30:42+00:00</t>
  </si>
  <si>
    <t>sarno</t>
  </si>
  <si>
    <t>407-2907293-3337104</t>
  </si>
  <si>
    <t>2024-01-25T09:06:24+00:00</t>
  </si>
  <si>
    <t>2024-01-26T19:15:20+00:00</t>
  </si>
  <si>
    <t>Taglio di Po</t>
  </si>
  <si>
    <t>Rovigo</t>
  </si>
  <si>
    <t>IT00098090293</t>
  </si>
  <si>
    <t>406-7114807-8733139</t>
  </si>
  <si>
    <t>2024-01-25T09:04:59+00:00</t>
  </si>
  <si>
    <t>2024-01-26T13:03:10+00:00</t>
  </si>
  <si>
    <t>VITULANO</t>
  </si>
  <si>
    <t>BN</t>
  </si>
  <si>
    <t>405-0642852-4694744</t>
  </si>
  <si>
    <t>2024-01-25T08:55:35+00:00</t>
  </si>
  <si>
    <t>2024-01-26T12:29:06+00:00</t>
  </si>
  <si>
    <t>monza</t>
  </si>
  <si>
    <t>404-9163707-7696355</t>
  </si>
  <si>
    <t>2024-01-25T08:53:54+00:00</t>
  </si>
  <si>
    <t>2024-01-26T23:58:30+00:00</t>
  </si>
  <si>
    <t>402-9395132-6638750</t>
  </si>
  <si>
    <t>2024-01-25T08:47:18+00:00</t>
  </si>
  <si>
    <t>2024-01-25T13:28:24+00:00</t>
  </si>
  <si>
    <t>Marghera</t>
  </si>
  <si>
    <t>403-1400758-2178724</t>
  </si>
  <si>
    <t>2024-01-25T08:32:05+00:00</t>
  </si>
  <si>
    <t>2024-01-25T15:51:22+00:00</t>
  </si>
  <si>
    <t>Buscoldo</t>
  </si>
  <si>
    <t>406-7035644-8677127</t>
  </si>
  <si>
    <t>2024-01-25T08:09:05+00:00</t>
  </si>
  <si>
    <t>2024-01-25T17:34:04+00:00</t>
  </si>
  <si>
    <t>San Romano</t>
  </si>
  <si>
    <t>402-3045565-1556330</t>
  </si>
  <si>
    <t>2024-01-25T08:06:01+00:00</t>
  </si>
  <si>
    <t>2024-01-26T02:31:51+00:00</t>
  </si>
  <si>
    <t>407-2214997-5849135</t>
  </si>
  <si>
    <t>2024-01-25T07:51:47+00:00</t>
  </si>
  <si>
    <t>2024-01-26T13:08:12+00:00</t>
  </si>
  <si>
    <t>402-5338806-8352304</t>
  </si>
  <si>
    <t>2024-01-25T07:27:17+00:00</t>
  </si>
  <si>
    <t>2024-01-26T13:09:17+00:00</t>
  </si>
  <si>
    <t>Bentivoglio</t>
  </si>
  <si>
    <t>404-8346124-9277961</t>
  </si>
  <si>
    <t>2024-01-25T07:14:30+00:00</t>
  </si>
  <si>
    <t>2024-01-25T09:20:57+00:00</t>
  </si>
  <si>
    <t>PORTO MANTOVANO</t>
  </si>
  <si>
    <t>405-7837381-3785962</t>
  </si>
  <si>
    <t>2024-01-25T07:12:33+00:00</t>
  </si>
  <si>
    <t>Fabrica Di Roma</t>
  </si>
  <si>
    <t>405-1240071-1076324</t>
  </si>
  <si>
    <t>2024-01-25T07:09:30+00:00</t>
  </si>
  <si>
    <t>2024-01-25T22:23:01+00:00</t>
  </si>
  <si>
    <t>402-7068320-8245932</t>
  </si>
  <si>
    <t>2024-01-25T07:05:14+00:00</t>
  </si>
  <si>
    <t>2024-01-25T09:21:32+00:00</t>
  </si>
  <si>
    <t>pontelongo</t>
  </si>
  <si>
    <t>404-6380627-5309126</t>
  </si>
  <si>
    <t>2024-01-25T06:45:32+00:00</t>
  </si>
  <si>
    <t>2024-01-25T06:55:50+00:00</t>
  </si>
  <si>
    <t>405-4202775-8328336</t>
  </si>
  <si>
    <t>2024-01-25T06:40:18+00:00</t>
  </si>
  <si>
    <t>2024-01-25T17:24:26+00:00</t>
  </si>
  <si>
    <t>Bisceglie</t>
  </si>
  <si>
    <t>Barletta-Andria-Trani</t>
  </si>
  <si>
    <t>402-8820740-5857164</t>
  </si>
  <si>
    <t>2024-01-25T05:43:28+00:00</t>
  </si>
  <si>
    <t>2024-01-25T05:49:57+00:00</t>
  </si>
  <si>
    <t>Pieve di Cento</t>
  </si>
  <si>
    <t>408-1248223-8871562</t>
  </si>
  <si>
    <t>2024-01-25T04:43:22+00:00</t>
  </si>
  <si>
    <t>2024-01-26T09:47:00+00:00</t>
  </si>
  <si>
    <t>408-0431519-7413945</t>
  </si>
  <si>
    <t>2024-01-24T23:24:06+00:00</t>
  </si>
  <si>
    <t>2024-01-25T05:26:20+00:00</t>
  </si>
  <si>
    <t>405-3177321-1526714</t>
  </si>
  <si>
    <t>2024-01-24T23:12:49+00:00</t>
  </si>
  <si>
    <t>2024-01-25T18:37:54+00:00</t>
  </si>
  <si>
    <t>Filadelfia (vv)</t>
  </si>
  <si>
    <t>CALABRIA</t>
  </si>
  <si>
    <t>402-6479433-4306755</t>
  </si>
  <si>
    <t>2024-01-24T22:09:04+00:00</t>
  </si>
  <si>
    <t>2024-01-25T19:40:47+00:00</t>
  </si>
  <si>
    <t>Casalnuovo</t>
  </si>
  <si>
    <t>406-8680428-1041145</t>
  </si>
  <si>
    <t>2024-01-24T22:04:32+00:00</t>
  </si>
  <si>
    <t>2024-01-25T05:00:18+00:00</t>
  </si>
  <si>
    <t>COMO</t>
  </si>
  <si>
    <t>403-1487137-6620333</t>
  </si>
  <si>
    <t>2024-01-24T21:39:22+00:00</t>
  </si>
  <si>
    <t>2024-01-25T04:56:18+00:00</t>
  </si>
  <si>
    <t>SANTA LUCIA DI PIAVE</t>
  </si>
  <si>
    <t>408-0671364-1546764</t>
  </si>
  <si>
    <t>2024-01-24T21:19:24+00:00</t>
  </si>
  <si>
    <t>2024-01-25T02:33:48+00:00</t>
  </si>
  <si>
    <t>MONTESCUDO</t>
  </si>
  <si>
    <t>406-7940192-9915525</t>
  </si>
  <si>
    <t>2024-01-24T21:10:55+00:00</t>
  </si>
  <si>
    <t>2024-01-25T12:48:43+00:00</t>
  </si>
  <si>
    <t>cerisano</t>
  </si>
  <si>
    <t>403-5203730-3873916</t>
  </si>
  <si>
    <t>2024-01-24T20:52:37+00:00</t>
  </si>
  <si>
    <t>2024-01-25T14:55:09+00:00</t>
  </si>
  <si>
    <t>407-0703787-3467565</t>
  </si>
  <si>
    <t>2024-01-24T20:51:13+00:00</t>
  </si>
  <si>
    <t>2024-01-27T01:26:24+00:00</t>
  </si>
  <si>
    <t>407-6411788-6679513</t>
  </si>
  <si>
    <t>2024-01-24T20:46:35+00:00</t>
  </si>
  <si>
    <t>2024-01-25T02:26:40+00:00</t>
  </si>
  <si>
    <t>405-6855740-0629923</t>
  </si>
  <si>
    <t>2024-01-24T20:46:13+00:00</t>
  </si>
  <si>
    <t>2024-01-25T01:34:13+00:00</t>
  </si>
  <si>
    <t>Iglesias</t>
  </si>
  <si>
    <t>Su</t>
  </si>
  <si>
    <t>402-3017623-6766741</t>
  </si>
  <si>
    <t>2024-01-24T20:36:37+00:00</t>
  </si>
  <si>
    <t>2024-01-25T13:48:50+00:00</t>
  </si>
  <si>
    <t>Cerialdo</t>
  </si>
  <si>
    <t>406-3832134-3123535</t>
  </si>
  <si>
    <t>2024-01-24T20:33:29+00:00</t>
  </si>
  <si>
    <t>2024-01-25T00:37:43+00:00</t>
  </si>
  <si>
    <t>405-3077415-9499536</t>
  </si>
  <si>
    <t>2024-01-24T20:22:59+00:00</t>
  </si>
  <si>
    <t>2024-01-25T02:33:28+00:00</t>
  </si>
  <si>
    <t>405-3835804-6315564</t>
  </si>
  <si>
    <t>2024-01-24T20:14:56+00:00</t>
  </si>
  <si>
    <t>2024-01-25T13:48:51+00:00</t>
  </si>
  <si>
    <t>sestri ponente</t>
  </si>
  <si>
    <t>403-4338115-7612360</t>
  </si>
  <si>
    <t>2024-01-24T20:13:36+00:00</t>
  </si>
  <si>
    <t>2024-01-25T16:20:31+00:00</t>
  </si>
  <si>
    <t>REMONDO'</t>
  </si>
  <si>
    <t>406-2842478-1189142</t>
  </si>
  <si>
    <t>2024-01-24T20:12:11+00:00</t>
  </si>
  <si>
    <t>2024-01-26T18:13:27+00:00</t>
  </si>
  <si>
    <t>Sp</t>
  </si>
  <si>
    <t>402-8985424-1323554</t>
  </si>
  <si>
    <t>2024-01-24T20:10:17+00:00</t>
  </si>
  <si>
    <t>2024-01-25T01:30:12+00:00</t>
  </si>
  <si>
    <t>408-0167461-6957154</t>
  </si>
  <si>
    <t>2024-01-24T20:00:33+00:00</t>
  </si>
  <si>
    <t>2024-01-28T22:11:02+00:00</t>
  </si>
  <si>
    <t>Limbiate</t>
  </si>
  <si>
    <t>403-2963875-7349152</t>
  </si>
  <si>
    <t>2024-01-24T19:57:34+00:00</t>
  </si>
  <si>
    <t>2024-01-25T04:56:25+00:00</t>
  </si>
  <si>
    <t>Caronno Varesino</t>
  </si>
  <si>
    <t>407-8528073-9493106</t>
  </si>
  <si>
    <t>2024-01-24T19:56:56+00:00</t>
  </si>
  <si>
    <t>2024-01-25T18:27:25+00:00</t>
  </si>
  <si>
    <t>408-1508112-5785905</t>
  </si>
  <si>
    <t>2024-01-24T19:39:05+00:00</t>
  </si>
  <si>
    <t>2024-01-25T04:57:02+00:00</t>
  </si>
  <si>
    <t>Levate</t>
  </si>
  <si>
    <t>404-6065706-5281919</t>
  </si>
  <si>
    <t>2024-01-24T19:33:43+00:00</t>
  </si>
  <si>
    <t>2024-01-25T11:33:23+00:00</t>
  </si>
  <si>
    <t>Sciacca</t>
  </si>
  <si>
    <t>AG</t>
  </si>
  <si>
    <t>402-2863453-6389958</t>
  </si>
  <si>
    <t>2024-01-24T19:31:29+00:00</t>
  </si>
  <si>
    <t>2024-01-25T20:20:55+00:00</t>
  </si>
  <si>
    <t>Porto San Giorgio FM</t>
  </si>
  <si>
    <t>407-6239674-2513909</t>
  </si>
  <si>
    <t>2024-01-24T19:22:26+00:00</t>
  </si>
  <si>
    <t>2024-01-26T18:48:40+00:00</t>
  </si>
  <si>
    <t>TRENTOLA DUCENTA</t>
  </si>
  <si>
    <t>402-8015302-3322707</t>
  </si>
  <si>
    <t>2024-01-24T19:09:35+00:00</t>
  </si>
  <si>
    <t>2024-01-25T18:39:48+00:00</t>
  </si>
  <si>
    <t>MONTEFORTE IRPINO</t>
  </si>
  <si>
    <t>AV</t>
  </si>
  <si>
    <t>404-1232663-3760351</t>
  </si>
  <si>
    <t>2024-01-24T19:06:46+00:00</t>
  </si>
  <si>
    <t>2024-02-02T06:58:50+00:00</t>
  </si>
  <si>
    <t>Mondovì</t>
  </si>
  <si>
    <t>402-9986189-9732331</t>
  </si>
  <si>
    <t>2024-01-24T19:05:30+00:00</t>
  </si>
  <si>
    <t>2024-01-25T20:21:03+00:00</t>
  </si>
  <si>
    <t>MADONNA POZZO GUACITO</t>
  </si>
  <si>
    <t>404-1733355-2596362</t>
  </si>
  <si>
    <t>2024-01-24T18:58:44+00:00</t>
  </si>
  <si>
    <t>2024-01-25T15:47:10+00:00</t>
  </si>
  <si>
    <t>Bruino</t>
  </si>
  <si>
    <t>402-6042531-3406718</t>
  </si>
  <si>
    <t>2024-01-24T18:57:18+00:00</t>
  </si>
  <si>
    <t>2024-01-25T15:48:55+00:00</t>
  </si>
  <si>
    <t>408-7242692-2614747</t>
  </si>
  <si>
    <t>2024-01-24T18:52:57+00:00</t>
  </si>
  <si>
    <t>2024-01-25T17:17:54+00:00</t>
  </si>
  <si>
    <t>PUGLIA</t>
  </si>
  <si>
    <t>402-2293115-1694732</t>
  </si>
  <si>
    <t>2024-01-24T18:50:29+00:00</t>
  </si>
  <si>
    <t>2024-01-25T15:47:03+00:00</t>
  </si>
  <si>
    <t>408-9107265-3125112</t>
  </si>
  <si>
    <t>2024-01-24T18:34:23+00:00</t>
  </si>
  <si>
    <t>2024-01-25T16:20:43+00:00</t>
  </si>
  <si>
    <t>402-6289955-1552334</t>
  </si>
  <si>
    <t>2024-01-24T18:25:24+00:00</t>
  </si>
  <si>
    <t>2024-01-24T20:51:06+00:00</t>
  </si>
  <si>
    <t>Poggiomarino</t>
  </si>
  <si>
    <t>406-9930879-7841150</t>
  </si>
  <si>
    <t>2024-01-24T18:21:47+00:00</t>
  </si>
  <si>
    <t>2024-01-25T01:24:49+00:00</t>
  </si>
  <si>
    <t>SENIGALLIA</t>
  </si>
  <si>
    <t>171-3486187-0934727</t>
  </si>
  <si>
    <t>2024-01-24T18:05:38+00:00</t>
  </si>
  <si>
    <t>2024-01-25T18:39:25+00:00</t>
  </si>
  <si>
    <t>402-3910244-7047524</t>
  </si>
  <si>
    <t>2024-01-24T18:03:00+00:00</t>
  </si>
  <si>
    <t>2024-01-25T12:13:13+00:00</t>
  </si>
  <si>
    <t>Murano</t>
  </si>
  <si>
    <t>405-7864555-6509113</t>
  </si>
  <si>
    <t>2024-01-24T18:01:29+00:00</t>
  </si>
  <si>
    <t>2024-01-24T21:01:45+00:00</t>
  </si>
  <si>
    <t>San nicola la strada</t>
  </si>
  <si>
    <t>405-0921247-4461911</t>
  </si>
  <si>
    <t>2024-01-24T17:59:46+00:00</t>
  </si>
  <si>
    <t>2024-01-24T21:19:39+00:00</t>
  </si>
  <si>
    <t>Foligno</t>
  </si>
  <si>
    <t>402-1641250-1018758</t>
  </si>
  <si>
    <t>2024-01-24T17:49:19+00:00</t>
  </si>
  <si>
    <t>2024-01-24T17:50:44+00:00</t>
  </si>
  <si>
    <t>LASCARI</t>
  </si>
  <si>
    <t>405-4157898-0797112</t>
  </si>
  <si>
    <t>2024-01-24T17:23:44+00:00</t>
  </si>
  <si>
    <t>2024-01-26T13:03:26+00:00</t>
  </si>
  <si>
    <t>403-2493793-3496335</t>
  </si>
  <si>
    <t>2024-01-24T17:22:45+00:00</t>
  </si>
  <si>
    <t>2024-01-25T12:48:37+00:00</t>
  </si>
  <si>
    <t>Santa Giusta</t>
  </si>
  <si>
    <t>407-0279952-1000343</t>
  </si>
  <si>
    <t>2024-01-24T17:20:30+00:00</t>
  </si>
  <si>
    <t>2024-01-25T15:48:26+00:00</t>
  </si>
  <si>
    <t>Grugliasco</t>
  </si>
  <si>
    <t>405-6594035-7822759</t>
  </si>
  <si>
    <t>2024-01-24T17:09:23+00:00</t>
  </si>
  <si>
    <t>2024-01-25T04:56:53+00:00</t>
  </si>
  <si>
    <t>San Pellegrino Terme</t>
  </si>
  <si>
    <t>402-9732352-6937142</t>
  </si>
  <si>
    <t>2024-01-24T16:31:50+00:00</t>
  </si>
  <si>
    <t>2024-01-25T04:57:04+00:00</t>
  </si>
  <si>
    <t>171-2910442-5500340</t>
  </si>
  <si>
    <t>2024-01-24T16:27:10+00:00</t>
  </si>
  <si>
    <t>2024-01-24T16:50:25+00:00</t>
  </si>
  <si>
    <t>Porcari</t>
  </si>
  <si>
    <t>403-4971360-7609166</t>
  </si>
  <si>
    <t>2024-01-24T16:14:15+00:00</t>
  </si>
  <si>
    <t>2024-01-25T02:41:18+00:00</t>
  </si>
  <si>
    <t>Lonato del Garda</t>
  </si>
  <si>
    <t>407-3068503-0471518</t>
  </si>
  <si>
    <t>2024-01-24T16:13:06+00:00</t>
  </si>
  <si>
    <t>2024-01-25T15:48:58+00:00</t>
  </si>
  <si>
    <t>405-4591385-9165936</t>
  </si>
  <si>
    <t>2024-01-24T16:08:00+00:00</t>
  </si>
  <si>
    <t>2024-01-25T10:59:16+00:00</t>
  </si>
  <si>
    <t>407-7064102-8516365</t>
  </si>
  <si>
    <t>2024-01-24T16:06:44+00:00</t>
  </si>
  <si>
    <t>2024-01-25T19:46:33+00:00</t>
  </si>
  <si>
    <t>Egna</t>
  </si>
  <si>
    <t>405-9570153-7719545</t>
  </si>
  <si>
    <t>2024-01-24T15:47:41+00:00</t>
  </si>
  <si>
    <t>2024-01-24T21:20:32+00:00</t>
  </si>
  <si>
    <t>Noicattaro</t>
  </si>
  <si>
    <t>408-5402243-0613924</t>
  </si>
  <si>
    <t>2024-01-24T15:37:16+00:00</t>
  </si>
  <si>
    <t>2024-01-24T18:18:29+00:00</t>
  </si>
  <si>
    <t>castelvetro di modena</t>
  </si>
  <si>
    <t>Mo</t>
  </si>
  <si>
    <t>171-2303719-9731508</t>
  </si>
  <si>
    <t>2024-01-24T15:13:02+00:00</t>
  </si>
  <si>
    <t>2024-01-25T13:18:48+00:00</t>
  </si>
  <si>
    <t>404-9973200-3643569</t>
  </si>
  <si>
    <t>2024-01-24T15:10:51+00:00</t>
  </si>
  <si>
    <t>2024-02-07T01:22:25+00:00</t>
  </si>
  <si>
    <t>40.490_FBA</t>
  </si>
  <si>
    <t>402-4732500-4703546</t>
  </si>
  <si>
    <t>2024-01-24T15:02:38+00:00</t>
  </si>
  <si>
    <t>2024-01-24T21:23:24+00:00</t>
  </si>
  <si>
    <t>403-7506741-0649140</t>
  </si>
  <si>
    <t>2024-01-24T14:56:20+00:00</t>
  </si>
  <si>
    <t>2024-01-24T18:16:48+00:00</t>
  </si>
  <si>
    <t>Barberino del Mugello</t>
  </si>
  <si>
    <t>408-2730550-8336361</t>
  </si>
  <si>
    <t>2024-01-24T14:55:29+00:00</t>
  </si>
  <si>
    <t>2024-01-25T05:26:25+00:00</t>
  </si>
  <si>
    <t>403-7459270-7931541</t>
  </si>
  <si>
    <t>2024-01-24T14:53:47+00:00</t>
  </si>
  <si>
    <t>2024-01-24T17:17:17+00:00</t>
  </si>
  <si>
    <t>MONTIGNOSO</t>
  </si>
  <si>
    <t>404-4638930-7256345</t>
  </si>
  <si>
    <t>2024-01-24T14:25:08+00:00</t>
  </si>
  <si>
    <t>2024-01-24T23:47:05+00:00</t>
  </si>
  <si>
    <t>Veroli</t>
  </si>
  <si>
    <t>404-6165286-8217946</t>
  </si>
  <si>
    <t>2024-01-24T14:24:45+00:00</t>
  </si>
  <si>
    <t>2024-01-24T21:31:24+00:00</t>
  </si>
  <si>
    <t>171-3630662-0717129</t>
  </si>
  <si>
    <t>2024-01-24T14:19:15+00:00</t>
  </si>
  <si>
    <t>2024-01-25T14:27:52+00:00</t>
  </si>
  <si>
    <t>408-0371882-1435564</t>
  </si>
  <si>
    <t>2024-01-24T14:10:58+00:00</t>
  </si>
  <si>
    <t>2024-01-24T17:49:04+00:00</t>
  </si>
  <si>
    <t>408-5288774-1910750</t>
  </si>
  <si>
    <t>2024-01-24T14:06:02+00:00</t>
  </si>
  <si>
    <t>2024-01-25T05:03:08+00:00</t>
  </si>
  <si>
    <t>404-1070047-3205934</t>
  </si>
  <si>
    <t>2024-01-24T14:01:00+00:00</t>
  </si>
  <si>
    <t>2024-01-24T20:57:41+00:00</t>
  </si>
  <si>
    <t>171-8184302-7170710</t>
  </si>
  <si>
    <t>2024-01-24T13:59:56+00:00</t>
  </si>
  <si>
    <t>2024-01-24T14:01:35+00:00</t>
  </si>
  <si>
    <t>406-6397834-1862768</t>
  </si>
  <si>
    <t>2024-01-24T13:43:05+00:00</t>
  </si>
  <si>
    <t>2024-01-24T17:48:17+00:00</t>
  </si>
  <si>
    <t>171-4547093-8781108</t>
  </si>
  <si>
    <t>2024-01-24T13:42:33+00:00</t>
  </si>
  <si>
    <t>2024-01-24T20:52:12+00:00</t>
  </si>
  <si>
    <t>Santa Margherita Ligure</t>
  </si>
  <si>
    <t>402-7290852-3565967</t>
  </si>
  <si>
    <t>2024-01-24T13:22:00+00:00</t>
  </si>
  <si>
    <t>2024-01-24T20:49:58+00:00</t>
  </si>
  <si>
    <t>SANT'ANDREA IN BESANIGO</t>
  </si>
  <si>
    <t>171-8418819-7268335</t>
  </si>
  <si>
    <t>2024-01-24T13:19:44+00:00</t>
  </si>
  <si>
    <t>2024-01-25T02:26:08+00:00</t>
  </si>
  <si>
    <t>403-5960702-3716310</t>
  </si>
  <si>
    <t>2024-01-24T13:09:02+00:00</t>
  </si>
  <si>
    <t>2024-01-24T17:20:21+00:00</t>
  </si>
  <si>
    <t>borghetto lodigiano</t>
  </si>
  <si>
    <t>lo</t>
  </si>
  <si>
    <t>402-9104250-0035536</t>
  </si>
  <si>
    <t>2024-01-24T13:06:25+00:00</t>
  </si>
  <si>
    <t>2024-01-24T18:17:40+00:00</t>
  </si>
  <si>
    <t>Ciró Marina</t>
  </si>
  <si>
    <t>171-6489802-6964356</t>
  </si>
  <si>
    <t>2024-01-24T13:05:39+00:00</t>
  </si>
  <si>
    <t>2024-01-26T18:48:52+00:00</t>
  </si>
  <si>
    <t>Cicciano</t>
  </si>
  <si>
    <t>na</t>
  </si>
  <si>
    <t>406-6739957-8634752</t>
  </si>
  <si>
    <t>2024-01-24T13:03:06+00:00</t>
  </si>
  <si>
    <t>2024-01-25T18:41:59+00:00</t>
  </si>
  <si>
    <t>405-0737322-5915568</t>
  </si>
  <si>
    <t>2024-01-24T13:02:01+00:00</t>
  </si>
  <si>
    <t>2024-01-24T23:09:02+00:00</t>
  </si>
  <si>
    <t>Spinea</t>
  </si>
  <si>
    <t>405-8255107-3095569</t>
  </si>
  <si>
    <t>2024-01-24T12:52:08+00:00</t>
  </si>
  <si>
    <t>2024-01-25T11:00:50+00:00</t>
  </si>
  <si>
    <t>Briga Novarese</t>
  </si>
  <si>
    <t>171-8014561-6295561</t>
  </si>
  <si>
    <t>2024-01-24T12:51:14+00:00</t>
  </si>
  <si>
    <t>2024-01-24T13:15:34+00:00</t>
  </si>
  <si>
    <t>VILLA DI BRIANO</t>
  </si>
  <si>
    <t>407-8721816-7023505</t>
  </si>
  <si>
    <t>2024-01-24T12:37:36+00:00</t>
  </si>
  <si>
    <t>2024-01-24T20:51:07+00:00</t>
  </si>
  <si>
    <t>Campomorone</t>
  </si>
  <si>
    <t>408-1248728-5357962</t>
  </si>
  <si>
    <t>2024-01-24T12:22:18+00:00</t>
  </si>
  <si>
    <t>2024-01-24T17:17:09+00:00</t>
  </si>
  <si>
    <t>venturina Terme</t>
  </si>
  <si>
    <t>livorno</t>
  </si>
  <si>
    <t>408-9490015-3962735</t>
  </si>
  <si>
    <t>2024-01-24T11:56:16+00:00</t>
  </si>
  <si>
    <t>2024-01-24T17:48:15+00:00</t>
  </si>
  <si>
    <t>408-7437113-9573150</t>
  </si>
  <si>
    <t>2024-01-24T11:55:53+00:00</t>
  </si>
  <si>
    <t>2024-01-24T17:47:35+00:00</t>
  </si>
  <si>
    <t>CASAVATORE</t>
  </si>
  <si>
    <t>402-0025650-8225947</t>
  </si>
  <si>
    <t>2024-01-24T11:52:21+00:00</t>
  </si>
  <si>
    <t>2024-01-24T20:49:17+00:00</t>
  </si>
  <si>
    <t>407-3897948-5155549</t>
  </si>
  <si>
    <t>2024-01-24T11:46:18+00:00</t>
  </si>
  <si>
    <t>2024-01-25T02:28:39+00:00</t>
  </si>
  <si>
    <t>403-8726547-0054755</t>
  </si>
  <si>
    <t>2024-01-24T11:40:43+00:00</t>
  </si>
  <si>
    <t>2024-01-25T14:15:14+00:00</t>
  </si>
  <si>
    <t>403-6518380-3066737</t>
  </si>
  <si>
    <t>2024-01-24T11:39:33+00:00</t>
  </si>
  <si>
    <t>2024-01-24T18:16:27+00:00</t>
  </si>
  <si>
    <t>402-6714873-3658768</t>
  </si>
  <si>
    <t>2024-01-24T11:34:33+00:00</t>
  </si>
  <si>
    <t>2024-01-24T16:15:18+00:00</t>
  </si>
  <si>
    <t>CUSAGO</t>
  </si>
  <si>
    <t>402-8402811-2851546</t>
  </si>
  <si>
    <t>2024-01-24T11:27:02+00:00</t>
  </si>
  <si>
    <t>2024-01-24T11:40:42+00:00</t>
  </si>
  <si>
    <t>404-3680350-8078743</t>
  </si>
  <si>
    <t>2024-01-24T11:10:20+00:00</t>
  </si>
  <si>
    <t>2024-01-24T20:52:01+00:00</t>
  </si>
  <si>
    <t>Recco</t>
  </si>
  <si>
    <t>171-1303820-6218731</t>
  </si>
  <si>
    <t>2024-01-24T11:04:47+00:00</t>
  </si>
  <si>
    <t>2024-01-24T17:50:43+00:00</t>
  </si>
  <si>
    <t>407-5063947-2852348</t>
  </si>
  <si>
    <t>2024-01-24T10:51:14+00:00</t>
  </si>
  <si>
    <t>2024-01-24T21:20:47+00:00</t>
  </si>
  <si>
    <t>Assisi</t>
  </si>
  <si>
    <t>402-6110514-8333133</t>
  </si>
  <si>
    <t>2024-01-24T10:42:07+00:00</t>
  </si>
  <si>
    <t>2024-01-24T20:48:48+00:00</t>
  </si>
  <si>
    <t>brisighella</t>
  </si>
  <si>
    <t>406-8977778-7323544</t>
  </si>
  <si>
    <t>2024-01-24T10:28:04+00:00</t>
  </si>
  <si>
    <t>2024-01-25T16:20:37+00:00</t>
  </si>
  <si>
    <t>404-6480840-5481900</t>
  </si>
  <si>
    <t>2024-01-24T10:21:49+00:00</t>
  </si>
  <si>
    <t>San Valentino della colina</t>
  </si>
  <si>
    <t>171-3665230-1485125</t>
  </si>
  <si>
    <t>2024-01-24T10:20:56+00:00</t>
  </si>
  <si>
    <t>2024-01-24T15:51:45+00:00</t>
  </si>
  <si>
    <t>pinerolo</t>
  </si>
  <si>
    <t>406-0285705-1776324</t>
  </si>
  <si>
    <t>2024-01-24T10:16:25+00:00</t>
  </si>
  <si>
    <t>2024-01-24T17:27:57+00:00</t>
  </si>
  <si>
    <t>FAUGLIA</t>
  </si>
  <si>
    <t>PISA</t>
  </si>
  <si>
    <t>405-8573440-2318755</t>
  </si>
  <si>
    <t>2024-01-24T10:14:01+00:00</t>
  </si>
  <si>
    <t>2024-01-25T12:11:54+00:00</t>
  </si>
  <si>
    <t>Corazzano</t>
  </si>
  <si>
    <t>171-1194711-6420333</t>
  </si>
  <si>
    <t>2024-01-24T10:12:20+00:00</t>
  </si>
  <si>
    <t>2024-01-24T16:14:45+00:00</t>
  </si>
  <si>
    <t>403-7424220-1833927</t>
  </si>
  <si>
    <t>2024-01-24T10:12:16+00:00</t>
  </si>
  <si>
    <t>2024-01-25T15:47:11+00:00</t>
  </si>
  <si>
    <t>403-3362006-9004340</t>
  </si>
  <si>
    <t>2024-01-24T10:08:19+00:00</t>
  </si>
  <si>
    <t>2024-01-25T13:21:23+00:00</t>
  </si>
  <si>
    <t>Gela</t>
  </si>
  <si>
    <t>Cl</t>
  </si>
  <si>
    <t>402-2021844-1803564</t>
  </si>
  <si>
    <t>2024-01-24T09:58:12+00:00</t>
  </si>
  <si>
    <t>2024-01-25T14:27:51+00:00</t>
  </si>
  <si>
    <t>albiate</t>
  </si>
  <si>
    <t>402-8270749-5666718</t>
  </si>
  <si>
    <t>2024-01-24T09:55:38+00:00</t>
  </si>
  <si>
    <t>2024-01-25T04:56:37+00:00</t>
  </si>
  <si>
    <t>Bellusco</t>
  </si>
  <si>
    <t>Mb</t>
  </si>
  <si>
    <t>403-0201575-2104361</t>
  </si>
  <si>
    <t>2024-01-24T09:53:42+00:00</t>
  </si>
  <si>
    <t>2024-01-25T04:18:35+00:00</t>
  </si>
  <si>
    <t>pederobba</t>
  </si>
  <si>
    <t>404-6919262-7581926</t>
  </si>
  <si>
    <t>2024-01-24T09:51:41+00:00</t>
  </si>
  <si>
    <t>2024-01-29T10:05:00+00:00</t>
  </si>
  <si>
    <t>Ct</t>
  </si>
  <si>
    <t>404-4982671-5103515</t>
  </si>
  <si>
    <t>2024-01-24T09:36:03+00:00</t>
  </si>
  <si>
    <t>2024-01-24T09:36:57+00:00</t>
  </si>
  <si>
    <t>Camporotondo Etneo</t>
  </si>
  <si>
    <t>406-9252946-4266734</t>
  </si>
  <si>
    <t>2024-01-24T09:23:29+00:00</t>
  </si>
  <si>
    <t>2024-01-25T02:25:55+00:00</t>
  </si>
  <si>
    <t>406-9789058-7593106</t>
  </si>
  <si>
    <t>2024-01-24T09:21:33+00:00</t>
  </si>
  <si>
    <t>2024-01-24T17:48:06+00:00</t>
  </si>
  <si>
    <t>403-7358469-5249908</t>
  </si>
  <si>
    <t>2024-01-24T09:16:30+00:00</t>
  </si>
  <si>
    <t>2024-01-25T23:21:48+00:00</t>
  </si>
  <si>
    <t>405-5868498-7885965</t>
  </si>
  <si>
    <t>2024-01-24T09:13:18+00:00</t>
  </si>
  <si>
    <t>2024-01-24T13:27:05+00:00</t>
  </si>
  <si>
    <t>BEPER P201UTP200 Fontana Zen con Luce Led Rilassante - Fontana Zen da Interno a Cascata, Nero/Resina, Piccolo</t>
  </si>
  <si>
    <t>P201UTP200_FBA</t>
  </si>
  <si>
    <t>Conegliano</t>
  </si>
  <si>
    <t>404-2757784-3409946</t>
  </si>
  <si>
    <t>2024-01-24T09:04:23+00:00</t>
  </si>
  <si>
    <t>2024-01-24T13:26:48+00:00</t>
  </si>
  <si>
    <t>San giorgio delle Pertiche</t>
  </si>
  <si>
    <t>404-0395208-4017138</t>
  </si>
  <si>
    <t>2024-01-24T08:43:26+00:00</t>
  </si>
  <si>
    <t>San fior</t>
  </si>
  <si>
    <t>407-6618597-6516337</t>
  </si>
  <si>
    <t>2024-01-24T08:22:47+00:00</t>
  </si>
  <si>
    <t>2024-01-26T04:51:53+00:00</t>
  </si>
  <si>
    <t>carbonia</t>
  </si>
  <si>
    <t>CI</t>
  </si>
  <si>
    <t>LCCMLL38H47B745W</t>
  </si>
  <si>
    <t>403-5731179-2560317</t>
  </si>
  <si>
    <t>2024-01-24T08:19:30+00:00</t>
  </si>
  <si>
    <t>2024-01-24T13:28:13+00:00</t>
  </si>
  <si>
    <t>Caldonazzo</t>
  </si>
  <si>
    <t>407-2691145-5189136</t>
  </si>
  <si>
    <t>2024-01-24T08:13:54+00:00</t>
  </si>
  <si>
    <t>2024-01-24T11:38:05+00:00</t>
  </si>
  <si>
    <t>407-1999611-7254715</t>
  </si>
  <si>
    <t>2024-01-24T08:04:04+00:00</t>
  </si>
  <si>
    <t>2024-03-30T20:01:24+00:00</t>
  </si>
  <si>
    <t>408-4523224-2633103</t>
  </si>
  <si>
    <t>2024-01-24T07:43:00+00:00</t>
  </si>
  <si>
    <t>2024-01-24T18:17:19+00:00</t>
  </si>
  <si>
    <t>Mongrassano</t>
  </si>
  <si>
    <t>406-1704962-9626752</t>
  </si>
  <si>
    <t>2024-01-24T06:53:06+00:00</t>
  </si>
  <si>
    <t>2024-01-24T23:47:10+00:00</t>
  </si>
  <si>
    <t>405-2289674-0321123</t>
  </si>
  <si>
    <t>2024-01-24T06:44:47+00:00</t>
  </si>
  <si>
    <t>2024-01-24T16:36:20+00:00</t>
  </si>
  <si>
    <t>Arsago Seprio</t>
  </si>
  <si>
    <t>406-3931344-6033930</t>
  </si>
  <si>
    <t>2024-01-24T06:32:39+00:00</t>
  </si>
  <si>
    <t>2024-01-24T17:25:38+00:00</t>
  </si>
  <si>
    <t>BARI</t>
  </si>
  <si>
    <t>407-0169719-8792372</t>
  </si>
  <si>
    <t>2024-01-24T06:22:04+00:00</t>
  </si>
  <si>
    <t>2024-01-24T13:12:25+00:00</t>
  </si>
  <si>
    <t>Budoni</t>
  </si>
  <si>
    <t>Ss</t>
  </si>
  <si>
    <t>408-1373712-8185132</t>
  </si>
  <si>
    <t>2024-01-23T23:39:08+00:00</t>
  </si>
  <si>
    <t>2024-01-25T10:01:56+00:00</t>
  </si>
  <si>
    <t>Vaiano cremasco</t>
  </si>
  <si>
    <t>405-9013906-1521128</t>
  </si>
  <si>
    <t>2024-01-23T23:29:14+00:00</t>
  </si>
  <si>
    <t>2024-01-26T02:30:09+00:00</t>
  </si>
  <si>
    <t>Casoli</t>
  </si>
  <si>
    <t>404-4175753-4548344</t>
  </si>
  <si>
    <t>2024-01-23T22:33:29+00:00</t>
  </si>
  <si>
    <t>2024-01-24T16:29:43+00:00</t>
  </si>
  <si>
    <t>405-3033030-6933969</t>
  </si>
  <si>
    <t>2024-01-23T22:11:05+00:00</t>
  </si>
  <si>
    <t>2024-01-25T12:57:09+00:00</t>
  </si>
  <si>
    <t>402-2169671-9098721</t>
  </si>
  <si>
    <t>2024-01-23T21:49:57+00:00</t>
  </si>
  <si>
    <t>2024-01-25T13:13:38+00:00</t>
  </si>
  <si>
    <t>ISCHITELLA</t>
  </si>
  <si>
    <t>FOGGIA</t>
  </si>
  <si>
    <t>404-3948645-8397163</t>
  </si>
  <si>
    <t>2024-01-23T21:41:19+00:00</t>
  </si>
  <si>
    <t>2024-01-24T18:20:21+00:00</t>
  </si>
  <si>
    <t>Collecorvino</t>
  </si>
  <si>
    <t>171-5859152-1294763</t>
  </si>
  <si>
    <t>2024-01-23T21:39:08+00:00</t>
  </si>
  <si>
    <t>2024-01-24T17:26:03+00:00</t>
  </si>
  <si>
    <t>Bt</t>
  </si>
  <si>
    <t>406-1344324-9250706</t>
  </si>
  <si>
    <t>2024-01-23T21:37:33+00:00</t>
  </si>
  <si>
    <t>2024-01-24T02:29:25+00:00</t>
  </si>
  <si>
    <t>Capodrise</t>
  </si>
  <si>
    <t>408-4886562-2041940</t>
  </si>
  <si>
    <t>2024-01-23T21:19:57+00:00</t>
  </si>
  <si>
    <t>2024-01-24T15:38:19+00:00</t>
  </si>
  <si>
    <t>408-2852682-0849163</t>
  </si>
  <si>
    <t>2024-01-23T21:16:05+00:00</t>
  </si>
  <si>
    <t>2024-01-24T06:46:06+00:00</t>
  </si>
  <si>
    <t>406-5629704-1461134</t>
  </si>
  <si>
    <t>2024-01-23T21:04:48+00:00</t>
  </si>
  <si>
    <t>2024-01-25T01:27:49+00:00</t>
  </si>
  <si>
    <t>Alte di Montecchio Maggiore</t>
  </si>
  <si>
    <t>405-8556401-0481141</t>
  </si>
  <si>
    <t>2024-01-23T21:03:19+00:00</t>
  </si>
  <si>
    <t>2024-01-24T04:05:02+00:00</t>
  </si>
  <si>
    <t>Cologna veneta</t>
  </si>
  <si>
    <t>405-4271319-7672323</t>
  </si>
  <si>
    <t>2024-01-23T21:00:31+00:00</t>
  </si>
  <si>
    <t>2024-01-24T04:08:32+00:00</t>
  </si>
  <si>
    <t>Olgiate comasco</t>
  </si>
  <si>
    <t>171-4280438-2492308</t>
  </si>
  <si>
    <t>2024-01-23T20:57:53+00:00</t>
  </si>
  <si>
    <t>2024-01-24T17:26:52+00:00</t>
  </si>
  <si>
    <t>Maglie</t>
  </si>
  <si>
    <t>402-5088511-1819510</t>
  </si>
  <si>
    <t>2024-01-23T20:50:37+00:00</t>
  </si>
  <si>
    <t>2024-01-24T02:23:27+00:00</t>
  </si>
  <si>
    <t>Terracina</t>
  </si>
  <si>
    <t>406-4395592-0500331</t>
  </si>
  <si>
    <t>2024-01-23T20:47:48+00:00</t>
  </si>
  <si>
    <t>2024-01-24T06:16:05+00:00</t>
  </si>
  <si>
    <t>Campagna Lupia</t>
  </si>
  <si>
    <t>405-8251109-8493108</t>
  </si>
  <si>
    <t>2024-01-23T20:45:52+00:00</t>
  </si>
  <si>
    <t>2024-01-24T20:52:34+00:00</t>
  </si>
  <si>
    <t>406-3305204-6810746</t>
  </si>
  <si>
    <t>2024-01-23T20:43:36+00:00</t>
  </si>
  <si>
    <t>2024-01-24T17:26:05+00:00</t>
  </si>
  <si>
    <t>Gravina in Puglia</t>
  </si>
  <si>
    <t>405-6120079-2553133</t>
  </si>
  <si>
    <t>2024-01-23T20:34:01+00:00</t>
  </si>
  <si>
    <t>2024-01-24T12:25:04+00:00</t>
  </si>
  <si>
    <t>Limbadi</t>
  </si>
  <si>
    <t>VV</t>
  </si>
  <si>
    <t>403-2762702-6240329</t>
  </si>
  <si>
    <t>2024-01-23T20:22:47+00:00</t>
  </si>
  <si>
    <t>2024-01-24T10:57:54+00:00</t>
  </si>
  <si>
    <t>Sedriano</t>
  </si>
  <si>
    <t>406-0344195-6309942</t>
  </si>
  <si>
    <t>2024-01-23T20:13:41+00:00</t>
  </si>
  <si>
    <t>2024-01-24T06:14:53+00:00</t>
  </si>
  <si>
    <t>udine</t>
  </si>
  <si>
    <t>406-4976676-6813100</t>
  </si>
  <si>
    <t>2024-01-23T20:10:58+00:00</t>
  </si>
  <si>
    <t>2024-01-24T06:14:19+00:00</t>
  </si>
  <si>
    <t>asti</t>
  </si>
  <si>
    <t>AT</t>
  </si>
  <si>
    <t>406-5072971-2463501</t>
  </si>
  <si>
    <t>2024-01-23T20:10:34+00:00</t>
  </si>
  <si>
    <t>2024-01-24T17:26:06+00:00</t>
  </si>
  <si>
    <t>Modugno</t>
  </si>
  <si>
    <t>407-5569741-1343554</t>
  </si>
  <si>
    <t>2024-01-23T20:08:31+00:00</t>
  </si>
  <si>
    <t>2024-01-24T02:27:21+00:00</t>
  </si>
  <si>
    <t>Montepulciano</t>
  </si>
  <si>
    <t>408-1524355-6483554</t>
  </si>
  <si>
    <t>2024-01-23T20:07:38+00:00</t>
  </si>
  <si>
    <t>2024-01-24T04:05:45+00:00</t>
  </si>
  <si>
    <t>Busto Arsizio</t>
  </si>
  <si>
    <t>408-5835255-0476342</t>
  </si>
  <si>
    <t>2024-01-23T19:58:08+00:00</t>
  </si>
  <si>
    <t>2024-01-24T17:50:27+00:00</t>
  </si>
  <si>
    <t>Casalecchio Di Reno</t>
  </si>
  <si>
    <t>404-5572888-6260321</t>
  </si>
  <si>
    <t>2024-01-23T19:57:47+00:00</t>
  </si>
  <si>
    <t>2024-01-24T06:14:48+00:00</t>
  </si>
  <si>
    <t>VE MESTRE</t>
  </si>
  <si>
    <t>403-7862563-7461154</t>
  </si>
  <si>
    <t>2024-01-23T19:55:07+00:00</t>
  </si>
  <si>
    <t>2024-01-24T09:53:23+00:00</t>
  </si>
  <si>
    <t>PONT-SAINT-MARTIN</t>
  </si>
  <si>
    <t>171-2364354-2322756</t>
  </si>
  <si>
    <t>2024-01-23T19:41:58+00:00</t>
  </si>
  <si>
    <t>2024-01-23T19:49:26+00:00</t>
  </si>
  <si>
    <t>406-3384423-3330762</t>
  </si>
  <si>
    <t>2024-01-23T19:40:45+00:00</t>
  </si>
  <si>
    <t>2024-01-24T20:51:21+00:00</t>
  </si>
  <si>
    <t>171-9194383-9157906</t>
  </si>
  <si>
    <t>2024-01-23T19:28:59+00:00</t>
  </si>
  <si>
    <t>2024-01-28T19:39:03+00:00</t>
  </si>
  <si>
    <t>Anagni</t>
  </si>
  <si>
    <t>408-6055343-9805907</t>
  </si>
  <si>
    <t>2024-01-23T19:26:34+00:00</t>
  </si>
  <si>
    <t>2024-01-24T16:15:51+00:00</t>
  </si>
  <si>
    <t>407-0856037-3430707</t>
  </si>
  <si>
    <t>2024-01-23T19:11:43+00:00</t>
  </si>
  <si>
    <t>2024-01-26T02:29:27+00:00</t>
  </si>
  <si>
    <t>404-5756457-8353924</t>
  </si>
  <si>
    <t>2024-01-23T19:06:08+00:00</t>
  </si>
  <si>
    <t>2024-01-23T23:12:56+00:00</t>
  </si>
  <si>
    <t>407-6664477-1461923</t>
  </si>
  <si>
    <t>2024-01-23T19:04:33+00:00</t>
  </si>
  <si>
    <t>2024-01-23T21:22:57+00:00</t>
  </si>
  <si>
    <t>Santeramo in Colle</t>
  </si>
  <si>
    <t>404-9951806-0362704</t>
  </si>
  <si>
    <t>2024-01-23T19:01:45+00:00</t>
  </si>
  <si>
    <t>2024-01-24T17:16:42+00:00</t>
  </si>
  <si>
    <t>PIOMBINO</t>
  </si>
  <si>
    <t>402-3693434-0501949</t>
  </si>
  <si>
    <t>2024-01-23T18:45:43+00:00</t>
  </si>
  <si>
    <t>2024-01-24T04:06:04+00:00</t>
  </si>
  <si>
    <t>Burago di molgora</t>
  </si>
  <si>
    <t>402-8868456-9594733</t>
  </si>
  <si>
    <t>2024-01-23T18:43:20+00:00</t>
  </si>
  <si>
    <t>2024-01-24T17:48:30+00:00</t>
  </si>
  <si>
    <t>406-3320358-5514716</t>
  </si>
  <si>
    <t>2024-01-23T18:41:16+00:00</t>
  </si>
  <si>
    <t>2024-01-24T17:18:31+00:00</t>
  </si>
  <si>
    <t>San Genesio ed Uniti</t>
  </si>
  <si>
    <t>402-1270347-8492338</t>
  </si>
  <si>
    <t>2024-01-23T18:36:38+00:00</t>
  </si>
  <si>
    <t>2024-01-24T15:50:28+00:00</t>
  </si>
  <si>
    <t>Settimo Vittone</t>
  </si>
  <si>
    <t>171-4727499-4947501</t>
  </si>
  <si>
    <t>2024-01-23T18:33:15+00:00</t>
  </si>
  <si>
    <t>2024-01-24T17:01:44+00:00</t>
  </si>
  <si>
    <t>405-5995781-0025156</t>
  </si>
  <si>
    <t>2024-01-23T18:27:14+00:00</t>
  </si>
  <si>
    <t>2024-01-24T16:15:42+00:00</t>
  </si>
  <si>
    <t>Gropello Cairoli</t>
  </si>
  <si>
    <t>171-3380333-2257152</t>
  </si>
  <si>
    <t>2024-01-23T18:27:11+00:00</t>
  </si>
  <si>
    <t>2024-01-28T18:58:30+00:00</t>
  </si>
  <si>
    <t>Domusnovas</t>
  </si>
  <si>
    <t>Carbonia-Iglesias</t>
  </si>
  <si>
    <t>402-9022449-4165954</t>
  </si>
  <si>
    <t>2024-01-23T18:23:07+00:00</t>
  </si>
  <si>
    <t>2024-01-23T21:36:36+00:00</t>
  </si>
  <si>
    <t>403-5820079-2395548</t>
  </si>
  <si>
    <t>2024-01-23T18:19:34+00:00</t>
  </si>
  <si>
    <t>2024-01-24T17:18:26+00:00</t>
  </si>
  <si>
    <t>171-6471095-3791544</t>
  </si>
  <si>
    <t>2024-01-23T18:15:58+00:00</t>
  </si>
  <si>
    <t>2024-01-23T18:49:10+00:00</t>
  </si>
  <si>
    <t>407-3188773-9916334</t>
  </si>
  <si>
    <t>2024-01-23T18:14:11+00:00</t>
  </si>
  <si>
    <t>2024-01-24T01:32:33+00:00</t>
  </si>
  <si>
    <t>Monte San Savino</t>
  </si>
  <si>
    <t>AR</t>
  </si>
  <si>
    <t>408-1719783-0758758</t>
  </si>
  <si>
    <t>2024-01-23T18:12:25+00:00</t>
  </si>
  <si>
    <t>2024-01-24T04:04:50+00:00</t>
  </si>
  <si>
    <t>171-5671242-8998718</t>
  </si>
  <si>
    <t>2024-01-23T18:12:05+00:00</t>
  </si>
  <si>
    <t>2024-01-23T18:48:46+00:00</t>
  </si>
  <si>
    <t>408-1068689-0965923</t>
  </si>
  <si>
    <t>2024-01-23T18:05:45+00:00</t>
  </si>
  <si>
    <t>2024-01-24T06:15:12+00:00</t>
  </si>
  <si>
    <t>Due Carrare</t>
  </si>
  <si>
    <t>406-4752095-6857164</t>
  </si>
  <si>
    <t>2024-01-23T17:49:40+00:00</t>
  </si>
  <si>
    <t>2024-01-23T19:12:57+00:00</t>
  </si>
  <si>
    <t>403-9055863-4003561</t>
  </si>
  <si>
    <t>2024-01-23T17:44:04+00:00</t>
  </si>
  <si>
    <t>2024-01-23T21:20:37+00:00</t>
  </si>
  <si>
    <t>407-4470638-8220318</t>
  </si>
  <si>
    <t>2024-01-23T17:41:06+00:00</t>
  </si>
  <si>
    <t>2024-01-24T16:08:19+00:00</t>
  </si>
  <si>
    <t>408-8035192-6429910</t>
  </si>
  <si>
    <t>2024-01-23T17:28:09+00:00</t>
  </si>
  <si>
    <t>2024-01-24T02:44:18+00:00</t>
  </si>
  <si>
    <t>402-2734358-3393111</t>
  </si>
  <si>
    <t>2024-01-23T17:27:58+00:00</t>
  </si>
  <si>
    <t>2024-01-23T20:52:41+00:00</t>
  </si>
  <si>
    <t>San Nicola La Strada</t>
  </si>
  <si>
    <t>404-8885176-7414717</t>
  </si>
  <si>
    <t>2024-01-23T16:57:37+00:00</t>
  </si>
  <si>
    <t>2024-01-24T02:22:48+00:00</t>
  </si>
  <si>
    <t>Nettuno</t>
  </si>
  <si>
    <t>406-4609140-0056340</t>
  </si>
  <si>
    <t>2024-01-23T16:55:40+00:00</t>
  </si>
  <si>
    <t>2024-01-24T17:48:28+00:00</t>
  </si>
  <si>
    <t>SAN LORENZO MAGGIORE</t>
  </si>
  <si>
    <t>171-0884294-9830726</t>
  </si>
  <si>
    <t>2024-01-23T16:50:00+00:00</t>
  </si>
  <si>
    <t>2024-01-24T11:02:27+00:00</t>
  </si>
  <si>
    <t>408-7065472-9289922</t>
  </si>
  <si>
    <t>2024-01-23T16:48:01+00:00</t>
  </si>
  <si>
    <t>2024-01-24T18:14:50+00:00</t>
  </si>
  <si>
    <t>Mussomeli</t>
  </si>
  <si>
    <t>Caltanissetta</t>
  </si>
  <si>
    <t>405-9862515-4434754</t>
  </si>
  <si>
    <t>2024-01-23T16:40:49+00:00</t>
  </si>
  <si>
    <t>2024-01-25T17:51:44+00:00</t>
  </si>
  <si>
    <t>LOMBARDIA</t>
  </si>
  <si>
    <t>402-2545875-8485157</t>
  </si>
  <si>
    <t>2024-01-23T16:34:35+00:00</t>
  </si>
  <si>
    <t>2024-01-25T17:23:32+00:00</t>
  </si>
  <si>
    <t>Bagnolo Cremasco</t>
  </si>
  <si>
    <t>402-4331883-4095569</t>
  </si>
  <si>
    <t>2024-01-23T16:31:06+00:00</t>
  </si>
  <si>
    <t>2024-01-24T10:24:57+00:00</t>
  </si>
  <si>
    <t>Ariccia</t>
  </si>
  <si>
    <t>404-5477521-2024323</t>
  </si>
  <si>
    <t>2024-01-23T16:26:53+00:00</t>
  </si>
  <si>
    <t>2024-01-24T15:55:03+00:00</t>
  </si>
  <si>
    <t>Ardesio</t>
  </si>
  <si>
    <t>171-0120450-2281930</t>
  </si>
  <si>
    <t>2024-01-23T16:19:57+00:00</t>
  </si>
  <si>
    <t>2024-01-24T02:24:13+00:00</t>
  </si>
  <si>
    <t>Pisogne</t>
  </si>
  <si>
    <t>407-1777257-0897116</t>
  </si>
  <si>
    <t>2024-01-23T16:13:28+00:00</t>
  </si>
  <si>
    <t>2024-01-24T14:31:22+00:00</t>
  </si>
  <si>
    <t>bitritto</t>
  </si>
  <si>
    <t>407-1285590-1822741</t>
  </si>
  <si>
    <t>2024-01-23T16:10:51+00:00</t>
  </si>
  <si>
    <t>2024-01-23T23:16:44+00:00</t>
  </si>
  <si>
    <t>408-0313562-3290723</t>
  </si>
  <si>
    <t>2024-01-23T16:01:10+00:00</t>
  </si>
  <si>
    <t>2024-01-23T18:19:19+00:00</t>
  </si>
  <si>
    <t>STAZIONE MASOTTI</t>
  </si>
  <si>
    <t>407-0668452-9358711</t>
  </si>
  <si>
    <t>2024-01-23T16:01:01+00:00</t>
  </si>
  <si>
    <t>2024-01-24T12:04:57+00:00</t>
  </si>
  <si>
    <t>405-2866653-3235513</t>
  </si>
  <si>
    <t>2024-01-23T15:46:16+00:00</t>
  </si>
  <si>
    <t>2024-01-24T11:04:10+00:00</t>
  </si>
  <si>
    <t>S. Ilario D'Enza</t>
  </si>
  <si>
    <t>403-7684701-9221101</t>
  </si>
  <si>
    <t>2024-01-23T15:44:03+00:00</t>
  </si>
  <si>
    <t>2024-01-24T17:05:56+00:00</t>
  </si>
  <si>
    <t>CASTELLI CALEPIO</t>
  </si>
  <si>
    <t>171-4637962-0891507</t>
  </si>
  <si>
    <t>2024-01-23T15:40:48+00:00</t>
  </si>
  <si>
    <t>2024-01-24T16:30:58+00:00</t>
  </si>
  <si>
    <t>402-1544777-8631564</t>
  </si>
  <si>
    <t>2024-01-23T15:38:42+00:00</t>
  </si>
  <si>
    <t>Cosio valtellino</t>
  </si>
  <si>
    <t>407-4971741-3060362</t>
  </si>
  <si>
    <t>2024-01-23T15:24:07+00:00</t>
  </si>
  <si>
    <t>2024-01-31T09:27:04+00:00</t>
  </si>
  <si>
    <t>BT.603Y</t>
  </si>
  <si>
    <t>Maierato</t>
  </si>
  <si>
    <t>Vibo Valentia</t>
  </si>
  <si>
    <t>171-2802769-4167565</t>
  </si>
  <si>
    <t>2024-01-23T15:03:22+00:00</t>
  </si>
  <si>
    <t>2024-01-24T12:15:40+00:00</t>
  </si>
  <si>
    <t>MACHERIO</t>
  </si>
  <si>
    <t>407-3097468-5685143</t>
  </si>
  <si>
    <t>2024-01-23T14:34:29+00:00</t>
  </si>
  <si>
    <t>2024-01-29T16:43:09+00:00</t>
  </si>
  <si>
    <t>Roccaraso</t>
  </si>
  <si>
    <t>407-8557478-1406715</t>
  </si>
  <si>
    <t>2024-01-23T14:21:38+00:00</t>
  </si>
  <si>
    <t>2024-01-25T19:46:37+00:00</t>
  </si>
  <si>
    <t>171-1146047-7085942</t>
  </si>
  <si>
    <t>2024-01-23T14:20:25+00:00</t>
  </si>
  <si>
    <t>2024-01-24T12:05:20+00:00</t>
  </si>
  <si>
    <t>Scano al Brembo</t>
  </si>
  <si>
    <t>404-5140039-3341119</t>
  </si>
  <si>
    <t>2024-01-23T14:19:29+00:00</t>
  </si>
  <si>
    <t>2024-01-23T20:10:44+00:00</t>
  </si>
  <si>
    <t>402-0512743-7522754</t>
  </si>
  <si>
    <t>2024-01-23T14:06:59+00:00</t>
  </si>
  <si>
    <t>2024-01-24T06:25:17+00:00</t>
  </si>
  <si>
    <t>Civezzano</t>
  </si>
  <si>
    <t>404-8829289-8853940</t>
  </si>
  <si>
    <t>2024-01-23T14:04:00+00:00</t>
  </si>
  <si>
    <t>2024-01-23T21:24:52+00:00</t>
  </si>
  <si>
    <t>SAN DONA' DI PIAVE</t>
  </si>
  <si>
    <t>venezia</t>
  </si>
  <si>
    <t>407-5536758-4174715</t>
  </si>
  <si>
    <t>2024-01-23T14:03:27+00:00</t>
  </si>
  <si>
    <t>2024-01-24T17:49:02+00:00</t>
  </si>
  <si>
    <t>405-6548824-9715544</t>
  </si>
  <si>
    <t>2024-01-23T13:45:40+00:00</t>
  </si>
  <si>
    <t>2024-01-23T18:24:22+00:00</t>
  </si>
  <si>
    <t>MODENA</t>
  </si>
  <si>
    <t>403-0179280-6081913</t>
  </si>
  <si>
    <t>2024-01-23T13:38:56+00:00</t>
  </si>
  <si>
    <t>2024-01-24T13:26:51+00:00</t>
  </si>
  <si>
    <t>santa teresa di riva</t>
  </si>
  <si>
    <t>406-3252037-0053954</t>
  </si>
  <si>
    <t>2024-01-23T13:28:06+00:00</t>
  </si>
  <si>
    <t>2024-01-23T21:24:46+00:00</t>
  </si>
  <si>
    <t>zero branco</t>
  </si>
  <si>
    <t>treviso</t>
  </si>
  <si>
    <t>406-4081760-5009903</t>
  </si>
  <si>
    <t>2024-01-23T13:19:49+00:00</t>
  </si>
  <si>
    <t>2024-01-24T17:25:10+00:00</t>
  </si>
  <si>
    <t>408-7481599-5185913</t>
  </si>
  <si>
    <t>2024-01-23T13:02:19+00:00</t>
  </si>
  <si>
    <t>2024-01-23T15:53:24+00:00</t>
  </si>
  <si>
    <t>VILLARBASSE</t>
  </si>
  <si>
    <t>407-6906426-8210756</t>
  </si>
  <si>
    <t>2024-01-23T12:48:04+00:00</t>
  </si>
  <si>
    <t>2024-01-24T10:34:05+00:00</t>
  </si>
  <si>
    <t>405-0088473-9885102</t>
  </si>
  <si>
    <t>2024-01-23T12:36:49+00:00</t>
  </si>
  <si>
    <t>2024-01-23T18:20:46+00:00</t>
  </si>
  <si>
    <t>FOGNANO</t>
  </si>
  <si>
    <t>402-2462351-4132311</t>
  </si>
  <si>
    <t>2024-01-23T12:34:26+00:00</t>
  </si>
  <si>
    <t>2024-01-24T13:25:46+00:00</t>
  </si>
  <si>
    <t>402-1065088-6852305</t>
  </si>
  <si>
    <t>2024-01-23T12:32:18+00:00</t>
  </si>
  <si>
    <t>2024-01-23T18:24:51+00:00</t>
  </si>
  <si>
    <t>Formigine</t>
  </si>
  <si>
    <t>408-8559496-4480348</t>
  </si>
  <si>
    <t>2024-01-23T12:19:15+00:00</t>
  </si>
  <si>
    <t>2024-01-23T19:39:17+00:00</t>
  </si>
  <si>
    <t>Frignano</t>
  </si>
  <si>
    <t>171-8087482-7984365</t>
  </si>
  <si>
    <t>2024-01-23T12:10:44+00:00</t>
  </si>
  <si>
    <t>2024-01-23T18:20:32+00:00</t>
  </si>
  <si>
    <t>Bagno a Ripoli</t>
  </si>
  <si>
    <t>Fi</t>
  </si>
  <si>
    <t>404-4450473-1265122</t>
  </si>
  <si>
    <t>2024-01-23T12:08:38+00:00</t>
  </si>
  <si>
    <t>2024-01-24T11:28:14+00:00</t>
  </si>
  <si>
    <t>castelvetrano</t>
  </si>
  <si>
    <t>trapani</t>
  </si>
  <si>
    <t>403-2406932-2815515</t>
  </si>
  <si>
    <t>2024-01-23T11:39:16+00:00</t>
  </si>
  <si>
    <t>2024-01-23T18:15:51+00:00</t>
  </si>
  <si>
    <t>Gradoli</t>
  </si>
  <si>
    <t>171-0955818-2297147</t>
  </si>
  <si>
    <t>2024-01-23T11:38:09+00:00</t>
  </si>
  <si>
    <t>2024-01-23T11:44:06+00:00</t>
  </si>
  <si>
    <t>405-2131964-6496341</t>
  </si>
  <si>
    <t>2024-01-23T11:05:43+00:00</t>
  </si>
  <si>
    <t>2024-01-24T02:23:29+00:00</t>
  </si>
  <si>
    <t>LATINA</t>
  </si>
  <si>
    <t>407-3053898-1122766</t>
  </si>
  <si>
    <t>2024-01-23T10:55:07+00:00</t>
  </si>
  <si>
    <t>2024-01-23T21:21:21+00:00</t>
  </si>
  <si>
    <t>nocciano</t>
  </si>
  <si>
    <t>402-1280896-9228313</t>
  </si>
  <si>
    <t>2024-01-23T10:27:58+00:00</t>
  </si>
  <si>
    <t>2024-01-24T03:43:58+00:00</t>
  </si>
  <si>
    <t>403-5700788-8558747</t>
  </si>
  <si>
    <t>2024-01-23T10:24:03+00:00</t>
  </si>
  <si>
    <t>2024-01-23T18:16:27+00:00</t>
  </si>
  <si>
    <t>171-7429994-9783552</t>
  </si>
  <si>
    <t>2024-01-23T10:20:34+00:00</t>
  </si>
  <si>
    <t>2024-01-25T17:27:29+00:00</t>
  </si>
  <si>
    <t>CECINA MARINA</t>
  </si>
  <si>
    <t>403-1072057-0304359</t>
  </si>
  <si>
    <t>2024-01-23T10:18:02+00:00</t>
  </si>
  <si>
    <t>2024-01-23T20:26:17+00:00</t>
  </si>
  <si>
    <t>171-5906619-0013113</t>
  </si>
  <si>
    <t>2024-01-23T10:13:45+00:00</t>
  </si>
  <si>
    <t>2024-01-23T20:19:25+00:00</t>
  </si>
  <si>
    <t>Francavilla Fontana</t>
  </si>
  <si>
    <t>403-2923074-8653140</t>
  </si>
  <si>
    <t>2024-01-23T10:07:56+00:00</t>
  </si>
  <si>
    <t>2024-01-23T17:29:13+00:00</t>
  </si>
  <si>
    <t>Conversano</t>
  </si>
  <si>
    <t>406-3391537-0848315</t>
  </si>
  <si>
    <t>2024-01-23T09:55:04+00:00</t>
  </si>
  <si>
    <t>2024-01-24T10:23:24+00:00</t>
  </si>
  <si>
    <t>Urbisaglia</t>
  </si>
  <si>
    <t>404-7052392-2138703</t>
  </si>
  <si>
    <t>2024-01-23T09:43:46+00:00</t>
  </si>
  <si>
    <t>2024-01-24T01:58:13+00:00</t>
  </si>
  <si>
    <t>TRIESTE</t>
  </si>
  <si>
    <t>408-3113209-4719516</t>
  </si>
  <si>
    <t>2024-01-23T09:42:44+00:00</t>
  </si>
  <si>
    <t>2024-01-24T11:02:26+00:00</t>
  </si>
  <si>
    <t>Somma Lombardo</t>
  </si>
  <si>
    <t>406-6224194-5940344</t>
  </si>
  <si>
    <t>2024-01-23T09:40:38+00:00</t>
  </si>
  <si>
    <t>2024-01-23T15:43:55+00:00</t>
  </si>
  <si>
    <t>Taleggio</t>
  </si>
  <si>
    <t>408-2162932-4137910</t>
  </si>
  <si>
    <t>2024-01-23T09:33:44+00:00</t>
  </si>
  <si>
    <t>2024-01-23T19:40:56+00:00</t>
  </si>
  <si>
    <t>408-0538381-1392366</t>
  </si>
  <si>
    <t>2024-01-23T09:28:29+00:00</t>
  </si>
  <si>
    <t>2024-01-23T09:37:50+00:00</t>
  </si>
  <si>
    <t>405-0271623-8665122</t>
  </si>
  <si>
    <t>2024-01-23T09:25:23+00:00</t>
  </si>
  <si>
    <t>2024-01-23T20:26:20+00:00</t>
  </si>
  <si>
    <t>406-7481431-0209115</t>
  </si>
  <si>
    <t>2024-01-23T08:56:14+00:00</t>
  </si>
  <si>
    <t>2024-01-23T11:30:19+00:00</t>
  </si>
  <si>
    <t>IT14331451006</t>
  </si>
  <si>
    <t>404-1730331-5112312</t>
  </si>
  <si>
    <t>2024-01-23T08:48:44+00:00</t>
  </si>
  <si>
    <t>2024-01-28T08:51:55+00:00</t>
  </si>
  <si>
    <t>Civitella Alfedena</t>
  </si>
  <si>
    <t>171-7341020-2079539</t>
  </si>
  <si>
    <t>2024-01-23T08:33:34+00:00</t>
  </si>
  <si>
    <t>2024-01-24T04:19:16+00:00</t>
  </si>
  <si>
    <t>Montecchio Maggiore</t>
  </si>
  <si>
    <t>405-0456483-0113914</t>
  </si>
  <si>
    <t>2024-01-23T08:32:24+00:00</t>
  </si>
  <si>
    <t>2024-01-24T11:02:28+00:00</t>
  </si>
  <si>
    <t>402-2295289-1498737</t>
  </si>
  <si>
    <t>2024-01-23T08:25:54+00:00</t>
  </si>
  <si>
    <t>2024-01-23T16:14:26+00:00</t>
  </si>
  <si>
    <t>CORSICO</t>
  </si>
  <si>
    <t>406-4935832-9337967</t>
  </si>
  <si>
    <t>2024-01-23T07:44:39+00:00</t>
  </si>
  <si>
    <t>2024-01-26T20:12:01+00:00</t>
  </si>
  <si>
    <t>Saluzzo</t>
  </si>
  <si>
    <t>405-5567848-2296355</t>
  </si>
  <si>
    <t>2024-01-23T07:37:35+00:00</t>
  </si>
  <si>
    <t>2024-01-23T17:14:39+00:00</t>
  </si>
  <si>
    <t>171-7552150-5212359</t>
  </si>
  <si>
    <t>2024-01-23T07:29:22+00:00</t>
  </si>
  <si>
    <t>2024-01-24T10:23:25+00:00</t>
  </si>
  <si>
    <t>Pioltello</t>
  </si>
  <si>
    <t>171-3532378-5696303</t>
  </si>
  <si>
    <t>2024-01-23T07:27:04+00:00</t>
  </si>
  <si>
    <t>2024-01-24T01:27:25+00:00</t>
  </si>
  <si>
    <t>404-1860685-6647533</t>
  </si>
  <si>
    <t>2024-01-23T07:25:33+00:00</t>
  </si>
  <si>
    <t>2024-01-23T21:21:17+00:00</t>
  </si>
  <si>
    <t>corropoli</t>
  </si>
  <si>
    <t>teramo</t>
  </si>
  <si>
    <t>402-0904419-8424354</t>
  </si>
  <si>
    <t>2024-01-23T07:22:50+00:00</t>
  </si>
  <si>
    <t>2024-01-25T04:56:20+00:00</t>
  </si>
  <si>
    <t>Muggiò</t>
  </si>
  <si>
    <t>407-6732111-9601949</t>
  </si>
  <si>
    <t>2024-01-23T07:15:20+00:00</t>
  </si>
  <si>
    <t>2024-01-24T09:53:24+00:00</t>
  </si>
  <si>
    <t>Capri</t>
  </si>
  <si>
    <t>IT07631330631</t>
  </si>
  <si>
    <t>402-0334878-3626729</t>
  </si>
  <si>
    <t>2024-01-23T07:02:20+00:00</t>
  </si>
  <si>
    <t>2024-01-24T00:30:08+00:00</t>
  </si>
  <si>
    <t>ARICCIA</t>
  </si>
  <si>
    <t>403-6789249-1593956</t>
  </si>
  <si>
    <t>2024-01-23T06:32:20+00:00</t>
  </si>
  <si>
    <t>2024-01-23T20:09:25+00:00</t>
  </si>
  <si>
    <t>404-3104662-8460345</t>
  </si>
  <si>
    <t>2024-01-23T06:29:39+00:00</t>
  </si>
  <si>
    <t>2024-01-23T20:16:59+00:00</t>
  </si>
  <si>
    <t>405-8788468-1788351</t>
  </si>
  <si>
    <t>2024-01-23T06:18:09+00:00</t>
  </si>
  <si>
    <t>2024-01-23T14:50:14+00:00</t>
  </si>
  <si>
    <t>Romano di Lombardia</t>
  </si>
  <si>
    <t>404-0545070-7723517</t>
  </si>
  <si>
    <t>2024-01-23T05:55:03+00:00</t>
  </si>
  <si>
    <t>2024-01-25T17:07:43+00:00</t>
  </si>
  <si>
    <t>Albizzate</t>
  </si>
  <si>
    <t>406-6727807-3502716</t>
  </si>
  <si>
    <t>2024-01-23T03:10:36+00:00</t>
  </si>
  <si>
    <t>2024-01-23T12:29:36+00:00</t>
  </si>
  <si>
    <t>rivarolo canavese</t>
  </si>
  <si>
    <t>406-9343110-1180365</t>
  </si>
  <si>
    <t>2024-01-22T23:52:11+00:00</t>
  </si>
  <si>
    <t>2024-01-24T13:39:54+00:00</t>
  </si>
  <si>
    <t>171-5734211-9373103</t>
  </si>
  <si>
    <t>2024-01-22T22:20:32+00:00</t>
  </si>
  <si>
    <t>2024-01-23T12:29:35+00:00</t>
  </si>
  <si>
    <t>404-5008710-6917917</t>
  </si>
  <si>
    <t>2024-01-22T22:18:54+00:00</t>
  </si>
  <si>
    <t>2024-01-23T05:44:36+00:00</t>
  </si>
  <si>
    <t>405-6570912-9011554</t>
  </si>
  <si>
    <t>2024-01-22T22:10:15+00:00</t>
  </si>
  <si>
    <t>2024-01-24T18:08:53+00:00</t>
  </si>
  <si>
    <t>Oderzo</t>
  </si>
  <si>
    <t>408-4502361-6402768</t>
  </si>
  <si>
    <t>2024-01-22T21:57:29+00:00</t>
  </si>
  <si>
    <t>2024-01-23T11:13:26+00:00</t>
  </si>
  <si>
    <t>CRSDVD93E25G273T</t>
  </si>
  <si>
    <t>403-6996341-3677123</t>
  </si>
  <si>
    <t>2024-01-22T21:56:43+00:00</t>
  </si>
  <si>
    <t>2024-01-23T02:20:27+00:00</t>
  </si>
  <si>
    <t>402-3384997-1007537</t>
  </si>
  <si>
    <t>2024-01-22T21:36:27+00:00</t>
  </si>
  <si>
    <t>2024-01-26T17:36:52+00:00</t>
  </si>
  <si>
    <t>ARBIZZANO</t>
  </si>
  <si>
    <t>408-2069123-6429166</t>
  </si>
  <si>
    <t>2024-01-22T21:33:06+00:00</t>
  </si>
  <si>
    <t>2024-01-24T06:46:03+00:00</t>
  </si>
  <si>
    <t>402-6239725-5590769</t>
  </si>
  <si>
    <t>2024-01-22T21:31:20+00:00</t>
  </si>
  <si>
    <t>2024-01-23T02:33:08+00:00</t>
  </si>
  <si>
    <t>406-2849477-4588369</t>
  </si>
  <si>
    <t>2024-01-22T21:25:00+00:00</t>
  </si>
  <si>
    <t>2024-01-24T11:21:11+00:00</t>
  </si>
  <si>
    <t>Colzate</t>
  </si>
  <si>
    <t>405-7803250-2772362</t>
  </si>
  <si>
    <t>2024-01-22T21:10:45+00:00</t>
  </si>
  <si>
    <t>2024-01-24T11:25:44+00:00</t>
  </si>
  <si>
    <t>Ortisei</t>
  </si>
  <si>
    <t>408-5193587-0652344</t>
  </si>
  <si>
    <t>2024-01-22T20:59:46+00:00</t>
  </si>
  <si>
    <t>2024-01-23T15:49:32+00:00</t>
  </si>
  <si>
    <t>Ferentino</t>
  </si>
  <si>
    <t>407-7704827-0287557</t>
  </si>
  <si>
    <t>2024-01-22T20:50:39+00:00</t>
  </si>
  <si>
    <t>2024-01-23T02:34:17+00:00</t>
  </si>
  <si>
    <t>Italia roma lazio</t>
  </si>
  <si>
    <t>408-1657644-7479550</t>
  </si>
  <si>
    <t>2024-01-22T20:47:33+00:00</t>
  </si>
  <si>
    <t>2024-01-23T12:41:18+00:00</t>
  </si>
  <si>
    <t>408-6561701-9545141</t>
  </si>
  <si>
    <t>2024-01-22T20:40:19+00:00</t>
  </si>
  <si>
    <t>Adrano</t>
  </si>
  <si>
    <t>405-3234498-6677133</t>
  </si>
  <si>
    <t>2024-01-22T20:14:02+00:00</t>
  </si>
  <si>
    <t>2024-01-23T01:45:09+00:00</t>
  </si>
  <si>
    <t>Opera</t>
  </si>
  <si>
    <t>402-8002245-2647529</t>
  </si>
  <si>
    <t>2024-01-22T20:10:54+00:00</t>
  </si>
  <si>
    <t>2024-01-23T19:37:00+00:00</t>
  </si>
  <si>
    <t>407-2384073-6768302</t>
  </si>
  <si>
    <t>2024-01-22T19:50:20+00:00</t>
  </si>
  <si>
    <t>2024-01-23T16:33:56+00:00</t>
  </si>
  <si>
    <t>Borgo Hermada</t>
  </si>
  <si>
    <t>406-8197271-1458702</t>
  </si>
  <si>
    <t>2024-01-22T19:43:35+00:00</t>
  </si>
  <si>
    <t>2024-01-23T01:22:44+00:00</t>
  </si>
  <si>
    <t>408-1188708-5390747</t>
  </si>
  <si>
    <t>2024-01-22T19:31:49+00:00</t>
  </si>
  <si>
    <t>2024-01-22T22:26:21+00:00</t>
  </si>
  <si>
    <t>405-4244634-0233112</t>
  </si>
  <si>
    <t>2024-01-22T19:28:22+00:00</t>
  </si>
  <si>
    <t>2024-01-25T08:44:12+00:00</t>
  </si>
  <si>
    <t>403-9491972-7809920</t>
  </si>
  <si>
    <t>2024-01-22T19:25:30+00:00</t>
  </si>
  <si>
    <t>2024-01-23T15:41:06+00:00</t>
  </si>
  <si>
    <t>scandicci</t>
  </si>
  <si>
    <t>406-7924688-7024344</t>
  </si>
  <si>
    <t>2024-01-22T19:24:29+00:00</t>
  </si>
  <si>
    <t>2024-01-23T13:08:38+00:00</t>
  </si>
  <si>
    <t>403-3229907-7792300</t>
  </si>
  <si>
    <t>2024-01-22T19:19:25+00:00</t>
  </si>
  <si>
    <t>2024-01-23T12:11:34+00:00</t>
  </si>
  <si>
    <t>Sorgono</t>
  </si>
  <si>
    <t>NU</t>
  </si>
  <si>
    <t>405-0833952-3327537</t>
  </si>
  <si>
    <t>2024-01-22T19:09:42+00:00</t>
  </si>
  <si>
    <t>2024-01-23T18:10:56+00:00</t>
  </si>
  <si>
    <t>Bregnano</t>
  </si>
  <si>
    <t>405-2993902-3261925</t>
  </si>
  <si>
    <t>2024-01-22T19:07:04+00:00</t>
  </si>
  <si>
    <t>2024-01-23T02:33:19+00:00</t>
  </si>
  <si>
    <t>403-5054173-7206736</t>
  </si>
  <si>
    <t>2024-01-22T18:57:49+00:00</t>
  </si>
  <si>
    <t>2024-01-23T16:31:40+00:00</t>
  </si>
  <si>
    <t>Varzo</t>
  </si>
  <si>
    <t>407-1272994-2565952</t>
  </si>
  <si>
    <t>2024-01-22T18:53:31+00:00</t>
  </si>
  <si>
    <t>2024-01-23T13:08:37+00:00</t>
  </si>
  <si>
    <t>Mandello del Lario</t>
  </si>
  <si>
    <t>408-2863809-7733128</t>
  </si>
  <si>
    <t>2024-01-22T18:36:42+00:00</t>
  </si>
  <si>
    <t>2024-01-23T11:59:32+00:00</t>
  </si>
  <si>
    <t>Colloredo di Monte Albano</t>
  </si>
  <si>
    <t>171-8924810-8037960</t>
  </si>
  <si>
    <t>2024-01-22T18:32:30+00:00</t>
  </si>
  <si>
    <t>2024-01-24T22:36:53+00:00</t>
  </si>
  <si>
    <t>406-6386928-6089139</t>
  </si>
  <si>
    <t>2024-01-22T18:26:34+00:00</t>
  </si>
  <si>
    <t>2024-01-23T12:51:12+00:00</t>
  </si>
  <si>
    <t>Giussano</t>
  </si>
  <si>
    <t>403-7685914-1906703</t>
  </si>
  <si>
    <t>2024-01-22T18:18:02+00:00</t>
  </si>
  <si>
    <t>2024-01-23T00:39:07+00:00</t>
  </si>
  <si>
    <t>403-7594157-3477916</t>
  </si>
  <si>
    <t>2024-01-22T18:11:40+00:00</t>
  </si>
  <si>
    <t>2024-01-23T11:29:48+00:00</t>
  </si>
  <si>
    <t>408-7028512-6928311</t>
  </si>
  <si>
    <t>2024-01-22T17:56:47+00:00</t>
  </si>
  <si>
    <t>2024-01-24T15:53:37+00:00</t>
  </si>
  <si>
    <t>Pontenure</t>
  </si>
  <si>
    <t>408-7466814-8829166</t>
  </si>
  <si>
    <t>2024-01-22T17:51:20+00:00</t>
  </si>
  <si>
    <t>402-8645845-9809131</t>
  </si>
  <si>
    <t>2024-01-22T17:51:03+00:00</t>
  </si>
  <si>
    <t>2024-01-25T20:42:52+00:00</t>
  </si>
  <si>
    <t>IT10111831003</t>
  </si>
  <si>
    <t>404-9830623-7577949</t>
  </si>
  <si>
    <t>2024-01-22T17:50:34+00:00</t>
  </si>
  <si>
    <t>2024-01-25T18:37:29+00:00</t>
  </si>
  <si>
    <t>vicchio</t>
  </si>
  <si>
    <t>171-3699037-1365926</t>
  </si>
  <si>
    <t>2024-01-22T17:45:30+00:00</t>
  </si>
  <si>
    <t>2024-01-23T20:58:48+00:00</t>
  </si>
  <si>
    <t>Panighina</t>
  </si>
  <si>
    <t>Fc</t>
  </si>
  <si>
    <t>CRZMSS91S49C573T</t>
  </si>
  <si>
    <t>404-9827816-3491500</t>
  </si>
  <si>
    <t>2024-01-22T17:42:50+00:00</t>
  </si>
  <si>
    <t>2024-01-23T13:08:39+00:00</t>
  </si>
  <si>
    <t>408-5938029-3215563</t>
  </si>
  <si>
    <t>2024-01-22T17:11:27+00:00</t>
  </si>
  <si>
    <t>2024-01-23T02:51:13+00:00</t>
  </si>
  <si>
    <t>407-4587374-9654758</t>
  </si>
  <si>
    <t>2024-01-22T16:54:30+00:00</t>
  </si>
  <si>
    <t>2024-01-23T01:21:47+00:00</t>
  </si>
  <si>
    <t>SCHIANNO</t>
  </si>
  <si>
    <t>402-5217367-9896306</t>
  </si>
  <si>
    <t>2024-01-22T16:51:50+00:00</t>
  </si>
  <si>
    <t>2024-01-24T16:27:35+00:00</t>
  </si>
  <si>
    <t>Camino al Tagliamento</t>
  </si>
  <si>
    <t>IT02039640301</t>
  </si>
  <si>
    <t>408-1739197-3717118</t>
  </si>
  <si>
    <t>2024-01-22T15:42:52+00:00</t>
  </si>
  <si>
    <t>2024-01-23T00:51:15+00:00</t>
  </si>
  <si>
    <t>406-4299789-2543531</t>
  </si>
  <si>
    <t>2024-01-22T14:57:34+00:00</t>
  </si>
  <si>
    <t>2024-01-25T01:29:51+00:00</t>
  </si>
  <si>
    <t>bannia-fiume veneto</t>
  </si>
  <si>
    <t>PORDENONE</t>
  </si>
  <si>
    <t>171-8276123-5023561</t>
  </si>
  <si>
    <t>2024-01-22T14:41:22+00:00</t>
  </si>
  <si>
    <t>Carini</t>
  </si>
  <si>
    <t>406-0441422-2633968</t>
  </si>
  <si>
    <t>2024-01-22T14:31:46+00:00</t>
  </si>
  <si>
    <t>2024-01-23T12:29:37+00:00</t>
  </si>
  <si>
    <t>SAN CATALDO</t>
  </si>
  <si>
    <t>405-9713189-5801921</t>
  </si>
  <si>
    <t>2024-01-22T14:15:46+00:00</t>
  </si>
  <si>
    <t>2024-01-27T14:18:58+00:00</t>
  </si>
  <si>
    <t>FESTIONA</t>
  </si>
  <si>
    <t>408-8757702-3550768</t>
  </si>
  <si>
    <t>2024-01-22T14:04:31+00:00</t>
  </si>
  <si>
    <t>2024-01-22T14:28:11+00:00</t>
  </si>
  <si>
    <t>SAN VITO AL TAGLIAMENTO</t>
  </si>
  <si>
    <t>405-7625884-9654744</t>
  </si>
  <si>
    <t>2024-01-22T13:39:47+00:00</t>
  </si>
  <si>
    <t>Borgio Verezzi</t>
  </si>
  <si>
    <t>SV</t>
  </si>
  <si>
    <t>171-7021050-2308367</t>
  </si>
  <si>
    <t>2024-01-22T13:38:06+00:00</t>
  </si>
  <si>
    <t>2024-01-23T22:13:11+00:00</t>
  </si>
  <si>
    <t>Lama</t>
  </si>
  <si>
    <t>403-3285125-6323500</t>
  </si>
  <si>
    <t>2024-01-22T13:37:16+00:00</t>
  </si>
  <si>
    <t>2024-01-23T13:09:50+00:00</t>
  </si>
  <si>
    <t>Sarteano</t>
  </si>
  <si>
    <t>402-8332833-5444367</t>
  </si>
  <si>
    <t>2024-01-22T13:35:58+00:00</t>
  </si>
  <si>
    <t>2024-01-25T02:40:27+00:00</t>
  </si>
  <si>
    <t>408-4545150-6201957</t>
  </si>
  <si>
    <t>2024-01-22T13:23:23+00:00</t>
  </si>
  <si>
    <t>2024-01-23T20:49:42+00:00</t>
  </si>
  <si>
    <t>404-0646460-6855518</t>
  </si>
  <si>
    <t>2024-01-22T13:09:38+00:00</t>
  </si>
  <si>
    <t>2024-01-22T15:55:22+00:00</t>
  </si>
  <si>
    <t>SANNAZZARO DE' BURGONDI</t>
  </si>
  <si>
    <t>408-3043129-2469133</t>
  </si>
  <si>
    <t>2024-01-22T13:07:53+00:00</t>
  </si>
  <si>
    <t>2024-01-22T18:15:03+00:00</t>
  </si>
  <si>
    <t>BITONTO</t>
  </si>
  <si>
    <t>403-2391773-4862756</t>
  </si>
  <si>
    <t>2024-01-22T12:59:24+00:00</t>
  </si>
  <si>
    <t>2024-01-22T19:08:54+00:00</t>
  </si>
  <si>
    <t>Castelnuovo del Garda</t>
  </si>
  <si>
    <t>408-3929715-3220356</t>
  </si>
  <si>
    <t>2024-01-22T12:46:59+00:00</t>
  </si>
  <si>
    <t>2024-01-22T20:29:04+00:00</t>
  </si>
  <si>
    <t>Ridanna</t>
  </si>
  <si>
    <t>403-2036784-2530728</t>
  </si>
  <si>
    <t>2024-01-22T12:44:39+00:00</t>
  </si>
  <si>
    <t>2024-01-23T12:29:39+00:00</t>
  </si>
  <si>
    <t>pomigliano D'Arco</t>
  </si>
  <si>
    <t>403-3075852-1491518</t>
  </si>
  <si>
    <t>2024-01-22T12:17:22+00:00</t>
  </si>
  <si>
    <t>2024-01-25T02:45:57+00:00</t>
  </si>
  <si>
    <t>Val della Torre</t>
  </si>
  <si>
    <t>171-0748939-9383536</t>
  </si>
  <si>
    <t>2024-01-22T12:06:23+00:00</t>
  </si>
  <si>
    <t>2024-01-23T12:04:26+00:00</t>
  </si>
  <si>
    <t>Agrate Conturbia</t>
  </si>
  <si>
    <t>No</t>
  </si>
  <si>
    <t>408-1267323-9542725</t>
  </si>
  <si>
    <t>2024-01-22T11:37:20+00:00</t>
  </si>
  <si>
    <t>2024-01-23T08:55:31+00:00</t>
  </si>
  <si>
    <t>GUALDO</t>
  </si>
  <si>
    <t>171-5938752-0814741</t>
  </si>
  <si>
    <t>2024-01-22T11:08:45+00:00</t>
  </si>
  <si>
    <t>2024-01-22T11:58:22+00:00</t>
  </si>
  <si>
    <t>Monteveglio</t>
  </si>
  <si>
    <t>404-4235882-0612337</t>
  </si>
  <si>
    <t>2024-01-22T11:07:37+00:00</t>
  </si>
  <si>
    <t>2024-01-22T15:50:57+00:00</t>
  </si>
  <si>
    <t>pozzuoli</t>
  </si>
  <si>
    <t>408-1400831-9685120</t>
  </si>
  <si>
    <t>2024-01-22T10:55:33+00:00</t>
  </si>
  <si>
    <t>2024-01-22T19:46:47+00:00</t>
  </si>
  <si>
    <t>403-1106726-7942708</t>
  </si>
  <si>
    <t>2024-01-22T10:24:20+00:00</t>
  </si>
  <si>
    <t>2024-01-22T18:02:54+00:00</t>
  </si>
  <si>
    <t>404-4395168-1057134</t>
  </si>
  <si>
    <t>2024-01-22T10:11:46+00:00</t>
  </si>
  <si>
    <t>2024-01-23T13:08:43+00:00</t>
  </si>
  <si>
    <t>402-3547008-1189908</t>
  </si>
  <si>
    <t>2024-01-22T10:05:16+00:00</t>
  </si>
  <si>
    <t>2024-01-22T15:54:23+00:00</t>
  </si>
  <si>
    <t>408-5280188-0900330</t>
  </si>
  <si>
    <t>2024-01-22T10:02:03+00:00</t>
  </si>
  <si>
    <t>2024-01-24T01:27:44+00:00</t>
  </si>
  <si>
    <t>171-5281983-7782737</t>
  </si>
  <si>
    <t>2024-01-22T09:54:34+00:00</t>
  </si>
  <si>
    <t>2024-01-23T12:00:42+00:00</t>
  </si>
  <si>
    <t>Romano d'Ezzelino</t>
  </si>
  <si>
    <t>IT03275690240</t>
  </si>
  <si>
    <t>405-4292576-0943542</t>
  </si>
  <si>
    <t>2024-01-22T09:36:23+00:00</t>
  </si>
  <si>
    <t>Cologno Monzese</t>
  </si>
  <si>
    <t>406-8659592-7752357</t>
  </si>
  <si>
    <t>2024-01-22T09:20:34+00:00</t>
  </si>
  <si>
    <t>2024-01-22T12:49:12+00:00</t>
  </si>
  <si>
    <t>molfetta</t>
  </si>
  <si>
    <t>402-0226719-4006762</t>
  </si>
  <si>
    <t>2024-01-22T09:20:06+00:00</t>
  </si>
  <si>
    <t>2024-01-22T13:32:59+00:00</t>
  </si>
  <si>
    <t>MONIEGO</t>
  </si>
  <si>
    <t>406-8957695-6712330</t>
  </si>
  <si>
    <t>2024-01-22T09:04:01+00:00</t>
  </si>
  <si>
    <t>Procida</t>
  </si>
  <si>
    <t>406-8090746-9973921</t>
  </si>
  <si>
    <t>2024-01-22T09:03:08+00:00</t>
  </si>
  <si>
    <t>2024-01-23T13:09:46+00:00</t>
  </si>
  <si>
    <t>403-2921813-8972353</t>
  </si>
  <si>
    <t>2024-01-22T09:00:19+00:00</t>
  </si>
  <si>
    <t>2024-01-23T12:10:01+00:00</t>
  </si>
  <si>
    <t>Carmignano di Brenta</t>
  </si>
  <si>
    <t>IT05259080280</t>
  </si>
  <si>
    <t>171-6322500-6484318</t>
  </si>
  <si>
    <t>2024-01-22T08:44:28+00:00</t>
  </si>
  <si>
    <t>2024-01-27T08:52:54+00:00</t>
  </si>
  <si>
    <t>NARDO'</t>
  </si>
  <si>
    <t>404-7984021-4196343</t>
  </si>
  <si>
    <t>2024-01-22T08:37:12+00:00</t>
  </si>
  <si>
    <t>2024-01-24T16:43:01+00:00</t>
  </si>
  <si>
    <t>Montecorvino Rovella</t>
  </si>
  <si>
    <t>405-0160664-7994711</t>
  </si>
  <si>
    <t>2024-01-22T07:49:49+00:00</t>
  </si>
  <si>
    <t>2024-01-23T12:40:03+00:00</t>
  </si>
  <si>
    <t>171-6407200-5965904</t>
  </si>
  <si>
    <t>2024-01-22T07:23:05+00:00</t>
  </si>
  <si>
    <t>2024-02-12T23:34:04+00:00</t>
  </si>
  <si>
    <t>403-3364334-7182727</t>
  </si>
  <si>
    <t>2024-01-22T07:08:31+00:00</t>
  </si>
  <si>
    <t>2024-01-23T13:08:40+00:00</t>
  </si>
  <si>
    <t>404-1156426-1561109</t>
  </si>
  <si>
    <t>2024-01-21T23:48:57+00:00</t>
  </si>
  <si>
    <t>2024-01-24T09:53:36+00:00</t>
  </si>
  <si>
    <t>Santa maria in prato</t>
  </si>
  <si>
    <t>403-5065845-9492328</t>
  </si>
  <si>
    <t>2024-01-21T22:57:19+00:00</t>
  </si>
  <si>
    <t>2024-01-22T16:00:42+00:00</t>
  </si>
  <si>
    <t>Montelupone</t>
  </si>
  <si>
    <t>407-2293155-8844311</t>
  </si>
  <si>
    <t>2024-01-21T22:38:14+00:00</t>
  </si>
  <si>
    <t>2024-01-22T15:50:31+00:00</t>
  </si>
  <si>
    <t>SAN MAURO A MARE</t>
  </si>
  <si>
    <t>Forlì-Cesena</t>
  </si>
  <si>
    <t>402-5330656-1136344</t>
  </si>
  <si>
    <t>2024-01-21T22:14:32+00:00</t>
  </si>
  <si>
    <t>2024-01-22T15:50:32+00:00</t>
  </si>
  <si>
    <t>Calvenzano</t>
  </si>
  <si>
    <t>171-8245057-1845919</t>
  </si>
  <si>
    <t>2024-01-21T21:51:22+00:00</t>
  </si>
  <si>
    <t>2024-01-23T07:49:52+00:00</t>
  </si>
  <si>
    <t>assemini</t>
  </si>
  <si>
    <t>IT00529220923</t>
  </si>
  <si>
    <t>408-7111136-5469128</t>
  </si>
  <si>
    <t>2024-01-21T21:39:17+00:00</t>
  </si>
  <si>
    <t>2024-01-24T01:27:18+00:00</t>
  </si>
  <si>
    <t>ciampino</t>
  </si>
  <si>
    <t>404-4830969-7010741</t>
  </si>
  <si>
    <t>2024-01-21T21:32:31+00:00</t>
  </si>
  <si>
    <t>2024-01-22T21:03:15+00:00</t>
  </si>
  <si>
    <t>171-3915833-3438762</t>
  </si>
  <si>
    <t>2024-01-21T21:28:55+00:00</t>
  </si>
  <si>
    <t>2024-01-22T15:40:31+00:00</t>
  </si>
  <si>
    <t>Santa Maria Hoè</t>
  </si>
  <si>
    <t>406-9647591-8684316</t>
  </si>
  <si>
    <t>2024-01-21T21:21:27+00:00</t>
  </si>
  <si>
    <t>2024-01-22T21:46:00+00:00</t>
  </si>
  <si>
    <t>404-5785414-4281161</t>
  </si>
  <si>
    <t>2024-01-21T21:10:07+00:00</t>
  </si>
  <si>
    <t>2024-01-22T08:56:07+00:00</t>
  </si>
  <si>
    <t>DOMIO</t>
  </si>
  <si>
    <t>403-8231084-0227542</t>
  </si>
  <si>
    <t>2024-01-21T21:03:41+00:00</t>
  </si>
  <si>
    <t>2024-01-22T20:11:01+00:00</t>
  </si>
  <si>
    <t>408-4195546-6357921</t>
  </si>
  <si>
    <t>2024-01-21T20:51:12+00:00</t>
  </si>
  <si>
    <t>2024-01-22T10:32:50+00:00</t>
  </si>
  <si>
    <t>Colleferro</t>
  </si>
  <si>
    <t>Rome</t>
  </si>
  <si>
    <t>406-6974148-0343533</t>
  </si>
  <si>
    <t>2024-01-21T20:41:20+00:00</t>
  </si>
  <si>
    <t>2024-01-22T23:43:36+00:00</t>
  </si>
  <si>
    <t>403-6226677-4000361</t>
  </si>
  <si>
    <t>2024-01-21T20:36:40+00:00</t>
  </si>
  <si>
    <t>Dueville</t>
  </si>
  <si>
    <t>406-7158840-5232337</t>
  </si>
  <si>
    <t>2024-01-21T19:59:41+00:00</t>
  </si>
  <si>
    <t>402-7830664-7504365</t>
  </si>
  <si>
    <t>2024-01-21T19:56:58+00:00</t>
  </si>
  <si>
    <t>2024-01-22T19:16:19+00:00</t>
  </si>
  <si>
    <t>VILLA D'AGRI</t>
  </si>
  <si>
    <t>402-7429754-0846755</t>
  </si>
  <si>
    <t>2024-01-21T19:53:19+00:00</t>
  </si>
  <si>
    <t>2024-01-22T15:50:30+00:00</t>
  </si>
  <si>
    <t>408-2412217-7301130</t>
  </si>
  <si>
    <t>2024-01-21T19:23:09+00:00</t>
  </si>
  <si>
    <t>2024-01-24T01:27:49+00:00</t>
  </si>
  <si>
    <t>404-3143211-1412352</t>
  </si>
  <si>
    <t>2024-01-21T19:14:30+00:00</t>
  </si>
  <si>
    <t>2024-01-22T18:05:04+00:00</t>
  </si>
  <si>
    <t>FRMMLS86M44C349Q</t>
  </si>
  <si>
    <t>407-2911178-6499530</t>
  </si>
  <si>
    <t>2024-01-21T19:07:02+00:00</t>
  </si>
  <si>
    <t>2024-01-22T13:20:36+00:00</t>
  </si>
  <si>
    <t>Santa Teresa di Riva</t>
  </si>
  <si>
    <t>402-1494360-7024311</t>
  </si>
  <si>
    <t>2024-01-21T19:05:54+00:00</t>
  </si>
  <si>
    <t>2024-01-26T11:04:42+00:00</t>
  </si>
  <si>
    <t>Santo Stefano di Zimella</t>
  </si>
  <si>
    <t>405-2248824-2392369</t>
  </si>
  <si>
    <t>2024-01-21T18:49:06+00:00</t>
  </si>
  <si>
    <t>2024-02-05T12:51:30+00:00</t>
  </si>
  <si>
    <t>PAPANICE</t>
  </si>
  <si>
    <t>171-4098724-7945146</t>
  </si>
  <si>
    <t>2024-01-21T18:45:31+00:00</t>
  </si>
  <si>
    <t>2024-01-22T18:16:25+00:00</t>
  </si>
  <si>
    <t>VERONA</t>
  </si>
  <si>
    <t>408-7596725-1987530</t>
  </si>
  <si>
    <t>2024-01-21T18:09:58+00:00</t>
  </si>
  <si>
    <t>2024-01-22T00:57:53+00:00</t>
  </si>
  <si>
    <t>408-3573481-8844341</t>
  </si>
  <si>
    <t>2024-01-21T17:43:58+00:00</t>
  </si>
  <si>
    <t>2024-01-22T15:51:23+00:00</t>
  </si>
  <si>
    <t>402-3214015-6183541</t>
  </si>
  <si>
    <t>2024-01-21T17:37:43+00:00</t>
  </si>
  <si>
    <t>2024-01-22T16:47:05+00:00</t>
  </si>
  <si>
    <t>SAPPADA</t>
  </si>
  <si>
    <t>403-2237963-8618713</t>
  </si>
  <si>
    <t>2024-01-21T17:37:06+00:00</t>
  </si>
  <si>
    <t>2024-01-22T16:01:56+00:00</t>
  </si>
  <si>
    <t>408-5982246-6696310</t>
  </si>
  <si>
    <t>2024-01-21T17:31:46+00:00</t>
  </si>
  <si>
    <t>2024-01-22T19:56:44+00:00</t>
  </si>
  <si>
    <t>Sarno</t>
  </si>
  <si>
    <t>404-0281214-4248318</t>
  </si>
  <si>
    <t>2024-01-21T17:27:09+00:00</t>
  </si>
  <si>
    <t>2024-01-22T15:11:28+00:00</t>
  </si>
  <si>
    <t>Torregrotta</t>
  </si>
  <si>
    <t>402-1888419-1459550</t>
  </si>
  <si>
    <t>2024-01-21T17:26:17+00:00</t>
  </si>
  <si>
    <t>2024-01-22T15:50:33+00:00</t>
  </si>
  <si>
    <t>SANTA MARIA NAVARRESE</t>
  </si>
  <si>
    <t>Nuoro</t>
  </si>
  <si>
    <t>408-9486557-4105939</t>
  </si>
  <si>
    <t>2024-01-21T17:22:22+00:00</t>
  </si>
  <si>
    <t>2024-01-23T18:17:37+00:00</t>
  </si>
  <si>
    <t>403-9040380-2224368</t>
  </si>
  <si>
    <t>2024-01-21T17:14:44+00:00</t>
  </si>
  <si>
    <t>2024-01-22T16:01:11+00:00</t>
  </si>
  <si>
    <t>Casale Monferrato</t>
  </si>
  <si>
    <t>403-2578216-5447555</t>
  </si>
  <si>
    <t>2024-01-21T17:09:49+00:00</t>
  </si>
  <si>
    <t>2024-01-22T08:35:44+00:00</t>
  </si>
  <si>
    <t>Caronno Pertusella</t>
  </si>
  <si>
    <t>405-9322118-4267565</t>
  </si>
  <si>
    <t>2024-01-21T17:09:05+00:00</t>
  </si>
  <si>
    <t>ALBANO LAZIALE</t>
  </si>
  <si>
    <t>405-8500486-7029918</t>
  </si>
  <si>
    <t>2024-01-21T16:58:12+00:00</t>
  </si>
  <si>
    <t>2024-01-22T10:01:43+00:00</t>
  </si>
  <si>
    <t>406-6051583-6594735</t>
  </si>
  <si>
    <t>2024-01-21T16:47:03+00:00</t>
  </si>
  <si>
    <t>2024-01-22T08:54:35+00:00</t>
  </si>
  <si>
    <t>Susegana</t>
  </si>
  <si>
    <t>407-0381313-5130738</t>
  </si>
  <si>
    <t>2024-01-21T16:40:03+00:00</t>
  </si>
  <si>
    <t>402-1488353-8530751</t>
  </si>
  <si>
    <t>2024-01-21T16:35:12+00:00</t>
  </si>
  <si>
    <t>2024-01-22T15:50:40+00:00</t>
  </si>
  <si>
    <t>Capurso</t>
  </si>
  <si>
    <t>404-8285044-6924324</t>
  </si>
  <si>
    <t>2024-01-21T16:29:59+00:00</t>
  </si>
  <si>
    <t>2024-01-24T01:59:26+00:00</t>
  </si>
  <si>
    <t>Quarona</t>
  </si>
  <si>
    <t>408-2136943-5272368</t>
  </si>
  <si>
    <t>2024-01-21T16:26:44+00:00</t>
  </si>
  <si>
    <t>2024-01-24T02:59:15+00:00</t>
  </si>
  <si>
    <t>403-4340820-2405109</t>
  </si>
  <si>
    <t>2024-01-21T16:05:48+00:00</t>
  </si>
  <si>
    <t>2024-01-22T14:41:29+00:00</t>
  </si>
  <si>
    <t>405-7518574-5909147</t>
  </si>
  <si>
    <t>2024-01-21T15:54:38+00:00</t>
  </si>
  <si>
    <t>2024-01-22T02:27:59+00:00</t>
  </si>
  <si>
    <t>Gussago</t>
  </si>
  <si>
    <t>402-4357477-4497938</t>
  </si>
  <si>
    <t>2024-01-21T15:51:19+00:00</t>
  </si>
  <si>
    <t>2024-01-21T20:52:35+00:00</t>
  </si>
  <si>
    <t>406-0108476-9207502</t>
  </si>
  <si>
    <t>2024-01-21T15:40:08+00:00</t>
  </si>
  <si>
    <t>2024-01-22T15:55:44+00:00</t>
  </si>
  <si>
    <t>Cunardo</t>
  </si>
  <si>
    <t>408-8225661-2287529</t>
  </si>
  <si>
    <t>2024-01-21T15:39:33+00:00</t>
  </si>
  <si>
    <t>2024-01-22T01:20:53+00:00</t>
  </si>
  <si>
    <t>404-1570347-4369966</t>
  </si>
  <si>
    <t>2024-01-21T15:27:10+00:00</t>
  </si>
  <si>
    <t>2024-01-21T23:37:48+00:00</t>
  </si>
  <si>
    <t>Altopascio</t>
  </si>
  <si>
    <t>171-3514635-2330718</t>
  </si>
  <si>
    <t>2024-01-21T15:20:11+00:00</t>
  </si>
  <si>
    <t>2024-01-22T20:28:04+00:00</t>
  </si>
  <si>
    <t>NOALE</t>
  </si>
  <si>
    <t>404-4207641-3805922</t>
  </si>
  <si>
    <t>2024-01-21T15:16:39+00:00</t>
  </si>
  <si>
    <t>2024-01-22T01:40:29+00:00</t>
  </si>
  <si>
    <t>BASIGLIO</t>
  </si>
  <si>
    <t>408-5427915-8545941</t>
  </si>
  <si>
    <t>2024-01-21T14:56:19+00:00</t>
  </si>
  <si>
    <t>2024-01-22T05:33:45+00:00</t>
  </si>
  <si>
    <t>AGOGNATE</t>
  </si>
  <si>
    <t>NOVARA</t>
  </si>
  <si>
    <t>405-9223594-6077120</t>
  </si>
  <si>
    <t>2024-01-21T14:45:40+00:00</t>
  </si>
  <si>
    <t>2024-01-22T13:21:24+00:00</t>
  </si>
  <si>
    <t>405-9207409-6388317</t>
  </si>
  <si>
    <t>2024-01-21T14:32:50+00:00</t>
  </si>
  <si>
    <t>2024-01-21T17:26:23+00:00</t>
  </si>
  <si>
    <t>alezio</t>
  </si>
  <si>
    <t>IT04815510757</t>
  </si>
  <si>
    <t>408-1948998-6936302</t>
  </si>
  <si>
    <t>2024-01-21T14:30:23+00:00</t>
  </si>
  <si>
    <t>2024-01-24T01:26:48+00:00</t>
  </si>
  <si>
    <t>406-2117308-2833954</t>
  </si>
  <si>
    <t>2024-01-21T13:58:32+00:00</t>
  </si>
  <si>
    <t>2024-01-22T12:38:10+00:00</t>
  </si>
  <si>
    <t>402-1411250-5493935</t>
  </si>
  <si>
    <t>2024-01-21T13:57:38+00:00</t>
  </si>
  <si>
    <t>2024-01-22T11:16:50+00:00</t>
  </si>
  <si>
    <t>407-7077916-5544347</t>
  </si>
  <si>
    <t>2024-01-21T13:55:38+00:00</t>
  </si>
  <si>
    <t>2024-01-21T20:55:04+00:00</t>
  </si>
  <si>
    <t>L'aquila</t>
  </si>
  <si>
    <t>403-3008662-0006752</t>
  </si>
  <si>
    <t>2024-01-21T13:50:48+00:00</t>
  </si>
  <si>
    <t>2024-01-26T13:54:05+00:00</t>
  </si>
  <si>
    <t>402-9623748-8825101</t>
  </si>
  <si>
    <t>2024-01-21T13:48:00+00:00</t>
  </si>
  <si>
    <t>2024-01-22T15:55:53+00:00</t>
  </si>
  <si>
    <t>CAVAGLIA'</t>
  </si>
  <si>
    <t>biella</t>
  </si>
  <si>
    <t>405-0960920-5141166</t>
  </si>
  <si>
    <t>2024-01-21T13:47:11+00:00</t>
  </si>
  <si>
    <t>2024-01-22T15:51:45+00:00</t>
  </si>
  <si>
    <t>Campi Bisenzio</t>
  </si>
  <si>
    <t>405-4254955-5657169</t>
  </si>
  <si>
    <t>2024-01-21T13:41:32+00:00</t>
  </si>
  <si>
    <t>Capolona</t>
  </si>
  <si>
    <t>171-3880999-7713900</t>
  </si>
  <si>
    <t>2024-01-21T13:40:28+00:00</t>
  </si>
  <si>
    <t>2024-01-23T09:33:13+00:00</t>
  </si>
  <si>
    <t>SOVIZZO</t>
  </si>
  <si>
    <t>405-3947550-1602702</t>
  </si>
  <si>
    <t>2024-01-21T13:36:17+00:00</t>
  </si>
  <si>
    <t>2024-01-23T00:11:20+00:00</t>
  </si>
  <si>
    <t>to</t>
  </si>
  <si>
    <t>404-6350414-2756313</t>
  </si>
  <si>
    <t>2024-01-21T13:34:41+00:00</t>
  </si>
  <si>
    <t>2024-01-22T01:03:08+00:00</t>
  </si>
  <si>
    <t>407-8272446-0491537</t>
  </si>
  <si>
    <t>2024-01-21T13:19:36+00:00</t>
  </si>
  <si>
    <t>2024-01-26T13:22:54+00:00</t>
  </si>
  <si>
    <t>Miglierina</t>
  </si>
  <si>
    <t>Cz</t>
  </si>
  <si>
    <t>405-8284852-0954721</t>
  </si>
  <si>
    <t>2024-01-21T13:11:38+00:00</t>
  </si>
  <si>
    <t>2024-01-21T21:55:15+00:00</t>
  </si>
  <si>
    <t>Cagiari</t>
  </si>
  <si>
    <t>408-9758768-9953151</t>
  </si>
  <si>
    <t>2024-01-21T13:08:07+00:00</t>
  </si>
  <si>
    <t>2024-01-23T22:11:15+00:00</t>
  </si>
  <si>
    <t>Scandiano</t>
  </si>
  <si>
    <t>407-7418885-4728313</t>
  </si>
  <si>
    <t>2024-01-21T12:31:41+00:00</t>
  </si>
  <si>
    <t>2024-01-22T19:09:51+00:00</t>
  </si>
  <si>
    <t>405-2315607-0261149</t>
  </si>
  <si>
    <t>2024-01-21T12:11:22+00:00</t>
  </si>
  <si>
    <t>2024-01-22T12:08:07+00:00</t>
  </si>
  <si>
    <t>Santo stefano d'aveto</t>
  </si>
  <si>
    <t>406-3672987-0648308</t>
  </si>
  <si>
    <t>2024-01-21T12:06:48+00:00</t>
  </si>
  <si>
    <t>2024-01-22T13:06:07+00:00</t>
  </si>
  <si>
    <t>404-4974207-8008338</t>
  </si>
  <si>
    <t>2024-01-21T11:37:41+00:00</t>
  </si>
  <si>
    <t>2024-01-23T15:49:28+00:00</t>
  </si>
  <si>
    <t>405-1713436-8015527</t>
  </si>
  <si>
    <t>2024-01-21T11:31:03+00:00</t>
  </si>
  <si>
    <t>2024-01-21T18:32:38+00:00</t>
  </si>
  <si>
    <t>SIENA</t>
  </si>
  <si>
    <t>SI</t>
  </si>
  <si>
    <t>405-7077599-2464351</t>
  </si>
  <si>
    <t>2024-01-21T11:14:50+00:00</t>
  </si>
  <si>
    <t>GR</t>
  </si>
  <si>
    <t>408-6878158-0126724</t>
  </si>
  <si>
    <t>2024-01-21T11:12:05+00:00</t>
  </si>
  <si>
    <t>2024-01-21T17:24:59+00:00</t>
  </si>
  <si>
    <t>Alberobello</t>
  </si>
  <si>
    <t>403-4160954-5834732</t>
  </si>
  <si>
    <t>2024-01-21T10:59:50+00:00</t>
  </si>
  <si>
    <t>2024-01-21T20:51:23+00:00</t>
  </si>
  <si>
    <t>Castello Di Cisterna</t>
  </si>
  <si>
    <t>IT04168281212</t>
  </si>
  <si>
    <t>408-8281523-6514723</t>
  </si>
  <si>
    <t>2024-01-21T10:27:40+00:00</t>
  </si>
  <si>
    <t>2024-01-21T17:28:53+00:00</t>
  </si>
  <si>
    <t>408-0230467-2156340</t>
  </si>
  <si>
    <t>2024-01-21T10:09:19+00:00</t>
  </si>
  <si>
    <t>Monopoli</t>
  </si>
  <si>
    <t>405-9623021-2498768</t>
  </si>
  <si>
    <t>2024-01-21T09:58:23+00:00</t>
  </si>
  <si>
    <t>2024-01-22T16:00:43+00:00</t>
  </si>
  <si>
    <t>Racconigi</t>
  </si>
  <si>
    <t>171-1159239-5956350</t>
  </si>
  <si>
    <t>2024-01-21T09:29:55+00:00</t>
  </si>
  <si>
    <t>2024-01-21T17:23:26+00:00</t>
  </si>
  <si>
    <t>408-2951395-4329962</t>
  </si>
  <si>
    <t>2024-01-21T09:22:02+00:00</t>
  </si>
  <si>
    <t>2024-01-24T03:56:06+00:00</t>
  </si>
  <si>
    <t>405-8766006-2890740</t>
  </si>
  <si>
    <t>2024-01-21T08:50:51+00:00</t>
  </si>
  <si>
    <t>2024-01-21T23:31:24+00:00</t>
  </si>
  <si>
    <t>403-8743997-5845924</t>
  </si>
  <si>
    <t>2024-01-21T07:38:20+00:00</t>
  </si>
  <si>
    <t>2024-01-21T18:12:18+00:00</t>
  </si>
  <si>
    <t>Nave</t>
  </si>
  <si>
    <t>407-9807834-2773921</t>
  </si>
  <si>
    <t>2024-01-21T07:27:50+00:00</t>
  </si>
  <si>
    <t>2024-01-21T19:36:18+00:00</t>
  </si>
  <si>
    <t>PISTOIA</t>
  </si>
  <si>
    <t>407-6363778-7331547</t>
  </si>
  <si>
    <t>2024-01-21T05:35:37+00:00</t>
  </si>
  <si>
    <t>2024-01-23T19:38:44+00:00</t>
  </si>
  <si>
    <t>San Giorgio a Cremano</t>
  </si>
  <si>
    <t>408-5021238-7743536</t>
  </si>
  <si>
    <t>2024-01-21T04:13:07+00:00</t>
  </si>
  <si>
    <t>2024-01-21T21:08:06+00:00</t>
  </si>
  <si>
    <t>408-4604847-3560346</t>
  </si>
  <si>
    <t>2024-01-21T02:53:45+00:00</t>
  </si>
  <si>
    <t>2024-01-22T06:43:52+00:00</t>
  </si>
  <si>
    <t>Annone di Brianza</t>
  </si>
  <si>
    <t>171-7251806-3229902</t>
  </si>
  <si>
    <t>2024-01-21T00:14:45+00:00</t>
  </si>
  <si>
    <t>403-0827271-3543531</t>
  </si>
  <si>
    <t>2024-01-20T23:50:41+00:00</t>
  </si>
  <si>
    <t>2024-01-21T12:58:39+00:00</t>
  </si>
  <si>
    <t>407-2143795-3259509</t>
  </si>
  <si>
    <t>2024-01-20T23:26:58+00:00</t>
  </si>
  <si>
    <t>2024-01-21T17:34:43+00:00</t>
  </si>
  <si>
    <t>404-0806725-9578751</t>
  </si>
  <si>
    <t>2024-01-20T23:11:24+00:00</t>
  </si>
  <si>
    <t>2024-01-21T15:50:57+00:00</t>
  </si>
  <si>
    <t>408-6868153-9758760</t>
  </si>
  <si>
    <t>2024-01-20T22:32:58+00:00</t>
  </si>
  <si>
    <t>2024-01-22T14:53:07+00:00</t>
  </si>
  <si>
    <t>Sestri Levante</t>
  </si>
  <si>
    <t>171-2596672-2380360</t>
  </si>
  <si>
    <t>2024-01-20T21:54:28+00:00</t>
  </si>
  <si>
    <t>2024-01-21T01:12:28+00:00</t>
  </si>
  <si>
    <t>Soave</t>
  </si>
  <si>
    <t>407-2825992-9921108</t>
  </si>
  <si>
    <t>2024-01-20T21:35:36+00:00</t>
  </si>
  <si>
    <t>2024-01-22T15:12:36+00:00</t>
  </si>
  <si>
    <t>405-0271404-2486749</t>
  </si>
  <si>
    <t>2024-01-20T21:31:17+00:00</t>
  </si>
  <si>
    <t>2024-01-21T02:16:51+00:00</t>
  </si>
  <si>
    <t>IT04260160611</t>
  </si>
  <si>
    <t>405-2613354-7773901</t>
  </si>
  <si>
    <t>2024-01-20T21:06:22+00:00</t>
  </si>
  <si>
    <t>2024-01-21T17:27:53+00:00</t>
  </si>
  <si>
    <t>Segrate</t>
  </si>
  <si>
    <t>402-3627422-5652354</t>
  </si>
  <si>
    <t>2024-01-20T20:41:33+00:00</t>
  </si>
  <si>
    <t>2024-01-21T02:31:40+00:00</t>
  </si>
  <si>
    <t>Capannori</t>
  </si>
  <si>
    <t>404-1809550-1949915</t>
  </si>
  <si>
    <t>2024-01-20T20:41:22+00:00</t>
  </si>
  <si>
    <t>2024-01-22T15:21:43+00:00</t>
  </si>
  <si>
    <t>Reggio nell’Emilia</t>
  </si>
  <si>
    <t>Re</t>
  </si>
  <si>
    <t>408-0434412-9343549</t>
  </si>
  <si>
    <t>2024-01-20T20:23:25+00:00</t>
  </si>
  <si>
    <t>2024-01-24T09:45:26+00:00</t>
  </si>
  <si>
    <t>Cavaion Veronese</t>
  </si>
  <si>
    <t>408-9200138-4184363</t>
  </si>
  <si>
    <t>2024-01-20T19:59:43+00:00</t>
  </si>
  <si>
    <t>2024-01-23T08:28:57+00:00</t>
  </si>
  <si>
    <t>sadali</t>
  </si>
  <si>
    <t>403-7654457-5173122</t>
  </si>
  <si>
    <t>2024-01-20T19:49:16+00:00</t>
  </si>
  <si>
    <t>2024-01-21T18:06:54+00:00</t>
  </si>
  <si>
    <t>408-8011520-7670730</t>
  </si>
  <si>
    <t>2024-01-20T19:18:59+00:00</t>
  </si>
  <si>
    <t>404-2897810-9748334</t>
  </si>
  <si>
    <t>2024-01-20T19:02:16+00:00</t>
  </si>
  <si>
    <t>2024-01-21T01:23:01+00:00</t>
  </si>
  <si>
    <t>Rho</t>
  </si>
  <si>
    <t>403-1527295-0400342</t>
  </si>
  <si>
    <t>2024-01-20T18:47:26+00:00</t>
  </si>
  <si>
    <t>2024-01-22T15:11:33+00:00</t>
  </si>
  <si>
    <t>bernalda</t>
  </si>
  <si>
    <t>matera</t>
  </si>
  <si>
    <t>403-8028991-9526746</t>
  </si>
  <si>
    <t>2024-01-20T18:19:43+00:00</t>
  </si>
  <si>
    <t>2024-01-21T15:49:47+00:00</t>
  </si>
  <si>
    <t>Volla</t>
  </si>
  <si>
    <t>403-4238374-1165168</t>
  </si>
  <si>
    <t>2024-01-20T18:14:46+00:00</t>
  </si>
  <si>
    <t>2024-01-20T18:17:02+00:00</t>
  </si>
  <si>
    <t>403-6579631-1815524</t>
  </si>
  <si>
    <t>2024-01-20T18:11:29+00:00</t>
  </si>
  <si>
    <t>2024-01-21T20:38:10+00:00</t>
  </si>
  <si>
    <t>Porano</t>
  </si>
  <si>
    <t>405-5310176-3033964</t>
  </si>
  <si>
    <t>2024-01-20T17:54:46+00:00</t>
  </si>
  <si>
    <t>2024-01-22T15:11:34+00:00</t>
  </si>
  <si>
    <t>403-3086854-6277915</t>
  </si>
  <si>
    <t>2024-01-20T17:35:53+00:00</t>
  </si>
  <si>
    <t>2024-01-24T13:28:27+00:00</t>
  </si>
  <si>
    <t>Coseano</t>
  </si>
  <si>
    <t>Ud</t>
  </si>
  <si>
    <t>404-0020140-8504350</t>
  </si>
  <si>
    <t>2024-01-20T17:17:00+00:00</t>
  </si>
  <si>
    <t>2024-01-20T21:17:17+00:00</t>
  </si>
  <si>
    <t>Spoltore</t>
  </si>
  <si>
    <t>403-1413854-3657155</t>
  </si>
  <si>
    <t>2024-01-20T17:09:44+00:00</t>
  </si>
  <si>
    <t>2024-01-22T15:50:34+00:00</t>
  </si>
  <si>
    <t>406-9906330-8718753</t>
  </si>
  <si>
    <t>2024-01-20T17:03:21+00:00</t>
  </si>
  <si>
    <t>2024-01-21T17:02:49+00:00</t>
  </si>
  <si>
    <t>407-0598971-2071518</t>
  </si>
  <si>
    <t>2024-01-20T16:56:58+00:00</t>
  </si>
  <si>
    <t>2024-01-23T13:41:57+00:00</t>
  </si>
  <si>
    <t>Remondo</t>
  </si>
  <si>
    <t>171-4345035-7787515</t>
  </si>
  <si>
    <t>2024-01-20T16:55:47+00:00</t>
  </si>
  <si>
    <t>2024-01-22T15:50:35+00:00</t>
  </si>
  <si>
    <t>PONTESTURA</t>
  </si>
  <si>
    <t>171-1523819-8275550</t>
  </si>
  <si>
    <t>2024-01-20T16:35:34+00:00</t>
  </si>
  <si>
    <t>2024-01-21T15:48:45+00:00</t>
  </si>
  <si>
    <t>Valdisotto</t>
  </si>
  <si>
    <t>404-7788546-3407564</t>
  </si>
  <si>
    <t>2024-01-20T16:01:09+00:00</t>
  </si>
  <si>
    <t>Cordignano</t>
  </si>
  <si>
    <t>405-2567918-0097159</t>
  </si>
  <si>
    <t>2024-01-20T15:48:34+00:00</t>
  </si>
  <si>
    <t>2024-01-21T16:33:49+00:00</t>
  </si>
  <si>
    <t>404-0722111-7411539</t>
  </si>
  <si>
    <t>2024-01-20T15:30:18+00:00</t>
  </si>
  <si>
    <t>2024-01-22T08:54:50+00:00</t>
  </si>
  <si>
    <t>406-0181744-6739545</t>
  </si>
  <si>
    <t>2024-01-20T15:05:38+00:00</t>
  </si>
  <si>
    <t>2024-01-21T13:16:52+00:00</t>
  </si>
  <si>
    <t>406-7194557-8222724</t>
  </si>
  <si>
    <t>2024-01-20T14:47:31+00:00</t>
  </si>
  <si>
    <t>2024-01-22T15:51:47+00:00</t>
  </si>
  <si>
    <t>Mirabella eclano</t>
  </si>
  <si>
    <t>404-9434066-6761105</t>
  </si>
  <si>
    <t>2024-01-20T14:32:10+00:00</t>
  </si>
  <si>
    <t>2024-01-23T21:40:29+00:00</t>
  </si>
  <si>
    <t>IT12065181005</t>
  </si>
  <si>
    <t>403-3296119-8803502</t>
  </si>
  <si>
    <t>2024-01-20T13:52:56+00:00</t>
  </si>
  <si>
    <t>2024-01-20T21:32:52+00:00</t>
  </si>
  <si>
    <t>Misano Adriatico</t>
  </si>
  <si>
    <t>408-3882344-3706757</t>
  </si>
  <si>
    <t>2024-01-20T13:13:20+00:00</t>
  </si>
  <si>
    <t>2024-01-21T15:49:11+00:00</t>
  </si>
  <si>
    <t>Nola</t>
  </si>
  <si>
    <t>406-5298468-2359558</t>
  </si>
  <si>
    <t>2024-01-20T12:55:33+00:00</t>
  </si>
  <si>
    <t>2024-01-22T12:13:03+00:00</t>
  </si>
  <si>
    <t>403-0126579-7201104</t>
  </si>
  <si>
    <t>2024-01-20T12:49:48+00:00</t>
  </si>
  <si>
    <t>2024-01-21T02:26:12+00:00</t>
  </si>
  <si>
    <t>407-0174610-4733916</t>
  </si>
  <si>
    <t>2024-01-20T12:46:29+00:00</t>
  </si>
  <si>
    <t>2024-01-21T21:24:51+00:00</t>
  </si>
  <si>
    <t>vt</t>
  </si>
  <si>
    <t>404-5252968-7192361</t>
  </si>
  <si>
    <t>2024-01-20T12:27:51+00:00</t>
  </si>
  <si>
    <t>2024-01-22T15:12:42+00:00</t>
  </si>
  <si>
    <t>Massa Carrara</t>
  </si>
  <si>
    <t>404-6429589-4468306</t>
  </si>
  <si>
    <t>2024-01-20T12:27:40+00:00</t>
  </si>
  <si>
    <t>2024-01-22T02:27:52+00:00</t>
  </si>
  <si>
    <t>171-7346939-1615543</t>
  </si>
  <si>
    <t>2024-01-20T12:03:54+00:00</t>
  </si>
  <si>
    <t>2024-01-20T23:13:36+00:00</t>
  </si>
  <si>
    <t>404-1467120-3959516</t>
  </si>
  <si>
    <t>2024-01-20T11:39:02+00:00</t>
  </si>
  <si>
    <t>2024-01-21T20:25:16+00:00</t>
  </si>
  <si>
    <t>CASTELFRANCI</t>
  </si>
  <si>
    <t>406-9599477-4068335</t>
  </si>
  <si>
    <t>2024-01-20T11:30:38+00:00</t>
  </si>
  <si>
    <t>2024-01-20T20:44:41+00:00</t>
  </si>
  <si>
    <t>Meldola</t>
  </si>
  <si>
    <t>Forlì</t>
  </si>
  <si>
    <t>171-4774731-8535535</t>
  </si>
  <si>
    <t>2024-01-20T11:21:28+00:00</t>
  </si>
  <si>
    <t>2024-01-21T18:19:12+00:00</t>
  </si>
  <si>
    <t>171-0144278-8827505</t>
  </si>
  <si>
    <t>2024-01-20T11:14:43+00:00</t>
  </si>
  <si>
    <t>2024-01-21T20:54:21+00:00</t>
  </si>
  <si>
    <t>Mottola</t>
  </si>
  <si>
    <t>171-3205778-6921147</t>
  </si>
  <si>
    <t>2024-01-20T10:52:54+00:00</t>
  </si>
  <si>
    <t>2024-01-21T01:34:25+00:00</t>
  </si>
  <si>
    <t>408-5716891-9248338</t>
  </si>
  <si>
    <t>2024-01-20T10:51:36+00:00</t>
  </si>
  <si>
    <t>2024-01-22T20:57:58+00:00</t>
  </si>
  <si>
    <t>LALLIO</t>
  </si>
  <si>
    <t>408-6604800-0550704</t>
  </si>
  <si>
    <t>2024-01-20T10:42:01+00:00</t>
  </si>
  <si>
    <t>2024-01-21T10:30:26+00:00</t>
  </si>
  <si>
    <t>SESTU</t>
  </si>
  <si>
    <t>402-4582925-0862749</t>
  </si>
  <si>
    <t>2024-01-20T10:41:12+00:00</t>
  </si>
  <si>
    <t>2024-01-21T10:10:36+00:00</t>
  </si>
  <si>
    <t>VITERBO</t>
  </si>
  <si>
    <t>VT - Viterbo</t>
  </si>
  <si>
    <t>403-1624825-7676328</t>
  </si>
  <si>
    <t>2024-01-20T10:23:46+00:00</t>
  </si>
  <si>
    <t>Marche</t>
  </si>
  <si>
    <t>404-0302167-9675569</t>
  </si>
  <si>
    <t>2024-01-20T10:16:02+00:00</t>
  </si>
  <si>
    <t>2024-01-21T20:20:42+00:00</t>
  </si>
  <si>
    <t>404-5044191-2377109</t>
  </si>
  <si>
    <t>2024-01-20T10:07:35+00:00</t>
  </si>
  <si>
    <t>171-2028859-5677101</t>
  </si>
  <si>
    <t>2024-01-20T10:02:54+00:00</t>
  </si>
  <si>
    <t>2024-01-22T15:50:36+00:00</t>
  </si>
  <si>
    <t>406-6180775-7173120</t>
  </si>
  <si>
    <t>2024-01-20T10:00:13+00:00</t>
  </si>
  <si>
    <t>San Benedetto Del Tronto</t>
  </si>
  <si>
    <t>405-2914653-8824344</t>
  </si>
  <si>
    <t>2024-01-20T09:52:30+00:00</t>
  </si>
  <si>
    <t>2024-01-20T17:27:28+00:00</t>
  </si>
  <si>
    <t>405-0133502-2008301</t>
  </si>
  <si>
    <t>2024-01-20T09:48:49+00:00</t>
  </si>
  <si>
    <t>2024-01-20T09:54:48+00:00</t>
  </si>
  <si>
    <t>408-8713893-1752301</t>
  </si>
  <si>
    <t>2024-01-20T09:40:49+00:00</t>
  </si>
  <si>
    <t>2024-01-22T15:19:32+00:00</t>
  </si>
  <si>
    <t>Statte</t>
  </si>
  <si>
    <t>Ta</t>
  </si>
  <si>
    <t>408-3752001-0096361</t>
  </si>
  <si>
    <t>2024-01-20T09:29:51+00:00</t>
  </si>
  <si>
    <t>2024-01-22T15:22:17+00:00</t>
  </si>
  <si>
    <t>407-2845441-1181113</t>
  </si>
  <si>
    <t>2024-01-20T09:08:59+00:00</t>
  </si>
  <si>
    <t>2024-01-20T15:44:45+00:00</t>
  </si>
  <si>
    <t>Deruta</t>
  </si>
  <si>
    <t>408-0674216-5926707</t>
  </si>
  <si>
    <t>2024-01-20T08:50:02+00:00</t>
  </si>
  <si>
    <t>2024-01-24T01:27:46+00:00</t>
  </si>
  <si>
    <t>405-3939740-9586755</t>
  </si>
  <si>
    <t>2024-01-20T08:33:04+00:00</t>
  </si>
  <si>
    <t>2024-01-22T15:11:32+00:00</t>
  </si>
  <si>
    <t>Casacalenda</t>
  </si>
  <si>
    <t>Campobasso</t>
  </si>
  <si>
    <t>408-1419203-4173148</t>
  </si>
  <si>
    <t>2024-01-20T06:58:39+00:00</t>
  </si>
  <si>
    <t>2024-01-22T10:22:12+00:00</t>
  </si>
  <si>
    <t>bareggio</t>
  </si>
  <si>
    <t>405-8874670-1985961</t>
  </si>
  <si>
    <t>2024-01-20T06:12:56+00:00</t>
  </si>
  <si>
    <t>2024-01-21T03:41:39+00:00</t>
  </si>
  <si>
    <t>VOLTANA</t>
  </si>
  <si>
    <t>408-8510908-8493967</t>
  </si>
  <si>
    <t>2024-01-19T23:52:11+00:00</t>
  </si>
  <si>
    <t>2024-01-24T01:26:12+00:00</t>
  </si>
  <si>
    <t>171-1798050-6522724</t>
  </si>
  <si>
    <t>2024-01-19T23:31:10+00:00</t>
  </si>
  <si>
    <t>2024-01-20T21:17:25+00:00</t>
  </si>
  <si>
    <t>407-9403582-2012310</t>
  </si>
  <si>
    <t>2024-01-19T21:51:35+00:00</t>
  </si>
  <si>
    <t>2024-01-20T17:20:22+00:00</t>
  </si>
  <si>
    <t>trani</t>
  </si>
  <si>
    <t>bt</t>
  </si>
  <si>
    <t>402-3421233-6959504</t>
  </si>
  <si>
    <t>2024-01-19T21:32:15+00:00</t>
  </si>
  <si>
    <t>2024-01-22T16:01:30+00:00</t>
  </si>
  <si>
    <t>405-1293162-3876351</t>
  </si>
  <si>
    <t>2024-01-19T21:29:38+00:00</t>
  </si>
  <si>
    <t>2024-01-21T11:49:22+00:00</t>
  </si>
  <si>
    <t>171-5507330-8493912</t>
  </si>
  <si>
    <t>2024-01-19T21:28:53+00:00</t>
  </si>
  <si>
    <t>2024-01-25T13:08:00+00:00</t>
  </si>
  <si>
    <t>Pagnacco</t>
  </si>
  <si>
    <t>405-8360718-4010748</t>
  </si>
  <si>
    <t>2024-01-19T21:20:35+00:00</t>
  </si>
  <si>
    <t>2024-01-20T02:24:31+00:00</t>
  </si>
  <si>
    <t>408-9398578-5169939</t>
  </si>
  <si>
    <t>2024-01-19T21:20:25+00:00</t>
  </si>
  <si>
    <t>2024-01-20T21:10:48+00:00</t>
  </si>
  <si>
    <t>Cinisello balsamo</t>
  </si>
  <si>
    <t>402-1997085-8969125</t>
  </si>
  <si>
    <t>2024-01-19T21:12:37+00:00</t>
  </si>
  <si>
    <t>2024-01-20T02:28:26+00:00</t>
  </si>
  <si>
    <t>403-2093456-4482703</t>
  </si>
  <si>
    <t>2024-01-19T21:09:29+00:00</t>
  </si>
  <si>
    <t>2024-01-19T23:45:43+00:00</t>
  </si>
  <si>
    <t>404-1991261-5768363</t>
  </si>
  <si>
    <t>2024-01-19T20:39:48+00:00</t>
  </si>
  <si>
    <t>2024-01-21T12:02:27+00:00</t>
  </si>
  <si>
    <t>403-6670562-1174716</t>
  </si>
  <si>
    <t>2024-01-19T20:35:12+00:00</t>
  </si>
  <si>
    <t>408-5817893-3657961</t>
  </si>
  <si>
    <t>2024-01-19T20:30:54+00:00</t>
  </si>
  <si>
    <t>2024-01-22T15:50:28+00:00</t>
  </si>
  <si>
    <t>Castelfidardo</t>
  </si>
  <si>
    <t>AN</t>
  </si>
  <si>
    <t>406-4051888-2501130</t>
  </si>
  <si>
    <t>2024-01-19T20:25:31+00:00</t>
  </si>
  <si>
    <t>2024-01-20T20:53:30+00:00</t>
  </si>
  <si>
    <t>BORGO REVEL</t>
  </si>
  <si>
    <t>408-1517327-2064306</t>
  </si>
  <si>
    <t>2024-01-19T20:08:31+00:00</t>
  </si>
  <si>
    <t>2024-01-22T16:01:37+00:00</t>
  </si>
  <si>
    <t>Alvito</t>
  </si>
  <si>
    <t>404-8179041-8677943</t>
  </si>
  <si>
    <t>2024-01-19T19:58:22+00:00</t>
  </si>
  <si>
    <t>2024-01-20T20:45:53+00:00</t>
  </si>
  <si>
    <t>404-2281822-5859527</t>
  </si>
  <si>
    <t>2024-01-19T18:55:26+00:00</t>
  </si>
  <si>
    <t>San Felice Circeo</t>
  </si>
  <si>
    <t>406-1757666-6429115</t>
  </si>
  <si>
    <t>2024-01-19T18:50:55+00:00</t>
  </si>
  <si>
    <t>2024-01-20T23:23:39+00:00</t>
  </si>
  <si>
    <t>PO</t>
  </si>
  <si>
    <t>406-7712346-3765153</t>
  </si>
  <si>
    <t>2024-01-19T18:28:52+00:00</t>
  </si>
  <si>
    <t>2024-01-20T00:30:44+00:00</t>
  </si>
  <si>
    <t>Vignola</t>
  </si>
  <si>
    <t>404-1010519-4881942</t>
  </si>
  <si>
    <t>2024-01-19T17:43:29+00:00</t>
  </si>
  <si>
    <t>2024-01-19T20:21:15+00:00</t>
  </si>
  <si>
    <t>407-1181570-4560348</t>
  </si>
  <si>
    <t>2024-01-19T17:38:13+00:00</t>
  </si>
  <si>
    <t>2024-01-21T14:11:51+00:00</t>
  </si>
  <si>
    <t>404-0568821-7057152</t>
  </si>
  <si>
    <t>2024-01-19T17:36:08+00:00</t>
  </si>
  <si>
    <t>2024-01-24T17:54:23+00:00</t>
  </si>
  <si>
    <t>Gaglianico</t>
  </si>
  <si>
    <t>402-5936300-7503532</t>
  </si>
  <si>
    <t>2024-01-19T17:17:23+00:00</t>
  </si>
  <si>
    <t>2024-01-23T07:18:50+00:00</t>
  </si>
  <si>
    <t>408-3996587-9212369</t>
  </si>
  <si>
    <t>2024-01-19T17:12:12+00:00</t>
  </si>
  <si>
    <t>2024-01-20T00:30:42+00:00</t>
  </si>
  <si>
    <t>402-4188271-3325905</t>
  </si>
  <si>
    <t>2024-01-19T17:01:48+00:00</t>
  </si>
  <si>
    <t>2024-01-22T15:11:39+00:00</t>
  </si>
  <si>
    <t>Vaiano Cremasco</t>
  </si>
  <si>
    <t>402-4318210-3541931</t>
  </si>
  <si>
    <t>2024-01-19T16:44:10+00:00</t>
  </si>
  <si>
    <t>2024-01-22T14:51:51+00:00</t>
  </si>
  <si>
    <t>IT07689611213</t>
  </si>
  <si>
    <t>404-6164332-0045921</t>
  </si>
  <si>
    <t>2024-01-19T16:25:32+00:00</t>
  </si>
  <si>
    <t>2024-01-22T15:51:37+00:00</t>
  </si>
  <si>
    <t>402-8921714-9793152</t>
  </si>
  <si>
    <t>2024-01-19T16:20:13+00:00</t>
  </si>
  <si>
    <t>405-7038473-6547521</t>
  </si>
  <si>
    <t>2024-01-19T16:08:52+00:00</t>
  </si>
  <si>
    <t>2024-01-22T14:42:32+00:00</t>
  </si>
  <si>
    <t>Resana</t>
  </si>
  <si>
    <t>171-7974067-3581133</t>
  </si>
  <si>
    <t>2024-01-19T15:40:39+00:00</t>
  </si>
  <si>
    <t>2024-01-19T22:15:55+00:00</t>
  </si>
  <si>
    <t>SAN PIETRO</t>
  </si>
  <si>
    <t>403-6029283-3554700</t>
  </si>
  <si>
    <t>2024-01-19T15:33:27+00:00</t>
  </si>
  <si>
    <t>2024-01-21T21:24:38+00:00</t>
  </si>
  <si>
    <t>407-3030389-0065108</t>
  </si>
  <si>
    <t>2024-01-19T15:30:58+00:00</t>
  </si>
  <si>
    <t>2024-01-22T21:09:58+00:00</t>
  </si>
  <si>
    <t>Mariano Comense</t>
  </si>
  <si>
    <t>405-2974502-2346747</t>
  </si>
  <si>
    <t>2024-01-19T14:57:37+00:00</t>
  </si>
  <si>
    <t>2024-01-23T21:28:32+00:00</t>
  </si>
  <si>
    <t>BOLOGNA</t>
  </si>
  <si>
    <t>408-1071917-1668328</t>
  </si>
  <si>
    <t>2024-01-19T14:28:31+00:00</t>
  </si>
  <si>
    <t>2024-01-22T15:40:13+00:00</t>
  </si>
  <si>
    <t>408-0094260-4602702</t>
  </si>
  <si>
    <t>2024-01-19T14:16:33+00:00</t>
  </si>
  <si>
    <t>2024-01-21T03:58:28+00:00</t>
  </si>
  <si>
    <t>IT07295480961</t>
  </si>
  <si>
    <t>405-8254896-0385928</t>
  </si>
  <si>
    <t>2024-01-19T14:01:43+00:00</t>
  </si>
  <si>
    <t>2024-01-26T08:32:11+00:00</t>
  </si>
  <si>
    <t>Campagna</t>
  </si>
  <si>
    <t>408-2195835-4049110</t>
  </si>
  <si>
    <t>2024-01-19T13:59:29+00:00</t>
  </si>
  <si>
    <t>2024-01-19T17:26:04+00:00</t>
  </si>
  <si>
    <t>Lizzano</t>
  </si>
  <si>
    <t>406-6507622-1713131</t>
  </si>
  <si>
    <t>2024-01-19T13:52:27+00:00</t>
  </si>
  <si>
    <t>2024-01-22T16:01:03+00:00</t>
  </si>
  <si>
    <t>eraclea</t>
  </si>
  <si>
    <t>405-2825372-6750715</t>
  </si>
  <si>
    <t>2024-01-19T13:48:14+00:00</t>
  </si>
  <si>
    <t>2024-01-22T15:51:42+00:00</t>
  </si>
  <si>
    <t>Marcon</t>
  </si>
  <si>
    <t>408-3592799-5414760</t>
  </si>
  <si>
    <t>2024-01-19T13:27:06+00:00</t>
  </si>
  <si>
    <t>2024-01-19T23:23:40+00:00</t>
  </si>
  <si>
    <t>Arzergrande</t>
  </si>
  <si>
    <t>407-1725897-7522769</t>
  </si>
  <si>
    <t>2024-01-19T13:25:15+00:00</t>
  </si>
  <si>
    <t>2024-01-19T23:40:46+00:00</t>
  </si>
  <si>
    <t>408-9504253-6733152</t>
  </si>
  <si>
    <t>2024-01-19T13:12:49+00:00</t>
  </si>
  <si>
    <t>2024-01-19T13:15:49+00:00</t>
  </si>
  <si>
    <t>405-3002615-8430754</t>
  </si>
  <si>
    <t>2024-01-19T13:07:17+00:00</t>
  </si>
  <si>
    <t>2024-01-22T15:21:40+00:00</t>
  </si>
  <si>
    <t>Pianfei</t>
  </si>
  <si>
    <t>407-6511196-9283500</t>
  </si>
  <si>
    <t>2024-01-19T12:44:01+00:00</t>
  </si>
  <si>
    <t>2024-01-20T01:31:23+00:00</t>
  </si>
  <si>
    <t>CZZNNL80P65D086J</t>
  </si>
  <si>
    <t>171-9027197-5137107</t>
  </si>
  <si>
    <t>2024-01-19T12:39:54+00:00</t>
  </si>
  <si>
    <t>2024-01-20T07:52:06+00:00</t>
  </si>
  <si>
    <t>406-8178027-4210742</t>
  </si>
  <si>
    <t>2024-01-19T12:25:55+00:00</t>
  </si>
  <si>
    <t>2024-01-22T16:01:41+00:00</t>
  </si>
  <si>
    <t>Concesio</t>
  </si>
  <si>
    <t>404-0631920-6779549</t>
  </si>
  <si>
    <t>2024-01-19T12:05:41+00:00</t>
  </si>
  <si>
    <t>2024-01-22T16:01:15+00:00</t>
  </si>
  <si>
    <t>406-1475256-5669942</t>
  </si>
  <si>
    <t>2024-01-19T11:56:34+00:00</t>
  </si>
  <si>
    <t>2024-01-19T23:47:29+00:00</t>
  </si>
  <si>
    <t>San Giovanni Lupatoto</t>
  </si>
  <si>
    <t>171-0011314-5325158</t>
  </si>
  <si>
    <t>2024-01-19T11:38:54+00:00</t>
  </si>
  <si>
    <t>2024-01-19T16:22:58+00:00</t>
  </si>
  <si>
    <t>ARESE</t>
  </si>
  <si>
    <t>404-0117981-8929940</t>
  </si>
  <si>
    <t>2024-01-19T11:38:20+00:00</t>
  </si>
  <si>
    <t>2024-01-19T16:55:58+00:00</t>
  </si>
  <si>
    <t>406-2323944-5336307</t>
  </si>
  <si>
    <t>2024-01-19T11:32:39+00:00</t>
  </si>
  <si>
    <t>2024-01-22T15:52:54+00:00</t>
  </si>
  <si>
    <t>Arcole</t>
  </si>
  <si>
    <t>Italia Veneto Verona</t>
  </si>
  <si>
    <t>406-1159356-1901901</t>
  </si>
  <si>
    <t>2024-01-19T11:31:03+00:00</t>
  </si>
  <si>
    <t>2024-01-19T20:01:40+00:00</t>
  </si>
  <si>
    <t>Eindhoven</t>
  </si>
  <si>
    <t>Paesi Bassi</t>
  </si>
  <si>
    <t>5641JA</t>
  </si>
  <si>
    <t>403-9098699-9531512</t>
  </si>
  <si>
    <t>2024-01-19T11:20:39+00:00</t>
  </si>
  <si>
    <t>2024-01-24T11:23:56+00:00</t>
  </si>
  <si>
    <t>405-9099141-7673108</t>
  </si>
  <si>
    <t>2024-01-19T11:07:47+00:00</t>
  </si>
  <si>
    <t>405-5820231-0130757</t>
  </si>
  <si>
    <t>2024-01-19T10:51:49+00:00</t>
  </si>
  <si>
    <t>2024-01-21T20:35:59+00:00</t>
  </si>
  <si>
    <t>pitigliano</t>
  </si>
  <si>
    <t>408-8495261-1249162</t>
  </si>
  <si>
    <t>2024-01-19T10:45:30+00:00</t>
  </si>
  <si>
    <t>2024-01-19T21:02:16+00:00</t>
  </si>
  <si>
    <t>benevento</t>
  </si>
  <si>
    <t>bn</t>
  </si>
  <si>
    <t>405-7219141-7125153</t>
  </si>
  <si>
    <t>2024-01-19T10:42:27+00:00</t>
  </si>
  <si>
    <t>2024-01-20T11:30:49+00:00</t>
  </si>
  <si>
    <t>Aymavilles</t>
  </si>
  <si>
    <t>404-2603478-5705105</t>
  </si>
  <si>
    <t>2024-01-19T10:32:58+00:00</t>
  </si>
  <si>
    <t>2024-01-21T10:25:36+00:00</t>
  </si>
  <si>
    <t>408-5180340-5567522</t>
  </si>
  <si>
    <t>2024-01-19T10:23:59+00:00</t>
  </si>
  <si>
    <t>2024-01-19T15:34:58+00:00</t>
  </si>
  <si>
    <t>MAPPANO</t>
  </si>
  <si>
    <t>402-9607035-2736312</t>
  </si>
  <si>
    <t>2024-01-19T10:15:28+00:00</t>
  </si>
  <si>
    <t>2024-01-19T17:33:14+00:00</t>
  </si>
  <si>
    <t>IT07134890966</t>
  </si>
  <si>
    <t>402-0417871-4504345</t>
  </si>
  <si>
    <t>2024-01-19T09:35:42+00:00</t>
  </si>
  <si>
    <t>2024-01-19T23:45:12+00:00</t>
  </si>
  <si>
    <t>OPPEANO</t>
  </si>
  <si>
    <t>404-2725420-9121945</t>
  </si>
  <si>
    <t>2024-01-19T09:15:32+00:00</t>
  </si>
  <si>
    <t>Marsala</t>
  </si>
  <si>
    <t>405-2033990-7493133</t>
  </si>
  <si>
    <t>2024-01-19T07:33:37+00:00</t>
  </si>
  <si>
    <t>2024-01-22T15:22:10+00:00</t>
  </si>
  <si>
    <t>Lozzo atestino</t>
  </si>
  <si>
    <t>Italia/Padova/veneto</t>
  </si>
  <si>
    <t>407-4535981-5878709</t>
  </si>
  <si>
    <t>2024-01-19T07:26:27+00:00</t>
  </si>
  <si>
    <t>2024-01-19T20:54:47+00:00</t>
  </si>
  <si>
    <t>Civitella di Romagna</t>
  </si>
  <si>
    <t>408-0557170-6039528</t>
  </si>
  <si>
    <t>2024-01-19T06:05:11+00:00</t>
  </si>
  <si>
    <t>2024-01-19T06:07:12+00:00</t>
  </si>
  <si>
    <t>Selargius</t>
  </si>
  <si>
    <t>406-1524360-5312362</t>
  </si>
  <si>
    <t>2024-01-19T05:28:54+00:00</t>
  </si>
  <si>
    <t>2024-01-19T21:01:56+00:00</t>
  </si>
  <si>
    <t>404-0660981-2153133</t>
  </si>
  <si>
    <t>2024-01-19T04:46:14+00:00</t>
  </si>
  <si>
    <t>2024-01-19T23:45:54+00:00</t>
  </si>
  <si>
    <t>Levico Terme</t>
  </si>
  <si>
    <t>406-9478581-3421908</t>
  </si>
  <si>
    <t>2024-01-19T00:23:34+00:00</t>
  </si>
  <si>
    <t>2024-01-19T18:16:31+00:00</t>
  </si>
  <si>
    <t>Soliera</t>
  </si>
  <si>
    <t>402-8265532-9149926</t>
  </si>
  <si>
    <t>2024-01-18T23:46:50+00:00</t>
  </si>
  <si>
    <t>2024-01-19T15:51:48+00:00</t>
  </si>
  <si>
    <t>Candiolo</t>
  </si>
  <si>
    <t>407-5591247-8110766</t>
  </si>
  <si>
    <t>2024-01-18T22:49:15+00:00</t>
  </si>
  <si>
    <t>2024-01-19T21:35:31+00:00</t>
  </si>
  <si>
    <t>Coriano</t>
  </si>
  <si>
    <t>403-2269522-8850752</t>
  </si>
  <si>
    <t>2024-01-18T22:35:31+00:00</t>
  </si>
  <si>
    <t>2024-01-19T01:23:53+00:00</t>
  </si>
  <si>
    <t>molteno</t>
  </si>
  <si>
    <t>lc</t>
  </si>
  <si>
    <t>403-3964644-6424320</t>
  </si>
  <si>
    <t>2024-01-18T22:09:42+00:00</t>
  </si>
  <si>
    <t>2024-01-21T23:04:26+00:00</t>
  </si>
  <si>
    <t>Zelarino</t>
  </si>
  <si>
    <t>405-3571401-0100347</t>
  </si>
  <si>
    <t>2024-01-18T22:04:24+00:00</t>
  </si>
  <si>
    <t>2024-01-19T01:18:06+00:00</t>
  </si>
  <si>
    <t>407-0564629-6604325</t>
  </si>
  <si>
    <t>2024-01-18T21:59:51+00:00</t>
  </si>
  <si>
    <t>2024-01-19T02:20:39+00:00</t>
  </si>
  <si>
    <t>Segni</t>
  </si>
  <si>
    <t>171-5871882-0651521</t>
  </si>
  <si>
    <t>2024-01-18T21:32:40+00:00</t>
  </si>
  <si>
    <t>2024-01-19T21:35:29+00:00</t>
  </si>
  <si>
    <t>Gabicce Mare</t>
  </si>
  <si>
    <t>404-5973593-4848317</t>
  </si>
  <si>
    <t>2024-01-18T21:24:40+00:00</t>
  </si>
  <si>
    <t>2024-01-19T02:32:10+00:00</t>
  </si>
  <si>
    <t>Montichiari</t>
  </si>
  <si>
    <t>403-0135172-7073914</t>
  </si>
  <si>
    <t>2024-01-18T21:11:58+00:00</t>
  </si>
  <si>
    <t>2024-01-19T17:55:02+00:00</t>
  </si>
  <si>
    <t>Arena po</t>
  </si>
  <si>
    <t>171-3830856-4665139</t>
  </si>
  <si>
    <t>2024-01-18T21:05:46+00:00</t>
  </si>
  <si>
    <t>2024-01-20T04:40:49+00:00</t>
  </si>
  <si>
    <t>171-5223953-8956358</t>
  </si>
  <si>
    <t>2024-01-18T20:43:46+00:00</t>
  </si>
  <si>
    <t>2024-01-19T17:32:19+00:00</t>
  </si>
  <si>
    <t>Settimo Milanese</t>
  </si>
  <si>
    <t>407-3157148-7596352</t>
  </si>
  <si>
    <t>2024-01-18T20:23:07+00:00</t>
  </si>
  <si>
    <t>2024-01-19T13:06:07+00:00</t>
  </si>
  <si>
    <t>Chiampo</t>
  </si>
  <si>
    <t>402-1345041-4961110</t>
  </si>
  <si>
    <t>2024-01-18T20:22:38+00:00</t>
  </si>
  <si>
    <t>2024-01-19T13:06:03+00:00</t>
  </si>
  <si>
    <t>Caivano</t>
  </si>
  <si>
    <t>404-2840793-4434760</t>
  </si>
  <si>
    <t>2024-01-18T19:32:01+00:00</t>
  </si>
  <si>
    <t>2024-01-19T00:56:26+00:00</t>
  </si>
  <si>
    <t>Anzola Dell Emilia</t>
  </si>
  <si>
    <t>402-6127211-6445164</t>
  </si>
  <si>
    <t>2024-01-18T19:16:59+00:00</t>
  </si>
  <si>
    <t>2024-01-19T02:32:37+00:00</t>
  </si>
  <si>
    <t>capriano del colle</t>
  </si>
  <si>
    <t>407-9986728-1472334</t>
  </si>
  <si>
    <t>2024-01-18T19:13:24+00:00</t>
  </si>
  <si>
    <t>2024-01-18T23:06:38+00:00</t>
  </si>
  <si>
    <t>408-1121499-5017136</t>
  </si>
  <si>
    <t>2024-01-18T19:07:50+00:00</t>
  </si>
  <si>
    <t>2024-01-18T21:38:10+00:00</t>
  </si>
  <si>
    <t>403-0812343-1955507</t>
  </si>
  <si>
    <t>2024-01-18T18:52:26+00:00</t>
  </si>
  <si>
    <t>2024-01-23T18:57:20+00:00</t>
  </si>
  <si>
    <t>408-1242633-4530732</t>
  </si>
  <si>
    <t>2024-01-18T18:42:59+00:00</t>
  </si>
  <si>
    <t>2024-01-19T12:27:02+00:00</t>
  </si>
  <si>
    <t>Fidenza</t>
  </si>
  <si>
    <t>PARMA</t>
  </si>
  <si>
    <t>406-3092837-5793933</t>
  </si>
  <si>
    <t>2024-01-18T18:27:44+00:00</t>
  </si>
  <si>
    <t>2024-01-19T01:34:54+00:00</t>
  </si>
  <si>
    <t>171-3707634-8219550</t>
  </si>
  <si>
    <t>2024-01-18T18:20:04+00:00</t>
  </si>
  <si>
    <t>2024-01-18T23:40:29+00:00</t>
  </si>
  <si>
    <t>greve in Chianti</t>
  </si>
  <si>
    <t>405-9172405-7006715</t>
  </si>
  <si>
    <t>2024-01-18T17:48:24+00:00</t>
  </si>
  <si>
    <t>2024-01-19T12:27:00+00:00</t>
  </si>
  <si>
    <t>Erchie</t>
  </si>
  <si>
    <t>407-4055240-1109168</t>
  </si>
  <si>
    <t>2024-01-18T17:48:00+00:00</t>
  </si>
  <si>
    <t>2024-01-18T22:54:32+00:00</t>
  </si>
  <si>
    <t>VILLASOR</t>
  </si>
  <si>
    <t>403-4963976-0277922</t>
  </si>
  <si>
    <t>2024-01-18T17:43:53+00:00</t>
  </si>
  <si>
    <t>2024-01-21T16:01:18+00:00</t>
  </si>
  <si>
    <t>171-2572686-2932325</t>
  </si>
  <si>
    <t>2024-01-18T17:42:25+00:00</t>
  </si>
  <si>
    <t>2024-01-19T11:20:38+00:00</t>
  </si>
  <si>
    <t>Pollina</t>
  </si>
  <si>
    <t>404-6358602-7773940</t>
  </si>
  <si>
    <t>2024-01-18T17:31:41+00:00</t>
  </si>
  <si>
    <t>2024-01-19T01:45:14+00:00</t>
  </si>
  <si>
    <t>402-0892850-0853124</t>
  </si>
  <si>
    <t>2024-01-18T17:01:35+00:00</t>
  </si>
  <si>
    <t>2024-01-18T21:03:42+00:00</t>
  </si>
  <si>
    <t>Richterswil</t>
  </si>
  <si>
    <t>Zürich</t>
  </si>
  <si>
    <t>404-0238832-4845143</t>
  </si>
  <si>
    <t>2024-01-18T16:59:38+00:00</t>
  </si>
  <si>
    <t>2024-01-19T01:06:07+00:00</t>
  </si>
  <si>
    <t>San Giovanni in persiceto</t>
  </si>
  <si>
    <t>403-0923161-3793957</t>
  </si>
  <si>
    <t>2024-01-18T16:49:56+00:00</t>
  </si>
  <si>
    <t>2024-01-18T21:27:01+00:00</t>
  </si>
  <si>
    <t>Canosa di Puglia</t>
  </si>
  <si>
    <t>BT</t>
  </si>
  <si>
    <t>403-1273948-6351550</t>
  </si>
  <si>
    <t>2024-01-18T16:36:44+00:00</t>
  </si>
  <si>
    <t>2024-01-19T02:29:57+00:00</t>
  </si>
  <si>
    <t>Casalmoro</t>
  </si>
  <si>
    <t>402-4835481-9791559</t>
  </si>
  <si>
    <t>2024-01-18T16:22:57+00:00</t>
  </si>
  <si>
    <t>2024-01-19T04:26:23+00:00</t>
  </si>
  <si>
    <t>Alberino Frazione di Molinella</t>
  </si>
  <si>
    <t>408-0313647-7493954</t>
  </si>
  <si>
    <t>2024-01-18T16:20:34+00:00</t>
  </si>
  <si>
    <t>2024-01-19T12:38:23+00:00</t>
  </si>
  <si>
    <t>406-4184139-9776356</t>
  </si>
  <si>
    <t>2024-01-18T16:19:08+00:00</t>
  </si>
  <si>
    <t>2024-01-19T13:16:12+00:00</t>
  </si>
  <si>
    <t>406-0588693-2722735</t>
  </si>
  <si>
    <t>2024-01-18T16:09:32+00:00</t>
  </si>
  <si>
    <t>2024-01-18T23:08:47+00:00</t>
  </si>
  <si>
    <t>Sant'Ambrogio di Valpolicella</t>
  </si>
  <si>
    <t>405-8973018-5175527</t>
  </si>
  <si>
    <t>2024-01-18T15:22:30+00:00</t>
  </si>
  <si>
    <t>2024-01-19T01:18:48+00:00</t>
  </si>
  <si>
    <t>403-9928761-1313115</t>
  </si>
  <si>
    <t>2024-01-18T15:17:45+00:00</t>
  </si>
  <si>
    <t>2024-01-19T02:23:24+00:00</t>
  </si>
  <si>
    <t>405-7756554-8933927</t>
  </si>
  <si>
    <t>2024-01-18T14:59:39+00:00</t>
  </si>
  <si>
    <t>2024-01-19T13:06:04+00:00</t>
  </si>
  <si>
    <t>PALAZZOLO DI SONA</t>
  </si>
  <si>
    <t>403-9043940-4428307</t>
  </si>
  <si>
    <t>2024-01-18T14:23:32+00:00</t>
  </si>
  <si>
    <t>2024-01-19T15:53:45+00:00</t>
  </si>
  <si>
    <t>Trofarello</t>
  </si>
  <si>
    <t>406-3847319-7040340</t>
  </si>
  <si>
    <t>2024-01-18T14:01:01+00:00</t>
  </si>
  <si>
    <t>2024-01-19T04:33:43+00:00</t>
  </si>
  <si>
    <t>Asola</t>
  </si>
  <si>
    <t>404-1998565-7614767</t>
  </si>
  <si>
    <t>2024-01-18T13:34:47+00:00</t>
  </si>
  <si>
    <t>2024-01-18T17:01:16+00:00</t>
  </si>
  <si>
    <t>171-5941273-3441933</t>
  </si>
  <si>
    <t>2024-01-18T13:31:11+00:00</t>
  </si>
  <si>
    <t>2024-01-19T11:56:58+00:00</t>
  </si>
  <si>
    <t>404-1943295-4525967</t>
  </si>
  <si>
    <t>2024-01-18T13:31:01+00:00</t>
  </si>
  <si>
    <t>2024-01-19T11:31:55+00:00</t>
  </si>
  <si>
    <t>terrasini</t>
  </si>
  <si>
    <t>408-9565771-5693934</t>
  </si>
  <si>
    <t>2024-01-18T13:28:51+00:00</t>
  </si>
  <si>
    <t>2024-01-19T12:27:03+00:00</t>
  </si>
  <si>
    <t>404-8326465-9444331</t>
  </si>
  <si>
    <t>2024-01-18T13:13:34+00:00</t>
  </si>
  <si>
    <t>2024-01-19T16:01:24+00:00</t>
  </si>
  <si>
    <t>Vico Equense</t>
  </si>
  <si>
    <t>408-9247183-6984335</t>
  </si>
  <si>
    <t>2024-01-18T13:06:09+00:00</t>
  </si>
  <si>
    <t>2024-01-21T06:40:39+00:00</t>
  </si>
  <si>
    <t>Samugheo</t>
  </si>
  <si>
    <t>405-9587365-2490734</t>
  </si>
  <si>
    <t>2024-01-18T12:57:58+00:00</t>
  </si>
  <si>
    <t>2024-01-19T07:12:18+00:00</t>
  </si>
  <si>
    <t>civita castellana</t>
  </si>
  <si>
    <t>viterbo</t>
  </si>
  <si>
    <t>406-2759837-7453908</t>
  </si>
  <si>
    <t>2024-01-18T12:36:58+00:00</t>
  </si>
  <si>
    <t>2024-01-18T17:26:51+00:00</t>
  </si>
  <si>
    <t>Montecarlo</t>
  </si>
  <si>
    <t>404-0231971-4630706</t>
  </si>
  <si>
    <t>2024-01-18T12:28:46+00:00</t>
  </si>
  <si>
    <t>2024-01-18T15:53:07+00:00</t>
  </si>
  <si>
    <t>Brusaporto</t>
  </si>
  <si>
    <t>405-6976467-9679524</t>
  </si>
  <si>
    <t>2024-01-18T11:59:28+00:00</t>
  </si>
  <si>
    <t>2024-01-18T17:08:30+00:00</t>
  </si>
  <si>
    <t>Bricherasio</t>
  </si>
  <si>
    <t>171-6554106-3167507</t>
  </si>
  <si>
    <t>2024-01-18T11:59:22+00:00</t>
  </si>
  <si>
    <t>2024-01-18T15:39:44+00:00</t>
  </si>
  <si>
    <t>Termini imerese</t>
  </si>
  <si>
    <t>407-5284277-2473936</t>
  </si>
  <si>
    <t>2024-01-18T11:55:04+00:00</t>
  </si>
  <si>
    <t>2024-01-19T00:16:04+00:00</t>
  </si>
  <si>
    <t>LUCCA</t>
  </si>
  <si>
    <t>408-6428467-1992346</t>
  </si>
  <si>
    <t>2024-01-18T11:43:30+00:00</t>
  </si>
  <si>
    <t>2024-01-18T21:35:28+00:00</t>
  </si>
  <si>
    <t>171-6487926-8533125</t>
  </si>
  <si>
    <t>2024-01-18T11:37:30+00:00</t>
  </si>
  <si>
    <t>Oliena</t>
  </si>
  <si>
    <t>402-0934509-1750749</t>
  </si>
  <si>
    <t>2024-01-18T11:29:30+00:00</t>
  </si>
  <si>
    <t>2024-01-19T18:16:04+00:00</t>
  </si>
  <si>
    <t>402-6001017-2364321</t>
  </si>
  <si>
    <t>2024-01-18T11:08:00+00:00</t>
  </si>
  <si>
    <t>2024-01-23T11:14:42+00:00</t>
  </si>
  <si>
    <t>Lido di ostia</t>
  </si>
  <si>
    <t>404-8231063-7765135</t>
  </si>
  <si>
    <t>2024-01-18T11:01:34+00:00</t>
  </si>
  <si>
    <t>406-3064400-4819530</t>
  </si>
  <si>
    <t>2024-01-18T10:57:29+00:00</t>
  </si>
  <si>
    <t>2024-01-19T12:37:50+00:00</t>
  </si>
  <si>
    <t>408-7483584-7546701</t>
  </si>
  <si>
    <t>2024-01-18T10:32:40+00:00</t>
  </si>
  <si>
    <t>2024-01-19T00:35:07+00:00</t>
  </si>
  <si>
    <t>Martellago</t>
  </si>
  <si>
    <t>408-5934227-9881947</t>
  </si>
  <si>
    <t>2024-01-18T10:14:29+00:00</t>
  </si>
  <si>
    <t>2024-01-18T20:20:58+00:00</t>
  </si>
  <si>
    <t>Beper P101TEM001 Scaldavivande per buffet, Acciaio inossidabile, 4 vassoi rimovibili, Termostato per la temperatura, Luce funzionamento, Ideale per bu</t>
  </si>
  <si>
    <t>P101TEM001_FBA</t>
  </si>
  <si>
    <t>408-9294746-7365169</t>
  </si>
  <si>
    <t>2024-01-18T10:13:27+00:00</t>
  </si>
  <si>
    <t>2024-01-18T21:03:47+00:00</t>
  </si>
  <si>
    <t>Follonica</t>
  </si>
  <si>
    <t>405-2398724-2866751</t>
  </si>
  <si>
    <t>2024-01-18T10:05:40+00:00</t>
  </si>
  <si>
    <t>2024-01-19T12:27:06+00:00</t>
  </si>
  <si>
    <t>Torre Orsaia</t>
  </si>
  <si>
    <t>406-8572273-9380348</t>
  </si>
  <si>
    <t>2024-01-18T09:50:21+00:00</t>
  </si>
  <si>
    <t>408-6996323-3407550</t>
  </si>
  <si>
    <t>2024-01-18T08:49:19+00:00</t>
  </si>
  <si>
    <t>2024-01-19T12:27:07+00:00</t>
  </si>
  <si>
    <t>ISCHIA</t>
  </si>
  <si>
    <t>405-9954399-3045943</t>
  </si>
  <si>
    <t>2024-01-18T08:20:00+00:00</t>
  </si>
  <si>
    <t>2024-01-18T17:58:36+00:00</t>
  </si>
  <si>
    <t>Brugherio</t>
  </si>
  <si>
    <t>405-0688885-8521919</t>
  </si>
  <si>
    <t>2024-01-18T08:17:44+00:00</t>
  </si>
  <si>
    <t>2024-01-19T13:06:08+00:00</t>
  </si>
  <si>
    <t>MONTESPERTOLI</t>
  </si>
  <si>
    <t>404-6950642-7798762</t>
  </si>
  <si>
    <t>2024-01-18T08:08:02+00:00</t>
  </si>
  <si>
    <t>2024-01-18T21:19:41+00:00</t>
  </si>
  <si>
    <t>cesena</t>
  </si>
  <si>
    <t>171-1197262-7024329</t>
  </si>
  <si>
    <t>2024-01-18T08:00:42+00:00</t>
  </si>
  <si>
    <t>2024-01-18T18:10:21+00:00</t>
  </si>
  <si>
    <t>Maranello</t>
  </si>
  <si>
    <t>407-3046126-3069106</t>
  </si>
  <si>
    <t>2024-01-18T07:52:11+00:00</t>
  </si>
  <si>
    <t>2024-01-21T03:55:11+00:00</t>
  </si>
  <si>
    <t>origlio</t>
  </si>
  <si>
    <t>408-5930562-0657103</t>
  </si>
  <si>
    <t>2024-01-18T06:26:04+00:00</t>
  </si>
  <si>
    <t>2024-01-19T12:50:26+00:00</t>
  </si>
  <si>
    <t>Ortacesus</t>
  </si>
  <si>
    <t>407-5418723-2938721</t>
  </si>
  <si>
    <t>2024-01-18T05:58:57+00:00</t>
  </si>
  <si>
    <t>2024-01-18T18:01:41+00:00</t>
  </si>
  <si>
    <t>171-0899099-6412331</t>
  </si>
  <si>
    <t>2024-01-18T04:40:52+00:00</t>
  </si>
  <si>
    <t>2024-01-23T05:18:20+00:00</t>
  </si>
  <si>
    <t>405-9494872-5721946</t>
  </si>
  <si>
    <t>2024-01-18T01:13:13+00:00</t>
  </si>
  <si>
    <t>2024-01-18T17:20:09+00:00</t>
  </si>
  <si>
    <t>171-0972515-6241130</t>
  </si>
  <si>
    <t>2024-01-17T22:18:06+00:00</t>
  </si>
  <si>
    <t>2024-01-18T12:48:44+00:00</t>
  </si>
  <si>
    <t>Caccuri</t>
  </si>
  <si>
    <t>406-2767007-0808322</t>
  </si>
  <si>
    <t>2024-01-17T22:14:36+00:00</t>
  </si>
  <si>
    <t>2024-01-18T21:29:19+00:00</t>
  </si>
  <si>
    <t>402-6725532-4621139</t>
  </si>
  <si>
    <t>2024-01-17T22:10:08+00:00</t>
  </si>
  <si>
    <t>2024-01-18T11:29:17+00:00</t>
  </si>
  <si>
    <t>Macerata Campania</t>
  </si>
  <si>
    <t>171-0874984-4611505</t>
  </si>
  <si>
    <t>2024-01-17T21:47:27+00:00</t>
  </si>
  <si>
    <t>2024-01-18T00:13:15+00:00</t>
  </si>
  <si>
    <t>402-5498004-7752341</t>
  </si>
  <si>
    <t>2024-01-17T21:38:21+00:00</t>
  </si>
  <si>
    <t>2024-01-19T14:00:30+00:00</t>
  </si>
  <si>
    <t>bocchigliero</t>
  </si>
  <si>
    <t>cosenza</t>
  </si>
  <si>
    <t>406-9047294-4044368</t>
  </si>
  <si>
    <t>2024-01-17T21:25:13+00:00</t>
  </si>
  <si>
    <t>2024-01-18T21:55:40+00:00</t>
  </si>
  <si>
    <t>404-5442506-1273965</t>
  </si>
  <si>
    <t>2024-01-17T21:18:29+00:00</t>
  </si>
  <si>
    <t>2024-01-18T11:59:19+00:00</t>
  </si>
  <si>
    <t>404-3927276-7544362</t>
  </si>
  <si>
    <t>2024-01-17T21:05:36+00:00</t>
  </si>
  <si>
    <t>2024-01-17T23:50:05+00:00</t>
  </si>
  <si>
    <t>406-7006404-1552361</t>
  </si>
  <si>
    <t>2024-01-17T20:44:17+00:00</t>
  </si>
  <si>
    <t>2024-01-21T01:54:58+00:00</t>
  </si>
  <si>
    <t>Calcio</t>
  </si>
  <si>
    <t>BERGAMO</t>
  </si>
  <si>
    <t>403-3353389-4114730</t>
  </si>
  <si>
    <t>2024-01-17T20:38:44+00:00</t>
  </si>
  <si>
    <t>2024-01-18T18:15:09+00:00</t>
  </si>
  <si>
    <t>Sesto Campano</t>
  </si>
  <si>
    <t>404-4564848-2964351</t>
  </si>
  <si>
    <t>2024-01-17T20:33:04+00:00</t>
  </si>
  <si>
    <t>2024-01-18T00:14:13+00:00</t>
  </si>
  <si>
    <t>404-8986526-8559543</t>
  </si>
  <si>
    <t>2024-01-17T19:38:29+00:00</t>
  </si>
  <si>
    <t>2024-01-18T11:59:20+00:00</t>
  </si>
  <si>
    <t>CASTELLANETA</t>
  </si>
  <si>
    <t>402-1778689-1792312</t>
  </si>
  <si>
    <t>2024-01-17T19:30:44+00:00</t>
  </si>
  <si>
    <t>2024-01-18T12:38:23+00:00</t>
  </si>
  <si>
    <t>Bitonto</t>
  </si>
  <si>
    <t>408-1244475-1864345</t>
  </si>
  <si>
    <t>2024-01-17T19:26:49+00:00</t>
  </si>
  <si>
    <t>2024-01-18T15:49:35+00:00</t>
  </si>
  <si>
    <t>404-8507906-2097139</t>
  </si>
  <si>
    <t>2024-01-17T19:20:58+00:00</t>
  </si>
  <si>
    <t>2024-01-18T12:38:21+00:00</t>
  </si>
  <si>
    <t>405-2514964-4393139</t>
  </si>
  <si>
    <t>2024-01-17T19:07:53+00:00</t>
  </si>
  <si>
    <t>2024-01-18T02:29:44+00:00</t>
  </si>
  <si>
    <t>FELETTO UMBERTO</t>
  </si>
  <si>
    <t>403-2616240-5321952</t>
  </si>
  <si>
    <t>2024-01-17T19:02:44+00:00</t>
  </si>
  <si>
    <t>2024-01-20T10:22:38+00:00</t>
  </si>
  <si>
    <t>405-6982689-4739553</t>
  </si>
  <si>
    <t>2024-01-17T19:00:55+00:00</t>
  </si>
  <si>
    <t>2024-01-18T18:55:31+00:00</t>
  </si>
  <si>
    <t>Serle</t>
  </si>
  <si>
    <t>407-8588058-8080349</t>
  </si>
  <si>
    <t>2024-01-17T18:56:09+00:00</t>
  </si>
  <si>
    <t>2024-01-18T11:29:21+00:00</t>
  </si>
  <si>
    <t>Noviglio</t>
  </si>
  <si>
    <t>403-9570579-1981913</t>
  </si>
  <si>
    <t>2024-01-17T18:49:20+00:00</t>
  </si>
  <si>
    <t>402-9651523-4689144</t>
  </si>
  <si>
    <t>2024-01-17T18:49:13+00:00</t>
  </si>
  <si>
    <t>2024-01-18T12:38:22+00:00</t>
  </si>
  <si>
    <t>405-6497399-5286718</t>
  </si>
  <si>
    <t>2024-01-17T18:48:55+00:00</t>
  </si>
  <si>
    <t>2024-01-18T16:35:47+00:00</t>
  </si>
  <si>
    <t>406-4857150-2125906</t>
  </si>
  <si>
    <t>2024-01-17T18:04:24+00:00</t>
  </si>
  <si>
    <t>2024-01-18T12:49:54+00:00</t>
  </si>
  <si>
    <t>407-4169406-7196328</t>
  </si>
  <si>
    <t>2024-01-17T17:57:56+00:00</t>
  </si>
  <si>
    <t>2024-01-17T22:27:19+00:00</t>
  </si>
  <si>
    <t>rovigo</t>
  </si>
  <si>
    <t>ro</t>
  </si>
  <si>
    <t>GHTSFN44L02G782I</t>
  </si>
  <si>
    <t>407-0609203-6081956</t>
  </si>
  <si>
    <t>2024-01-17T17:56:59+00:00</t>
  </si>
  <si>
    <t>2024-01-18T12:49:17+00:00</t>
  </si>
  <si>
    <t>406-5849712-1401954</t>
  </si>
  <si>
    <t>2024-01-17T17:55:59+00:00</t>
  </si>
  <si>
    <t>2024-01-18T12:48:31+00:00</t>
  </si>
  <si>
    <t>171-1714233-4374722</t>
  </si>
  <si>
    <t>2024-01-17T17:45:05+00:00</t>
  </si>
  <si>
    <t>2024-01-17T21:18:25+00:00</t>
  </si>
  <si>
    <t>Casamassima</t>
  </si>
  <si>
    <t>171-8611976-5715500</t>
  </si>
  <si>
    <t>2024-01-17T17:33:59+00:00</t>
  </si>
  <si>
    <t>2024-01-17T20:23:33+00:00</t>
  </si>
  <si>
    <t>407-9941934-1519545</t>
  </si>
  <si>
    <t>2024-01-17T17:09:53+00:00</t>
  </si>
  <si>
    <t>2024-01-18T11:30:08+00:00</t>
  </si>
  <si>
    <t>406-6754883-0984323</t>
  </si>
  <si>
    <t>2024-01-17T17:06:29+00:00</t>
  </si>
  <si>
    <t>2024-01-17T23:08:34+00:00</t>
  </si>
  <si>
    <t>viareggio</t>
  </si>
  <si>
    <t>406-3185737-4376323</t>
  </si>
  <si>
    <t>2024-01-17T16:52:06+00:00</t>
  </si>
  <si>
    <t>2024-01-18T04:36:01+00:00</t>
  </si>
  <si>
    <t>lonigo</t>
  </si>
  <si>
    <t>vicenza</t>
  </si>
  <si>
    <t>403-7102442-3365104</t>
  </si>
  <si>
    <t>2024-01-17T16:39:29+00:00</t>
  </si>
  <si>
    <t>2024-01-18T02:27:36+00:00</t>
  </si>
  <si>
    <t>Cavriè</t>
  </si>
  <si>
    <t>171-5165544-9416306</t>
  </si>
  <si>
    <t>2024-01-17T16:08:24+00:00</t>
  </si>
  <si>
    <t>408-1186112-0076352</t>
  </si>
  <si>
    <t>2024-01-17T16:05:58+00:00</t>
  </si>
  <si>
    <t>2024-02-02T12:05:01+00:00</t>
  </si>
  <si>
    <t>SAN NICOLO' A TORDINO</t>
  </si>
  <si>
    <t>405-8698337-4007553</t>
  </si>
  <si>
    <t>2024-01-17T15:53:09+00:00</t>
  </si>
  <si>
    <t>2024-01-22T15:58:07+00:00</t>
  </si>
  <si>
    <t>405-3513784-4417113</t>
  </si>
  <si>
    <t>2024-01-17T15:48:47+00:00</t>
  </si>
  <si>
    <t>2024-01-17T20:23:05+00:00</t>
  </si>
  <si>
    <t>402-5796099-9381915</t>
  </si>
  <si>
    <t>2024-01-17T15:42:24+00:00</t>
  </si>
  <si>
    <t>2024-01-18T12:10:41+00:00</t>
  </si>
  <si>
    <t>402-9650766-4074768</t>
  </si>
  <si>
    <t>2024-01-17T14:48:50+00:00</t>
  </si>
  <si>
    <t>2024-01-18T00:51:35+00:00</t>
  </si>
  <si>
    <t>san giorgio a cremano</t>
  </si>
  <si>
    <t>405-0396641-2627506</t>
  </si>
  <si>
    <t>2024-01-17T14:44:20+00:00</t>
  </si>
  <si>
    <t>2024-01-17T21:31:21+00:00</t>
  </si>
  <si>
    <t>406-4607584-0359509</t>
  </si>
  <si>
    <t>2024-01-17T14:43:13+00:00</t>
  </si>
  <si>
    <t>2024-01-18T02:35:05+00:00</t>
  </si>
  <si>
    <t>407-6530555-6382727</t>
  </si>
  <si>
    <t>2024-01-17T13:45:28+00:00</t>
  </si>
  <si>
    <t>2024-01-18T12:38:24+00:00</t>
  </si>
  <si>
    <t>Maniago</t>
  </si>
  <si>
    <t>403-9184152-4970733</t>
  </si>
  <si>
    <t>2024-01-17T13:43:18+00:00</t>
  </si>
  <si>
    <t>Sant'Antimo</t>
  </si>
  <si>
    <t>404-8244118-1815510</t>
  </si>
  <si>
    <t>2024-01-17T13:34:56+00:00</t>
  </si>
  <si>
    <t>2024-01-17T21:30:04+00:00</t>
  </si>
  <si>
    <t>407-4512905-6909930</t>
  </si>
  <si>
    <t>2024-01-17T13:34:55+00:00</t>
  </si>
  <si>
    <t>2024-01-18T15:50:04+00:00</t>
  </si>
  <si>
    <t>Bordighera</t>
  </si>
  <si>
    <t>IT01599540083</t>
  </si>
  <si>
    <t>406-6818372-4721118</t>
  </si>
  <si>
    <t>2024-01-17T13:32:20+00:00</t>
  </si>
  <si>
    <t>2024-01-17T21:29:22+00:00</t>
  </si>
  <si>
    <t>riccione</t>
  </si>
  <si>
    <t>404-7855365-6974723</t>
  </si>
  <si>
    <t>2024-01-17T13:26:03+00:00</t>
  </si>
  <si>
    <t>2024-01-19T01:28:19+00:00</t>
  </si>
  <si>
    <t>CANTU'</t>
  </si>
  <si>
    <t>404-0768590-6631538</t>
  </si>
  <si>
    <t>2024-01-17T13:17:42+00:00</t>
  </si>
  <si>
    <t>2024-01-19T22:21:07+00:00</t>
  </si>
  <si>
    <t>Offanengo</t>
  </si>
  <si>
    <t>403-0277660-0749900</t>
  </si>
  <si>
    <t>2024-01-17T13:14:39+00:00</t>
  </si>
  <si>
    <t>408-1429267-3730730</t>
  </si>
  <si>
    <t>2024-01-17T13:10:13+00:00</t>
  </si>
  <si>
    <t>2024-01-18T13:12:41+00:00</t>
  </si>
  <si>
    <t>castropignano</t>
  </si>
  <si>
    <t>campobasso</t>
  </si>
  <si>
    <t>402-0918556-3235505</t>
  </si>
  <si>
    <t>2024-01-17T13:02:18+00:00</t>
  </si>
  <si>
    <t>Loreto</t>
  </si>
  <si>
    <t>(AN)</t>
  </si>
  <si>
    <t>171-5296123-4220314</t>
  </si>
  <si>
    <t>2024-01-17T12:59:55+00:00</t>
  </si>
  <si>
    <t>2024-01-18T01:02:45+00:00</t>
  </si>
  <si>
    <t>404-5285352-3599506</t>
  </si>
  <si>
    <t>2024-01-17T12:55:43+00:00</t>
  </si>
  <si>
    <t>2024-01-17T22:49:11+00:00</t>
  </si>
  <si>
    <t>Ceneselli</t>
  </si>
  <si>
    <t>Ro</t>
  </si>
  <si>
    <t>404-0433447-5145100</t>
  </si>
  <si>
    <t>2024-01-17T12:51:00+00:00</t>
  </si>
  <si>
    <t>2024-01-17T21:01:44+00:00</t>
  </si>
  <si>
    <t>SAN MARTINO DI LUPARI</t>
  </si>
  <si>
    <t>403-8568003-5036312</t>
  </si>
  <si>
    <t>2024-01-17T12:50:23+00:00</t>
  </si>
  <si>
    <t>2024-01-17T21:00:34+00:00</t>
  </si>
  <si>
    <t>NOVENTA PADOVANA</t>
  </si>
  <si>
    <t>402-4247100-9969947</t>
  </si>
  <si>
    <t>2024-01-17T12:32:28+00:00</t>
  </si>
  <si>
    <t>2024-01-17T18:18:43+00:00</t>
  </si>
  <si>
    <t>ardea</t>
  </si>
  <si>
    <t>405-6777113-8321968</t>
  </si>
  <si>
    <t>2024-01-17T12:30:49+00:00</t>
  </si>
  <si>
    <t>2024-01-18T11:29:16+00:00</t>
  </si>
  <si>
    <t>Cavalese</t>
  </si>
  <si>
    <t>TN - Trento</t>
  </si>
  <si>
    <t>IT01239540220</t>
  </si>
  <si>
    <t>408-8838915-4044360</t>
  </si>
  <si>
    <t>2024-01-17T12:18:08+00:00</t>
  </si>
  <si>
    <t>2024-01-18T00:12:27+00:00</t>
  </si>
  <si>
    <t>408-9443730-1537111</t>
  </si>
  <si>
    <t>2024-01-17T12:07:38+00:00</t>
  </si>
  <si>
    <t>2024-01-19T15:49:29+00:00</t>
  </si>
  <si>
    <t>Rovato</t>
  </si>
  <si>
    <t>404-2285121-2205129</t>
  </si>
  <si>
    <t>2024-01-17T12:02:47+00:00</t>
  </si>
  <si>
    <t>2024-01-18T00:01:28+00:00</t>
  </si>
  <si>
    <t>171-1483185-4929126</t>
  </si>
  <si>
    <t>2024-01-17T11:56:50+00:00</t>
  </si>
  <si>
    <t>2024-01-17T16:33:48+00:00</t>
  </si>
  <si>
    <t>Govone</t>
  </si>
  <si>
    <t>404-3109745-2525954</t>
  </si>
  <si>
    <t>2024-01-17T11:09:50+00:00</t>
  </si>
  <si>
    <t>2024-01-22T11:13:00+00:00</t>
  </si>
  <si>
    <t>402-4001875-8386747</t>
  </si>
  <si>
    <t>2024-01-17T10:56:50+00:00</t>
  </si>
  <si>
    <t>2024-01-17T18:23:49+00:00</t>
  </si>
  <si>
    <t>CATANZARO LIDO</t>
  </si>
  <si>
    <t>406-2515625-8233909</t>
  </si>
  <si>
    <t>2024-01-17T10:48:31+00:00</t>
  </si>
  <si>
    <t>2024-01-18T00:50:50+00:00</t>
  </si>
  <si>
    <t>Castel Morrone</t>
  </si>
  <si>
    <t>405-5656602-9537903</t>
  </si>
  <si>
    <t>2024-01-17T10:46:55+00:00</t>
  </si>
  <si>
    <t>2024-01-19T04:25:27+00:00</t>
  </si>
  <si>
    <t>Bassano del Grappa</t>
  </si>
  <si>
    <t>402-9824779-9507510</t>
  </si>
  <si>
    <t>2024-01-17T10:23:26+00:00</t>
  </si>
  <si>
    <t>2024-01-19T15:09:51+00:00</t>
  </si>
  <si>
    <t>Ferrandina</t>
  </si>
  <si>
    <t>171-6025118-4687504</t>
  </si>
  <si>
    <t>2024-01-17T10:01:37+00:00</t>
  </si>
  <si>
    <t>2024-01-18T12:10:59+00:00</t>
  </si>
  <si>
    <t>404-1212524-9021964</t>
  </si>
  <si>
    <t>2024-01-17T09:54:33+00:00</t>
  </si>
  <si>
    <t>ABBIATEGRASSO</t>
  </si>
  <si>
    <t>171-6682809-8832321</t>
  </si>
  <si>
    <t>2024-01-17T09:48:47+00:00</t>
  </si>
  <si>
    <t>2024-01-18T03:05:36+00:00</t>
  </si>
  <si>
    <t>402-7464307-7058758</t>
  </si>
  <si>
    <t>2024-01-17T09:34:16+00:00</t>
  </si>
  <si>
    <t>2024-01-17T20:24:08+00:00</t>
  </si>
  <si>
    <t>408-6877693-8304365</t>
  </si>
  <si>
    <t>2024-01-17T09:22:17+00:00</t>
  </si>
  <si>
    <t>2024-01-18T21:32:24+00:00</t>
  </si>
  <si>
    <t>402-7101006-6980313</t>
  </si>
  <si>
    <t>2024-01-17T09:01:52+00:00</t>
  </si>
  <si>
    <t>405-4763388-1129131</t>
  </si>
  <si>
    <t>2024-01-17T09:00:10+00:00</t>
  </si>
  <si>
    <t>2024-01-17T17:00:59+00:00</t>
  </si>
  <si>
    <t>UGGIATE-TREVANO</t>
  </si>
  <si>
    <t>171-3277324-5374717</t>
  </si>
  <si>
    <t>2024-01-17T08:55:30+00:00</t>
  </si>
  <si>
    <t>2024-01-17T21:29:53+00:00</t>
  </si>
  <si>
    <t>408-8650419-4895530</t>
  </si>
  <si>
    <t>2024-01-17T08:42:07+00:00</t>
  </si>
  <si>
    <t>2024-01-17T08:43:38+00:00</t>
  </si>
  <si>
    <t>404-0887579-2449114</t>
  </si>
  <si>
    <t>2024-01-17T08:38:12+00:00</t>
  </si>
  <si>
    <t>407-6750049-7582751</t>
  </si>
  <si>
    <t>2024-01-17T08:24:52+00:00</t>
  </si>
  <si>
    <t>2024-01-17T11:23:18+00:00</t>
  </si>
  <si>
    <t>GELDROP</t>
  </si>
  <si>
    <t>Holland</t>
  </si>
  <si>
    <t>5663JS</t>
  </si>
  <si>
    <t>408-2637055-2465108</t>
  </si>
  <si>
    <t>2024-01-17T08:23:37+00:00</t>
  </si>
  <si>
    <t>2024-01-18T11:30:23+00:00</t>
  </si>
  <si>
    <t>IT02485610972</t>
  </si>
  <si>
    <t>405-5597215-1670711</t>
  </si>
  <si>
    <t>2024-01-17T08:21:35+00:00</t>
  </si>
  <si>
    <t>Massa Martana</t>
  </si>
  <si>
    <t>404-0297859-7252373</t>
  </si>
  <si>
    <t>2024-01-17T08:19:44+00:00</t>
  </si>
  <si>
    <t>2024-01-17T21:27:02+00:00</t>
  </si>
  <si>
    <t>405-5469128-2561907</t>
  </si>
  <si>
    <t>2024-01-17T08:13:26+00:00</t>
  </si>
  <si>
    <t>2024-02-27T13:11:47+00:00</t>
  </si>
  <si>
    <t>Ginosa</t>
  </si>
  <si>
    <t>404-4012609-3444310</t>
  </si>
  <si>
    <t>2024-01-17T07:52:45+00:00</t>
  </si>
  <si>
    <t>2024-01-21T06:47:08+00:00</t>
  </si>
  <si>
    <t>Nule</t>
  </si>
  <si>
    <t>ss</t>
  </si>
  <si>
    <t>403-7159583-4969923</t>
  </si>
  <si>
    <t>2024-01-17T07:36:32+00:00</t>
  </si>
  <si>
    <t>2024-01-18T11:39:52+00:00</t>
  </si>
  <si>
    <t>novate milanese</t>
  </si>
  <si>
    <t>408-7288966-0066725</t>
  </si>
  <si>
    <t>2024-01-17T06:56:00+00:00</t>
  </si>
  <si>
    <t>2024-01-17T16:59:23+00:00</t>
  </si>
  <si>
    <t>sedriano</t>
  </si>
  <si>
    <t>406-9996001-5986714</t>
  </si>
  <si>
    <t>2024-01-17T06:43:51+00:00</t>
  </si>
  <si>
    <t>2024-01-17T18:50:58+00:00</t>
  </si>
  <si>
    <t>castelnuovo di Porto</t>
  </si>
  <si>
    <t>PNLTZN71D61H501W</t>
  </si>
  <si>
    <t>407-4909672-9346754</t>
  </si>
  <si>
    <t>2024-01-17T01:39:27+00:00</t>
  </si>
  <si>
    <t>2024-01-17T11:29:54+00:00</t>
  </si>
  <si>
    <t>403-3993186-0298737</t>
  </si>
  <si>
    <t>2024-01-16T23:00:31+00:00</t>
  </si>
  <si>
    <t>2024-01-17T10:17:53+00:00</t>
  </si>
  <si>
    <t>Lagosanto</t>
  </si>
  <si>
    <t>403-9287660-6313167</t>
  </si>
  <si>
    <t>2024-01-16T22:55:21+00:00</t>
  </si>
  <si>
    <t>2024-01-17T09:27:45+00:00</t>
  </si>
  <si>
    <t>LAJEN</t>
  </si>
  <si>
    <t>408-1043967-3925910</t>
  </si>
  <si>
    <t>2024-01-16T22:41:34+00:00</t>
  </si>
  <si>
    <t>2024-01-17T09:02:05+00:00</t>
  </si>
  <si>
    <t>407-0758264-4449905</t>
  </si>
  <si>
    <t>2024-01-16T22:36:29+00:00</t>
  </si>
  <si>
    <t>2024-01-16T22:38:22+00:00</t>
  </si>
  <si>
    <t>407-5346086-5577139</t>
  </si>
  <si>
    <t>2024-01-16T22:25:16+00:00</t>
  </si>
  <si>
    <t>2024-01-17T16:29:28+00:00</t>
  </si>
  <si>
    <t>Asti</t>
  </si>
  <si>
    <t>403-2176522-8629160</t>
  </si>
  <si>
    <t>2024-01-16T22:12:57+00:00</t>
  </si>
  <si>
    <t>2024-01-17T20:58:06+00:00</t>
  </si>
  <si>
    <t>403-1308296-6062767</t>
  </si>
  <si>
    <t>2024-01-16T22:00:29+00:00</t>
  </si>
  <si>
    <t>2024-01-17T20:22:30+00:00</t>
  </si>
  <si>
    <t>Calitri</t>
  </si>
  <si>
    <t>406-8148354-6251523</t>
  </si>
  <si>
    <t>2024-01-16T21:08:26+00:00</t>
  </si>
  <si>
    <t>2024-01-17T15:29:26+00:00</t>
  </si>
  <si>
    <t>Croviana</t>
  </si>
  <si>
    <t>171-8458651-1765165</t>
  </si>
  <si>
    <t>2024-01-16T21:04:23+00:00</t>
  </si>
  <si>
    <t>2024-01-17T16:28:26+00:00</t>
  </si>
  <si>
    <t>SALINE</t>
  </si>
  <si>
    <t>404-8956582-7428314</t>
  </si>
  <si>
    <t>2024-01-16T20:51:42+00:00</t>
  </si>
  <si>
    <t>2024-02-08T09:47:07+00:00</t>
  </si>
  <si>
    <t>408-1855151-4301151</t>
  </si>
  <si>
    <t>2024-01-16T20:47:07+00:00</t>
  </si>
  <si>
    <t>2024-01-17T13:26:37+00:00</t>
  </si>
  <si>
    <t>caltanissetta</t>
  </si>
  <si>
    <t>CL</t>
  </si>
  <si>
    <t>408-6051607-5641954</t>
  </si>
  <si>
    <t>2024-01-16T20:30:48+00:00</t>
  </si>
  <si>
    <t>2024-01-17T01:02:52+00:00</t>
  </si>
  <si>
    <t>savigno</t>
  </si>
  <si>
    <t>403-2121183-9297116</t>
  </si>
  <si>
    <t>2024-01-16T20:25:37+00:00</t>
  </si>
  <si>
    <t>2024-01-22T01:35:16+00:00</t>
  </si>
  <si>
    <t>CHIONS</t>
  </si>
  <si>
    <t>402-7546905-3563552</t>
  </si>
  <si>
    <t>2024-01-16T20:24:07+00:00</t>
  </si>
  <si>
    <t>2024-01-17T10:20:58+00:00</t>
  </si>
  <si>
    <t>402-8993235-4373906</t>
  </si>
  <si>
    <t>2024-01-16T20:07:09+00:00</t>
  </si>
  <si>
    <t>2024-01-17T18:02:12+00:00</t>
  </si>
  <si>
    <t>Rocca Pietore</t>
  </si>
  <si>
    <t>404-3105563-2840306</t>
  </si>
  <si>
    <t>2024-01-16T20:00:43+00:00</t>
  </si>
  <si>
    <t>2024-01-17T16:28:28+00:00</t>
  </si>
  <si>
    <t>ROCCASECCA</t>
  </si>
  <si>
    <t>403-4472577-7206713</t>
  </si>
  <si>
    <t>2024-01-16T19:59:09+00:00</t>
  </si>
  <si>
    <t>2024-01-17T02:19:19+00:00</t>
  </si>
  <si>
    <t>Gonars</t>
  </si>
  <si>
    <t>403-1718485-1049131</t>
  </si>
  <si>
    <t>2024-01-16T19:53:18+00:00</t>
  </si>
  <si>
    <t>2024-01-17T16:28:30+00:00</t>
  </si>
  <si>
    <t>minerbe</t>
  </si>
  <si>
    <t>407-1549934-6957116</t>
  </si>
  <si>
    <t>2024-01-16T19:52:43+00:00</t>
  </si>
  <si>
    <t>2024-01-17T15:49:24+00:00</t>
  </si>
  <si>
    <t>405-0841187-8197128</t>
  </si>
  <si>
    <t>2024-01-16T19:17:58+00:00</t>
  </si>
  <si>
    <t>2024-01-16T22:01:46+00:00</t>
  </si>
  <si>
    <t>ASSISI</t>
  </si>
  <si>
    <t>403-9468619-2222715</t>
  </si>
  <si>
    <t>2024-01-16T19:08:05+00:00</t>
  </si>
  <si>
    <t>2024-01-17T14:44:08+00:00</t>
  </si>
  <si>
    <t>BASTIA MONDOVI'</t>
  </si>
  <si>
    <t>402-5106354-8708360</t>
  </si>
  <si>
    <t>2024-01-16T19:02:20+00:00</t>
  </si>
  <si>
    <t>2024-01-17T01:25:06+00:00</t>
  </si>
  <si>
    <t>Cortenova</t>
  </si>
  <si>
    <t>407-0369698-9276308</t>
  </si>
  <si>
    <t>2024-01-16T19:02:07+00:00</t>
  </si>
  <si>
    <t>2024-01-17T16:28:27+00:00</t>
  </si>
  <si>
    <t>Grumello del Monte</t>
  </si>
  <si>
    <t>171-2467132-7901953</t>
  </si>
  <si>
    <t>2024-01-16T18:55:22+00:00</t>
  </si>
  <si>
    <t>2024-01-17T13:26:59+00:00</t>
  </si>
  <si>
    <t>406-8503962-3308320</t>
  </si>
  <si>
    <t>2024-01-16T18:40:35+00:00</t>
  </si>
  <si>
    <t>2024-01-17T15:49:25+00:00</t>
  </si>
  <si>
    <t>Pisticci Scalo</t>
  </si>
  <si>
    <t>403-1391995-6443511</t>
  </si>
  <si>
    <t>2024-01-16T18:17:45+00:00</t>
  </si>
  <si>
    <t>2024-01-17T01:22:17+00:00</t>
  </si>
  <si>
    <t>171-8426551-0801166</t>
  </si>
  <si>
    <t>2024-01-16T18:12:31+00:00</t>
  </si>
  <si>
    <t>2024-01-17T20:40:10+00:00</t>
  </si>
  <si>
    <t>GRAVINA IN PUGLIA</t>
  </si>
  <si>
    <t>171-6410496-9190724</t>
  </si>
  <si>
    <t>2024-01-16T18:10:16+00:00</t>
  </si>
  <si>
    <t>2024-01-17T16:28:31+00:00</t>
  </si>
  <si>
    <t>fumone</t>
  </si>
  <si>
    <t>frosinone</t>
  </si>
  <si>
    <t>407-4303808-6528300</t>
  </si>
  <si>
    <t>2024-01-16T18:07:46+00:00</t>
  </si>
  <si>
    <t>2024-01-16T20:20:40+00:00</t>
  </si>
  <si>
    <t>Ischia</t>
  </si>
  <si>
    <t>IT05319761002</t>
  </si>
  <si>
    <t>402-1787337-3417942</t>
  </si>
  <si>
    <t>2024-01-16T18:01:22+00:00</t>
  </si>
  <si>
    <t>2024-01-17T04:23:08+00:00</t>
  </si>
  <si>
    <t>407-9414424-7055546</t>
  </si>
  <si>
    <t>2024-01-16T17:59:24+00:00</t>
  </si>
  <si>
    <t>2024-01-17T01:25:43+00:00</t>
  </si>
  <si>
    <t>costa masnaga</t>
  </si>
  <si>
    <t>403-3623216-2247549</t>
  </si>
  <si>
    <t>2024-01-16T17:58:59+00:00</t>
  </si>
  <si>
    <t>2024-01-18T21:03:16+00:00</t>
  </si>
  <si>
    <t>Campania</t>
  </si>
  <si>
    <t>406-7772838-4817115</t>
  </si>
  <si>
    <t>2024-01-16T17:54:37+00:00</t>
  </si>
  <si>
    <t>2024-01-19T17:54:59+00:00</t>
  </si>
  <si>
    <t>CAPRI</t>
  </si>
  <si>
    <t>407-3779472-5495524</t>
  </si>
  <si>
    <t>2024-01-16T17:44:28+00:00</t>
  </si>
  <si>
    <t>2024-01-17T02:32:06+00:00</t>
  </si>
  <si>
    <t>Palazzolo sull'Oglio</t>
  </si>
  <si>
    <t>404-0742315-7153917</t>
  </si>
  <si>
    <t>2024-01-16T17:34:50+00:00</t>
  </si>
  <si>
    <t>2024-01-16T21:24:53+00:00</t>
  </si>
  <si>
    <t>Ponza</t>
  </si>
  <si>
    <t>407-4471789-2837124</t>
  </si>
  <si>
    <t>2024-01-16T17:33:43+00:00</t>
  </si>
  <si>
    <t>2024-01-17T16:28:29+00:00</t>
  </si>
  <si>
    <t>CASALETTO CEREDANO</t>
  </si>
  <si>
    <t>cr</t>
  </si>
  <si>
    <t>404-2462712-8226721</t>
  </si>
  <si>
    <t>2024-01-16T17:16:51+00:00</t>
  </si>
  <si>
    <t>2024-01-16T21:25:00+00:00</t>
  </si>
  <si>
    <t>Caltana</t>
  </si>
  <si>
    <t>171-2108233-9229966</t>
  </si>
  <si>
    <t>2024-01-16T17:15:46+00:00</t>
  </si>
  <si>
    <t>2024-01-21T17:19:03+00:00</t>
  </si>
  <si>
    <t>Gazoldo degli politi</t>
  </si>
  <si>
    <t>404-4332126-0775546</t>
  </si>
  <si>
    <t>2024-01-16T16:42:56+00:00</t>
  </si>
  <si>
    <t>2024-01-17T15:19:22+00:00</t>
  </si>
  <si>
    <t>408-1399952-8077120</t>
  </si>
  <si>
    <t>2024-01-16T16:34:13+00:00</t>
  </si>
  <si>
    <t>2024-01-16T16:39:29+00:00</t>
  </si>
  <si>
    <t>lamporecchio</t>
  </si>
  <si>
    <t>pt</t>
  </si>
  <si>
    <t>402-1048867-6083562</t>
  </si>
  <si>
    <t>2024-01-16T16:27:57+00:00</t>
  </si>
  <si>
    <t>2024-01-21T08:25:52+00:00</t>
  </si>
  <si>
    <t>St Julian’s</t>
  </si>
  <si>
    <t>STJ 9023</t>
  </si>
  <si>
    <t>MT22140427</t>
  </si>
  <si>
    <t>405-3838419-0370712</t>
  </si>
  <si>
    <t>2024-01-16T16:24:23+00:00</t>
  </si>
  <si>
    <t>2024-01-17T11:30:55+00:00</t>
  </si>
  <si>
    <t>408-2110641-8405921</t>
  </si>
  <si>
    <t>2024-01-16T16:23:34+00:00</t>
  </si>
  <si>
    <t>2024-01-17T14:23:08+00:00</t>
  </si>
  <si>
    <t>TONENGO DI MAZZE'</t>
  </si>
  <si>
    <t>406-4971659-7685128</t>
  </si>
  <si>
    <t>2024-01-16T16:05:51+00:00</t>
  </si>
  <si>
    <t>2024-01-16T20:50:20+00:00</t>
  </si>
  <si>
    <t>Boscoreale</t>
  </si>
  <si>
    <t>406-8916214-0969945</t>
  </si>
  <si>
    <t>2024-01-16T15:49:49+00:00</t>
  </si>
  <si>
    <t>2024-01-16T21:24:48+00:00</t>
  </si>
  <si>
    <t>171-3395113-3855518</t>
  </si>
  <si>
    <t>2024-01-16T15:46:47+00:00</t>
  </si>
  <si>
    <t>2024-01-16T23:29:45+00:00</t>
  </si>
  <si>
    <t>fabriano</t>
  </si>
  <si>
    <t>An</t>
  </si>
  <si>
    <t>408-6374490-7716349</t>
  </si>
  <si>
    <t>2024-01-16T15:34:01+00:00</t>
  </si>
  <si>
    <t>2024-01-17T17:35:13+00:00</t>
  </si>
  <si>
    <t>407-0600234-3352322</t>
  </si>
  <si>
    <t>2024-01-16T15:25:13+00:00</t>
  </si>
  <si>
    <t>2024-01-17T02:31:35+00:00</t>
  </si>
  <si>
    <t>SALE MARASINO</t>
  </si>
  <si>
    <t>404-8537348-4366769</t>
  </si>
  <si>
    <t>2024-01-16T15:10:47+00:00</t>
  </si>
  <si>
    <t>2024-01-16T20:52:42+00:00</t>
  </si>
  <si>
    <t>402-0634548-7529949</t>
  </si>
  <si>
    <t>2024-01-16T15:03:56+00:00</t>
  </si>
  <si>
    <t>2024-01-17T16:07:26+00:00</t>
  </si>
  <si>
    <t>405-5826849-7424339</t>
  </si>
  <si>
    <t>2024-01-16T15:01:48+00:00</t>
  </si>
  <si>
    <t>2024-01-17T17:56:30+00:00</t>
  </si>
  <si>
    <t>402-0546704-0427567</t>
  </si>
  <si>
    <t>2024-01-16T15:00:47+00:00</t>
  </si>
  <si>
    <t>171-4478240-5602738</t>
  </si>
  <si>
    <t>2024-01-16T14:38:10+00:00</t>
  </si>
  <si>
    <t>2024-01-17T19:24:45+00:00</t>
  </si>
  <si>
    <t>SR</t>
  </si>
  <si>
    <t>171-6908765-3765968</t>
  </si>
  <si>
    <t>2024-01-16T14:16:55+00:00</t>
  </si>
  <si>
    <t>2024-01-17T14:25:08+00:00</t>
  </si>
  <si>
    <t>Villabate</t>
  </si>
  <si>
    <t>407-0218575-3436316</t>
  </si>
  <si>
    <t>2024-01-16T14:01:41+00:00</t>
  </si>
  <si>
    <t>2024-01-24T13:17:03+00:00</t>
  </si>
  <si>
    <t>VIU'</t>
  </si>
  <si>
    <t>402-4342697-3361127</t>
  </si>
  <si>
    <t>2024-01-16T14:00:23+00:00</t>
  </si>
  <si>
    <t>2024-01-16T20:16:54+00:00</t>
  </si>
  <si>
    <t>Milan</t>
  </si>
  <si>
    <t>404-8028900-6132322</t>
  </si>
  <si>
    <t>2024-01-16T13:51:03+00:00</t>
  </si>
  <si>
    <t>SAN SEVERO</t>
  </si>
  <si>
    <t>403-6338018-1234732</t>
  </si>
  <si>
    <t>2024-01-16T13:42:14+00:00</t>
  </si>
  <si>
    <t>2024-01-17T01:58:21+00:00</t>
  </si>
  <si>
    <t>Marcignago</t>
  </si>
  <si>
    <t>402-5892923-9022710</t>
  </si>
  <si>
    <t>2024-01-16T13:35:35+00:00</t>
  </si>
  <si>
    <t>Stra</t>
  </si>
  <si>
    <t>406-1003298-0369938</t>
  </si>
  <si>
    <t>2024-01-16T12:59:38+00:00</t>
  </si>
  <si>
    <t>2024-01-16T20:34:21+00:00</t>
  </si>
  <si>
    <t>Soci</t>
  </si>
  <si>
    <t>404-6014891-1849166</t>
  </si>
  <si>
    <t>2024-01-16T12:49:37+00:00</t>
  </si>
  <si>
    <t>2024-01-20T03:14:42+00:00</t>
  </si>
  <si>
    <t>171-2909396-4733115</t>
  </si>
  <si>
    <t>2024-01-16T12:42:40+00:00</t>
  </si>
  <si>
    <t>2024-01-17T02:10:54+00:00</t>
  </si>
  <si>
    <t>408-4428509-5817943</t>
  </si>
  <si>
    <t>2024-01-16T12:20:33+00:00</t>
  </si>
  <si>
    <t>407-4016784-2287558</t>
  </si>
  <si>
    <t>2024-01-16T12:18:22+00:00</t>
  </si>
  <si>
    <t>2024-01-16T17:45:54+00:00</t>
  </si>
  <si>
    <t>407-4147431-4889931</t>
  </si>
  <si>
    <t>2024-01-16T11:57:22+00:00</t>
  </si>
  <si>
    <t>406-6639687-3810739</t>
  </si>
  <si>
    <t>2024-01-16T11:45:25+00:00</t>
  </si>
  <si>
    <t>2024-01-17T16:00:14+00:00</t>
  </si>
  <si>
    <t>407-8442251-2153954</t>
  </si>
  <si>
    <t>2024-01-16T11:28:27+00:00</t>
  </si>
  <si>
    <t>2024-01-17T16:00:32+00:00</t>
  </si>
  <si>
    <t>ceparana</t>
  </si>
  <si>
    <t>La Spezia</t>
  </si>
  <si>
    <t>404-5117214-0253903</t>
  </si>
  <si>
    <t>2024-01-16T11:21:58+00:00</t>
  </si>
  <si>
    <t>2024-01-17T08:01:58+00:00</t>
  </si>
  <si>
    <t>SAN GIORGIO JONICO</t>
  </si>
  <si>
    <t>403-8787186-8196328</t>
  </si>
  <si>
    <t>2024-01-16T11:20:04+00:00</t>
  </si>
  <si>
    <t>2024-01-16T16:53:07+00:00</t>
  </si>
  <si>
    <t>407-6935023-7002726</t>
  </si>
  <si>
    <t>2024-01-16T10:58:16+00:00</t>
  </si>
  <si>
    <t>2024-01-17T10:16:11+00:00</t>
  </si>
  <si>
    <t>Pantelleria</t>
  </si>
  <si>
    <t>171-8473579-0409123</t>
  </si>
  <si>
    <t>2024-01-16T10:10:40+00:00</t>
  </si>
  <si>
    <t>2024-01-21T10:14:40+00:00</t>
  </si>
  <si>
    <t>406-9140943-3472363</t>
  </si>
  <si>
    <t>2024-01-16T10:09:34+00:00</t>
  </si>
  <si>
    <t>2024-01-16T21:31:43+00:00</t>
  </si>
  <si>
    <t>Baiso</t>
  </si>
  <si>
    <t>171-6094131-5177168</t>
  </si>
  <si>
    <t>2024-01-16T09:56:10+00:00</t>
  </si>
  <si>
    <t>2024-01-16T13:34:55+00:00</t>
  </si>
  <si>
    <t>Massino Visconti</t>
  </si>
  <si>
    <t>171-8678111-9921148</t>
  </si>
  <si>
    <t>2024-01-16T09:08:35+00:00</t>
  </si>
  <si>
    <t>2024-01-16T17:44:46+00:00</t>
  </si>
  <si>
    <t>ARIANO IRPINO</t>
  </si>
  <si>
    <t>403-8723917-4498766</t>
  </si>
  <si>
    <t>2024-01-16T09:05:17+00:00</t>
  </si>
  <si>
    <t>2024-01-16T17:39:21+00:00</t>
  </si>
  <si>
    <t>lecce</t>
  </si>
  <si>
    <t>171-2913882-6299568</t>
  </si>
  <si>
    <t>2024-01-16T08:49:36+00:00</t>
  </si>
  <si>
    <t>2024-01-17T01:22:12+00:00</t>
  </si>
  <si>
    <t>406-9068607-7650723</t>
  </si>
  <si>
    <t>2024-01-16T08:49:27+00:00</t>
  </si>
  <si>
    <t>2024-01-16T18:15:45+00:00</t>
  </si>
  <si>
    <t>Ascoli Piceno</t>
  </si>
  <si>
    <t>171-8991082-1521113</t>
  </si>
  <si>
    <t>2024-01-16T08:24:41+00:00</t>
  </si>
  <si>
    <t>2024-01-17T16:29:39+00:00</t>
  </si>
  <si>
    <t>Martina franca</t>
  </si>
  <si>
    <t>407-0897522-9304349</t>
  </si>
  <si>
    <t>2024-01-16T08:16:59+00:00</t>
  </si>
  <si>
    <t>2024-01-16T18:17:40+00:00</t>
  </si>
  <si>
    <t>404-5733587-2311551</t>
  </si>
  <si>
    <t>2024-01-16T08:07:16+00:00</t>
  </si>
  <si>
    <t>2024-01-18T21:35:30+00:00</t>
  </si>
  <si>
    <t>408-3578287-5095530</t>
  </si>
  <si>
    <t>2024-01-16T07:43:40+00:00</t>
  </si>
  <si>
    <t>2024-01-16T18:27:58+00:00</t>
  </si>
  <si>
    <t>Fiesole</t>
  </si>
  <si>
    <t>407-2307325-9862769</t>
  </si>
  <si>
    <t>2024-01-16T07:30:09+00:00</t>
  </si>
  <si>
    <t>2024-01-17T08:01:08+00:00</t>
  </si>
  <si>
    <t>SAN SALVATORE MONFERRATO</t>
  </si>
  <si>
    <t>403-0743643-3415564</t>
  </si>
  <si>
    <t>2024-01-16T06:48:31+00:00</t>
  </si>
  <si>
    <t>2024-01-16T11:43:24+00:00</t>
  </si>
  <si>
    <t>Samarate</t>
  </si>
  <si>
    <t>403-3296530-0825959</t>
  </si>
  <si>
    <t>2024-01-16T06:14:59+00:00</t>
  </si>
  <si>
    <t>2024-01-16T10:24:35+00:00</t>
  </si>
  <si>
    <t>Fano</t>
  </si>
  <si>
    <t>402-8462036-7489908</t>
  </si>
  <si>
    <t>2024-01-16T05:29:05+00:00</t>
  </si>
  <si>
    <t>2024-01-16T12:48:58+00:00</t>
  </si>
  <si>
    <t>402-1724965-1377121</t>
  </si>
  <si>
    <t>2024-01-16T05:04:29+00:00</t>
  </si>
  <si>
    <t>2024-01-16T19:18:29+00:00</t>
  </si>
  <si>
    <t>403-1509144-3872307</t>
  </si>
  <si>
    <t>2024-01-15T23:36:09+00:00</t>
  </si>
  <si>
    <t>2024-01-16T21:05:34+00:00</t>
  </si>
  <si>
    <t>CASTIGLIONE DELLA PESCAIA</t>
  </si>
  <si>
    <t>403-5511301-3146712</t>
  </si>
  <si>
    <t>2024-01-15T22:33:24+00:00</t>
  </si>
  <si>
    <t>2024-01-24T08:46:52+00:00</t>
  </si>
  <si>
    <t>Fusignano</t>
  </si>
  <si>
    <t>Ra</t>
  </si>
  <si>
    <t>404-8224553-5557917</t>
  </si>
  <si>
    <t>2024-01-15T22:22:40+00:00</t>
  </si>
  <si>
    <t>2024-01-16T16:34:01+00:00</t>
  </si>
  <si>
    <t>Solarino</t>
  </si>
  <si>
    <t>406-5096466-2860307</t>
  </si>
  <si>
    <t>2024-01-15T22:08:16+00:00</t>
  </si>
  <si>
    <t>2024-01-16T07:28:44+00:00</t>
  </si>
  <si>
    <t>407-8669468-2037946</t>
  </si>
  <si>
    <t>2024-01-15T21:51:14+00:00</t>
  </si>
  <si>
    <t>2024-01-16T13:34:04+00:00</t>
  </si>
  <si>
    <t>Beinette</t>
  </si>
  <si>
    <t>404-8004640-9692316</t>
  </si>
  <si>
    <t>2024-01-15T21:49:07+00:00</t>
  </si>
  <si>
    <t>2024-01-16T10:22:17+00:00</t>
  </si>
  <si>
    <t>402-8373596-1706713</t>
  </si>
  <si>
    <t>2024-01-15T21:39:18+00:00</t>
  </si>
  <si>
    <t>2024-01-16T17:26:30+00:00</t>
  </si>
  <si>
    <t>Rutigliano bari</t>
  </si>
  <si>
    <t>Puglia</t>
  </si>
  <si>
    <t>405-2903152-2037115</t>
  </si>
  <si>
    <t>2024-01-15T21:31:06+00:00</t>
  </si>
  <si>
    <t>2024-01-17T01:26:01+00:00</t>
  </si>
  <si>
    <t>408-3552635-2169937</t>
  </si>
  <si>
    <t>2024-01-15T21:15:29+00:00</t>
  </si>
  <si>
    <t>2024-01-16T10:22:16+00:00</t>
  </si>
  <si>
    <t>408-7075038-8905127</t>
  </si>
  <si>
    <t>2024-01-15T21:09:27+00:00</t>
  </si>
  <si>
    <t>2024-01-16T21:30:51+00:00</t>
  </si>
  <si>
    <t>SAN PATRIZIO</t>
  </si>
  <si>
    <t>407-5136662-4249106</t>
  </si>
  <si>
    <t>2024-01-15T21:06:22+00:00</t>
  </si>
  <si>
    <t>2024-01-16T20:30:50+00:00</t>
  </si>
  <si>
    <t>ravenna</t>
  </si>
  <si>
    <t>404-7843386-8183560</t>
  </si>
  <si>
    <t>2024-01-15T21:05:26+00:00</t>
  </si>
  <si>
    <t>2024-01-15T21:12:37+00:00</t>
  </si>
  <si>
    <t>403-0602594-5402765</t>
  </si>
  <si>
    <t>2024-01-15T20:50:14+00:00</t>
  </si>
  <si>
    <t>2024-01-16T02:21:36+00:00</t>
  </si>
  <si>
    <t>Colonnella</t>
  </si>
  <si>
    <t>405-2538088-7021967</t>
  </si>
  <si>
    <t>2024-01-15T20:16:51+00:00</t>
  </si>
  <si>
    <t>2024-01-16T02:33:06+00:00</t>
  </si>
  <si>
    <t>BRAULINS</t>
  </si>
  <si>
    <t>171-1048684-9186703</t>
  </si>
  <si>
    <t>2024-01-15T20:12:11+00:00</t>
  </si>
  <si>
    <t>2024-01-16T02:30:42+00:00</t>
  </si>
  <si>
    <t>Castenedolo</t>
  </si>
  <si>
    <t>404-6875575-2860301</t>
  </si>
  <si>
    <t>2024-01-15T20:05:00+00:00</t>
  </si>
  <si>
    <t>2024-03-28T07:12:25+00:00</t>
  </si>
  <si>
    <t>405-4797170-2317932</t>
  </si>
  <si>
    <t>2024-01-15T19:49:53+00:00</t>
  </si>
  <si>
    <t>2024-01-16T07:20:02+00:00</t>
  </si>
  <si>
    <t>403-1074068-7841136</t>
  </si>
  <si>
    <t>2024-01-15T19:42:29+00:00</t>
  </si>
  <si>
    <t>2024-01-16T10:24:44+00:00</t>
  </si>
  <si>
    <t>Fossano</t>
  </si>
  <si>
    <t>406-5222978-7403516</t>
  </si>
  <si>
    <t>2024-01-15T19:31:03+00:00</t>
  </si>
  <si>
    <t>2024-01-16T18:21:32+00:00</t>
  </si>
  <si>
    <t>CA' DI DAVID</t>
  </si>
  <si>
    <t>404-5114785-3936305</t>
  </si>
  <si>
    <t>2024-01-15T19:11:55+00:00</t>
  </si>
  <si>
    <t>2024-01-17T08:39:50+00:00</t>
  </si>
  <si>
    <t>marzeno brisighella</t>
  </si>
  <si>
    <t>405-6987039-1378724</t>
  </si>
  <si>
    <t>2024-01-15T18:55:53+00:00</t>
  </si>
  <si>
    <t>2024-01-15T23:05:36+00:00</t>
  </si>
  <si>
    <t>fauglia</t>
  </si>
  <si>
    <t>pisa</t>
  </si>
  <si>
    <t>402-8272594-8876356</t>
  </si>
  <si>
    <t>2024-01-15T18:55:02+00:00</t>
  </si>
  <si>
    <t>2024-01-16T02:37:28+00:00</t>
  </si>
  <si>
    <t>404-7274897-4620339</t>
  </si>
  <si>
    <t>2024-01-15T18:28:26+00:00</t>
  </si>
  <si>
    <t>2024-01-16T10:22:21+00:00</t>
  </si>
  <si>
    <t>402-3986303-9147504</t>
  </si>
  <si>
    <t>2024-01-15T18:24:31+00:00</t>
  </si>
  <si>
    <t>2024-01-16T09:43:21+00:00</t>
  </si>
  <si>
    <t>Biassono</t>
  </si>
  <si>
    <t>403-2735761-3194728</t>
  </si>
  <si>
    <t>2024-01-15T18:05:52+00:00</t>
  </si>
  <si>
    <t>2024-01-15T20:20:25+00:00</t>
  </si>
  <si>
    <t>PARABIAGO</t>
  </si>
  <si>
    <t>402-5875801-5988340</t>
  </si>
  <si>
    <t>2024-01-15T17:51:31+00:00</t>
  </si>
  <si>
    <t>2024-01-16T00:35:31+00:00</t>
  </si>
  <si>
    <t>CARMAGNOLA</t>
  </si>
  <si>
    <t>402-2987377-0565163</t>
  </si>
  <si>
    <t>2024-01-15T17:47:10+00:00</t>
  </si>
  <si>
    <t>2024-01-15T17:48:04+00:00</t>
  </si>
  <si>
    <t>Carmagnola</t>
  </si>
  <si>
    <t>406-0102120-0564363</t>
  </si>
  <si>
    <t>2024-01-15T17:28:14+00:00</t>
  </si>
  <si>
    <t>2024-01-15T19:55:37+00:00</t>
  </si>
  <si>
    <t>Agliana</t>
  </si>
  <si>
    <t>403-4785603-4067502</t>
  </si>
  <si>
    <t>2024-01-15T17:24:59+00:00</t>
  </si>
  <si>
    <t>2024-01-16T10:24:59+00:00</t>
  </si>
  <si>
    <t>407-6441451-0597153</t>
  </si>
  <si>
    <t>2024-01-15T17:21:38+00:00</t>
  </si>
  <si>
    <t>2024-01-16T01:21:21+00:00</t>
  </si>
  <si>
    <t>san giovanni valdarno</t>
  </si>
  <si>
    <t>arezzo</t>
  </si>
  <si>
    <t>403-0546766-9231506</t>
  </si>
  <si>
    <t>2024-01-15T17:14:46+00:00</t>
  </si>
  <si>
    <t>2024-01-17T08:30:05+00:00</t>
  </si>
  <si>
    <t>Sant'Andrea Frius</t>
  </si>
  <si>
    <t>404-7945638-2676353</t>
  </si>
  <si>
    <t>2024-01-15T17:13:56+00:00</t>
  </si>
  <si>
    <t>2024-01-15T21:24:34+00:00</t>
  </si>
  <si>
    <t>BISCEGLIE</t>
  </si>
  <si>
    <t>404-3156124-0495549</t>
  </si>
  <si>
    <t>2024-01-15T17:08:35+00:00</t>
  </si>
  <si>
    <t>2024-01-16T09:43:15+00:00</t>
  </si>
  <si>
    <t>Besnate</t>
  </si>
  <si>
    <t>406-1245738-1391553</t>
  </si>
  <si>
    <t>2024-01-15T17:02:27+00:00</t>
  </si>
  <si>
    <t>2024-01-17T08:01:34+00:00</t>
  </si>
  <si>
    <t>405-5070534-6641158</t>
  </si>
  <si>
    <t>2024-01-15T16:16:13+00:00</t>
  </si>
  <si>
    <t>2024-01-15T23:29:51+00:00</t>
  </si>
  <si>
    <t>403-1688924-2514731</t>
  </si>
  <si>
    <t>2024-01-15T15:56:14+00:00</t>
  </si>
  <si>
    <t>2024-01-18T13:54:16+00:00</t>
  </si>
  <si>
    <t>Uri</t>
  </si>
  <si>
    <t>404-1457118-6817156</t>
  </si>
  <si>
    <t>2024-01-15T15:49:37+00:00</t>
  </si>
  <si>
    <t>2024-01-16T12:03:06+00:00</t>
  </si>
  <si>
    <t>Torre di Santa Maria</t>
  </si>
  <si>
    <t>SO</t>
  </si>
  <si>
    <t>408-5508867-2657100</t>
  </si>
  <si>
    <t>2024-01-15T15:06:05+00:00</t>
  </si>
  <si>
    <t>2024-01-16T11:34:36+00:00</t>
  </si>
  <si>
    <t>Trabia</t>
  </si>
  <si>
    <t>406-3841307-8842707</t>
  </si>
  <si>
    <t>2024-01-15T14:34:51+00:00</t>
  </si>
  <si>
    <t>2024-01-16T13:21:30+00:00</t>
  </si>
  <si>
    <t>402-9650081-2992316</t>
  </si>
  <si>
    <t>2024-01-15T13:37:57+00:00</t>
  </si>
  <si>
    <t>2024-01-15T22:27:35+00:00</t>
  </si>
  <si>
    <t>403-3549088-4442736</t>
  </si>
  <si>
    <t>2024-01-15T12:36:12+00:00</t>
  </si>
  <si>
    <t>2024-01-16T09:13:11+00:00</t>
  </si>
  <si>
    <t>IT03568180164</t>
  </si>
  <si>
    <t>407-7113156-8493945</t>
  </si>
  <si>
    <t>2024-01-15T12:13:57+00:00</t>
  </si>
  <si>
    <t>2024-01-15T20:49:00+00:00</t>
  </si>
  <si>
    <t>Campofilone</t>
  </si>
  <si>
    <t>405-0893568-1655538</t>
  </si>
  <si>
    <t>2024-01-15T12:11:18+00:00</t>
  </si>
  <si>
    <t>2024-01-15T16:10:26+00:00</t>
  </si>
  <si>
    <t>405-8128719-3544341</t>
  </si>
  <si>
    <t>2024-01-15T11:51:00+00:00</t>
  </si>
  <si>
    <t>2024-01-15T16:20:56+00:00</t>
  </si>
  <si>
    <t>Trezzano Sul Naviglio</t>
  </si>
  <si>
    <t>404-5816700-4659502</t>
  </si>
  <si>
    <t>2024-01-15T11:32:11+00:00</t>
  </si>
  <si>
    <t>2024-01-15T16:27:59+00:00</t>
  </si>
  <si>
    <t>Benevello</t>
  </si>
  <si>
    <t>171-5295375-8790752</t>
  </si>
  <si>
    <t>2024-01-15T11:30:38+00:00</t>
  </si>
  <si>
    <t>2024-01-16T10:23:26+00:00</t>
  </si>
  <si>
    <t>Quiliano</t>
  </si>
  <si>
    <t>Sv</t>
  </si>
  <si>
    <t>407-2493678-8481122</t>
  </si>
  <si>
    <t>2024-01-15T11:28:01+00:00</t>
  </si>
  <si>
    <t>2024-01-16T04:44:46+00:00</t>
  </si>
  <si>
    <t>fondi</t>
  </si>
  <si>
    <t>405-2259872-3866710</t>
  </si>
  <si>
    <t>2024-01-15T11:23:49+00:00</t>
  </si>
  <si>
    <t>2024-01-15T22:28:52+00:00</t>
  </si>
  <si>
    <t>408-2213938-6771536</t>
  </si>
  <si>
    <t>2024-01-15T11:19:50+00:00</t>
  </si>
  <si>
    <t>2024-01-20T11:27:07+00:00</t>
  </si>
  <si>
    <t>407-8158723-5761935</t>
  </si>
  <si>
    <t>2024-01-15T11:17:55+00:00</t>
  </si>
  <si>
    <t>2024-01-16T11:23:42+00:00</t>
  </si>
  <si>
    <t>Arceto</t>
  </si>
  <si>
    <t>171-9912457-4946716</t>
  </si>
  <si>
    <t>2024-01-15T11:10:50+00:00</t>
  </si>
  <si>
    <t>2024-01-15T16:31:40+00:00</t>
  </si>
  <si>
    <t>Gemona del Friuli</t>
  </si>
  <si>
    <t>402-8888398-1717117</t>
  </si>
  <si>
    <t>2024-01-15T11:08:20+00:00</t>
  </si>
  <si>
    <t>2024-01-15T17:40:23+00:00</t>
  </si>
  <si>
    <t>BAGNACAVALLO</t>
  </si>
  <si>
    <t>(RA)</t>
  </si>
  <si>
    <t>407-0224057-3403578</t>
  </si>
  <si>
    <t>2024-01-15T11:03:27+00:00</t>
  </si>
  <si>
    <t>2024-01-16T13:24:57+00:00</t>
  </si>
  <si>
    <t>404-2182430-4358703</t>
  </si>
  <si>
    <t>2024-01-15T11:00:26+00:00</t>
  </si>
  <si>
    <t>2024-01-15T18:22:30+00:00</t>
  </si>
  <si>
    <t>Montenero Val Cocchiara IS</t>
  </si>
  <si>
    <t>Molisse</t>
  </si>
  <si>
    <t>404-3904397-1763554</t>
  </si>
  <si>
    <t>2024-01-15T10:35:47+00:00</t>
  </si>
  <si>
    <t>2024-01-17T08:32:09+00:00</t>
  </si>
  <si>
    <t>ORGOSOLO</t>
  </si>
  <si>
    <t>405-1516571-4293122</t>
  </si>
  <si>
    <t>2024-01-15T10:08:49+00:00</t>
  </si>
  <si>
    <t>2024-01-15T21:21:29+00:00</t>
  </si>
  <si>
    <t>Fara Filiorum Petri</t>
  </si>
  <si>
    <t>407-7383121-0888351</t>
  </si>
  <si>
    <t>2024-01-15T09:58:40+00:00</t>
  </si>
  <si>
    <t>2024-01-16T09:54:33+00:00</t>
  </si>
  <si>
    <t>piacenza</t>
  </si>
  <si>
    <t>407-3984233-7272338</t>
  </si>
  <si>
    <t>2024-01-15T08:47:48+00:00</t>
  </si>
  <si>
    <t>2024-01-17T21:34:04+00:00</t>
  </si>
  <si>
    <t>402-2713035-5624311</t>
  </si>
  <si>
    <t>2024-01-15T07:41:55+00:00</t>
  </si>
  <si>
    <t>2024-01-15T20:47:18+00:00</t>
  </si>
  <si>
    <t>406-9141558-9836349</t>
  </si>
  <si>
    <t>2024-01-15T07:19:53+00:00</t>
  </si>
  <si>
    <t>2024-01-15T16:18:36+00:00</t>
  </si>
  <si>
    <t>MIT</t>
  </si>
  <si>
    <t>404-4822970-8148338</t>
  </si>
  <si>
    <t>2024-01-15T07:16:46+00:00</t>
  </si>
  <si>
    <t>2024-01-16T09:54:23+00:00</t>
  </si>
  <si>
    <t>404-0603561-2776358</t>
  </si>
  <si>
    <t>2024-01-15T06:25:45+00:00</t>
  </si>
  <si>
    <t>2024-01-15T17:56:32+00:00</t>
  </si>
  <si>
    <t>404-2963170-3064309</t>
  </si>
  <si>
    <t>2024-01-15T04:13:57+00:00</t>
  </si>
  <si>
    <t>2024-01-20T04:23:44+00:00</t>
  </si>
  <si>
    <t>406-8423403-1545930</t>
  </si>
  <si>
    <t>2024-01-14T23:07:08+00:00</t>
  </si>
  <si>
    <t>2024-01-15T17:27:16+00:00</t>
  </si>
  <si>
    <t>Mediglia</t>
  </si>
  <si>
    <t>406-1075271-5164358</t>
  </si>
  <si>
    <t>2024-01-14T21:42:26+00:00</t>
  </si>
  <si>
    <t>2024-01-15T21:31:04+00:00</t>
  </si>
  <si>
    <t>403-3627097-6553130</t>
  </si>
  <si>
    <t>2024-01-14T21:31:13+00:00</t>
  </si>
  <si>
    <t>2024-01-15T07:27:18+00:00</t>
  </si>
  <si>
    <t>Vaccolino</t>
  </si>
  <si>
    <t>403-1184442-0241941</t>
  </si>
  <si>
    <t>2024-01-14T21:20:45+00:00</t>
  </si>
  <si>
    <t>2024-01-15T13:22:53+00:00</t>
  </si>
  <si>
    <t>Barcellona Pozzo di Gotto</t>
  </si>
  <si>
    <t>403-9579378-8002707</t>
  </si>
  <si>
    <t>2024-01-14T20:48:55+00:00</t>
  </si>
  <si>
    <t>2024-01-15T08:52:47+00:00</t>
  </si>
  <si>
    <t>Carlentini</t>
  </si>
  <si>
    <t>171-5027470-3303515</t>
  </si>
  <si>
    <t>2024-01-14T20:24:59+00:00</t>
  </si>
  <si>
    <t>2024-01-15T15:50:53+00:00</t>
  </si>
  <si>
    <t>Monguzzo</t>
  </si>
  <si>
    <t>406-3605854-1795540</t>
  </si>
  <si>
    <t>2024-01-14T20:06:48+00:00</t>
  </si>
  <si>
    <t>2024-01-15T15:51:43+00:00</t>
  </si>
  <si>
    <t>404-0785622-6495546</t>
  </si>
  <si>
    <t>2024-01-14T20:03:09+00:00</t>
  </si>
  <si>
    <t>2024-01-15T16:38:26+00:00</t>
  </si>
  <si>
    <t>FONTANELLATO</t>
  </si>
  <si>
    <t>404-7241141-2769116</t>
  </si>
  <si>
    <t>2024-01-14T20:01:07+00:00</t>
  </si>
  <si>
    <t>2024-01-15T15:48:36+00:00</t>
  </si>
  <si>
    <t>Torre D’Isola</t>
  </si>
  <si>
    <t>404-0406811-2702735</t>
  </si>
  <si>
    <t>2024-01-14T19:31:57+00:00</t>
  </si>
  <si>
    <t>2024-01-15T07:38:39+00:00</t>
  </si>
  <si>
    <t>Malè</t>
  </si>
  <si>
    <t>406-1321245-7143501</t>
  </si>
  <si>
    <t>2024-01-14T19:31:46+00:00</t>
  </si>
  <si>
    <t>2024-01-15T17:31:47+00:00</t>
  </si>
  <si>
    <t>Marina di Pietrasanta</t>
  </si>
  <si>
    <t>407-8542513-9460333</t>
  </si>
  <si>
    <t>2024-01-14T19:31:35+00:00</t>
  </si>
  <si>
    <t>2024-01-15T00:33:59+00:00</t>
  </si>
  <si>
    <t>408-3158349-2645949</t>
  </si>
  <si>
    <t>2024-01-14T19:20:13+00:00</t>
  </si>
  <si>
    <t>2024-01-14T22:35:22+00:00</t>
  </si>
  <si>
    <t>408-6652381-1556326</t>
  </si>
  <si>
    <t>2024-01-14T19:14:53+00:00</t>
  </si>
  <si>
    <t>2024-01-15T13:22:33+00:00</t>
  </si>
  <si>
    <t>ROCCA DI CAPRI LEONE</t>
  </si>
  <si>
    <t>402-8728549-8229941</t>
  </si>
  <si>
    <t>2024-01-14T18:36:47+00:00</t>
  </si>
  <si>
    <t>2024-01-14T20:55:57+00:00</t>
  </si>
  <si>
    <t>404-9631251-3585964</t>
  </si>
  <si>
    <t>2024-01-14T18:12:31+00:00</t>
  </si>
  <si>
    <t>2024-01-15T17:33:05+00:00</t>
  </si>
  <si>
    <t>ALTAMURA</t>
  </si>
  <si>
    <t>405-6691888-6765158</t>
  </si>
  <si>
    <t>2024-01-14T18:06:54+00:00</t>
  </si>
  <si>
    <t>2024-01-16T15:16:15+00:00</t>
  </si>
  <si>
    <t>Zurich</t>
  </si>
  <si>
    <t>405-8416511-9186731</t>
  </si>
  <si>
    <t>2024-01-14T18:06:51+00:00</t>
  </si>
  <si>
    <t>2024-01-15T02:34:28+00:00</t>
  </si>
  <si>
    <t>Monfalcone</t>
  </si>
  <si>
    <t>406-2642824-8926706</t>
  </si>
  <si>
    <t>2024-01-14T17:50:11+00:00</t>
  </si>
  <si>
    <t>2024-01-15T07:29:18+00:00</t>
  </si>
  <si>
    <t>403-3484806-5212365</t>
  </si>
  <si>
    <t>2024-01-14T17:21:47+00:00</t>
  </si>
  <si>
    <t>2024-01-15T02:37:51+00:00</t>
  </si>
  <si>
    <t>Sarego</t>
  </si>
  <si>
    <t>407-3910044-5688324</t>
  </si>
  <si>
    <t>2024-01-14T17:17:32+00:00</t>
  </si>
  <si>
    <t>2024-01-15T00:50:25+00:00</t>
  </si>
  <si>
    <t>Bomporto</t>
  </si>
  <si>
    <t>406-9235642-9938717</t>
  </si>
  <si>
    <t>2024-01-14T16:56:31+00:00</t>
  </si>
  <si>
    <t>2024-01-15T00:33:55+00:00</t>
  </si>
  <si>
    <t>PPSGRG96B02Z140I</t>
  </si>
  <si>
    <t>407-0623956-9612316</t>
  </si>
  <si>
    <t>2024-01-14T16:48:16+00:00</t>
  </si>
  <si>
    <t>2024-01-16T20:46:17+00:00</t>
  </si>
  <si>
    <t>reggio emilia</t>
  </si>
  <si>
    <t>re</t>
  </si>
  <si>
    <t>406-4340819-9767512</t>
  </si>
  <si>
    <t>2024-01-14T16:46:43+00:00</t>
  </si>
  <si>
    <t>2024-01-15T16:27:33+00:00</t>
  </si>
  <si>
    <t>402-8122090-2817122</t>
  </si>
  <si>
    <t>2024-01-14T16:40:19+00:00</t>
  </si>
  <si>
    <t>2024-01-14T23:48:29+00:00</t>
  </si>
  <si>
    <t>Negrar di Valpolicella</t>
  </si>
  <si>
    <t>406-2310560-4781124</t>
  </si>
  <si>
    <t>2024-01-14T16:39:17+00:00</t>
  </si>
  <si>
    <t>2024-01-16T15:28:37+00:00</t>
  </si>
  <si>
    <t>404-2267616-3389917</t>
  </si>
  <si>
    <t>2024-01-14T16:05:34+00:00</t>
  </si>
  <si>
    <t>2024-01-15T16:27:34+00:00</t>
  </si>
  <si>
    <t>Suvereto</t>
  </si>
  <si>
    <t>Toscana</t>
  </si>
  <si>
    <t>408-4101194-5405943</t>
  </si>
  <si>
    <t>2024-01-14T15:28:57+00:00</t>
  </si>
  <si>
    <t>2024-01-14T18:41:48+00:00</t>
  </si>
  <si>
    <t>MEZZANA</t>
  </si>
  <si>
    <t>402-1738606-1049932</t>
  </si>
  <si>
    <t>2024-01-14T15:16:32+00:00</t>
  </si>
  <si>
    <t>2024-01-22T16:46:33+00:00</t>
  </si>
  <si>
    <t>OLIENA</t>
  </si>
  <si>
    <t>405-1865563-2737960</t>
  </si>
  <si>
    <t>2024-01-14T15:12:21+00:00</t>
  </si>
  <si>
    <t>2024-01-15T13:10:50+00:00</t>
  </si>
  <si>
    <t>171-3258468-6441940</t>
  </si>
  <si>
    <t>2024-01-14T13:33:30+00:00</t>
  </si>
  <si>
    <t>2024-01-14T15:49:36+00:00</t>
  </si>
  <si>
    <t>Ospitaletto</t>
  </si>
  <si>
    <t>406-1417743-8841967</t>
  </si>
  <si>
    <t>2024-01-14T12:47:32+00:00</t>
  </si>
  <si>
    <t>2024-01-14T23:31:29+00:00</t>
  </si>
  <si>
    <t>Montagnana</t>
  </si>
  <si>
    <t>403-8967558-6885943</t>
  </si>
  <si>
    <t>2024-01-14T12:36:22+00:00</t>
  </si>
  <si>
    <t>2024-01-15T09:07:00+00:00</t>
  </si>
  <si>
    <t>ROME</t>
  </si>
  <si>
    <t>403-3019971-7909942</t>
  </si>
  <si>
    <t>2024-01-14T12:32:21+00:00</t>
  </si>
  <si>
    <t>2024-01-14T12:33:16+00:00</t>
  </si>
  <si>
    <t>Toblach</t>
  </si>
  <si>
    <t>Alto Adige</t>
  </si>
  <si>
    <t>406-7622616-0816366</t>
  </si>
  <si>
    <t>2024-01-14T11:58:34+00:00</t>
  </si>
  <si>
    <t>2024-01-15T01:31:50+00:00</t>
  </si>
  <si>
    <t>MOTTA DI LIVENZA</t>
  </si>
  <si>
    <t>407-2159366-5648351</t>
  </si>
  <si>
    <t>2024-01-14T11:50:45+00:00</t>
  </si>
  <si>
    <t>2024-01-14T14:44:49+00:00</t>
  </si>
  <si>
    <t>Arese</t>
  </si>
  <si>
    <t>402-4310611-3014716</t>
  </si>
  <si>
    <t>2024-01-14T11:36:16+00:00</t>
  </si>
  <si>
    <t>2024-01-17T18:18:29+00:00</t>
  </si>
  <si>
    <t>BRUGNERA</t>
  </si>
  <si>
    <t>404-9850433-5334728</t>
  </si>
  <si>
    <t>2024-01-14T11:29:37+00:00</t>
  </si>
  <si>
    <t>Cornaredo</t>
  </si>
  <si>
    <t>407-3512888-5600351</t>
  </si>
  <si>
    <t>2024-01-14T11:22:10+00:00</t>
  </si>
  <si>
    <t>2024-01-15T01:53:46+00:00</t>
  </si>
  <si>
    <t>Ceranova</t>
  </si>
  <si>
    <t>405-3504715-1348344</t>
  </si>
  <si>
    <t>2024-01-14T11:09:35+00:00</t>
  </si>
  <si>
    <t>2024-01-14T18:25:00+00:00</t>
  </si>
  <si>
    <t>Melicucco</t>
  </si>
  <si>
    <t>405-7532979-7039506</t>
  </si>
  <si>
    <t>2024-01-14T10:56:04+00:00</t>
  </si>
  <si>
    <t>2024-01-14T17:58:24+00:00</t>
  </si>
  <si>
    <t>Meda</t>
  </si>
  <si>
    <t>402-0127231-6641107</t>
  </si>
  <si>
    <t>2024-01-14T10:48:38+00:00</t>
  </si>
  <si>
    <t>2024-01-14T21:27:18+00:00</t>
  </si>
  <si>
    <t>DUINO</t>
  </si>
  <si>
    <t>407-0888440-6830768</t>
  </si>
  <si>
    <t>2024-01-14T10:10:50+00:00</t>
  </si>
  <si>
    <t>2024-01-14T20:22:24+00:00</t>
  </si>
  <si>
    <t>CENTOLA</t>
  </si>
  <si>
    <t>406-9175692-2613907</t>
  </si>
  <si>
    <t>2024-01-14T10:10:28+00:00</t>
  </si>
  <si>
    <t>2024-01-14T17:28:10+00:00</t>
  </si>
  <si>
    <t>LAGONEGRO</t>
  </si>
  <si>
    <t>POTENZA</t>
  </si>
  <si>
    <t>406-7424896-5175565</t>
  </si>
  <si>
    <t>2024-01-14T10:10:02+00:00</t>
  </si>
  <si>
    <t>2024-01-15T16:27:35+00:00</t>
  </si>
  <si>
    <t>sant'Agata de' Goti</t>
  </si>
  <si>
    <t>406-7629571-6809168</t>
  </si>
  <si>
    <t>2024-01-14T10:09:18+00:00</t>
  </si>
  <si>
    <t>2024-01-15T04:34:50+00:00</t>
  </si>
  <si>
    <t>408-5612094-3193954</t>
  </si>
  <si>
    <t>2024-01-14T09:59:24+00:00</t>
  </si>
  <si>
    <t>2024-01-14T23:46:45+00:00</t>
  </si>
  <si>
    <t>Monterotondo</t>
  </si>
  <si>
    <t>408-8836779-7293159</t>
  </si>
  <si>
    <t>2024-01-14T05:42:10+00:00</t>
  </si>
  <si>
    <t>2024-01-15T15:19:38+00:00</t>
  </si>
  <si>
    <t>Torre del greco</t>
  </si>
  <si>
    <t>402-6774753-5972303</t>
  </si>
  <si>
    <t>2024-01-14T02:38:10+00:00</t>
  </si>
  <si>
    <t>2024-01-15T16:37:53+00:00</t>
  </si>
  <si>
    <t>402-6265686-8153122</t>
  </si>
  <si>
    <t>2024-01-13T23:18:04+00:00</t>
  </si>
  <si>
    <t>2024-01-15T15:19:39+00:00</t>
  </si>
  <si>
    <t>407-9090043-3081925</t>
  </si>
  <si>
    <t>2024-01-13T22:12:45+00:00</t>
  </si>
  <si>
    <t>2024-01-15T15:50:25+00:00</t>
  </si>
  <si>
    <t>Ariano nel Polesine</t>
  </si>
  <si>
    <t>407-7131408-6585156</t>
  </si>
  <si>
    <t>2024-01-13T21:39:58+00:00</t>
  </si>
  <si>
    <t>2024-01-15T01:17:16+00:00</t>
  </si>
  <si>
    <t>406-5975986-7897116</t>
  </si>
  <si>
    <t>2024-01-13T21:21:41+00:00</t>
  </si>
  <si>
    <t>2024-01-14T07:11:47+00:00</t>
  </si>
  <si>
    <t>406-2950621-0249151</t>
  </si>
  <si>
    <t>2024-01-13T21:05:25+00:00</t>
  </si>
  <si>
    <t>2024-01-15T01:33:10+00:00</t>
  </si>
  <si>
    <t>405-1914352-6101162</t>
  </si>
  <si>
    <t>2024-01-13T20:58:28+00:00</t>
  </si>
  <si>
    <t>2024-01-16T00:48:34+00:00</t>
  </si>
  <si>
    <t>Nichelino</t>
  </si>
  <si>
    <t>408-4482811-9693120</t>
  </si>
  <si>
    <t>2024-01-13T20:34:23+00:00</t>
  </si>
  <si>
    <t>2024-01-16T22:12:45+00:00</t>
  </si>
  <si>
    <t>Orvieto</t>
  </si>
  <si>
    <t>402-2697692-3953133</t>
  </si>
  <si>
    <t>2024-01-13T20:31:30+00:00</t>
  </si>
  <si>
    <t>2024-01-14T01:46:44+00:00</t>
  </si>
  <si>
    <t>millepini</t>
  </si>
  <si>
    <t>407-2918453-7167527</t>
  </si>
  <si>
    <t>2024-01-13T20:27:11+00:00</t>
  </si>
  <si>
    <t>2024-01-14T01:47:01+00:00</t>
  </si>
  <si>
    <t>406-5011456-3523563</t>
  </si>
  <si>
    <t>2024-01-13T19:46:41+00:00</t>
  </si>
  <si>
    <t>2024-01-16T01:47:20+00:00</t>
  </si>
  <si>
    <t>Landriano</t>
  </si>
  <si>
    <t>405-2837231-8654708</t>
  </si>
  <si>
    <t>2024-01-13T19:41:44+00:00</t>
  </si>
  <si>
    <t>2024-01-15T16:38:17+00:00</t>
  </si>
  <si>
    <t>Bolsena</t>
  </si>
  <si>
    <t>402-7643415-3662704</t>
  </si>
  <si>
    <t>2024-01-13T19:34:41+00:00</t>
  </si>
  <si>
    <t>2024-01-15T15:48:32+00:00</t>
  </si>
  <si>
    <t>406-0453138-5941950</t>
  </si>
  <si>
    <t>2024-01-13T19:00:45+00:00</t>
  </si>
  <si>
    <t>2024-01-14T01:51:28+00:00</t>
  </si>
  <si>
    <t>Villongo</t>
  </si>
  <si>
    <t>406-4517280-7980323</t>
  </si>
  <si>
    <t>2024-01-13T18:23:49+00:00</t>
  </si>
  <si>
    <t>2024-01-16T01:35:10+00:00</t>
  </si>
  <si>
    <t>Tr</t>
  </si>
  <si>
    <t>402-0663746-5236345</t>
  </si>
  <si>
    <t>2024-01-13T18:21:53+00:00</t>
  </si>
  <si>
    <t>2024-01-14T12:02:34+00:00</t>
  </si>
  <si>
    <t>402-3473966-6339517</t>
  </si>
  <si>
    <t>2024-01-13T18:19:26+00:00</t>
  </si>
  <si>
    <t>2024-01-14T01:46:30+00:00</t>
  </si>
  <si>
    <t>CASALETTO LODIGIANO</t>
  </si>
  <si>
    <t>LODI</t>
  </si>
  <si>
    <t>408-0944065-0861134</t>
  </si>
  <si>
    <t>2024-01-13T18:15:44+00:00</t>
  </si>
  <si>
    <t>2024-01-14T04:51:25+00:00</t>
  </si>
  <si>
    <t>Oleggio</t>
  </si>
  <si>
    <t>405-1190843-8373152</t>
  </si>
  <si>
    <t>2024-01-13T17:56:01+00:00</t>
  </si>
  <si>
    <t>2024-01-17T15:23:39+00:00</t>
  </si>
  <si>
    <t>COGNE</t>
  </si>
  <si>
    <t>AOSTA</t>
  </si>
  <si>
    <t>IT00489880070</t>
  </si>
  <si>
    <t>171-0091418-4130722</t>
  </si>
  <si>
    <t>2024-01-13T17:22:30+00:00</t>
  </si>
  <si>
    <t>2024-01-15T16:38:27+00:00</t>
  </si>
  <si>
    <t>Novoli</t>
  </si>
  <si>
    <t>408-8313781-9140369</t>
  </si>
  <si>
    <t>2024-01-13T17:09:42+00:00</t>
  </si>
  <si>
    <t>2024-01-15T16:28:41+00:00</t>
  </si>
  <si>
    <t>Castelfranco Emilia</t>
  </si>
  <si>
    <t>402-7857805-8660363</t>
  </si>
  <si>
    <t>2024-01-13T17:05:25+00:00</t>
  </si>
  <si>
    <t>2024-01-15T01:15:18+00:00</t>
  </si>
  <si>
    <t>404-2287778-4045127</t>
  </si>
  <si>
    <t>2024-01-13T17:04:22+00:00</t>
  </si>
  <si>
    <t>2024-01-14T01:52:40+00:00</t>
  </si>
  <si>
    <t>alzano lombardo</t>
  </si>
  <si>
    <t>402-6401484-2405169</t>
  </si>
  <si>
    <t>2024-01-13T16:10:38+00:00</t>
  </si>
  <si>
    <t>2024-01-15T13:59:03+00:00</t>
  </si>
  <si>
    <t>405-5466500-2177961</t>
  </si>
  <si>
    <t>2024-01-13T15:48:00+00:00</t>
  </si>
  <si>
    <t>2024-01-14T12:01:51+00:00</t>
  </si>
  <si>
    <t>Pieve del cairo</t>
  </si>
  <si>
    <t>402-0181867-5037936</t>
  </si>
  <si>
    <t>2024-01-13T15:35:56+00:00</t>
  </si>
  <si>
    <t>2024-01-18T15:39:07+00:00</t>
  </si>
  <si>
    <t>405-2280803-5239548</t>
  </si>
  <si>
    <t>2024-01-13T15:22:39+00:00</t>
  </si>
  <si>
    <t>2024-01-14T21:51:58+00:00</t>
  </si>
  <si>
    <t>407-4457206-6503501</t>
  </si>
  <si>
    <t>2024-01-13T15:15:34+00:00</t>
  </si>
  <si>
    <t>2024-01-14T13:22:03+00:00</t>
  </si>
  <si>
    <t>La Morra</t>
  </si>
  <si>
    <t>405-1295085-7690733</t>
  </si>
  <si>
    <t>2024-01-13T15:14:04+00:00</t>
  </si>
  <si>
    <t>2024-01-13T22:53:47+00:00</t>
  </si>
  <si>
    <t>406-9811679-1734749</t>
  </si>
  <si>
    <t>2024-01-13T14:57:31+00:00</t>
  </si>
  <si>
    <t>2024-01-13T22:45:57+00:00</t>
  </si>
  <si>
    <t>404-6475946-6571520</t>
  </si>
  <si>
    <t>2024-01-13T14:34:11+00:00</t>
  </si>
  <si>
    <t>2024-01-16T02:30:15+00:00</t>
  </si>
  <si>
    <t>404-2462034-6460320</t>
  </si>
  <si>
    <t>2024-01-13T14:28:52+00:00</t>
  </si>
  <si>
    <t>2024-01-13T17:25:31+00:00</t>
  </si>
  <si>
    <t>Carnago</t>
  </si>
  <si>
    <t>402-9942654-5224320</t>
  </si>
  <si>
    <t>2024-01-13T14:04:18+00:00</t>
  </si>
  <si>
    <t>2024-01-14T00:33:16+00:00</t>
  </si>
  <si>
    <t>Boltiere</t>
  </si>
  <si>
    <t>403-7070139-0981113</t>
  </si>
  <si>
    <t>2024-01-13T13:55:26+00:00</t>
  </si>
  <si>
    <t>2024-01-14T21:26:04+00:00</t>
  </si>
  <si>
    <t>Porto San Giorgio</t>
  </si>
  <si>
    <t>402-1233522-3838702</t>
  </si>
  <si>
    <t>2024-01-13T13:43:06+00:00</t>
  </si>
  <si>
    <t>2024-01-13T17:20:46+00:00</t>
  </si>
  <si>
    <t>Cesano Maderno</t>
  </si>
  <si>
    <t>403-9247903-2728367</t>
  </si>
  <si>
    <t>2024-01-13T13:19:57+00:00</t>
  </si>
  <si>
    <t>2024-01-14T21:32:13+00:00</t>
  </si>
  <si>
    <t>407-5911092-6495520</t>
  </si>
  <si>
    <t>2024-01-13T12:49:09+00:00</t>
  </si>
  <si>
    <t>CORDOVADO</t>
  </si>
  <si>
    <t>171-0129086-5698743</t>
  </si>
  <si>
    <t>2024-01-13T12:33:18+00:00</t>
  </si>
  <si>
    <t>2024-01-15T13:07:53+00:00</t>
  </si>
  <si>
    <t>Osio sotto</t>
  </si>
  <si>
    <t>407-6279733-7505126</t>
  </si>
  <si>
    <t>2024-01-13T11:44:00+00:00</t>
  </si>
  <si>
    <t>2024-01-15T16:27:37+00:00</t>
  </si>
  <si>
    <t>Beper BF.640 - Forno Ventilato Multifunzione 12L, Anello di Prolungamento per Capienza Totale 18L, Timer 60 Minuti, Temperatura Regolabile fino a 250°, Accessori Inclusi, Risparmia Energia e Tempo</t>
  </si>
  <si>
    <t>408-8058695-3997135</t>
  </si>
  <si>
    <t>2024-01-13T11:10:27+00:00</t>
  </si>
  <si>
    <t>2024-01-13T18:43:43+00:00</t>
  </si>
  <si>
    <t>Quarrata</t>
  </si>
  <si>
    <t>404-8994862-9673127</t>
  </si>
  <si>
    <t>2024-01-13T10:52:07+00:00</t>
  </si>
  <si>
    <t>2024-01-13T22:57:53+00:00</t>
  </si>
  <si>
    <t>SANT'ANDREA Di Bressanone</t>
  </si>
  <si>
    <t>402-2323409-9975536</t>
  </si>
  <si>
    <t>2024-01-13T10:23:44+00:00</t>
  </si>
  <si>
    <t>Serravalle Scrivia</t>
  </si>
  <si>
    <t>403-5817159-7182732</t>
  </si>
  <si>
    <t>2024-01-13T10:09:26+00:00</t>
  </si>
  <si>
    <t>2024-01-13T19:40:55+00:00</t>
  </si>
  <si>
    <t>Catanzaro lido</t>
  </si>
  <si>
    <t>403-6199066-9628367</t>
  </si>
  <si>
    <t>2024-01-13T09:40:41+00:00</t>
  </si>
  <si>
    <t>2024-01-13T18:16:52+00:00</t>
  </si>
  <si>
    <t>Santorso</t>
  </si>
  <si>
    <t>404-8955232-2225102</t>
  </si>
  <si>
    <t>2024-01-13T09:13:46+00:00</t>
  </si>
  <si>
    <t>2024-01-15T15:48:37+00:00</t>
  </si>
  <si>
    <t>Manzano</t>
  </si>
  <si>
    <t>402-7298299-1285922</t>
  </si>
  <si>
    <t>2024-01-13T08:50:28+00:00</t>
  </si>
  <si>
    <t>2024-01-14T20:40:08+00:00</t>
  </si>
  <si>
    <t>BORGO PACE</t>
  </si>
  <si>
    <t>402-3631942-4030764</t>
  </si>
  <si>
    <t>2024-01-13T08:28:17+00:00</t>
  </si>
  <si>
    <t>2024-01-14T00:41:18+00:00</t>
  </si>
  <si>
    <t>171-8062273-3747533</t>
  </si>
  <si>
    <t>2024-01-13T08:21:00+00:00</t>
  </si>
  <si>
    <t>2024-01-15T15:59:13+00:00</t>
  </si>
  <si>
    <t>407-7722031-2389145</t>
  </si>
  <si>
    <t>2024-01-13T08:17:11+00:00</t>
  </si>
  <si>
    <t>2024-01-18T16:25:24+00:00</t>
  </si>
  <si>
    <t>405-6171544-2816360</t>
  </si>
  <si>
    <t>2024-01-13T06:11:44+00:00</t>
  </si>
  <si>
    <t>2024-01-14T13:21:12+00:00</t>
  </si>
  <si>
    <t>Carisio</t>
  </si>
  <si>
    <t>IT01904070024</t>
  </si>
  <si>
    <t>402-5484807-0120357</t>
  </si>
  <si>
    <t>2024-01-13T01:19:22+00:00</t>
  </si>
  <si>
    <t>2024-01-13T21:35:29+00:00</t>
  </si>
  <si>
    <t>402-6411209-8521954</t>
  </si>
  <si>
    <t>2024-01-12T23:18:02+00:00</t>
  </si>
  <si>
    <t>2024-01-13T02:23:51+00:00</t>
  </si>
  <si>
    <t>MESTRE</t>
  </si>
  <si>
    <t>403-0167870-5157133</t>
  </si>
  <si>
    <t>2024-01-12T22:22:27+00:00</t>
  </si>
  <si>
    <t>2024-01-14T12:49:51+00:00</t>
  </si>
  <si>
    <t>405-2620806-2481148</t>
  </si>
  <si>
    <t>2024-01-12T21:41:05+00:00</t>
  </si>
  <si>
    <t>2024-01-13T18:19:30+00:00</t>
  </si>
  <si>
    <t>CASTELFRANCO EMILIA</t>
  </si>
  <si>
    <t>171-7893698-9639530</t>
  </si>
  <si>
    <t>2024-01-12T21:14:39+00:00</t>
  </si>
  <si>
    <t>2024-01-18T21:19:36+00:00</t>
  </si>
  <si>
    <t>Breganzona</t>
  </si>
  <si>
    <t>Lugano</t>
  </si>
  <si>
    <t>171-4020469-8283523</t>
  </si>
  <si>
    <t>2024-01-12T20:08:31+00:00</t>
  </si>
  <si>
    <t>2024-01-15T16:38:16+00:00</t>
  </si>
  <si>
    <t>404-8818601-4097900</t>
  </si>
  <si>
    <t>2024-01-12T20:04:13+00:00</t>
  </si>
  <si>
    <t>2024-01-13T01:51:27+00:00</t>
  </si>
  <si>
    <t>408-2001126-4081146</t>
  </si>
  <si>
    <t>2024-01-12T20:03:11+00:00</t>
  </si>
  <si>
    <t>2024-01-13T00:52:03+00:00</t>
  </si>
  <si>
    <t>Capriate San Gervasio</t>
  </si>
  <si>
    <t>406-4568948-7334704</t>
  </si>
  <si>
    <t>2024-01-12T19:23:52+00:00</t>
  </si>
  <si>
    <t>2024-01-15T15:59:22+00:00</t>
  </si>
  <si>
    <t>Oppeano</t>
  </si>
  <si>
    <t>407-6406923-5022724</t>
  </si>
  <si>
    <t>2024-01-12T18:39:35+00:00</t>
  </si>
  <si>
    <t>2024-01-13T01:02:31+00:00</t>
  </si>
  <si>
    <t>402-9257297-8131518</t>
  </si>
  <si>
    <t>2024-01-12T18:35:43+00:00</t>
  </si>
  <si>
    <t>2024-01-13T17:18:39+00:00</t>
  </si>
  <si>
    <t>Cassano delle Murge</t>
  </si>
  <si>
    <t>402-7359953-9321931</t>
  </si>
  <si>
    <t>2024-01-12T18:25:35+00:00</t>
  </si>
  <si>
    <t>2024-01-13T02:32:44+00:00</t>
  </si>
  <si>
    <t>402-0106876-3070707</t>
  </si>
  <si>
    <t>2024-01-12T18:22:06+00:00</t>
  </si>
  <si>
    <t>2024-01-12T18:23:49+00:00</t>
  </si>
  <si>
    <t>406-8163855-7766706</t>
  </si>
  <si>
    <t>2024-01-12T18:19:40+00:00</t>
  </si>
  <si>
    <t>2024-01-15T08:52:29+00:00</t>
  </si>
  <si>
    <t>171-6377266-1118733</t>
  </si>
  <si>
    <t>2024-01-12T17:57:17+00:00</t>
  </si>
  <si>
    <t>2024-01-14T12:50:55+00:00</t>
  </si>
  <si>
    <t>SAN MICHELE DI GANZARIA</t>
  </si>
  <si>
    <t>407-1902763-1052322</t>
  </si>
  <si>
    <t>2024-01-12T17:06:03+00:00</t>
  </si>
  <si>
    <t>2024-01-15T15:59:57+00:00</t>
  </si>
  <si>
    <t>Beper 50.161 Ferro da Stiro Cordless, Ferro da stiro Senza Fili, Dispositivo di Auto-pulizia, Anti-calcare, Anti-goccia, Colpo Super Vapore, Stirare in Verticale Bianco/Ottanio</t>
  </si>
  <si>
    <t>408-7647122-0246702</t>
  </si>
  <si>
    <t>2024-01-12T17:01:17+00:00</t>
  </si>
  <si>
    <t>2024-01-14T14:38:24+00:00</t>
  </si>
  <si>
    <t>402-4513891-7731512</t>
  </si>
  <si>
    <t>2024-01-12T16:35:23+00:00</t>
  </si>
  <si>
    <t>2024-01-12T23:32:06+00:00</t>
  </si>
  <si>
    <t>404-1202509-3652324</t>
  </si>
  <si>
    <t>2024-01-12T16:29:22+00:00</t>
  </si>
  <si>
    <t>171-2612435-8141961</t>
  </si>
  <si>
    <t>2024-01-12T15:50:44+00:00</t>
  </si>
  <si>
    <t>2024-01-13T16:05:02+00:00</t>
  </si>
  <si>
    <t>407-4519498-0013114</t>
  </si>
  <si>
    <t>2024-01-12T15:37:38+00:00</t>
  </si>
  <si>
    <t>2024-01-14T17:27:08+00:00</t>
  </si>
  <si>
    <t>404-0022926-5525907</t>
  </si>
  <si>
    <t>2024-01-12T15:27:17+00:00</t>
  </si>
  <si>
    <t>2024-01-15T16:37:35+00:00</t>
  </si>
  <si>
    <t>404-3177878-0658727</t>
  </si>
  <si>
    <t>2024-01-12T15:01:32+00:00</t>
  </si>
  <si>
    <t>2024-01-15T15:48:38+00:00</t>
  </si>
  <si>
    <t>Parabiago</t>
  </si>
  <si>
    <t>404-6606579-0303557</t>
  </si>
  <si>
    <t>2024-01-12T14:54:19+00:00</t>
  </si>
  <si>
    <t>2024-01-12T20:19:45+00:00</t>
  </si>
  <si>
    <t>408-5053439-2338747</t>
  </si>
  <si>
    <t>2024-01-12T14:49:09+00:00</t>
  </si>
  <si>
    <t>2024-01-15T15:49:50+00:00</t>
  </si>
  <si>
    <t>402-2654931-0700342</t>
  </si>
  <si>
    <t>2024-01-12T14:39:16+00:00</t>
  </si>
  <si>
    <t>2024-01-15T15:29:32+00:00</t>
  </si>
  <si>
    <t>404-2463437-3355534</t>
  </si>
  <si>
    <t>2024-01-12T13:44:17+00:00</t>
  </si>
  <si>
    <t>2024-01-12T17:47:26+00:00</t>
  </si>
  <si>
    <t>Castenaso</t>
  </si>
  <si>
    <t>407-0655316-9816344</t>
  </si>
  <si>
    <t>2024-01-12T13:30:36+00:00</t>
  </si>
  <si>
    <t>406-2994331-0742717</t>
  </si>
  <si>
    <t>2024-01-12T12:51:48+00:00</t>
  </si>
  <si>
    <t>403-6675243-4485144</t>
  </si>
  <si>
    <t>2024-01-12T12:18:27+00:00</t>
  </si>
  <si>
    <t>2024-01-15T15:18:30+00:00</t>
  </si>
  <si>
    <t>408-8159821-6528354</t>
  </si>
  <si>
    <t>2024-01-12T12:10:38+00:00</t>
  </si>
  <si>
    <t>2024-01-12T23:52:29+00:00</t>
  </si>
  <si>
    <t>408-3326347-5977137</t>
  </si>
  <si>
    <t>2024-01-12T10:57:39+00:00</t>
  </si>
  <si>
    <t>2024-01-12T23:52:02+00:00</t>
  </si>
  <si>
    <t>403-6147401-4989134</t>
  </si>
  <si>
    <t>2024-01-12T10:42:49+00:00</t>
  </si>
  <si>
    <t>2024-01-12T20:53:14+00:00</t>
  </si>
  <si>
    <t>ge</t>
  </si>
  <si>
    <t>406-7108598-3161116</t>
  </si>
  <si>
    <t>2024-01-12T09:26:06+00:00</t>
  </si>
  <si>
    <t>2024-01-15T15:59:44+00:00</t>
  </si>
  <si>
    <t>Cadoneghe</t>
  </si>
  <si>
    <t>405-2685257-4557136</t>
  </si>
  <si>
    <t>2024-01-12T08:32:34+00:00</t>
  </si>
  <si>
    <t>2024-01-15T16:09:10+00:00</t>
  </si>
  <si>
    <t>404-7956930-7798710</t>
  </si>
  <si>
    <t>2024-01-12T07:41:07+00:00</t>
  </si>
  <si>
    <t>2024-01-14T19:24:51+00:00</t>
  </si>
  <si>
    <t>171-7836609-8694733</t>
  </si>
  <si>
    <t>2024-01-12T06:15:54+00:00</t>
  </si>
  <si>
    <t>2024-01-12T18:18:40+00:00</t>
  </si>
  <si>
    <t>Valsamoggia località Savigno</t>
  </si>
  <si>
    <t>Italia bologna emilia romagna</t>
  </si>
  <si>
    <t>403-8616802-9705153</t>
  </si>
  <si>
    <t>2024-01-11T23:14:31+00:00</t>
  </si>
  <si>
    <t>2024-01-12T08:25:09+00:00</t>
  </si>
  <si>
    <t>Selvazzano Dentro</t>
  </si>
  <si>
    <t>405-0717998-8285962</t>
  </si>
  <si>
    <t>2024-01-11T21:32:03+00:00</t>
  </si>
  <si>
    <t>2024-01-12T15:56:04+00:00</t>
  </si>
  <si>
    <t>Cumiana</t>
  </si>
  <si>
    <t>405-7426277-0267520</t>
  </si>
  <si>
    <t>2024-01-11T21:29:25+00:00</t>
  </si>
  <si>
    <t>2024-01-12T08:47:26+00:00</t>
  </si>
  <si>
    <t>predappio</t>
  </si>
  <si>
    <t>fc</t>
  </si>
  <si>
    <t>405-3408069-4409132</t>
  </si>
  <si>
    <t>2024-01-11T21:28:51+00:00</t>
  </si>
  <si>
    <t>2024-01-12T18:34:11+00:00</t>
  </si>
  <si>
    <t>Asciano</t>
  </si>
  <si>
    <t>Si</t>
  </si>
  <si>
    <t>403-8734736-8433940</t>
  </si>
  <si>
    <t>2024-01-11T21:03:12+00:00</t>
  </si>
  <si>
    <t>2024-01-12T15:54:12+00:00</t>
  </si>
  <si>
    <t>Villanova sull'arda</t>
  </si>
  <si>
    <t>403-3788905-6337968</t>
  </si>
  <si>
    <t>2024-01-11T21:02:13+00:00</t>
  </si>
  <si>
    <t>2024-01-12T20:54:23+00:00</t>
  </si>
  <si>
    <t>403-7913074-6022735</t>
  </si>
  <si>
    <t>2024-01-11T20:31:54+00:00</t>
  </si>
  <si>
    <t>2024-01-12T09:06:42+00:00</t>
  </si>
  <si>
    <t>Germignaga</t>
  </si>
  <si>
    <t>404-4539968-3273148</t>
  </si>
  <si>
    <t>2024-01-11T20:21:27+00:00</t>
  </si>
  <si>
    <t>2024-01-12T09:45:43+00:00</t>
  </si>
  <si>
    <t>Anzio</t>
  </si>
  <si>
    <t>405-0708353-8491539</t>
  </si>
  <si>
    <t>2024-01-11T19:36:02+00:00</t>
  </si>
  <si>
    <t>2024-01-12T18:14:45+00:00</t>
  </si>
  <si>
    <t>Meta</t>
  </si>
  <si>
    <t>406-3359010-0203562</t>
  </si>
  <si>
    <t>2024-01-11T19:17:39+00:00</t>
  </si>
  <si>
    <t>2024-01-12T15:58:35+00:00</t>
  </si>
  <si>
    <t>GIVOLETTO</t>
  </si>
  <si>
    <t>402-2460169-8512320</t>
  </si>
  <si>
    <t>2024-01-11T19:11:06+00:00</t>
  </si>
  <si>
    <t>2024-01-15T14:52:20+00:00</t>
  </si>
  <si>
    <t>404-0496449-5321154</t>
  </si>
  <si>
    <t>2024-01-11T17:58:55+00:00</t>
  </si>
  <si>
    <t>2024-01-12T01:11:20+00:00</t>
  </si>
  <si>
    <t>ANCONA</t>
  </si>
  <si>
    <t>406-3903468-7897907</t>
  </si>
  <si>
    <t>2024-01-11T17:49:35+00:00</t>
  </si>
  <si>
    <t>2024-01-11T20:55:24+00:00</t>
  </si>
  <si>
    <t>segrate</t>
  </si>
  <si>
    <t>402-3878839-4730747</t>
  </si>
  <si>
    <t>2024-01-11T17:42:49+00:00</t>
  </si>
  <si>
    <t>2024-01-12T02:21:24+00:00</t>
  </si>
  <si>
    <t>404-7179402-3196328</t>
  </si>
  <si>
    <t>2024-01-11T17:28:04+00:00</t>
  </si>
  <si>
    <t>2024-01-28T07:14:55+00:00</t>
  </si>
  <si>
    <t>402-0849197-7072307</t>
  </si>
  <si>
    <t>2024-01-11T17:24:21+00:00</t>
  </si>
  <si>
    <t>2024-01-12T09:06:48+00:00</t>
  </si>
  <si>
    <t>Sannicola</t>
  </si>
  <si>
    <t>171-5268454-4465934</t>
  </si>
  <si>
    <t>2024-01-11T16:52:53+00:00</t>
  </si>
  <si>
    <t>2024-01-13T18:20:38+00:00</t>
  </si>
  <si>
    <t>408-3714417-8030706</t>
  </si>
  <si>
    <t>2024-01-11T16:42:26+00:00</t>
  </si>
  <si>
    <t>2024-01-11T19:57:39+00:00</t>
  </si>
  <si>
    <t>CERASOLO</t>
  </si>
  <si>
    <t>406-5404195-9051537</t>
  </si>
  <si>
    <t>2024-01-11T16:03:50+00:00</t>
  </si>
  <si>
    <t>2024-01-12T08:37:43+00:00</t>
  </si>
  <si>
    <t>402-9099464-3844364</t>
  </si>
  <si>
    <t>2024-01-11T15:51:14+00:00</t>
  </si>
  <si>
    <t>2024-01-12T12:41:07+00:00</t>
  </si>
  <si>
    <t>SANT'ARPINO</t>
  </si>
  <si>
    <t>408-5378808-7556357</t>
  </si>
  <si>
    <t>2024-01-11T14:05:03+00:00</t>
  </si>
  <si>
    <t>2024-01-12T09:45:44+00:00</t>
  </si>
  <si>
    <t>402-0357005-4521163</t>
  </si>
  <si>
    <t>2024-01-11T13:42:22+00:00</t>
  </si>
  <si>
    <t>2024-01-11T20:35:18+00:00</t>
  </si>
  <si>
    <t>402-3285180-3040332</t>
  </si>
  <si>
    <t>2024-01-11T13:17:33+00:00</t>
  </si>
  <si>
    <t>2024-01-17T00:00:05+00:00</t>
  </si>
  <si>
    <t>408-0611381-4756313</t>
  </si>
  <si>
    <t>2024-01-11T13:15:32+00:00</t>
  </si>
  <si>
    <t>2024-01-11T20:22:59+00:00</t>
  </si>
  <si>
    <t>Baselice</t>
  </si>
  <si>
    <t>403-3169921-7197943</t>
  </si>
  <si>
    <t>2024-01-11T12:51:00+00:00</t>
  </si>
  <si>
    <t>2024-01-11T16:22:46+00:00</t>
  </si>
  <si>
    <t>406-4806940-6104343</t>
  </si>
  <si>
    <t>2024-01-11T12:41:01+00:00</t>
  </si>
  <si>
    <t>2024-01-16T12:45:59+00:00</t>
  </si>
  <si>
    <t>PALAZZOLO</t>
  </si>
  <si>
    <t>404-7326078-4487535</t>
  </si>
  <si>
    <t>2024-01-11T12:36:07+00:00</t>
  </si>
  <si>
    <t>2024-01-15T17:42:18+00:00</t>
  </si>
  <si>
    <t>Lamezia terme</t>
  </si>
  <si>
    <t>402-7070309-5857110</t>
  </si>
  <si>
    <t>2024-01-11T12:28:44+00:00</t>
  </si>
  <si>
    <t>2024-01-14T19:24:23+00:00</t>
  </si>
  <si>
    <t>404-4737153-4587523</t>
  </si>
  <si>
    <t>2024-01-11T12:27:29+00:00</t>
  </si>
  <si>
    <t>2024-01-11T17:23:56+00:00</t>
  </si>
  <si>
    <t>407-5719371-4746710</t>
  </si>
  <si>
    <t>2024-01-11T12:00:03+00:00</t>
  </si>
  <si>
    <t>2024-01-13T18:22:05+00:00</t>
  </si>
  <si>
    <t>Granze</t>
  </si>
  <si>
    <t>405-6458460-9841928</t>
  </si>
  <si>
    <t>2024-01-11T11:15:08+00:00</t>
  </si>
  <si>
    <t>2024-01-12T09:07:49+00:00</t>
  </si>
  <si>
    <t>402-0912292-7159537</t>
  </si>
  <si>
    <t>2024-01-11T10:41:48+00:00</t>
  </si>
  <si>
    <t>Carpaneto</t>
  </si>
  <si>
    <t>407-9771617-7224342</t>
  </si>
  <si>
    <t>2024-01-11T10:28:55+00:00</t>
  </si>
  <si>
    <t>2024-01-12T09:47:53+00:00</t>
  </si>
  <si>
    <t>407-8325569-1243553</t>
  </si>
  <si>
    <t>2024-01-11T09:24:23+00:00</t>
  </si>
  <si>
    <t>2024-01-12T09:45:42+00:00</t>
  </si>
  <si>
    <t>vimercate</t>
  </si>
  <si>
    <t>403-2725329-9594707</t>
  </si>
  <si>
    <t>2024-01-11T09:22:44+00:00</t>
  </si>
  <si>
    <t>2024-01-12T09:47:12+00:00</t>
  </si>
  <si>
    <t>Palmoli</t>
  </si>
  <si>
    <t>408-6323848-8141157</t>
  </si>
  <si>
    <t>2024-01-11T09:20:57+00:00</t>
  </si>
  <si>
    <t>2024-01-12T09:18:04+00:00</t>
  </si>
  <si>
    <t>GENZANO DI ROMA</t>
  </si>
  <si>
    <t>408-9090738-4762730</t>
  </si>
  <si>
    <t>2024-01-11T08:17:56+00:00</t>
  </si>
  <si>
    <t>2024-01-11T13:31:36+00:00</t>
  </si>
  <si>
    <t>ACI CATENA</t>
  </si>
  <si>
    <t>407-5285122-2898768</t>
  </si>
  <si>
    <t>2024-01-11T07:57:02+00:00</t>
  </si>
  <si>
    <t>2024-01-14T09:56:03+00:00</t>
  </si>
  <si>
    <t>404-5413962-1873969</t>
  </si>
  <si>
    <t>2024-01-11T07:40:45+00:00</t>
  </si>
  <si>
    <t>2024-01-15T08:13:43+00:00</t>
  </si>
  <si>
    <t>Penne</t>
  </si>
  <si>
    <t>406-3880373-2421903</t>
  </si>
  <si>
    <t>2024-01-11T00:46:38+00:00</t>
  </si>
  <si>
    <t>2024-01-11T13:00:58+00:00</t>
  </si>
  <si>
    <t>CASTREZZATO</t>
  </si>
  <si>
    <t>171-5279633-6677907</t>
  </si>
  <si>
    <t>2024-01-11T00:05:47+00:00</t>
  </si>
  <si>
    <t>2024-01-11T17:38:05+00:00</t>
  </si>
  <si>
    <t>San Cipriano Po</t>
  </si>
  <si>
    <t>404-5037789-7135557</t>
  </si>
  <si>
    <t>2024-01-10T23:43:09+00:00</t>
  </si>
  <si>
    <t>2024-01-11T02:27:00+00:00</t>
  </si>
  <si>
    <t>VLLMLR76T71Z600N</t>
  </si>
  <si>
    <t>408-9348615-3654711</t>
  </si>
  <si>
    <t>2024-01-10T23:34:07+00:00</t>
  </si>
  <si>
    <t>2024-01-11T17:25:12+00:00</t>
  </si>
  <si>
    <t>Novate milanese</t>
  </si>
  <si>
    <t>408-3830164-6066714</t>
  </si>
  <si>
    <t>2024-01-10T23:25:37+00:00</t>
  </si>
  <si>
    <t>2024-01-11T12:19:02+00:00</t>
  </si>
  <si>
    <t>404-0262836-1218728</t>
  </si>
  <si>
    <t>2024-01-10T23:21:09+00:00</t>
  </si>
  <si>
    <t>2024-01-13T22:18:56+00:00</t>
  </si>
  <si>
    <t>Villa d'Ogna</t>
  </si>
  <si>
    <t>403-0336363-2596315</t>
  </si>
  <si>
    <t>2024-01-10T23:09:05+00:00</t>
  </si>
  <si>
    <t>2024-01-11T06:33:43+00:00</t>
  </si>
  <si>
    <t>NOVI LIGURE</t>
  </si>
  <si>
    <t>406-5450201-6230726</t>
  </si>
  <si>
    <t>2024-01-10T22:37:49+00:00</t>
  </si>
  <si>
    <t>2024-01-11T12:57:59+00:00</t>
  </si>
  <si>
    <t>Caposele</t>
  </si>
  <si>
    <t>406-3095492-1023524</t>
  </si>
  <si>
    <t>2024-01-10T22:08:39+00:00</t>
  </si>
  <si>
    <t>2024-01-11T17:24:47+00:00</t>
  </si>
  <si>
    <t>Clitumno</t>
  </si>
  <si>
    <t>404-8811302-8993909</t>
  </si>
  <si>
    <t>2024-01-10T22:02:18+00:00</t>
  </si>
  <si>
    <t>2024-01-11T12:18:58+00:00</t>
  </si>
  <si>
    <t>Rezzonico</t>
  </si>
  <si>
    <t>171-7247616-6569100</t>
  </si>
  <si>
    <t>2024-01-10T21:18:00+00:00</t>
  </si>
  <si>
    <t>2024-01-11T12:58:01+00:00</t>
  </si>
  <si>
    <t>402-3530782-1521956</t>
  </si>
  <si>
    <t>2024-01-10T19:51:25+00:00</t>
  </si>
  <si>
    <t>2024-01-11T04:50:40+00:00</t>
  </si>
  <si>
    <t>Fiastra</t>
  </si>
  <si>
    <t>406-4022731-6173134</t>
  </si>
  <si>
    <t>2024-01-10T19:46:49+00:00</t>
  </si>
  <si>
    <t>2024-01-11T12:59:09+00:00</t>
  </si>
  <si>
    <t>ITALIA</t>
  </si>
  <si>
    <t>402-6447036-0394730</t>
  </si>
  <si>
    <t>2024-01-10T18:51:31+00:00</t>
  </si>
  <si>
    <t>2024-01-11T07:47:20+00:00</t>
  </si>
  <si>
    <t>Chiusa Sclafani</t>
  </si>
  <si>
    <t>405-2932221-1448343</t>
  </si>
  <si>
    <t>2024-01-10T18:11:18+00:00</t>
  </si>
  <si>
    <t>2024-01-11T15:52:57+00:00</t>
  </si>
  <si>
    <t>407-4830266-8218741</t>
  </si>
  <si>
    <t>2024-01-10T17:45:40+00:00</t>
  </si>
  <si>
    <t>2024-01-11T12:58:02+00:00</t>
  </si>
  <si>
    <t>404-6022033-5147511</t>
  </si>
  <si>
    <t>2024-01-10T17:31:24+00:00</t>
  </si>
  <si>
    <t>2024-01-11T12:18:57+00:00</t>
  </si>
  <si>
    <t>Barletta</t>
  </si>
  <si>
    <t>408-9900853-6727533</t>
  </si>
  <si>
    <t>2024-01-10T17:29:23+00:00</t>
  </si>
  <si>
    <t>2024-01-10T23:11:15+00:00</t>
  </si>
  <si>
    <t>403-9441389-4676310</t>
  </si>
  <si>
    <t>2024-01-10T15:30:30+00:00</t>
  </si>
  <si>
    <t>2024-02-08T09:50:14+00:00</t>
  </si>
  <si>
    <t>403-4514708-4026738</t>
  </si>
  <si>
    <t>2024-01-10T15:26:11+00:00</t>
  </si>
  <si>
    <t>2024-01-10T23:12:27+00:00</t>
  </si>
  <si>
    <t>408-4171195-8930742</t>
  </si>
  <si>
    <t>2024-01-10T14:09:53+00:00</t>
  </si>
  <si>
    <t>2024-01-12T08:37:30+00:00</t>
  </si>
  <si>
    <t>Agira</t>
  </si>
  <si>
    <t>405-4313774-4279557</t>
  </si>
  <si>
    <t>2024-01-10T13:59:16+00:00</t>
  </si>
  <si>
    <t>2024-01-11T12:20:50+00:00</t>
  </si>
  <si>
    <t>406-1751340-7950733</t>
  </si>
  <si>
    <t>2024-01-10T13:27:05+00:00</t>
  </si>
  <si>
    <t>2024-01-11T15:52:55+00:00</t>
  </si>
  <si>
    <t>408-0167793-9270756</t>
  </si>
  <si>
    <t>2024-01-10T12:16:39+00:00</t>
  </si>
  <si>
    <t>2024-01-12T18:46:36+00:00</t>
  </si>
  <si>
    <t>171-3189473-7208301</t>
  </si>
  <si>
    <t>2024-01-10T12:13:51+00:00</t>
  </si>
  <si>
    <t>2024-01-11T12:00:10+00:00</t>
  </si>
  <si>
    <t>Carpaneto piacentino</t>
  </si>
  <si>
    <t>406-0161332-2145124</t>
  </si>
  <si>
    <t>2024-01-10T11:55:18+00:00</t>
  </si>
  <si>
    <t>2024-01-14T16:00:34+00:00</t>
  </si>
  <si>
    <t>SCHIO</t>
  </si>
  <si>
    <t>407-1795351-7405934</t>
  </si>
  <si>
    <t>2024-01-10T11:35:20+00:00</t>
  </si>
  <si>
    <t>2024-01-12T13:46:49+00:00</t>
  </si>
  <si>
    <t>Senago</t>
  </si>
  <si>
    <t>408-7040093-3843558</t>
  </si>
  <si>
    <t>2024-01-10T10:44:35+00:00</t>
  </si>
  <si>
    <t>CASTEL MAGGIORE</t>
  </si>
  <si>
    <t>171-7288181-2853115</t>
  </si>
  <si>
    <t>2024-01-10T09:38:21+00:00</t>
  </si>
  <si>
    <t>2024-01-10T20:16:17+00:00</t>
  </si>
  <si>
    <t>171-4538768-4349909</t>
  </si>
  <si>
    <t>2024-01-10T09:33:58+00:00</t>
  </si>
  <si>
    <t>2024-01-10T17:22:48+00:00</t>
  </si>
  <si>
    <t>PAVIA</t>
  </si>
  <si>
    <t>404-6886760-0428347</t>
  </si>
  <si>
    <t>2024-01-10T09:19:58+00:00</t>
  </si>
  <si>
    <t>2024-01-11T12:59:08+00:00</t>
  </si>
  <si>
    <t>MNDGRL54B24B474N</t>
  </si>
  <si>
    <t>171-8224559-7083525</t>
  </si>
  <si>
    <t>2024-01-10T09:04:58+00:00</t>
  </si>
  <si>
    <t>2024-01-13T11:04:14+00:00</t>
  </si>
  <si>
    <t>Forlimpopoli</t>
  </si>
  <si>
    <t>407-8191098-4913945</t>
  </si>
  <si>
    <t>2024-01-10T09:03:33+00:00</t>
  </si>
  <si>
    <t>2024-01-13T11:26:39+00:00</t>
  </si>
  <si>
    <t>407-4559303-5744341</t>
  </si>
  <si>
    <t>2024-01-10T08:25:08+00:00</t>
  </si>
  <si>
    <t>2024-01-10T15:46:49+00:00</t>
  </si>
  <si>
    <t>Valperga</t>
  </si>
  <si>
    <t>407-8390609-7679528</t>
  </si>
  <si>
    <t>2024-01-10T08:20:07+00:00</t>
  </si>
  <si>
    <t>2024-01-12T00:37:09+00:00</t>
  </si>
  <si>
    <t>Saccolongo</t>
  </si>
  <si>
    <t>408-7079935-0010729</t>
  </si>
  <si>
    <t>2024-01-10T08:01:49+00:00</t>
  </si>
  <si>
    <t>2024-01-11T12:18:59+00:00</t>
  </si>
  <si>
    <t>403-3917418-2941106</t>
  </si>
  <si>
    <t>2024-01-10T07:28:36+00:00</t>
  </si>
  <si>
    <t>2024-01-11T11:59:23+00:00</t>
  </si>
  <si>
    <t>402-5209169-7710764</t>
  </si>
  <si>
    <t>2024-01-10T07:12:33+00:00</t>
  </si>
  <si>
    <t>2024-01-11T02:22:04+00:00</t>
  </si>
  <si>
    <t>405-0165842-9649948</t>
  </si>
  <si>
    <t>2024-01-10T05:41:01+00:00</t>
  </si>
  <si>
    <t>2024-01-10T21:28:42+00:00</t>
  </si>
  <si>
    <t>407-9308864-8554756</t>
  </si>
  <si>
    <t>2024-01-09T22:33:37+00:00</t>
  </si>
  <si>
    <t>2024-01-13T02:39:02+00:00</t>
  </si>
  <si>
    <t>Civitavecchia</t>
  </si>
  <si>
    <t>403-8285493-8993959</t>
  </si>
  <si>
    <t>2024-01-09T22:22:55+00:00</t>
  </si>
  <si>
    <t>2024-01-10T17:26:55+00:00</t>
  </si>
  <si>
    <t>Monteroni di Lecce</t>
  </si>
  <si>
    <t>405-5588114-6604364</t>
  </si>
  <si>
    <t>2024-01-09T21:54:54+00:00</t>
  </si>
  <si>
    <t>2024-01-10T01:26:45+00:00</t>
  </si>
  <si>
    <t>404-7575352-6021169</t>
  </si>
  <si>
    <t>2024-01-09T21:40:16+00:00</t>
  </si>
  <si>
    <t>2024-01-09T21:44:32+00:00</t>
  </si>
  <si>
    <t>Marino</t>
  </si>
  <si>
    <t>404-3937956-0340338</t>
  </si>
  <si>
    <t>2024-01-09T21:38:09+00:00</t>
  </si>
  <si>
    <t>2024-01-10T13:12:08+00:00</t>
  </si>
  <si>
    <t>BEPER C206UTI002 Monouso Set 100 Sacchetti-Copriscarpe da Casa o Lavoro, ABS, Blu, Taglia Unica, unità</t>
  </si>
  <si>
    <t>Ostuni</t>
  </si>
  <si>
    <t>403-6678998-2517963</t>
  </si>
  <si>
    <t>2024-01-09T21:35:06+00:00</t>
  </si>
  <si>
    <t>2024-01-10T12:06:26+00:00</t>
  </si>
  <si>
    <t>ASCOLI PICENO</t>
  </si>
  <si>
    <t>IT02211650441</t>
  </si>
  <si>
    <t>402-3824131-7813906</t>
  </si>
  <si>
    <t>2024-01-09T21:31:56+00:00</t>
  </si>
  <si>
    <t>2024-03-10T16:08:57+00:00</t>
  </si>
  <si>
    <t>171-6456180-3641950</t>
  </si>
  <si>
    <t>2024-01-09T21:26:38+00:00</t>
  </si>
  <si>
    <t>2024-01-10T12:03:03+00:00</t>
  </si>
  <si>
    <t>Flumeri</t>
  </si>
  <si>
    <t>403-8605613-3622702</t>
  </si>
  <si>
    <t>2024-01-09T21:24:40+00:00</t>
  </si>
  <si>
    <t>2024-01-10T12:03:06+00:00</t>
  </si>
  <si>
    <t>Sant'Anna Marrubiu</t>
  </si>
  <si>
    <t>408-7810133-7012353</t>
  </si>
  <si>
    <t>2024-01-09T21:09:53+00:00</t>
  </si>
  <si>
    <t>2024-01-11T11:15:39+00:00</t>
  </si>
  <si>
    <t>407-9015879-5586745</t>
  </si>
  <si>
    <t>2024-01-09T20:42:59+00:00</t>
  </si>
  <si>
    <t>2024-01-10T13:12:13+00:00</t>
  </si>
  <si>
    <t>SAN DONATO MILANESE</t>
  </si>
  <si>
    <t>408-7008271-2958747</t>
  </si>
  <si>
    <t>2024-01-09T20:41:00+00:00</t>
  </si>
  <si>
    <t>2024-01-10T12:33:03+00:00</t>
  </si>
  <si>
    <t>406-2424977-7929142</t>
  </si>
  <si>
    <t>2024-01-09T19:53:03+00:00</t>
  </si>
  <si>
    <t>2024-01-10T12:03:15+00:00</t>
  </si>
  <si>
    <t>foiano della chiana</t>
  </si>
  <si>
    <t>403-3687331-5166724</t>
  </si>
  <si>
    <t>2024-01-09T18:06:58+00:00</t>
  </si>
  <si>
    <t>2024-01-10T15:49:18+00:00</t>
  </si>
  <si>
    <t>busseto</t>
  </si>
  <si>
    <t>pr</t>
  </si>
  <si>
    <t>403-1673712-4126765</t>
  </si>
  <si>
    <t>2024-01-09T16:43:26+00:00</t>
  </si>
  <si>
    <t>406-0781814-3883566</t>
  </si>
  <si>
    <t>2024-01-09T16:18:56+00:00</t>
  </si>
  <si>
    <t>2024-01-10T06:32:57+00:00</t>
  </si>
  <si>
    <t>Brinzio, Italy</t>
  </si>
  <si>
    <t>407-1056670-9173941</t>
  </si>
  <si>
    <t>2024-01-09T15:55:44+00:00</t>
  </si>
  <si>
    <t>2024-01-10T06:23:00+00:00</t>
  </si>
  <si>
    <t>407-3990509-3036359</t>
  </si>
  <si>
    <t>2024-01-09T14:57:08+00:00</t>
  </si>
  <si>
    <t>2024-01-09T23:44:49+00:00</t>
  </si>
  <si>
    <t>171-4681150-5394754</t>
  </si>
  <si>
    <t>2024-01-09T14:11:27+00:00</t>
  </si>
  <si>
    <t>2024-01-09T19:48:11+00:00</t>
  </si>
  <si>
    <t>404-9145495-8001936</t>
  </si>
  <si>
    <t>2024-01-09T14:01:30+00:00</t>
  </si>
  <si>
    <t>2024-01-11T17:25:25+00:00</t>
  </si>
  <si>
    <t>404-1391871-1598700</t>
  </si>
  <si>
    <t>2024-01-09T13:54:53+00:00</t>
  </si>
  <si>
    <t>Gallicano</t>
  </si>
  <si>
    <t>IT02445970466</t>
  </si>
  <si>
    <t>403-6770832-4662765</t>
  </si>
  <si>
    <t>2024-01-09T13:45:03+00:00</t>
  </si>
  <si>
    <t>2024-01-10T13:13:47+00:00</t>
  </si>
  <si>
    <t>Sorisole</t>
  </si>
  <si>
    <t>405-8325170-5458723</t>
  </si>
  <si>
    <t>2024-01-09T13:25:47+00:00</t>
  </si>
  <si>
    <t>2024-01-09T21:33:21+00:00</t>
  </si>
  <si>
    <t>402-4680326-7581912</t>
  </si>
  <si>
    <t>2024-01-09T12:48:44+00:00</t>
  </si>
  <si>
    <t>2024-01-10T12:06:20+00:00</t>
  </si>
  <si>
    <t>IT02491090391</t>
  </si>
  <si>
    <t>403-0396080-0485922</t>
  </si>
  <si>
    <t>2024-01-09T12:05:34+00:00</t>
  </si>
  <si>
    <t>2024-01-09T18:33:44+00:00</t>
  </si>
  <si>
    <t>406-4895107-3573928</t>
  </si>
  <si>
    <t>2024-01-09T11:12:41+00:00</t>
  </si>
  <si>
    <t>2024-01-10T06:24:55+00:00</t>
  </si>
  <si>
    <t>FOEN</t>
  </si>
  <si>
    <t>406-7006420-5207516</t>
  </si>
  <si>
    <t>2024-01-09T10:42:50+00:00</t>
  </si>
  <si>
    <t>2024-01-10T13:22:21+00:00</t>
  </si>
  <si>
    <t>DCPNGL74C51Z114N</t>
  </si>
  <si>
    <t>403-5158228-6932316</t>
  </si>
  <si>
    <t>2024-01-09T09:56:08+00:00</t>
  </si>
  <si>
    <t>2024-01-09T09:59:52+00:00</t>
  </si>
  <si>
    <t>402-7123069-4589932</t>
  </si>
  <si>
    <t>2024-01-09T09:38:52+00:00</t>
  </si>
  <si>
    <t>2024-01-09T13:20:40+00:00</t>
  </si>
  <si>
    <t>Alpago</t>
  </si>
  <si>
    <t>402-1681806-7905123</t>
  </si>
  <si>
    <t>2024-01-09T09:29:58+00:00</t>
  </si>
  <si>
    <t>2024-01-10T12:33:08+00:00</t>
  </si>
  <si>
    <t>GRIGNANO</t>
  </si>
  <si>
    <t>403-0919254-4265920</t>
  </si>
  <si>
    <t>2024-01-09T09:03:55+00:00</t>
  </si>
  <si>
    <t>2024-01-09T16:33:16+00:00</t>
  </si>
  <si>
    <t>405-6787881-9707549</t>
  </si>
  <si>
    <t>2024-01-09T08:23:38+00:00</t>
  </si>
  <si>
    <t>2024-01-09T23:25:08+00:00</t>
  </si>
  <si>
    <t>402-0730929-4489902</t>
  </si>
  <si>
    <t>2024-01-08T23:55:29+00:00</t>
  </si>
  <si>
    <t>2024-01-10T02:21:52+00:00</t>
  </si>
  <si>
    <t>RIO SALICETO</t>
  </si>
  <si>
    <t>404-9726585-6564364</t>
  </si>
  <si>
    <t>2024-01-08T23:48:31+00:00</t>
  </si>
  <si>
    <t>2024-01-09T20:32:35+00:00</t>
  </si>
  <si>
    <t>gaggiano</t>
  </si>
  <si>
    <t>404-6934103-9856369</t>
  </si>
  <si>
    <t>2024-01-08T22:16:54+00:00</t>
  </si>
  <si>
    <t>2024-01-09T09:16:29+00:00</t>
  </si>
  <si>
    <t>CREMONA</t>
  </si>
  <si>
    <t>402-1358588-9433148</t>
  </si>
  <si>
    <t>2024-01-08T21:23:11+00:00</t>
  </si>
  <si>
    <t>2024-01-09T09:31:49+00:00</t>
  </si>
  <si>
    <t>ARCENE</t>
  </si>
  <si>
    <t>403-7656596-2017167</t>
  </si>
  <si>
    <t>2024-01-08T21:17:18+00:00</t>
  </si>
  <si>
    <t>2024-01-09T09:01:51+00:00</t>
  </si>
  <si>
    <t>404-9498243-3932333</t>
  </si>
  <si>
    <t>2024-01-08T21:13:59+00:00</t>
  </si>
  <si>
    <t>2024-01-09T03:29:37+00:00</t>
  </si>
  <si>
    <t>San Giorgio delle Pertiche</t>
  </si>
  <si>
    <t>404-8939411-1106743</t>
  </si>
  <si>
    <t>2024-01-08T21:01:53+00:00</t>
  </si>
  <si>
    <t>2024-01-09T03:29:50+00:00</t>
  </si>
  <si>
    <t>405-7676774-7417163</t>
  </si>
  <si>
    <t>2024-01-08T20:10:00+00:00</t>
  </si>
  <si>
    <t>2024-01-11T15:57:29+00:00</t>
  </si>
  <si>
    <t>Borgo Virgilio</t>
  </si>
  <si>
    <t>404-5591043-3970760</t>
  </si>
  <si>
    <t>2024-01-08T19:53:29+00:00</t>
  </si>
  <si>
    <t>2024-01-09T17:39:07+00:00</t>
  </si>
  <si>
    <t>Castions Di Strada</t>
  </si>
  <si>
    <t>171-7972498-4016314</t>
  </si>
  <si>
    <t>2024-01-08T19:35:15+00:00</t>
  </si>
  <si>
    <t>2024-01-09T10:10:53+00:00</t>
  </si>
  <si>
    <t>403-1319292-5509947</t>
  </si>
  <si>
    <t>2024-01-08T18:43:13+00:00</t>
  </si>
  <si>
    <t>2024-01-09T10:10:54+00:00</t>
  </si>
  <si>
    <t>SACCA</t>
  </si>
  <si>
    <t>405-2840999-5683555</t>
  </si>
  <si>
    <t>2024-01-08T18:10:31+00:00</t>
  </si>
  <si>
    <t>2024-01-08T20:27:57+00:00</t>
  </si>
  <si>
    <t>NGLGTN74A21F839F</t>
  </si>
  <si>
    <t>407-7308906-2342753</t>
  </si>
  <si>
    <t>2024-01-08T18:07:27+00:00</t>
  </si>
  <si>
    <t>2024-01-09T10:10:52+00:00</t>
  </si>
  <si>
    <t>piana degli albanesi</t>
  </si>
  <si>
    <t>402-1413884-1922720</t>
  </si>
  <si>
    <t>2024-01-08T17:35:54+00:00</t>
  </si>
  <si>
    <t>2024-01-09T09:26:50+00:00</t>
  </si>
  <si>
    <t>Zogno</t>
  </si>
  <si>
    <t>405-5583606-2301168</t>
  </si>
  <si>
    <t>2024-01-08T16:52:22+00:00</t>
  </si>
  <si>
    <t>2024-01-09T03:28:08+00:00</t>
  </si>
  <si>
    <t>CAVALLINO - TREPOTI</t>
  </si>
  <si>
    <t>407-4416469-3269116</t>
  </si>
  <si>
    <t>2024-01-08T16:17:03+00:00</t>
  </si>
  <si>
    <t>2024-01-09T10:11:09+00:00</t>
  </si>
  <si>
    <t>408-0400012-0984307</t>
  </si>
  <si>
    <t>2024-01-08T16:08:52+00:00</t>
  </si>
  <si>
    <t>2024-01-09T10:21:59+00:00</t>
  </si>
  <si>
    <t>403-1469341-5654739</t>
  </si>
  <si>
    <t>2024-01-08T15:56:32+00:00</t>
  </si>
  <si>
    <t>2024-01-09T01:25:00+00:00</t>
  </si>
  <si>
    <t>Lariano</t>
  </si>
  <si>
    <t>406-0915025-3755527</t>
  </si>
  <si>
    <t>2024-01-08T15:53:56+00:00</t>
  </si>
  <si>
    <t>2024-01-08T20:28:28+00:00</t>
  </si>
  <si>
    <t>171-8476309-3130724</t>
  </si>
  <si>
    <t>2024-01-08T15:48:29+00:00</t>
  </si>
  <si>
    <t>2024-01-09T10:21:12+00:00</t>
  </si>
  <si>
    <t>San Martino Di Venezze</t>
  </si>
  <si>
    <t>402-0513933-7028345</t>
  </si>
  <si>
    <t>2024-01-08T15:46:35+00:00</t>
  </si>
  <si>
    <t>2024-01-08T18:18:21+00:00</t>
  </si>
  <si>
    <t>402-7593096-4761953</t>
  </si>
  <si>
    <t>2024-01-08T15:27:25+00:00</t>
  </si>
  <si>
    <t>2024-01-08T18:14:10+00:00</t>
  </si>
  <si>
    <t>Bussi sul Tirino</t>
  </si>
  <si>
    <t>171-2126567-7365126</t>
  </si>
  <si>
    <t>2024-01-08T15:19:19+00:00</t>
  </si>
  <si>
    <t>2024-01-09T09:20:05+00:00</t>
  </si>
  <si>
    <t>Lequile</t>
  </si>
  <si>
    <t>408-7196934-3164357</t>
  </si>
  <si>
    <t>2024-01-08T15:13:14+00:00</t>
  </si>
  <si>
    <t>2024-01-10T04:37:28+00:00</t>
  </si>
  <si>
    <t>408-6871628-7610734</t>
  </si>
  <si>
    <t>2024-01-08T15:09:38+00:00</t>
  </si>
  <si>
    <t>2024-01-09T20:58:04+00:00</t>
  </si>
  <si>
    <t>Silanus</t>
  </si>
  <si>
    <t>402-3887225-4342733</t>
  </si>
  <si>
    <t>2024-01-08T15:07:26+00:00</t>
  </si>
  <si>
    <t>407-5759673-4783500</t>
  </si>
  <si>
    <t>2024-01-08T14:45:55+00:00</t>
  </si>
  <si>
    <t>403-8579456-6397959</t>
  </si>
  <si>
    <t>2024-01-08T14:12:48+00:00</t>
  </si>
  <si>
    <t>2024-01-11T18:26:17+00:00</t>
  </si>
  <si>
    <t>PRATOVECCHIO</t>
  </si>
  <si>
    <t>402-1763403-3177110</t>
  </si>
  <si>
    <t>2024-01-08T13:28:50+00:00</t>
  </si>
  <si>
    <t>2024-01-09T09:12:12+00:00</t>
  </si>
  <si>
    <t>403-7612818-2437139</t>
  </si>
  <si>
    <t>2024-01-08T12:45:57+00:00</t>
  </si>
  <si>
    <t>2024-01-09T09:01:46+00:00</t>
  </si>
  <si>
    <t>BEPER P202VAL001 Scopa a Vapore e Pulitore a Vapore Completo di 10 Accessori per Tappeti, Divani, Pavimenti, Superfici</t>
  </si>
  <si>
    <t>171-3905954-2613153</t>
  </si>
  <si>
    <t>2024-01-08T12:44:56+00:00</t>
  </si>
  <si>
    <t>2024-01-08T20:35:52+00:00</t>
  </si>
  <si>
    <t>ARDEA</t>
  </si>
  <si>
    <t>403-2206350-8429147</t>
  </si>
  <si>
    <t>2024-01-08T12:38:26+00:00</t>
  </si>
  <si>
    <t>2024-01-08T12:43:36+00:00</t>
  </si>
  <si>
    <t>Bibbiena</t>
  </si>
  <si>
    <t>403-2189645-3606721</t>
  </si>
  <si>
    <t>2024-01-08T12:06:00+00:00</t>
  </si>
  <si>
    <t>2024-01-09T15:46:15+00:00</t>
  </si>
  <si>
    <t>402-2180069-9554733</t>
  </si>
  <si>
    <t>2024-01-08T11:38:55+00:00</t>
  </si>
  <si>
    <t>2024-01-09T10:10:51+00:00</t>
  </si>
  <si>
    <t>407-3208497-1890712</t>
  </si>
  <si>
    <t>2024-01-08T11:08:10+00:00</t>
  </si>
  <si>
    <t>Pulsano</t>
  </si>
  <si>
    <t>408-1859684-3037134</t>
  </si>
  <si>
    <t>2024-01-08T09:42:51+00:00</t>
  </si>
  <si>
    <t>2024-01-09T18:03:46+00:00</t>
  </si>
  <si>
    <t>Olgiate Comasco</t>
  </si>
  <si>
    <t>como</t>
  </si>
  <si>
    <t>403-3706701-9740362</t>
  </si>
  <si>
    <t>2024-01-08T09:13:59+00:00</t>
  </si>
  <si>
    <t>2024-01-08T19:31:52+00:00</t>
  </si>
  <si>
    <t>Olevano romano</t>
  </si>
  <si>
    <t>402-5540219-8548353</t>
  </si>
  <si>
    <t>2024-01-08T09:06:55+00:00</t>
  </si>
  <si>
    <t>2024-01-09T05:15:51+00:00</t>
  </si>
  <si>
    <t>Montjovet</t>
  </si>
  <si>
    <t>406-4696007-5387522</t>
  </si>
  <si>
    <t>2024-01-08T08:13:55+00:00</t>
  </si>
  <si>
    <t>2024-01-09T09:31:50+00:00</t>
  </si>
  <si>
    <t>404-6655956-5391526</t>
  </si>
  <si>
    <t>2024-01-08T08:00:50+00:00</t>
  </si>
  <si>
    <t>2024-01-09T09:42:42+00:00</t>
  </si>
  <si>
    <t>404-5487996-3893147</t>
  </si>
  <si>
    <t>2024-01-08T07:44:06+00:00</t>
  </si>
  <si>
    <t>2024-01-08T18:16:39+00:00</t>
  </si>
  <si>
    <t>407-2266530-2669105</t>
  </si>
  <si>
    <t>2024-01-08T06:33:48+00:00</t>
  </si>
  <si>
    <t>2024-01-08T07:58:48+00:00</t>
  </si>
  <si>
    <t>Quartucciu</t>
  </si>
  <si>
    <t>407-6935023-6277132</t>
  </si>
  <si>
    <t>2024-01-07T21:06:31+00:00</t>
  </si>
  <si>
    <t>2024-01-08T15:45:02+00:00</t>
  </si>
  <si>
    <t>EN</t>
  </si>
  <si>
    <t>IT01305340869</t>
  </si>
  <si>
    <t>171-2391050-9986760</t>
  </si>
  <si>
    <t>2024-01-07T20:46:47+00:00</t>
  </si>
  <si>
    <t>2024-01-08T15:51:31+00:00</t>
  </si>
  <si>
    <t>406-5827639-1961142</t>
  </si>
  <si>
    <t>2024-01-07T20:30:07+00:00</t>
  </si>
  <si>
    <t>2024-01-08T18:15:28+00:00</t>
  </si>
  <si>
    <t>FG</t>
  </si>
  <si>
    <t>405-0430015-8983548</t>
  </si>
  <si>
    <t>2024-01-07T20:23:15+00:00</t>
  </si>
  <si>
    <t>2024-01-08T16:54:04+00:00</t>
  </si>
  <si>
    <t>VILLA ADRIANA</t>
  </si>
  <si>
    <t>171-9114296-6510717</t>
  </si>
  <si>
    <t>2024-01-07T20:21:21+00:00</t>
  </si>
  <si>
    <t>2024-01-10T19:12:24+00:00</t>
  </si>
  <si>
    <t>ACQUAVIVA DELLE FONTI</t>
  </si>
  <si>
    <t>408-0990314-5205152</t>
  </si>
  <si>
    <t>2024-01-07T20:07:23+00:00</t>
  </si>
  <si>
    <t>2024-01-16T09:15:17+00:00</t>
  </si>
  <si>
    <t>RIVALTA DI TORINO</t>
  </si>
  <si>
    <t>407-1175743-6617116</t>
  </si>
  <si>
    <t>2024-01-07T19:49:01+00:00</t>
  </si>
  <si>
    <t>2024-01-08T16:56:16+00:00</t>
  </si>
  <si>
    <t>BIVIGLIANO</t>
  </si>
  <si>
    <t>406-5082480-2438710</t>
  </si>
  <si>
    <t>2024-01-07T19:47:33+00:00</t>
  </si>
  <si>
    <t>2024-01-09T21:10:14+00:00</t>
  </si>
  <si>
    <t>402-4404021-3836353</t>
  </si>
  <si>
    <t>2024-01-07T18:21:53+00:00</t>
  </si>
  <si>
    <t>2024-01-08T11:14:45+00:00</t>
  </si>
  <si>
    <t>IT04750550826</t>
  </si>
  <si>
    <t>403-4554907-0676324</t>
  </si>
  <si>
    <t>2024-01-07T18:19:09+00:00</t>
  </si>
  <si>
    <t>2024-01-08T19:00:56+00:00</t>
  </si>
  <si>
    <t>Olbia</t>
  </si>
  <si>
    <t>171-4755063-7255532</t>
  </si>
  <si>
    <t>2024-01-07T18:12:59+00:00</t>
  </si>
  <si>
    <t>2024-01-08T16:54:05+00:00</t>
  </si>
  <si>
    <t>Villadossola</t>
  </si>
  <si>
    <t>Verbano-Cusio-Ossola</t>
  </si>
  <si>
    <t>407-6989101-8974763</t>
  </si>
  <si>
    <t>2024-01-07T17:33:39+00:00</t>
  </si>
  <si>
    <t>2024-01-10T19:32:22+00:00</t>
  </si>
  <si>
    <t>402-9052540-6114754</t>
  </si>
  <si>
    <t>2024-01-07T16:53:19+00:00</t>
  </si>
  <si>
    <t>2024-01-07T21:40:30+00:00</t>
  </si>
  <si>
    <t>budrio loc. vedrana</t>
  </si>
  <si>
    <t>bo</t>
  </si>
  <si>
    <t>171-6552656-7071525</t>
  </si>
  <si>
    <t>2024-01-07T16:37:28+00:00</t>
  </si>
  <si>
    <t>Fucecchio</t>
  </si>
  <si>
    <t>171-4720717-5243541</t>
  </si>
  <si>
    <t>2024-01-07T15:53:13+00:00</t>
  </si>
  <si>
    <t>2024-01-08T15:45:07+00:00</t>
  </si>
  <si>
    <t>San Pietro in casale</t>
  </si>
  <si>
    <t>407-4972583-3390728</t>
  </si>
  <si>
    <t>2024-01-07T15:30:22+00:00</t>
  </si>
  <si>
    <t>2024-01-08T15:56:33+00:00</t>
  </si>
  <si>
    <t>VALROVINA</t>
  </si>
  <si>
    <t>405-8507233-5627566</t>
  </si>
  <si>
    <t>2024-01-07T14:57:54+00:00</t>
  </si>
  <si>
    <t>2024-01-08T07:52:24+00:00</t>
  </si>
  <si>
    <t>405-1959432-5870748</t>
  </si>
  <si>
    <t>2024-01-07T13:31:52+00:00</t>
  </si>
  <si>
    <t>2024-01-08T16:54:07+00:00</t>
  </si>
  <si>
    <t>171-1526288-0333163</t>
  </si>
  <si>
    <t>2024-01-07T13:23:05+00:00</t>
  </si>
  <si>
    <t>2024-01-07T20:33:38+00:00</t>
  </si>
  <si>
    <t>Lastra a Signa</t>
  </si>
  <si>
    <t>403-0972418-3013962</t>
  </si>
  <si>
    <t>2024-01-07T12:45:03+00:00</t>
  </si>
  <si>
    <t>2024-01-08T16:54:03+00:00</t>
  </si>
  <si>
    <t>405-6653973-6573129</t>
  </si>
  <si>
    <t>2024-01-07T11:44:48+00:00</t>
  </si>
  <si>
    <t>2024-01-07T18:21:14+00:00</t>
  </si>
  <si>
    <t>405-8425535-6904313</t>
  </si>
  <si>
    <t>2024-01-07T11:33:15+00:00</t>
  </si>
  <si>
    <t>2024-01-08T16:18:07+00:00</t>
  </si>
  <si>
    <t>407-5121947-9731567</t>
  </si>
  <si>
    <t>2024-01-07T10:18:03+00:00</t>
  </si>
  <si>
    <t>2024-01-08T16:25:54+00:00</t>
  </si>
  <si>
    <t>404-6331382-5859508</t>
  </si>
  <si>
    <t>2024-01-07T09:40:33+00:00</t>
  </si>
  <si>
    <t>2024-01-08T00:29:01+00:00</t>
  </si>
  <si>
    <t>408-2644428-6819502</t>
  </si>
  <si>
    <t>2024-01-07T09:29:49+00:00</t>
  </si>
  <si>
    <t>405-8802712-4401126</t>
  </si>
  <si>
    <t>2024-01-07T08:16:16+00:00</t>
  </si>
  <si>
    <t>2024-01-08T07:22:34+00:00</t>
  </si>
  <si>
    <t>BETTOLA DI POZZO D'ADDA</t>
  </si>
  <si>
    <t>406-8467109-5995535</t>
  </si>
  <si>
    <t>2024-01-07T04:32:15+00:00</t>
  </si>
  <si>
    <t>2024-01-14T11:34:17+00:00</t>
  </si>
  <si>
    <t>408-6527970-5373108</t>
  </si>
  <si>
    <t>2024-01-06T22:33:12+00:00</t>
  </si>
  <si>
    <t>2024-01-07T18:20:29+00:00</t>
  </si>
  <si>
    <t>limbiate</t>
  </si>
  <si>
    <t>407-8074610-2921125</t>
  </si>
  <si>
    <t>2024-01-06T21:54:40+00:00</t>
  </si>
  <si>
    <t>2024-01-09T20:31:36+00:00</t>
  </si>
  <si>
    <t>171-1964951-4009909</t>
  </si>
  <si>
    <t>2024-01-06T21:32:42+00:00</t>
  </si>
  <si>
    <t>2024-01-08T16:55:05+00:00</t>
  </si>
  <si>
    <t>BEPER P102ROB001 Tritatutto in vetro, Contenitore in vetro, Corpo in Abs, Doppia coppia di lame in acciaio,2 velocità, base antiscivolo, Capacità di 1,5L, Grigio/Nero</t>
  </si>
  <si>
    <t>Potenza Picena</t>
  </si>
  <si>
    <t>171-7620031-4893900</t>
  </si>
  <si>
    <t>2024-01-06T20:59:02+00:00</t>
  </si>
  <si>
    <t>2024-01-08T01:19:15+00:00</t>
  </si>
  <si>
    <t>404-6216688-8377163</t>
  </si>
  <si>
    <t>2024-01-06T20:58:21+00:00</t>
  </si>
  <si>
    <t>capurso</t>
  </si>
  <si>
    <t>408-5772866-0009930</t>
  </si>
  <si>
    <t>2024-01-06T20:58:01+00:00</t>
  </si>
  <si>
    <t>2024-01-08T02:35:12+00:00</t>
  </si>
  <si>
    <t>406-4620753-1175560</t>
  </si>
  <si>
    <t>2024-01-06T20:55:09+00:00</t>
  </si>
  <si>
    <t>2024-01-08T16:54:11+00:00</t>
  </si>
  <si>
    <t>406-1511439-7862721</t>
  </si>
  <si>
    <t>2024-01-06T20:23:12+00:00</t>
  </si>
  <si>
    <t>2024-01-08T18:51:06+00:00</t>
  </si>
  <si>
    <t>406-8575205-3391518</t>
  </si>
  <si>
    <t>2024-01-06T20:06:56+00:00</t>
  </si>
  <si>
    <t>2024-01-09T20:45:41+00:00</t>
  </si>
  <si>
    <t>Rivoli</t>
  </si>
  <si>
    <t>405-6757271-3892367</t>
  </si>
  <si>
    <t>2024-01-06T19:59:33+00:00</t>
  </si>
  <si>
    <t>2024-01-08T00:28:27+00:00</t>
  </si>
  <si>
    <t>171-9268338-7969965</t>
  </si>
  <si>
    <t>2024-01-06T19:51:45+00:00</t>
  </si>
  <si>
    <t>404-9630977-4017914</t>
  </si>
  <si>
    <t>2024-01-06T19:51:41+00:00</t>
  </si>
  <si>
    <t>2024-01-07T21:39:01+00:00</t>
  </si>
  <si>
    <t>405-1046072-3025156</t>
  </si>
  <si>
    <t>2024-01-06T19:31:39+00:00</t>
  </si>
  <si>
    <t>2024-01-07T16:18:14+00:00</t>
  </si>
  <si>
    <t>402-4847040-3249910</t>
  </si>
  <si>
    <t>2024-01-06T19:29:09+00:00</t>
  </si>
  <si>
    <t>2024-01-08T03:41:06+00:00</t>
  </si>
  <si>
    <t>405-8137891-0881136</t>
  </si>
  <si>
    <t>2024-01-06T19:10:11+00:00</t>
  </si>
  <si>
    <t>2024-01-07T17:17:44+00:00</t>
  </si>
  <si>
    <t>403-1641142-0141149</t>
  </si>
  <si>
    <t>2024-01-06T18:47:38+00:00</t>
  </si>
  <si>
    <t>2024-01-07T19:02:08+00:00</t>
  </si>
  <si>
    <t>San Quirico D'orcia</t>
  </si>
  <si>
    <t>406-9814238-8309123</t>
  </si>
  <si>
    <t>2024-01-06T18:35:20+00:00</t>
  </si>
  <si>
    <t>Cerro Maggiore</t>
  </si>
  <si>
    <t>405-2904142-0478768</t>
  </si>
  <si>
    <t>2024-01-06T18:11:52+00:00</t>
  </si>
  <si>
    <t>2024-01-09T09:25:51+00:00</t>
  </si>
  <si>
    <t>Narni</t>
  </si>
  <si>
    <t>403-7882845-3873939</t>
  </si>
  <si>
    <t>2024-01-06T17:06:12+00:00</t>
  </si>
  <si>
    <t>2024-01-07T17:17:03+00:00</t>
  </si>
  <si>
    <t>BUSSANA</t>
  </si>
  <si>
    <t>403-7777678-8527565</t>
  </si>
  <si>
    <t>2024-01-06T16:34:31+00:00</t>
  </si>
  <si>
    <t>2024-01-07T08:55:51+00:00</t>
  </si>
  <si>
    <t>Terlago</t>
  </si>
  <si>
    <t>408-8334566-3137968</t>
  </si>
  <si>
    <t>2024-01-06T16:33:03+00:00</t>
  </si>
  <si>
    <t>2024-01-08T20:28:01+00:00</t>
  </si>
  <si>
    <t>BRINDISI</t>
  </si>
  <si>
    <t>171-5289649-7419567</t>
  </si>
  <si>
    <t>2024-01-06T16:31:33+00:00</t>
  </si>
  <si>
    <t>408-5804486-7170707</t>
  </si>
  <si>
    <t>2024-01-06T16:21:36+00:00</t>
  </si>
  <si>
    <t>2024-01-08T17:05:00+00:00</t>
  </si>
  <si>
    <t>Formia</t>
  </si>
  <si>
    <t>Lt</t>
  </si>
  <si>
    <t>406-1625706-3044302</t>
  </si>
  <si>
    <t>2024-01-06T16:13:22+00:00</t>
  </si>
  <si>
    <t>2024-01-07T13:24:21+00:00</t>
  </si>
  <si>
    <t>403-2747930-7966727</t>
  </si>
  <si>
    <t>2024-01-06T15:57:37+00:00</t>
  </si>
  <si>
    <t>Marina di Camerota</t>
  </si>
  <si>
    <t>403-4231452-5137156</t>
  </si>
  <si>
    <t>2024-01-06T15:50:48+00:00</t>
  </si>
  <si>
    <t>2024-01-08T16:20:55+00:00</t>
  </si>
  <si>
    <t>Fagnano olona</t>
  </si>
  <si>
    <t>171-2691185-7975536</t>
  </si>
  <si>
    <t>2024-01-06T15:24:47+00:00</t>
  </si>
  <si>
    <t>2024-01-07T20:53:45+00:00</t>
  </si>
  <si>
    <t>Montefiascone</t>
  </si>
  <si>
    <t>402-0540909-9894714</t>
  </si>
  <si>
    <t>2024-01-06T14:32:44+00:00</t>
  </si>
  <si>
    <t>2024-01-08T16:54:22+00:00</t>
  </si>
  <si>
    <t>404-3889079-6268332</t>
  </si>
  <si>
    <t>2024-01-06T13:25:14+00:00</t>
  </si>
  <si>
    <t>2024-01-08T16:15:04+00:00</t>
  </si>
  <si>
    <t>Lauro</t>
  </si>
  <si>
    <t>171-6808984-4873966</t>
  </si>
  <si>
    <t>2024-01-06T13:11:38+00:00</t>
  </si>
  <si>
    <t>2024-01-07T12:34:14+00:00</t>
  </si>
  <si>
    <t>GRESSONEY-SAINT-JEAN</t>
  </si>
  <si>
    <t>404-7459533-9284368</t>
  </si>
  <si>
    <t>2024-01-06T11:03:11+00:00</t>
  </si>
  <si>
    <t>2024-01-07T21:28:13+00:00</t>
  </si>
  <si>
    <t>408-7810492-0675531</t>
  </si>
  <si>
    <t>2024-01-06T10:57:07+00:00</t>
  </si>
  <si>
    <t>2024-01-08T01:25:09+00:00</t>
  </si>
  <si>
    <t>404-6473027-6655551</t>
  </si>
  <si>
    <t>2024-01-06T10:47:42+00:00</t>
  </si>
  <si>
    <t>2024-01-08T16:26:12+00:00</t>
  </si>
  <si>
    <t>407-0602019-2940364</t>
  </si>
  <si>
    <t>2024-01-06T10:44:52+00:00</t>
  </si>
  <si>
    <t>2024-01-07T08:44:21+00:00</t>
  </si>
  <si>
    <t>402-5723275-0462714</t>
  </si>
  <si>
    <t>2024-01-06T10:39:39+00:00</t>
  </si>
  <si>
    <t>2024-01-07T12:11:01+00:00</t>
  </si>
  <si>
    <t>Dorno</t>
  </si>
  <si>
    <t>405-5431472-3770738</t>
  </si>
  <si>
    <t>2024-01-06T10:15:00+00:00</t>
  </si>
  <si>
    <t>2024-01-23T21:23:55+00:00</t>
  </si>
  <si>
    <t>404-9875775-2826759</t>
  </si>
  <si>
    <t>2024-01-06T09:38:54+00:00</t>
  </si>
  <si>
    <t>2024-01-07T11:18:48+00:00</t>
  </si>
  <si>
    <t>NAGO-TORBOLE</t>
  </si>
  <si>
    <t>171-0658018-9951563</t>
  </si>
  <si>
    <t>2024-01-06T09:16:43+00:00</t>
  </si>
  <si>
    <t>2024-01-07T16:06:28+00:00</t>
  </si>
  <si>
    <t>408-8723655-0773920</t>
  </si>
  <si>
    <t>2024-01-06T06:16:15+00:00</t>
  </si>
  <si>
    <t>2024-01-08T16:54:02+00:00</t>
  </si>
  <si>
    <t>Nonantola</t>
  </si>
  <si>
    <t>402-7949868-5075527</t>
  </si>
  <si>
    <t>2024-01-05T23:34:15+00:00</t>
  </si>
  <si>
    <t>2024-01-07T16:51:07+00:00</t>
  </si>
  <si>
    <t>Cotignola</t>
  </si>
  <si>
    <t>405-8241639-3995533</t>
  </si>
  <si>
    <t>2024-01-05T23:32:41+00:00</t>
  </si>
  <si>
    <t>2024-01-08T08:07:14+00:00</t>
  </si>
  <si>
    <t>VIGONE</t>
  </si>
  <si>
    <t>408-7659695-7186708</t>
  </si>
  <si>
    <t>2024-01-05T21:46:28+00:00</t>
  </si>
  <si>
    <t>2024-01-08T12:42:45+00:00</t>
  </si>
  <si>
    <t>eboli</t>
  </si>
  <si>
    <t>171-8940150-9996326</t>
  </si>
  <si>
    <t>2024-01-05T21:33:18+00:00</t>
  </si>
  <si>
    <t>2024-01-07T12:33:05+00:00</t>
  </si>
  <si>
    <t>402-2328363-2550730</t>
  </si>
  <si>
    <t>2024-01-05T21:28:15+00:00</t>
  </si>
  <si>
    <t>2024-01-07T13:15:07+00:00</t>
  </si>
  <si>
    <t>403-1312672-1440309</t>
  </si>
  <si>
    <t>2024-01-05T21:26:25+00:00</t>
  </si>
  <si>
    <t>2024-01-08T18:50:48+00:00</t>
  </si>
  <si>
    <t>Lomazzo</t>
  </si>
  <si>
    <t>408-5043899-9634723</t>
  </si>
  <si>
    <t>2024-01-05T20:34:10+00:00</t>
  </si>
  <si>
    <t>2024-01-07T11:46:49+00:00</t>
  </si>
  <si>
    <t>Presicce-Acquarica</t>
  </si>
  <si>
    <t>407-9961938-6321915</t>
  </si>
  <si>
    <t>2024-01-05T20:19:19+00:00</t>
  </si>
  <si>
    <t>2024-01-08T16:54:06+00:00</t>
  </si>
  <si>
    <t>408-1071135-2200302</t>
  </si>
  <si>
    <t>2024-01-05T19:44:49+00:00</t>
  </si>
  <si>
    <t>2024-01-08T17:05:23+00:00</t>
  </si>
  <si>
    <t>403-8779563-0680353</t>
  </si>
  <si>
    <t>2024-01-05T18:03:46+00:00</t>
  </si>
  <si>
    <t>2024-01-08T12:05:00+00:00</t>
  </si>
  <si>
    <t>SAN MARTINO DI CASTROZZA</t>
  </si>
  <si>
    <t>IT01251250229</t>
  </si>
  <si>
    <t>402-6510609-3625947</t>
  </si>
  <si>
    <t>2024-01-05T17:52:30+00:00</t>
  </si>
  <si>
    <t>2024-01-08T03:44:17+00:00</t>
  </si>
  <si>
    <t>LISSONE</t>
  </si>
  <si>
    <t>407-1097579-7199517</t>
  </si>
  <si>
    <t>2024-01-05T17:34:29+00:00</t>
  </si>
  <si>
    <t>2024-01-07T09:13:13+00:00</t>
  </si>
  <si>
    <t>405-8202639-4943501</t>
  </si>
  <si>
    <t>2024-01-05T16:54:45+00:00</t>
  </si>
  <si>
    <t>2024-01-08T17:04:56+00:00</t>
  </si>
  <si>
    <t>408-8405643-4226704</t>
  </si>
  <si>
    <t>2024-01-05T16:32:47+00:00</t>
  </si>
  <si>
    <t>2024-01-08T16:54:13+00:00</t>
  </si>
  <si>
    <t>tolfa</t>
  </si>
  <si>
    <t>404-6125187-8753941</t>
  </si>
  <si>
    <t>2024-01-05T16:25:52+00:00</t>
  </si>
  <si>
    <t>2024-01-07T18:19:41+00:00</t>
  </si>
  <si>
    <t>404-8249536-9534744</t>
  </si>
  <si>
    <t>2024-01-05T16:00:24+00:00</t>
  </si>
  <si>
    <t>2024-01-06T00:04:39+00:00</t>
  </si>
  <si>
    <t>Setteville nord Guidonia Montecelio</t>
  </si>
  <si>
    <t>406-1941953-2217115</t>
  </si>
  <si>
    <t>2024-01-05T16:00:22+00:00</t>
  </si>
  <si>
    <t>2024-01-05T20:29:43+00:00</t>
  </si>
  <si>
    <t>403-9057520-9839560</t>
  </si>
  <si>
    <t>2024-01-05T15:30:49+00:00</t>
  </si>
  <si>
    <t>2024-01-09T19:34:58+00:00</t>
  </si>
  <si>
    <t>402-4725748-3171559</t>
  </si>
  <si>
    <t>2024-01-05T15:26:47+00:00</t>
  </si>
  <si>
    <t>2024-01-05T18:18:48+00:00</t>
  </si>
  <si>
    <t>171-0706188-4508360</t>
  </si>
  <si>
    <t>2024-01-05T15:20:17+00:00</t>
  </si>
  <si>
    <t>2024-01-05T18:19:22+00:00</t>
  </si>
  <si>
    <t>407-0038532-2893105</t>
  </si>
  <si>
    <t>2024-01-05T15:18:46+00:00</t>
  </si>
  <si>
    <t>2024-01-07T09:54:34+00:00</t>
  </si>
  <si>
    <t>forio</t>
  </si>
  <si>
    <t>IT07009320636</t>
  </si>
  <si>
    <t>406-7519875-5152304</t>
  </si>
  <si>
    <t>2024-01-05T14:20:37+00:00</t>
  </si>
  <si>
    <t>2024-01-07T08:46:40+00:00</t>
  </si>
  <si>
    <t>San Michele al Tagliamento</t>
  </si>
  <si>
    <t>408-6140309-5750760</t>
  </si>
  <si>
    <t>2024-01-05T13:58:21+00:00</t>
  </si>
  <si>
    <t>2024-01-08T16:54:01+00:00</t>
  </si>
  <si>
    <t>piove di sacco</t>
  </si>
  <si>
    <t>pd</t>
  </si>
  <si>
    <t>404-0183138-6279561</t>
  </si>
  <si>
    <t>2024-01-05T13:49:34+00:00</t>
  </si>
  <si>
    <t>2024-01-07T11:08:56+00:00</t>
  </si>
  <si>
    <t>Mazze'</t>
  </si>
  <si>
    <t>408-0961261-6744345</t>
  </si>
  <si>
    <t>2024-01-05T13:29:29+00:00</t>
  </si>
  <si>
    <t>2024-01-07T12:18:49+00:00</t>
  </si>
  <si>
    <t>Orco Feglino</t>
  </si>
  <si>
    <t>Savona</t>
  </si>
  <si>
    <t>171-7645873-5176365</t>
  </si>
  <si>
    <t>2024-01-05T13:13:51+00:00</t>
  </si>
  <si>
    <t>2024-01-05T17:27:05+00:00</t>
  </si>
  <si>
    <t>406-0956592-5543516</t>
  </si>
  <si>
    <t>2024-01-05T12:32:14+00:00</t>
  </si>
  <si>
    <t>2024-01-08T15:55:58+00:00</t>
  </si>
  <si>
    <t>Piove di sacco</t>
  </si>
  <si>
    <t>406-4793354-1403536</t>
  </si>
  <si>
    <t>2024-01-05T12:20:30+00:00</t>
  </si>
  <si>
    <t>2024-01-05T23:11:53+00:00</t>
  </si>
  <si>
    <t>405-1716793-6914744</t>
  </si>
  <si>
    <t>2024-01-05T12:12:16+00:00</t>
  </si>
  <si>
    <t>2024-01-07T06:47:58+00:00</t>
  </si>
  <si>
    <t>cadoneghe</t>
  </si>
  <si>
    <t>406-8522173-5301113</t>
  </si>
  <si>
    <t>2024-01-05T11:28:54+00:00</t>
  </si>
  <si>
    <t>2024-01-08T16:05:55+00:00</t>
  </si>
  <si>
    <t>Luzzi</t>
  </si>
  <si>
    <t>171-2907203-8252360</t>
  </si>
  <si>
    <t>2024-01-05T11:11:05+00:00</t>
  </si>
  <si>
    <t>2024-01-05T20:29:47+00:00</t>
  </si>
  <si>
    <t>Lacchiarella</t>
  </si>
  <si>
    <t>407-6328358-7238738</t>
  </si>
  <si>
    <t>2024-01-05T11:00:52+00:00</t>
  </si>
  <si>
    <t>2024-01-07T18:18:52+00:00</t>
  </si>
  <si>
    <t>Capo Vaticano</t>
  </si>
  <si>
    <t>403-5685549-6513151</t>
  </si>
  <si>
    <t>2024-01-05T10:27:31+00:00</t>
  </si>
  <si>
    <t>2024-01-05T18:19:07+00:00</t>
  </si>
  <si>
    <t>IT12828861000</t>
  </si>
  <si>
    <t>406-6457002-1848325</t>
  </si>
  <si>
    <t>2024-01-05T10:19:44+00:00</t>
  </si>
  <si>
    <t>San Giorgio di piano</t>
  </si>
  <si>
    <t>171-3056523-1268363</t>
  </si>
  <si>
    <t>2024-01-05T08:54:50+00:00</t>
  </si>
  <si>
    <t>2024-01-05T09:04:38+00:00</t>
  </si>
  <si>
    <t>PONZANO VENETO</t>
  </si>
  <si>
    <t>VENETO</t>
  </si>
  <si>
    <t>IT04793090269</t>
  </si>
  <si>
    <t>171-9124608-5005141</t>
  </si>
  <si>
    <t>2024-01-05T08:54:40+00:00</t>
  </si>
  <si>
    <t>2024-01-08T08:02:53+00:00</t>
  </si>
  <si>
    <t>407-4274176-4864301</t>
  </si>
  <si>
    <t>2024-01-05T08:16:40+00:00</t>
  </si>
  <si>
    <t>2024-01-08T17:04:40+00:00</t>
  </si>
  <si>
    <t>407-0846142-3324354</t>
  </si>
  <si>
    <t>2024-01-04T21:50:10+00:00</t>
  </si>
  <si>
    <t>2024-01-05T21:29:37+00:00</t>
  </si>
  <si>
    <t>402-5800438-1135537</t>
  </si>
  <si>
    <t>2024-01-04T20:54:39+00:00</t>
  </si>
  <si>
    <t>2024-01-05T10:56:28+00:00</t>
  </si>
  <si>
    <t>406-4587120-5792302</t>
  </si>
  <si>
    <t>2024-01-04T20:30:18+00:00</t>
  </si>
  <si>
    <t>2024-01-12T18:23:09+00:00</t>
  </si>
  <si>
    <t>NOCI</t>
  </si>
  <si>
    <t>408-6523577-1956332</t>
  </si>
  <si>
    <t>2024-01-04T19:52:53+00:00</t>
  </si>
  <si>
    <t>2024-01-05T09:58:31+00:00</t>
  </si>
  <si>
    <t>406-1295477-4928319</t>
  </si>
  <si>
    <t>2024-01-04T19:24:12+00:00</t>
  </si>
  <si>
    <t>2024-01-05T09:47:22+00:00</t>
  </si>
  <si>
    <t>moncalvo</t>
  </si>
  <si>
    <t>403-7076649-6841146</t>
  </si>
  <si>
    <t>2024-01-04T19:07:19+00:00</t>
  </si>
  <si>
    <t>2024-01-17T09:33:08+00:00</t>
  </si>
  <si>
    <t>IT05684051211</t>
  </si>
  <si>
    <t>406-2806018-4915546</t>
  </si>
  <si>
    <t>2024-01-04T18:52:11+00:00</t>
  </si>
  <si>
    <t>2024-01-05T10:28:37+00:00</t>
  </si>
  <si>
    <t>407-1216996-2806706</t>
  </si>
  <si>
    <t>2024-01-04T18:05:02+00:00</t>
  </si>
  <si>
    <t>2024-01-05T10:08:27+00:00</t>
  </si>
  <si>
    <t>MAZZANO ROMANO</t>
  </si>
  <si>
    <t>403-8105314-3552325</t>
  </si>
  <si>
    <t>2024-01-04T17:24:35+00:00</t>
  </si>
  <si>
    <t>2024-01-05T09:48:38+00:00</t>
  </si>
  <si>
    <t>BAGNO A RIPOLI CANDELI</t>
  </si>
  <si>
    <t>IT04413050487</t>
  </si>
  <si>
    <t>402-1075362-2753936</t>
  </si>
  <si>
    <t>2024-01-04T17:02:42+00:00</t>
  </si>
  <si>
    <t>2024-01-05T10:27:53+00:00</t>
  </si>
  <si>
    <t>Paullo</t>
  </si>
  <si>
    <t>171-1192143-4485147</t>
  </si>
  <si>
    <t>2024-01-04T16:11:26+00:00</t>
  </si>
  <si>
    <t>2024-01-14T01:54:43+00:00</t>
  </si>
  <si>
    <t>408-2769969-6172337</t>
  </si>
  <si>
    <t>2024-01-04T15:51:12+00:00</t>
  </si>
  <si>
    <t>2024-01-05T09:47:27+00:00</t>
  </si>
  <si>
    <t>171-1646224-7226713</t>
  </si>
  <si>
    <t>2024-01-04T13:53:50+00:00</t>
  </si>
  <si>
    <t>2024-01-05T09:47:19+00:00</t>
  </si>
  <si>
    <t>SAN LEO</t>
  </si>
  <si>
    <t>408-5844012-6224347</t>
  </si>
  <si>
    <t>2024-01-04T13:43:05+00:00</t>
  </si>
  <si>
    <t>2024-01-05T10:56:24+00:00</t>
  </si>
  <si>
    <t>407-3503261-6333103</t>
  </si>
  <si>
    <t>2024-01-04T13:15:50+00:00</t>
  </si>
  <si>
    <t>2024-01-05T10:17:22+00:00</t>
  </si>
  <si>
    <t>407-7321930-8979514</t>
  </si>
  <si>
    <t>2024-01-04T13:04:19+00:00</t>
  </si>
  <si>
    <t>2024-01-04T13:05:34+00:00</t>
  </si>
  <si>
    <t>404-1711107-2095551</t>
  </si>
  <si>
    <t>2024-01-04T12:38:34+00:00</t>
  </si>
  <si>
    <t>2024-01-05T09:47:18+00:00</t>
  </si>
  <si>
    <t>San Pietro in Trento</t>
  </si>
  <si>
    <t>403-4302097-7630763</t>
  </si>
  <si>
    <t>2024-01-04T12:27:39+00:00</t>
  </si>
  <si>
    <t>2024-01-05T10:56:22+00:00</t>
  </si>
  <si>
    <t>Fiano</t>
  </si>
  <si>
    <t>406-2864259-7567559</t>
  </si>
  <si>
    <t>2024-01-04T11:38:26+00:00</t>
  </si>
  <si>
    <t>2024-01-05T10:56:26+00:00</t>
  </si>
  <si>
    <t>Carrara</t>
  </si>
  <si>
    <t>Ms</t>
  </si>
  <si>
    <t>402-8493005-3210714</t>
  </si>
  <si>
    <t>2024-01-04T10:39:09+00:00</t>
  </si>
  <si>
    <t>2024-01-05T10:56:27+00:00</t>
  </si>
  <si>
    <t>TERRANUOVA BRACCIOLINI</t>
  </si>
  <si>
    <t>AREZZO</t>
  </si>
  <si>
    <t>404-1511992-1408341</t>
  </si>
  <si>
    <t>2024-01-04T10:35:47+00:00</t>
  </si>
  <si>
    <t>2024-01-05T09:47:16+00:00</t>
  </si>
  <si>
    <t>ALA</t>
  </si>
  <si>
    <t>IT02405920220</t>
  </si>
  <si>
    <t>404-2968862-3120311</t>
  </si>
  <si>
    <t>2024-01-04T10:26:34+00:00</t>
  </si>
  <si>
    <t>2024-01-05T09:47:15+00:00</t>
  </si>
  <si>
    <t>IT03149130548</t>
  </si>
  <si>
    <t>402-8588284-3847501</t>
  </si>
  <si>
    <t>2024-01-04T10:14:35+00:00</t>
  </si>
  <si>
    <t>2024-01-05T10:56:23+00:00</t>
  </si>
  <si>
    <t>San Cesareo</t>
  </si>
  <si>
    <t>403-7684373-1135544</t>
  </si>
  <si>
    <t>2024-01-04T09:51:46+00:00</t>
  </si>
  <si>
    <t>2024-01-05T10:17:24+00:00</t>
  </si>
  <si>
    <t>402-7868842-0223554</t>
  </si>
  <si>
    <t>2024-01-04T09:42:20+00:00</t>
  </si>
  <si>
    <t>Pastrengo</t>
  </si>
  <si>
    <t>171-7314617-6791537</t>
  </si>
  <si>
    <t>2024-01-04T09:12:01+00:00</t>
  </si>
  <si>
    <t>COSENZA</t>
  </si>
  <si>
    <t>171-3747192-4822748</t>
  </si>
  <si>
    <t>2024-01-04T08:29:19+00:00</t>
  </si>
  <si>
    <t>2024-01-05T10:56:31+00:00</t>
  </si>
  <si>
    <t>408-6519884-7147531</t>
  </si>
  <si>
    <t>2024-01-04T08:09:02+00:00</t>
  </si>
  <si>
    <t>2024-02-19T15:52:30+00:00</t>
  </si>
  <si>
    <t>171-0586764-8242760</t>
  </si>
  <si>
    <t>2024-01-04T00:26:29+00:00</t>
  </si>
  <si>
    <t>2024-01-04T12:35:46+00:00</t>
  </si>
  <si>
    <t>Urbania</t>
  </si>
  <si>
    <t>405-9734942-6885926</t>
  </si>
  <si>
    <t>2024-01-03T22:52:32+00:00</t>
  </si>
  <si>
    <t>2024-01-04T12:34:32+00:00</t>
  </si>
  <si>
    <t>Andrano</t>
  </si>
  <si>
    <t>404-6753400-6636355</t>
  </si>
  <si>
    <t>2024-01-03T22:47:01+00:00</t>
  </si>
  <si>
    <t>2024-01-04T12:34:29+00:00</t>
  </si>
  <si>
    <t>Travagliato</t>
  </si>
  <si>
    <t>408-0912854-2466744</t>
  </si>
  <si>
    <t>2024-01-03T22:38:23+00:00</t>
  </si>
  <si>
    <t>2024-01-04T13:04:36+00:00</t>
  </si>
  <si>
    <t>Roncadelle</t>
  </si>
  <si>
    <t>404-1709467-8089959</t>
  </si>
  <si>
    <t>2024-01-03T22:02:32+00:00</t>
  </si>
  <si>
    <t>2024-01-04T13:43:34+00:00</t>
  </si>
  <si>
    <t>SESTO ULTERIANO</t>
  </si>
  <si>
    <t>404-7758844-1115527</t>
  </si>
  <si>
    <t>2024-01-03T21:46:43+00:00</t>
  </si>
  <si>
    <t>2024-01-05T12:34:37+00:00</t>
  </si>
  <si>
    <t>403-9064979-1141125</t>
  </si>
  <si>
    <t>2024-01-03T21:37:08+00:00</t>
  </si>
  <si>
    <t>Leggiuno</t>
  </si>
  <si>
    <t>404-2854695-2244328</t>
  </si>
  <si>
    <t>2024-01-03T21:32:31+00:00</t>
  </si>
  <si>
    <t>2024-01-04T13:43:36+00:00</t>
  </si>
  <si>
    <t>404-8914359-0525144</t>
  </si>
  <si>
    <t>2024-01-03T21:17:44+00:00</t>
  </si>
  <si>
    <t>2024-01-04T13:04:38+00:00</t>
  </si>
  <si>
    <t>Camponogara</t>
  </si>
  <si>
    <t>407-9787771-1169961</t>
  </si>
  <si>
    <t>2024-01-03T19:06:57+00:00</t>
  </si>
  <si>
    <t>Savignano sul Rubicone</t>
  </si>
  <si>
    <t>Italia/Forli-Cesena/Emilia-Romagna</t>
  </si>
  <si>
    <t>403-5064511-5641133</t>
  </si>
  <si>
    <t>2024-01-03T17:50:29+00:00</t>
  </si>
  <si>
    <t>2024-01-04T12:44:56+00:00</t>
  </si>
  <si>
    <t>IT14991541005</t>
  </si>
  <si>
    <t>171-3599754-5618703</t>
  </si>
  <si>
    <t>2024-01-03T17:29:40+00:00</t>
  </si>
  <si>
    <t>Orzinuovi</t>
  </si>
  <si>
    <t>407-7754444-2757912</t>
  </si>
  <si>
    <t>2024-01-03T16:57:42+00:00</t>
  </si>
  <si>
    <t>2024-01-04T13:04:33+00:00</t>
  </si>
  <si>
    <t>406-9992547-0411530</t>
  </si>
  <si>
    <t>2024-01-03T16:52:14+00:00</t>
  </si>
  <si>
    <t>2024-01-04T12:45:40+00:00</t>
  </si>
  <si>
    <t>CECCHINA</t>
  </si>
  <si>
    <t>402-2890702-4132354</t>
  </si>
  <si>
    <t>2024-01-03T16:31:32+00:00</t>
  </si>
  <si>
    <t>2024-01-04T12:36:43+00:00</t>
  </si>
  <si>
    <t>405-7869197-1851545</t>
  </si>
  <si>
    <t>2024-01-03T16:29:24+00:00</t>
  </si>
  <si>
    <t>2024-01-04T12:45:06+00:00</t>
  </si>
  <si>
    <t>Baragiano</t>
  </si>
  <si>
    <t>405-2572811-7837120</t>
  </si>
  <si>
    <t>2024-01-03T16:00:01+00:00</t>
  </si>
  <si>
    <t>404-2001288-8518707</t>
  </si>
  <si>
    <t>2024-01-03T15:54:24+00:00</t>
  </si>
  <si>
    <t>MALMANTILE</t>
  </si>
  <si>
    <t>171-2795085-9997959</t>
  </si>
  <si>
    <t>2024-01-03T15:54:02+00:00</t>
  </si>
  <si>
    <t>2024-01-04T13:43:41+00:00</t>
  </si>
  <si>
    <t>404-1666404-0640328</t>
  </si>
  <si>
    <t>2024-01-03T15:08:50+00:00</t>
  </si>
  <si>
    <t>2024-01-04T12:34:31+00:00</t>
  </si>
  <si>
    <t>IT10906000962</t>
  </si>
  <si>
    <t>407-6035590-2855528</t>
  </si>
  <si>
    <t>2024-01-03T15:03:14+00:00</t>
  </si>
  <si>
    <t>2024-01-04T13:04:37+00:00</t>
  </si>
  <si>
    <t>Marigliano</t>
  </si>
  <si>
    <t>171-5487535-7277959</t>
  </si>
  <si>
    <t>2024-01-03T14:59:18+00:00</t>
  </si>
  <si>
    <t>2024-01-04T13:43:39+00:00</t>
  </si>
  <si>
    <t>407-2372447-0720347</t>
  </si>
  <si>
    <t>2024-01-03T14:20:00+00:00</t>
  </si>
  <si>
    <t>2024-01-05T09:47:24+00:00</t>
  </si>
  <si>
    <t>CASTEL D'ARIO</t>
  </si>
  <si>
    <t>407-7534801-6449946</t>
  </si>
  <si>
    <t>2024-01-03T13:49:15+00:00</t>
  </si>
  <si>
    <t>2024-01-04T12:34:33+00:00</t>
  </si>
  <si>
    <t>IT16190631008</t>
  </si>
  <si>
    <t>402-9510845-1929165</t>
  </si>
  <si>
    <t>2024-01-03T13:38:22+00:00</t>
  </si>
  <si>
    <t>2024-01-04T13:04:32+00:00</t>
  </si>
  <si>
    <t>paterno</t>
  </si>
  <si>
    <t>402-0921021-7377956</t>
  </si>
  <si>
    <t>2024-01-03T13:36:32+00:00</t>
  </si>
  <si>
    <t>2024-01-04T13:04:35+00:00</t>
  </si>
  <si>
    <t>Tresivio</t>
  </si>
  <si>
    <t>402-6384663-1607556</t>
  </si>
  <si>
    <t>2024-01-03T12:30:53+00:00</t>
  </si>
  <si>
    <t>Favara</t>
  </si>
  <si>
    <t>171-5930832-3529156</t>
  </si>
  <si>
    <t>2024-01-03T12:28:40+00:00</t>
  </si>
  <si>
    <t>Cave</t>
  </si>
  <si>
    <t>408-9465841-3827502</t>
  </si>
  <si>
    <t>2024-01-03T12:26:03+00:00</t>
  </si>
  <si>
    <t>Casatenovo</t>
  </si>
  <si>
    <t>406-9705885-1880324</t>
  </si>
  <si>
    <t>2024-01-03T10:13:41+00:00</t>
  </si>
  <si>
    <t>2024-01-04T13:43:38+00:00</t>
  </si>
  <si>
    <t>406-3263409-3089109</t>
  </si>
  <si>
    <t>2024-01-03T10:12:50+00:00</t>
  </si>
  <si>
    <t>2024-01-04T13:06:27+00:00</t>
  </si>
  <si>
    <t>Civitaquana</t>
  </si>
  <si>
    <t>408-8260120-5829106</t>
  </si>
  <si>
    <t>2024-01-03T09:51:05+00:00</t>
  </si>
  <si>
    <t>2024-01-04T12:34:34+00:00</t>
  </si>
  <si>
    <t>GEMINI</t>
  </si>
  <si>
    <t>406-6938016-1937140</t>
  </si>
  <si>
    <t>2024-01-03T09:19:27+00:00</t>
  </si>
  <si>
    <t>2024-01-04T13:43:37+00:00</t>
  </si>
  <si>
    <t>Noepoli</t>
  </si>
  <si>
    <t>Italia, Potenza, Basilicata</t>
  </si>
  <si>
    <t>404-4856587-5345934</t>
  </si>
  <si>
    <t>2024-01-03T09:14:38+00:00</t>
  </si>
  <si>
    <t>2024-01-04T13:06:59+00:00</t>
  </si>
  <si>
    <t>407-3479390-9135534</t>
  </si>
  <si>
    <t>2024-01-03T09:04:46+00:00</t>
  </si>
  <si>
    <t>LIDO DI CAMAIORE</t>
  </si>
  <si>
    <t>405-4757326-6777136</t>
  </si>
  <si>
    <t>2024-01-03T09:01:59+00:00</t>
  </si>
  <si>
    <t>2024-01-04T12:34:36+00:00</t>
  </si>
  <si>
    <t>BEPER 40.979 Asciugacapelli 2000 Watt, con Diffusore e Concentratore inclusi, Manico antiscivolo, Nero</t>
  </si>
  <si>
    <t>406-7112508-2511531</t>
  </si>
  <si>
    <t>2024-01-03T08:40:12+00:00</t>
  </si>
  <si>
    <t>2024-01-17T09:42:37+00:00</t>
  </si>
  <si>
    <t>muravera</t>
  </si>
  <si>
    <t>403-3141777-6847532</t>
  </si>
  <si>
    <t>2024-01-02T23:32:55+00:00</t>
  </si>
  <si>
    <t>2024-01-04T14:16:51+00:00</t>
  </si>
  <si>
    <t>REANA DEL ROJALE</t>
  </si>
  <si>
    <t>408-1913703-9302761</t>
  </si>
  <si>
    <t>2024-01-02T22:55:11+00:00</t>
  </si>
  <si>
    <t>2024-01-03T10:41:45+00:00</t>
  </si>
  <si>
    <t>404-3388477-7717154</t>
  </si>
  <si>
    <t>2024-01-02T22:26:41+00:00</t>
  </si>
  <si>
    <t>2024-01-03T10:41:35+00:00</t>
  </si>
  <si>
    <t>408-5495857-0563549</t>
  </si>
  <si>
    <t>2024-01-02T22:07:56+00:00</t>
  </si>
  <si>
    <t>2024-01-03T11:39:43+00:00</t>
  </si>
  <si>
    <t>Campobello di Licata</t>
  </si>
  <si>
    <t>406-8642712-5242769</t>
  </si>
  <si>
    <t>2024-01-02T21:56:07+00:00</t>
  </si>
  <si>
    <t>2024-01-03T10:30:41+00:00</t>
  </si>
  <si>
    <t>406-0426682-4045964</t>
  </si>
  <si>
    <t>2024-01-02T21:43:41+00:00</t>
  </si>
  <si>
    <t>2024-01-03T10:30:43+00:00</t>
  </si>
  <si>
    <t>406-2145557-2637107</t>
  </si>
  <si>
    <t>2024-01-02T21:30:58+00:00</t>
  </si>
  <si>
    <t>2024-01-02T22:10:09+00:00</t>
  </si>
  <si>
    <t>171-4015984-6761105</t>
  </si>
  <si>
    <t>2024-01-02T21:30:00+00:00</t>
  </si>
  <si>
    <t>2024-01-03T10:41:59+00:00</t>
  </si>
  <si>
    <t>406-2032609-7250710</t>
  </si>
  <si>
    <t>2024-01-02T21:13:44+00:00</t>
  </si>
  <si>
    <t>olmi</t>
  </si>
  <si>
    <t>408-0286418-6065101</t>
  </si>
  <si>
    <t>2024-01-02T20:41:25+00:00</t>
  </si>
  <si>
    <t>2024-01-03T11:39:53+00:00</t>
  </si>
  <si>
    <t>405-9231926-8114746</t>
  </si>
  <si>
    <t>2024-01-02T19:35:41+00:00</t>
  </si>
  <si>
    <t>2024-01-03T10:41:01+00:00</t>
  </si>
  <si>
    <t>407-3177582-7375556</t>
  </si>
  <si>
    <t>2024-01-02T19:20:36+00:00</t>
  </si>
  <si>
    <t>2024-01-03T10:42:09+00:00</t>
  </si>
  <si>
    <t>171-4825809-6961926</t>
  </si>
  <si>
    <t>2024-01-02T19:01:11+00:00</t>
  </si>
  <si>
    <t>2024-01-03T10:30:44+00:00</t>
  </si>
  <si>
    <t>CIVITA DI BAGNO</t>
  </si>
  <si>
    <t>407-5521538-4185941</t>
  </si>
  <si>
    <t>2024-01-02T19:00:48+00:00</t>
  </si>
  <si>
    <t>2024-01-03T10:30:46+00:00</t>
  </si>
  <si>
    <t>Montecchia di crosara</t>
  </si>
  <si>
    <t>171-1360583-1516335</t>
  </si>
  <si>
    <t>2024-01-02T18:54:27+00:00</t>
  </si>
  <si>
    <t>2024-01-03T10:30:39+00:00</t>
  </si>
  <si>
    <t>GUIDONIA MONTECELIO</t>
  </si>
  <si>
    <t>408-0725773-0993933</t>
  </si>
  <si>
    <t>2024-01-02T18:38:30+00:00</t>
  </si>
  <si>
    <t>2024-01-03T10:41:40+00:00</t>
  </si>
  <si>
    <t>Montelabbate</t>
  </si>
  <si>
    <t>403-5639295-0333132</t>
  </si>
  <si>
    <t>2024-01-02T18:27:00+00:00</t>
  </si>
  <si>
    <t>2024-01-03T11:00:46+00:00</t>
  </si>
  <si>
    <t>403-5485946-2248316</t>
  </si>
  <si>
    <t>2024-01-02T17:43:29+00:00</t>
  </si>
  <si>
    <t>2024-01-09T18:21:12+00:00</t>
  </si>
  <si>
    <t>IT13482361006</t>
  </si>
  <si>
    <t>171-8630722-7194725</t>
  </si>
  <si>
    <t>2024-01-02T17:10:52+00:00</t>
  </si>
  <si>
    <t>2024-01-03T10:30:42+00:00</t>
  </si>
  <si>
    <t>Gargnano</t>
  </si>
  <si>
    <t>407-4099986-6990726</t>
  </si>
  <si>
    <t>2024-01-02T16:52:47+00:00</t>
  </si>
  <si>
    <t>2024-01-03T11:39:47+00:00</t>
  </si>
  <si>
    <t>Cernusco sul naviglio</t>
  </si>
  <si>
    <t>407-5427797-2844338</t>
  </si>
  <si>
    <t>2024-01-02T16:41:52+00:00</t>
  </si>
  <si>
    <t>2024-01-03T11:39:46+00:00</t>
  </si>
  <si>
    <t>Zevio</t>
  </si>
  <si>
    <t>171-3706588-0359551</t>
  </si>
  <si>
    <t>2024-01-02T16:33:32+00:00</t>
  </si>
  <si>
    <t>2024-01-03T11:39:45+00:00</t>
  </si>
  <si>
    <t>405-4334016-5673923</t>
  </si>
  <si>
    <t>2024-01-02T16:15:35+00:00</t>
  </si>
  <si>
    <t>2024-01-03T11:00:49+00:00</t>
  </si>
  <si>
    <t>Villa D'adda</t>
  </si>
  <si>
    <t>407-7155841-8753110</t>
  </si>
  <si>
    <t>2024-01-02T16:14:51+00:00</t>
  </si>
  <si>
    <t>2024-01-03T11:42:15+00:00</t>
  </si>
  <si>
    <t>ASCOLI SATRIANO</t>
  </si>
  <si>
    <t>406-2285612-5458745</t>
  </si>
  <si>
    <t>2024-01-02T15:25:35+00:00</t>
  </si>
  <si>
    <t>Pu</t>
  </si>
  <si>
    <t>403-8674602-0261158</t>
  </si>
  <si>
    <t>2024-01-02T13:53:06+00:00</t>
  </si>
  <si>
    <t>2024-01-07T13:58:59+00:00</t>
  </si>
  <si>
    <t>405-0145411-9187544</t>
  </si>
  <si>
    <t>2024-01-02T13:51:10+00:00</t>
  </si>
  <si>
    <t>2024-01-03T11:39:44+00:00</t>
  </si>
  <si>
    <t>171-0296717-8344358</t>
  </si>
  <si>
    <t>2024-01-02T12:49:06+00:00</t>
  </si>
  <si>
    <t>2024-01-02T12:58:38+00:00</t>
  </si>
  <si>
    <t>Talsano</t>
  </si>
  <si>
    <t>402-1193269-9003536</t>
  </si>
  <si>
    <t>2024-01-02T12:43:07+00:00</t>
  </si>
  <si>
    <t>2024-01-03T10:41:20+00:00</t>
  </si>
  <si>
    <t>Pomezia</t>
  </si>
  <si>
    <t>IT13851911001</t>
  </si>
  <si>
    <t>406-8636089-9565165</t>
  </si>
  <si>
    <t>2024-01-02T12:19:15+00:00</t>
  </si>
  <si>
    <t>CASTEL LAGOPESOLE</t>
  </si>
  <si>
    <t>406-0722634-4745109</t>
  </si>
  <si>
    <t>2024-01-02T12:18:37+00:00</t>
  </si>
  <si>
    <t>Vescovato</t>
  </si>
  <si>
    <t>406-2940557-7240331</t>
  </si>
  <si>
    <t>2024-01-02T12:17:43+00:00</t>
  </si>
  <si>
    <t>Castel Guelfo di Bologna</t>
  </si>
  <si>
    <t>403-4789450-3076349</t>
  </si>
  <si>
    <t>2024-01-02T11:49:39+00:00</t>
  </si>
  <si>
    <t>San clemente</t>
  </si>
  <si>
    <t>171-9063189-9328316</t>
  </si>
  <si>
    <t>2024-01-02T11:32:35+00:00</t>
  </si>
  <si>
    <t>402-9583141-0309123</t>
  </si>
  <si>
    <t>2024-01-02T11:15:37+00:00</t>
  </si>
  <si>
    <t>2024-01-03T11:02:09+00:00</t>
  </si>
  <si>
    <t>ponzano veneto</t>
  </si>
  <si>
    <t>406-3884128-1456360</t>
  </si>
  <si>
    <t>2024-01-02T11:15:01+00:00</t>
  </si>
  <si>
    <t>405-8104880-2087561</t>
  </si>
  <si>
    <t>2024-01-02T10:58:01+00:00</t>
  </si>
  <si>
    <t>2024-01-03T10:40:58+00:00</t>
  </si>
  <si>
    <t>Orgiano</t>
  </si>
  <si>
    <t>407-1722836-5390745</t>
  </si>
  <si>
    <t>2024-01-02T10:52:14+00:00</t>
  </si>
  <si>
    <t>2024-01-03T10:30:40+00:00</t>
  </si>
  <si>
    <t>Avigliana</t>
  </si>
  <si>
    <t>403-3666810-8198718</t>
  </si>
  <si>
    <t>2024-01-02T10:52:09+00:00</t>
  </si>
  <si>
    <t>2024-01-03T11:50:08+00:00</t>
  </si>
  <si>
    <t>403-2561609-2400356</t>
  </si>
  <si>
    <t>2024-01-02T10:32:22+00:00</t>
  </si>
  <si>
    <t>2024-01-03T11:11:02+00:00</t>
  </si>
  <si>
    <t>402-7011838-5469914</t>
  </si>
  <si>
    <t>2024-01-02T10:29:34+00:00</t>
  </si>
  <si>
    <t>2024-01-03T11:39:48+00:00</t>
  </si>
  <si>
    <t>Castellammare del Golfo</t>
  </si>
  <si>
    <t>405-7645359-8180315</t>
  </si>
  <si>
    <t>2024-01-02T10:28:48+00:00</t>
  </si>
  <si>
    <t>2024-01-03T11:00:42+00:00</t>
  </si>
  <si>
    <t>407-5493714-7793952</t>
  </si>
  <si>
    <t>2024-01-02T09:14:29+00:00</t>
  </si>
  <si>
    <t>2024-01-02T09:24:53+00:00</t>
  </si>
  <si>
    <t>402-2953892-9775548</t>
  </si>
  <si>
    <t>2024-01-02T08:59:48+00:00</t>
  </si>
  <si>
    <t>2024-01-03T11:39:42+00:00</t>
  </si>
  <si>
    <t>Bisaccia</t>
  </si>
  <si>
    <t>407-8343710-8544327</t>
  </si>
  <si>
    <t>2024-01-02T08:29:12+00:00</t>
  </si>
  <si>
    <t>2024-01-03T11:50:33+00:00</t>
  </si>
  <si>
    <t>404-6453018-0462703</t>
  </si>
  <si>
    <t>2024-01-02T08:28:06+00:00</t>
  </si>
  <si>
    <t>2024-01-03T10:41:33+00:00</t>
  </si>
  <si>
    <t>404-6076633-7418728</t>
  </si>
  <si>
    <t>2024-01-02T06:46:53+00:00</t>
  </si>
  <si>
    <t>2024-01-03T11:41:16+00:00</t>
  </si>
  <si>
    <t>404-0857973-2650736</t>
  </si>
  <si>
    <t>2024-01-02T06:38:52+00:00</t>
  </si>
  <si>
    <t>2024-01-02T15:57:13+00:00</t>
  </si>
  <si>
    <t>171-3794323-2000356</t>
  </si>
  <si>
    <t>2024-01-02T06:14:25+00:00</t>
  </si>
  <si>
    <t>2024-02-05T11:22:41+00:00</t>
  </si>
  <si>
    <t>VENEZIA</t>
  </si>
  <si>
    <t>402-0507016-9286762</t>
  </si>
  <si>
    <t>2024-01-01T22:07:31+00:00</t>
  </si>
  <si>
    <t>2024-01-02T15:56:10+00:00</t>
  </si>
  <si>
    <t>406-4272484-3929903</t>
  </si>
  <si>
    <t>2024-01-01T21:31:36+00:00</t>
  </si>
  <si>
    <t>2024-01-02T14:47:07+00:00</t>
  </si>
  <si>
    <t>403-3256584-4410749</t>
  </si>
  <si>
    <t>2024-01-01T21:27:19+00:00</t>
  </si>
  <si>
    <t>408-0329905-2822778</t>
  </si>
  <si>
    <t>2024-01-01T21:04:00+00:00</t>
  </si>
  <si>
    <t>2024-01-02T16:07:19+00:00</t>
  </si>
  <si>
    <t>Reggio calabria</t>
  </si>
  <si>
    <t>404-4798477-4365107</t>
  </si>
  <si>
    <t>2024-01-01T21:02:30+00:00</t>
  </si>
  <si>
    <t>2024-01-02T14:47:04+00:00</t>
  </si>
  <si>
    <t>404-5606665-3633927</t>
  </si>
  <si>
    <t>2024-01-01T20:46:31+00:00</t>
  </si>
  <si>
    <t>2024-01-02T15:56:07+00:00</t>
  </si>
  <si>
    <t>COTIGNOLA</t>
  </si>
  <si>
    <t>404-0684939-2286718</t>
  </si>
  <si>
    <t>2024-01-01T20:24:31+00:00</t>
  </si>
  <si>
    <t>2024-01-02T14:58:14+00:00</t>
  </si>
  <si>
    <t>LOZIO</t>
  </si>
  <si>
    <t>171-7667629-4841943</t>
  </si>
  <si>
    <t>2024-01-01T20:21:11+00:00</t>
  </si>
  <si>
    <t>2024-01-02T15:56:08+00:00</t>
  </si>
  <si>
    <t>171-7829660-2888342</t>
  </si>
  <si>
    <t>2024-01-01T20:06:40+00:00</t>
  </si>
  <si>
    <t>2024-01-02T15:56:13+00:00</t>
  </si>
  <si>
    <t>406-2327557-8568340</t>
  </si>
  <si>
    <t>2024-01-01T19:11:22+00:00</t>
  </si>
  <si>
    <t>Anguillara Sabazia</t>
  </si>
  <si>
    <t>406-0241787-0849903</t>
  </si>
  <si>
    <t>2024-01-01T19:06:09+00:00</t>
  </si>
  <si>
    <t>2024-01-02T14:57:12+00:00</t>
  </si>
  <si>
    <t>Folgarida di Dimaro</t>
  </si>
  <si>
    <t>TN</t>
  </si>
  <si>
    <t>402-8070080-2260337</t>
  </si>
  <si>
    <t>2024-01-01T17:41:21+00:00</t>
  </si>
  <si>
    <t>171-9436690-7779510</t>
  </si>
  <si>
    <t>2024-01-01T17:40:48+00:00</t>
  </si>
  <si>
    <t>2024-01-06T17:44:06+00:00</t>
  </si>
  <si>
    <t>Bellona</t>
  </si>
  <si>
    <t>caserta</t>
  </si>
  <si>
    <t>402-6707256-7242727</t>
  </si>
  <si>
    <t>2024-01-01T17:37:42+00:00</t>
  </si>
  <si>
    <t>2024-01-02T16:03:14+00:00</t>
  </si>
  <si>
    <t>roncegno terme</t>
  </si>
  <si>
    <t>404-2584925-1567502</t>
  </si>
  <si>
    <t>2024-01-01T17:19:04+00:00</t>
  </si>
  <si>
    <t>2024-01-02T15:52:26+00:00</t>
  </si>
  <si>
    <t>Pace del mela</t>
  </si>
  <si>
    <t>404-0844753-8478760</t>
  </si>
  <si>
    <t>2024-01-01T16:35:37+00:00</t>
  </si>
  <si>
    <t>2024-01-02T15:24:47+00:00</t>
  </si>
  <si>
    <t>CAORLE</t>
  </si>
  <si>
    <t>Veneto</t>
  </si>
  <si>
    <t>CFFGPP87L23E791M</t>
  </si>
  <si>
    <t>405-2503960-5758718</t>
  </si>
  <si>
    <t>2024-01-01T16:04:01+00:00</t>
  </si>
  <si>
    <t>2024-01-02T15:52:28+00:00</t>
  </si>
  <si>
    <t>Massa lubrense</t>
  </si>
  <si>
    <t>406-5376339-9409913</t>
  </si>
  <si>
    <t>2024-01-01T16:02:33+00:00</t>
  </si>
  <si>
    <t>2024-01-02T14:53:52+00:00</t>
  </si>
  <si>
    <t>404-9163220-6385117</t>
  </si>
  <si>
    <t>2024-01-01T15:30:31+00:00</t>
  </si>
  <si>
    <t>2024-01-02T15:13:25+00:00</t>
  </si>
  <si>
    <t>ALDENO</t>
  </si>
  <si>
    <t>408-7660595-5029157</t>
  </si>
  <si>
    <t>2024-01-01T15:28:35+00:00</t>
  </si>
  <si>
    <t>2024-01-02T14:43:21+00:00</t>
  </si>
  <si>
    <t>IT11320030015</t>
  </si>
  <si>
    <t>404-6137874-2826703</t>
  </si>
  <si>
    <t>2024-01-01T15:23:08+00:00</t>
  </si>
  <si>
    <t>2024-01-02T15:52:29+00:00</t>
  </si>
  <si>
    <t>BEPER BP.790 Coltello elettrico da cucina, 150 W, ABS, Bianco/Rosso</t>
  </si>
  <si>
    <t>meta</t>
  </si>
  <si>
    <t>171-8946273-4884303</t>
  </si>
  <si>
    <t>2024-01-01T15:02:55+00:00</t>
  </si>
  <si>
    <t>2024-01-02T14:43:27+00:00</t>
  </si>
  <si>
    <t>405-5934731-2887528</t>
  </si>
  <si>
    <t>2024-01-01T14:18:13+00:00</t>
  </si>
  <si>
    <t>2024-01-02T15:52:30+00:00</t>
  </si>
  <si>
    <t>Roverbella</t>
  </si>
  <si>
    <t>406-5342373-2972306</t>
  </si>
  <si>
    <t>2024-01-01T13:59:16+00:00</t>
  </si>
  <si>
    <t>2024-01-02T14:45:22+00:00</t>
  </si>
  <si>
    <t>Pergine Valdarno, Loc. Montalto</t>
  </si>
  <si>
    <t>406-7247172-2487504</t>
  </si>
  <si>
    <t>2024-01-01T13:48:35+00:00</t>
  </si>
  <si>
    <t>2024-01-02T16:02:31+00:00</t>
  </si>
  <si>
    <t>san daniele del friuli</t>
  </si>
  <si>
    <t>403-5921619-3586764</t>
  </si>
  <si>
    <t>2024-01-01T12:42:24+00:00</t>
  </si>
  <si>
    <t>2024-01-01T12:58:44+00:00</t>
  </si>
  <si>
    <t>sirolo</t>
  </si>
  <si>
    <t>406-0099686-0570702</t>
  </si>
  <si>
    <t>2024-01-01T11:59:45+00:00</t>
  </si>
  <si>
    <t>171-5393080-3419523</t>
  </si>
  <si>
    <t>2024-01-01T11:12:30+00:00</t>
  </si>
  <si>
    <t>algund</t>
  </si>
  <si>
    <t>405-0132535-8936361</t>
  </si>
  <si>
    <t>2024-01-01T10:36:15+00:00</t>
  </si>
  <si>
    <t>2024-01-02T15:52:27+00:00</t>
  </si>
  <si>
    <t>Castellammare di stabia</t>
  </si>
  <si>
    <t>408-3750298-7339560</t>
  </si>
  <si>
    <t>2024-01-01T10:27:52+00:00</t>
  </si>
  <si>
    <t>2024-01-10T10:41:48+00:00</t>
  </si>
  <si>
    <t>402-5265073-8019502</t>
  </si>
  <si>
    <t>2024-01-01T10:27:30+00:00</t>
  </si>
  <si>
    <t>2024-01-02T14:43:24+00:00</t>
  </si>
  <si>
    <t>VILLANTERIO</t>
  </si>
  <si>
    <t>403-9983562-1213167</t>
  </si>
  <si>
    <t>2024-01-01T09:17:26+00:00</t>
  </si>
  <si>
    <t>Vimercate</t>
  </si>
  <si>
    <t>402-6741634-8470744</t>
  </si>
  <si>
    <t>2024-01-01T07:50:55+00:00</t>
  </si>
  <si>
    <t>figline e incisa valdarno</t>
  </si>
  <si>
    <t>408-2809672-4126700</t>
  </si>
  <si>
    <t>2024-01-01T01:44:51+00:00</t>
  </si>
  <si>
    <t>2024-01-02T15:52:24+00:00</t>
  </si>
  <si>
    <t>404-7090449-9225106</t>
  </si>
  <si>
    <t>2024-01-01T01:31:36+00:00</t>
  </si>
  <si>
    <t>2024-01-02T16:03:35+00:00</t>
  </si>
  <si>
    <t>CELLOLE</t>
  </si>
  <si>
    <t>406-1154726-6412303</t>
  </si>
  <si>
    <t>2024-01-01T01:26:01+00:00</t>
  </si>
  <si>
    <t>2024-01-02T14:43:26+00:00</t>
  </si>
  <si>
    <t>Pomigliano d'Arco</t>
  </si>
  <si>
    <t>404-7447350-1257932</t>
  </si>
  <si>
    <t>2024-01-01T00:48:43+00:00</t>
  </si>
  <si>
    <t>Sessa Aurunca</t>
  </si>
  <si>
    <t>Etichette di riga</t>
  </si>
  <si>
    <t>Totale complessivo</t>
  </si>
  <si>
    <t>Somma di Ricavi ordini</t>
  </si>
  <si>
    <t>Somma di Unità ordinate</t>
  </si>
  <si>
    <t>Somma di quantity</t>
  </si>
  <si>
    <t>Somma di item-price</t>
  </si>
  <si>
    <t>SKU</t>
  </si>
  <si>
    <t>Ordini Vendor 24</t>
  </si>
  <si>
    <t>Valori ordini Vendor 24</t>
  </si>
  <si>
    <t>Ordini Seller 24</t>
  </si>
  <si>
    <t>Valori ordini Seller 24</t>
  </si>
  <si>
    <t>% seller / totale</t>
  </si>
  <si>
    <t>Ordini Complessivi 24</t>
  </si>
  <si>
    <t>Valori ordini Complessivi 24</t>
  </si>
  <si>
    <t>Ordini Vendor 23</t>
  </si>
  <si>
    <t>Valori ordini Vendor 23</t>
  </si>
  <si>
    <t>Differenza Ordini</t>
  </si>
  <si>
    <t>Differenza Valore</t>
  </si>
  <si>
    <t>Differenza Valore %</t>
  </si>
  <si>
    <t>Somma di Ordini Vendor 24</t>
  </si>
  <si>
    <t>Somma di Valori ordini Vendor 24</t>
  </si>
  <si>
    <t>Somma di Ordini Seller 24</t>
  </si>
  <si>
    <t>Somma di Valori ordini Seller 24</t>
  </si>
  <si>
    <t>Somma di Ordini Complessivi 24</t>
  </si>
  <si>
    <t>Somma di Valori ordini Complessivi 24</t>
  </si>
  <si>
    <t>Somma di Ordini Vendor 23</t>
  </si>
  <si>
    <t>Somma di Valori ordini Vendor 23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</si>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</sst>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\ &quot;€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164" fontId="0" fillId="0" borderId="2" xfId="2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3" applyFont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9" fontId="0" fillId="0" borderId="0" xfId="3" applyFont="1"/>
    <xf numFmtId="0" fontId="0" fillId="2" borderId="2" xfId="0" applyFill="1" applyBorder="1"/>
    <xf numFmtId="9" fontId="0" fillId="2" borderId="2" xfId="3" applyFont="1" applyFill="1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164" fontId="0" fillId="2" borderId="2" xfId="0" applyNumberFormat="1" applyFill="1" applyBorder="1"/>
    <xf numFmtId="0" fontId="0" fillId="0" borderId="3" xfId="0" applyBorder="1"/>
    <xf numFmtId="0" fontId="0" fillId="0" borderId="1" xfId="0" applyBorder="1"/>
    <xf numFmtId="164" fontId="0" fillId="0" borderId="1" xfId="0" applyNumberFormat="1" applyBorder="1"/>
    <xf numFmtId="9" fontId="0" fillId="0" borderId="4" xfId="3" applyFont="1" applyBorder="1"/>
    <xf numFmtId="9" fontId="0" fillId="0" borderId="1" xfId="3" applyFont="1" applyBorder="1"/>
    <xf numFmtId="0" fontId="0" fillId="2" borderId="5" xfId="0" applyFill="1" applyBorder="1"/>
    <xf numFmtId="164" fontId="0" fillId="2" borderId="6" xfId="0" applyNumberFormat="1" applyFill="1" applyBorder="1"/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416547337962" createdVersion="8" refreshedVersion="8" minRefreshableVersion="3" recordCount="741" xr:uid="{E2D47DD5-BDEC-4EE5-A0F1-91722D8F8B88}">
  <cacheSource type="worksheet">
    <worksheetSource ref="A1:I742" sheet="vendor_01_2023"/>
  </cacheSource>
  <cacheFields count="9">
    <cacheField name="ASIN" numFmtId="0">
      <sharedItems count="292">
        <s v="B07ZJQTGG8"/>
        <s v="B01I497WWM"/>
        <s v="B096MX229M"/>
        <s v="B08GY7286R"/>
        <s v="B017IUJA50"/>
        <s v="B08485QRVZ"/>
        <s v="B095PQJGKX"/>
        <s v="B01KMJ9OXW"/>
        <s v="B0BHHV552D"/>
        <s v="B09146GTKW"/>
        <s v="B06Y17FS6D"/>
        <s v="B0B8DLSNJF"/>
        <s v="B079SB5VJZ"/>
        <s v="B0B39H1Z8J"/>
        <s v="B085JJ8RC6"/>
        <s v="B0BJL1Z674"/>
        <s v="B07TSNB5WG"/>
        <s v="B07Q38Z7CK"/>
        <s v="B076Q7BR6F"/>
        <s v="B076DCKSTJ"/>
        <s v="B0757TJRR9"/>
        <s v="B095X9KDJR"/>
        <s v="B08L9D9KR9"/>
        <s v="B00NSNZSLM"/>
        <s v="B01MTSEGF9"/>
        <s v="B08LZN1PWY"/>
        <s v="B07NQ2VYGD"/>
        <s v="B08KYZ2FLN"/>
        <s v="B084C3JTC2"/>
        <s v="B07V131F5W"/>
        <s v="B08JYDDFZ2"/>
        <s v="B07NQC6S9V"/>
        <s v="B07YZZZVXP"/>
        <s v="B00L5H5KUW"/>
        <s v="B0BD4VX5JB"/>
        <s v="B08B66J4C3"/>
        <s v="B097HRQNRG"/>
        <s v="B0823CVGHX"/>
        <s v="B06Y1997YH"/>
        <s v="B085R2GCKX"/>
        <s v="B08FDYW72J"/>
        <s v="B09ZBHJ91Q"/>
        <s v="B00FAJUDU8"/>
        <s v="B091LRR67V"/>
        <s v="B011LFVLW8"/>
        <s v="B073B67PLQ"/>
        <s v="B076QFRRZ5"/>
        <s v="B08JYWF3PK"/>
        <s v="B08FMLPKY9"/>
        <s v="B0BD83RNDG"/>
        <s v="B07YBNB2QY"/>
        <s v="B09495C38F"/>
        <s v="B08GS7XW73"/>
        <s v="B09B47S644"/>
        <s v="B07HM7P6MP"/>
        <s v="B09KYD9JGY"/>
        <s v="B0BJ2TBPJW"/>
        <s v="B07NQ1T7YK"/>
        <s v="B07ZJMFB3R"/>
        <s v="B07SSLRCT6"/>
        <s v="B07P7GGGQM"/>
        <s v="B085JHTR6Q"/>
        <s v="B085JJ81R7"/>
        <s v="B09LHXJXQL"/>
        <s v="B01CNX6Z78"/>
        <s v="B08HCT78N3"/>
        <s v="B09HMK8JDN"/>
        <s v="B0B3N9ZNT2"/>
        <s v="B0953R2W31"/>
        <s v="B0B6JPXDN6"/>
        <s v="B09L4SLDSZ"/>
        <s v="B01M4O6145"/>
        <s v="B0BBH12BYN"/>
        <s v="B08MX1SQKC"/>
        <s v="B09C2K1HQW"/>
        <s v="B07B9CPH62"/>
        <s v="B09NBXYF5J"/>
        <s v="B085JJFLGY"/>
        <s v="B09MFYXGV9"/>
        <s v="B08JM7SZ36"/>
        <s v="B095WCSSLC"/>
        <s v="B076DCL19C"/>
        <s v="B09B2NT2SV"/>
        <s v="B07W7S9KYM"/>
        <s v="B08NDZKNF5"/>
        <s v="B0B5XB4X2T"/>
        <s v="B07BB2DQ4V"/>
        <s v="B07YBNPZPJ"/>
        <s v="B076D74TC7"/>
        <s v="B09Y9DBPK5"/>
        <s v="B0B2F48ZMP"/>
        <s v="B07KYWNC7Z"/>
        <s v="B085JHTR6J"/>
        <s v="B085JHSWJH"/>
        <s v="B07N4C3H3V"/>
        <s v="B00EYDRS1I"/>
        <s v="B01CNX71NA"/>
        <s v="B07YBN2FS3"/>
        <s v="B08C7YJB5N"/>
        <s v="B08KSBDTQD"/>
        <s v="B07HFQH172"/>
        <s v="B07TSNCJ5J"/>
        <s v="B084TGLFLM"/>
        <s v="B0823CLCWM"/>
        <s v="B09D8G2H7Q"/>
        <s v="B092QXCQ8K"/>
        <s v="B084TG23R3"/>
        <s v="B089BKBZV3"/>
        <s v="B075RF5S3N"/>
        <s v="B06Y195DJN"/>
        <s v="B08B8M2B7B"/>
        <s v="B0B7WVD9L3"/>
        <s v="B09BD8BG34"/>
        <s v="B07RRBS54G"/>
        <s v="B09HQN1LQ2"/>
        <s v="B07TQVD94L"/>
        <s v="B0978ZKW4S"/>
        <s v="B0B2SB1ZQL"/>
        <s v="B00OKE4RTM"/>
        <s v="B0B6JKJNCP"/>
        <s v="B084TGLSDV"/>
        <s v="B098QM485T"/>
        <s v="B089BGZSNM"/>
        <s v="B07NQ4G4NX"/>
        <s v="B00L5GPWFG"/>
        <s v="B092J2RHL8"/>
        <s v="B08HN4DPJV"/>
        <s v="B08J47XH38"/>
        <s v="B08MM2VK11"/>
        <s v="B01MFCQKVN"/>
        <s v="B096KVY46G"/>
        <s v="B09968BKDS"/>
        <s v="B08DL66NZ9"/>
        <s v="B08JZDZTPG"/>
        <s v="B01N5R491F"/>
        <s v="B07Y3XHMMV"/>
        <s v="B0BFS7CYLQ"/>
        <s v="B08NF8TQKT"/>
        <s v="B0B94FL5H8"/>
        <s v="B07BHCZR84"/>
        <s v="B085JJJR91"/>
        <s v="B073B57HQH"/>
        <s v="B07JGVMFY1"/>
        <s v="B075XR3T8V"/>
        <s v="B097YTGFH7"/>
        <s v="B088XJQ37J"/>
        <s v="B07TTJQDC2"/>
        <s v="B0050IHH4E"/>
        <s v="B08FJGGZ1D"/>
        <s v="B07TWX2L8N"/>
        <s v="B08V4VTTQN"/>
        <s v="B07RRBP1YR"/>
        <s v="B01CNX704K"/>
        <s v="B07QY47V9Y"/>
        <s v="B07R984VMS"/>
        <s v="B08FF245TD"/>
        <s v="B08DHZDXVV"/>
        <s v="B01N6SQYFM"/>
        <s v="B0957PWXL8"/>
        <s v="B07BHVLCF5"/>
        <s v="B08GSK6C18"/>
        <s v="B09VQLJ1WK"/>
        <s v="B075FX6RFP"/>
        <s v="B01N4L0SUV"/>
        <s v="B096SVXQDX"/>
        <s v="B0B8JVTQYQ"/>
        <s v="B00EZ4185S"/>
        <s v="B01II660SS"/>
        <s v="B07XLT78B7"/>
        <s v="B08XQT9P5C"/>
        <s v="B08NTD853X"/>
        <s v="B07QX1RJRH"/>
        <s v="B06WGS8ZVG"/>
        <s v="B08GS96GPT"/>
        <s v="B0BQJSQ6PF"/>
        <s v="B00C5CCJP0"/>
        <s v="B07RVLJ2KL"/>
        <s v="B07RN75ZFL"/>
        <s v="B076DD35DZ"/>
        <s v="B081QRX1K7"/>
        <s v="B084TG4594"/>
        <s v="B085JJMBM7"/>
        <s v="B0BKGZC9YH"/>
        <s v="B08FDP7T13"/>
        <s v="B08F5GYFKS"/>
        <s v="B076DC4VWG"/>
        <s v="B07KG9T4M7"/>
        <s v="B091C5XQZN"/>
        <s v="B076QDRTK6"/>
        <s v="B00FFBFVG2"/>
        <s v="B00OLZPU5K"/>
        <s v="B07PCQJ1P8"/>
        <s v="B09XN3Z69T"/>
        <s v="B08LDDKBYG"/>
        <s v="B09B15P5H1"/>
        <s v="B0B887SKJ1"/>
        <s v="B07B7YLZ6Z"/>
        <s v="B09BBFTDLJ"/>
        <s v="B085R2NT18"/>
        <s v="B09BG1GGSM"/>
        <s v="B0B57933BC"/>
        <s v="B076DCX3JH"/>
        <s v="B07HHHBXHL"/>
        <s v="B075RF8FM9"/>
        <s v="B06XPK3BTC"/>
        <s v="B09251R9RJ"/>
        <s v="B07XYJ64GP"/>
        <s v="B07P7GH655"/>
        <s v="B01HM47LF8"/>
        <s v="B06XPYSCGJ"/>
        <s v="B01II7S968"/>
        <s v="B084PN7WPZ"/>
        <s v="B088RZXVDL"/>
        <s v="B08LVS1MMY"/>
        <s v="B07ZHSCYF5"/>
        <s v="B01IHGX2HQ"/>
        <s v="B0BRQB2J4B"/>
        <s v="B07TVTGQ5B"/>
        <s v="B076QCMZX1"/>
        <s v="B092DN1NCS"/>
        <s v="B07TJGZNPN"/>
        <s v="B08DJ3K9J8"/>
        <s v="B0BHTBMNX8"/>
        <s v="B011LLILUM"/>
        <s v="B09XR94HF8"/>
        <s v="B07NQ9JF3Z"/>
        <s v="B07YBFRMM7"/>
        <s v="B00FFBED98"/>
        <s v="B01CA687DI"/>
        <s v="B00YAIEPNQ"/>
        <s v="B00YCPX8R6"/>
        <s v="B01ITBZK38"/>
        <s v="B0B57FLJFX"/>
        <s v="B088V9LKW7"/>
        <s v="B07RQ7FRCS"/>
        <s v="B072FW64RR"/>
        <s v="B0763R9MPM"/>
        <s v="B00BH202XK"/>
        <s v="B07J25HN6L"/>
        <s v="B00CMAD2FG"/>
        <s v="B07P7L18T9"/>
        <s v="B089DTP1BQ"/>
        <s v="B0B131VWYS"/>
        <s v="B06VWNNKF9"/>
        <s v="B097785V2V"/>
        <s v="B0BNNH9RZQ"/>
        <s v="B09PGHNKWP"/>
        <s v="B016MWFVIU"/>
        <s v="B08XVV3PVK"/>
        <s v="B08X4VZV3S"/>
        <s v="B07RMZYDCJ"/>
        <s v="B098TQ6NHC"/>
        <s v="B01HM47LI0"/>
        <s v="B09MS5H54V"/>
        <s v="B07V5TWWXM"/>
        <s v="B07TWX1RX3"/>
        <s v="B088PL1CY6"/>
        <s v="B092JNYG6Z"/>
        <s v="B09294Z7XG"/>
        <s v="B07BHTW4X8"/>
        <s v="B00EYF02AU"/>
        <s v="B09MKJBD92"/>
        <s v="B00WR5UPZG"/>
        <s v="B07YBM3P68"/>
        <s v="B08C7TN27W"/>
        <s v="B0BDFXPXY7"/>
        <s v="B07Q47DQ4M"/>
        <s v="B07JXMJLG9"/>
        <s v="B09J57VDX5"/>
        <s v="B07FN14FSN"/>
        <s v="B0813VLDQY"/>
        <s v="B072C5RN48"/>
        <s v="B07RVKV56Z"/>
        <s v="B07NP6YY5W"/>
        <s v="B06XQ25NLB"/>
        <s v="B095SWNCBS"/>
        <s v="B01HGS9EPA"/>
        <s v="B06VWTF7V3"/>
        <s v="B07TVSJDCL"/>
        <s v="B098F33WBD"/>
        <s v="B06Y4GZ9QP"/>
        <s v="B091VSY78C"/>
        <s v="B00J7MNQFS"/>
        <s v="B07RTKKND8"/>
        <s v="B07NQ2ZBPV"/>
        <s v="B076DN647N"/>
        <s v="B06XYLCVBP"/>
        <s v="B075K5C2QG"/>
        <s v="B084HK5BF8"/>
        <s v="B01MTAUFYF"/>
        <s v="B00ZINWP5W"/>
        <s v="B08FMS5ZDK"/>
      </sharedItems>
    </cacheField>
    <cacheField name="Numero del modello" numFmtId="0">
      <sharedItems count="291">
        <s v="50.245"/>
        <s v="90.920R"/>
        <s v="P102ROB050"/>
        <s v="P203TFO001"/>
        <s v="90.920G"/>
        <s v="BC.261"/>
        <s v="C107UTT002"/>
        <s v="90.590Y"/>
        <s v="P203TER201"/>
        <s v="P302VIS002"/>
        <s v="90.550"/>
        <s v="P302VIS050"/>
        <s v="50451"/>
        <s v="C106CAS001"/>
        <s v="BB.050"/>
        <s v="C102SPE001"/>
        <s v="BP.102"/>
        <s v="BC.060"/>
        <s v="BC.041N"/>
        <s v="BT.602H"/>
        <s v="40.500"/>
        <s v="P101BOL100"/>
        <s v="P202VAL001"/>
        <s v="90.602"/>
        <s v="50.700"/>
        <s v="P101TEM001"/>
        <s v="BT.710Y"/>
        <s v="P101FRI001"/>
        <s v="40.406"/>
        <s v="40.490"/>
        <s v="C206UTI002"/>
        <s v="BT.651Y"/>
        <s v="MD.404"/>
        <s v="40.121"/>
        <s v="P203PAN002"/>
        <s v="P101PIA001"/>
        <s v="P101FRI100"/>
        <s v="BP.400"/>
        <s v="90.883"/>
        <s v="40.332"/>
        <s v="P101CUD100"/>
        <s v="P201UTP100"/>
        <s v="40.967N"/>
        <s v="P101FRI050"/>
        <s v="90.620"/>
        <s v="90.884"/>
        <s v="40.931"/>
        <s v="C102COC101"/>
        <s v="P201UTP004"/>
        <s v="C106CAS002"/>
        <s v="50161"/>
        <s v="P204FER002"/>
        <s v="P204FER250"/>
        <s v="P101CUD501"/>
        <s v="RI.080"/>
        <s v="P301PIS100"/>
        <s v="C206UTI004"/>
        <s v="BP.101H"/>
        <s v="BC.510"/>
        <s v="BP.304"/>
        <s v="BP.961"/>
        <s v="BP.790"/>
        <s v="RCO9003028"/>
        <s v="P102SBA007"/>
        <s v="90.820"/>
        <s v="P202ASP400"/>
        <s v="P203TER001"/>
        <s v="P101CUD051"/>
        <s v="P102ACP001"/>
        <s v="P201UTP200"/>
        <s v="P203TFO100"/>
        <s v="90.071"/>
        <s v="P101COS001"/>
        <s v="P302VIS001"/>
        <s v="P302MAS050"/>
        <s v="BG.200Y"/>
        <s v="P101TOS002"/>
        <s v="RCO9003022"/>
        <s v="P101FRI012"/>
        <s v="C206UTI001"/>
        <s v="C301ABE101"/>
        <s v="BP.720"/>
        <s v="P102FRU150"/>
        <s v="BB.200"/>
        <s v="P102CON001"/>
        <s v="P102ACP100"/>
        <s v="BT.150Y"/>
        <s v="BP.552"/>
        <s v="BT.700Y"/>
        <s v="P101CUD300"/>
        <s v="P102GEL100"/>
        <s v="40.405"/>
        <s v="BC.125"/>
        <s v="BP.802"/>
        <s v="90.349"/>
        <s v="90.871"/>
        <s v="BF.640"/>
        <s v="P201UTP001"/>
        <s v="P102ROB001"/>
        <s v="BC.250"/>
        <s v="BP.800"/>
        <s v="C102BOT002"/>
        <s v="BT.800"/>
        <s v="P102SBA500"/>
        <s v="P205DIF001"/>
        <s v="C102BOT001"/>
        <s v="P101TOS001"/>
        <s v="BC.160A"/>
        <s v="90.882"/>
        <s v="P102EST001"/>
        <s v="P205DIF050"/>
        <s v="P301PIS001"/>
        <s v="BP.620"/>
        <s v="P203TER100"/>
        <s v="BP.690"/>
        <s v="P205DIF100"/>
        <s v="P102EST100"/>
        <s v="90.386"/>
        <s v="P201UTP201"/>
        <s v="C102BOT004"/>
        <s v="P101CUD050"/>
        <s v="P101CUD001"/>
        <s v="BP.500"/>
        <s v="40.120"/>
        <s v="P206ZAN200"/>
        <s v="P201UTP003"/>
        <s v="RCORI552"/>
        <s v="P302MAS001"/>
        <s v="90.836"/>
        <s v="P303MED050"/>
        <s v="P102FRU003"/>
        <s v="P301ASC001"/>
        <s v="BP.803"/>
        <s v="PE.376"/>
        <s v="BP.604"/>
        <s v="P101CUD052"/>
        <s v="P102FRU100"/>
        <s v="PE.387"/>
        <s v="BA.200Y"/>
        <s v="BC.210"/>
        <s v="90.886"/>
        <s v="BP.581"/>
        <s v="BT.600Y"/>
        <s v="P102ROB200"/>
        <s v="C301ABE001"/>
        <s v="70.404"/>
        <s v="40.979"/>
        <s v="70.405"/>
        <s v="40.361"/>
        <s v="C107UTT001"/>
        <s v="VE.502"/>
        <s v="90.825"/>
        <s v="40.453"/>
        <s v="BI.505"/>
        <s v="P101CUD500"/>
        <s v="P102SBA100"/>
        <s v="PE.377"/>
        <s v="P102ACP010"/>
        <s v="BC.130"/>
        <s v="P204FER200"/>
        <s v="P204FER004"/>
        <s v="BC.040N"/>
        <s v="40.926"/>
        <s v="P201UTP011"/>
        <s v="P101CUD200"/>
        <s v="RI.501SL"/>
        <s v="MD.213"/>
        <s v="1"/>
        <s v="P102GEL001"/>
        <s v="P102SBA006"/>
        <s v="40.742"/>
        <s v="90.131"/>
        <s v="P204FER100"/>
        <s v="P101CUD600"/>
        <s v="40.993"/>
        <s v="BC.300"/>
        <s v="50.401"/>
        <s v="BC.002"/>
        <s v="40.473"/>
        <s v="C102BOT003"/>
        <s v="P206VEN400"/>
        <s v="C301ABE200"/>
        <s v="P101FOR001"/>
        <s v="P102FRU001"/>
        <s v="40.501"/>
        <s v="50600"/>
        <s v="P202ASP001"/>
        <s v="40.915"/>
        <s v="40.100"/>
        <s v="40.947"/>
        <s v="BT.410"/>
        <s v="P206VEN350"/>
        <s v="P202VAL002"/>
        <s v="P102FRU200"/>
        <s v="P102SBA008"/>
        <s v="BF.550"/>
        <s v="P101TOS501"/>
        <s v="3BEPI001"/>
        <s v="P204FER003"/>
        <s v="P102FRU300"/>
        <s v="BB.103"/>
        <s v="50.940GO"/>
        <s v="BC.160G"/>
        <s v="40.450GO"/>
        <s v="P304CAP001"/>
        <s v="RI.064"/>
        <s v="BT.450"/>
        <s v="MD.004"/>
        <s v="40.939"/>
        <s v="MD.217"/>
        <s v="XUADA001"/>
        <s v="P206ZAN020"/>
        <s v="P202VAL100"/>
        <s v="BF.700"/>
        <s v="MD.104"/>
        <s v="PET005"/>
        <s v="40.918"/>
        <s v="40.821"/>
        <s v="P206VEN440"/>
        <s v="BP.654"/>
        <s v="p102rob100"/>
        <s v="P101CUD250"/>
        <s v="90.520"/>
        <s v="C301ACC001"/>
        <s v="BT.604"/>
        <s v="BB.210"/>
        <s v="40.11"/>
        <s v="90.514"/>
        <s v="90.605"/>
        <s v="40.969"/>
        <s v="PO.002"/>
        <s v="P302VIS003"/>
        <s v="P206VEN230"/>
        <s v="BB.002"/>
        <s v="40.957N"/>
        <s v="BP.600"/>
        <s v="40.808A"/>
        <s v="ri.093"/>
        <s v="HK-NV009W"/>
        <s v="40.102"/>
        <s v="XUADA010"/>
        <s v="P201UTP020"/>
        <s v="90.130F2"/>
        <s v="P202VAL110"/>
        <s v="P302VIS060"/>
        <s v="AC.116"/>
        <s v="40.761"/>
        <s v="P303MED001"/>
        <s v="P303BIP001"/>
        <s v="MD.127"/>
        <s v="P201UTP010"/>
        <s v="MD.002"/>
        <s v="P101TOS502"/>
        <s v="BC.200"/>
        <s v="40.919"/>
        <s v="P206VEN100"/>
        <s v="P204CAL201"/>
        <s v="P206ZAN300"/>
        <s v="VE.402"/>
        <s v="90.502"/>
        <s v="CP.007"/>
        <s v="40.978"/>
        <s v="RI.096"/>
        <s v="P204FER001"/>
        <s v="P202ASP200"/>
        <s v="BB.105"/>
        <s v="RI.552"/>
        <s v="P203TER200"/>
        <s v="50.160"/>
        <s v="BI.507"/>
        <s v="BT.001R"/>
        <s v="CA.013"/>
        <s v="BP.200"/>
        <s v="40.220"/>
        <s v="P101TOS500"/>
        <s v="40.531"/>
        <s v="90.436H"/>
        <s v="MD.500"/>
        <s v="RCO4091819"/>
        <s v="90.350V"/>
        <s v="P303BIP050"/>
        <s v="40.994"/>
        <s v="BP.630"/>
        <s v="BT.300"/>
        <s v="BB.001"/>
        <s v="50.920V"/>
        <s v="RI.201"/>
        <s v="RI.424"/>
        <s v="PE.361"/>
        <s v="40.996"/>
        <s v="P201UTP002"/>
      </sharedItems>
    </cacheField>
    <cacheField name="Codice marketplace" numFmtId="0">
      <sharedItems count="7">
        <s v="IT"/>
        <s v="DE"/>
        <s v="ES"/>
        <s v="FR"/>
        <s v="GB"/>
        <s v="NL"/>
        <s v="SE"/>
      </sharedItems>
    </cacheField>
    <cacheField name="Ricavi ordini" numFmtId="4">
      <sharedItems containsSemiMixedTypes="0" containsString="0" containsNumber="1" minValue="-55.37" maxValue="36493.17"/>
    </cacheField>
    <cacheField name="Unità ordinate" numFmtId="3">
      <sharedItems containsSemiMixedTypes="0" containsString="0" containsNumber="1" containsInteger="1" minValue="-6" maxValue="2989"/>
    </cacheField>
    <cacheField name="Ricavi spedizioni" numFmtId="0">
      <sharedItems containsMixedTypes="1" containsNumber="1" minValue="5.54" maxValue="36359.699999999997"/>
    </cacheField>
    <cacheField name="COGS spedizioni" numFmtId="0">
      <sharedItems containsMixedTypes="1" containsNumber="1" minValue="1.85" maxValue="25554.71"/>
    </cacheField>
    <cacheField name="Unità spedite" numFmtId="0">
      <sharedItems containsMixedTypes="1" containsNumber="1" containsInteger="1" minValue="1" maxValue="2978"/>
    </cacheField>
    <cacheField name="Resi cliente" numFmtId="0">
      <sharedItems containsMixedTypes="1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421197569442" createdVersion="8" refreshedVersion="8" minRefreshableVersion="3" recordCount="759" xr:uid="{2722FAF8-9B08-418F-8629-BB328E483708}">
  <cacheSource type="worksheet">
    <worksheetSource ref="A1:I760" sheet="vendor_01_2024"/>
  </cacheSource>
  <cacheFields count="9">
    <cacheField name="ASIN" numFmtId="0">
      <sharedItems count="281">
        <s v="B0BHHV552D"/>
        <s v="B0050IHH4E"/>
        <s v="B09146GTKW"/>
        <s v="B096MX229M"/>
        <s v="B0CLVS3FH6"/>
        <s v="B00L5H5KUW"/>
        <s v="B0BBH12BYN"/>
        <s v="B07SSLRCT6"/>
        <s v="B07Q38Z7CK"/>
        <s v="B09968BKDS"/>
        <s v="B07JGVMFY1"/>
        <s v="B08GY7286R"/>
        <s v="B07V131F5W"/>
        <s v="B0B39H1Z8J"/>
        <s v="B0CLY2CF4T"/>
        <s v="B0BJ2TBPJW"/>
        <s v="B076QCMZX1"/>
        <s v="B0B8JVTQYQ"/>
        <s v="B07P7GGGQM"/>
        <s v="B0CHF7YW6B"/>
        <s v="B0B8DLSNJF"/>
        <s v="B0CLVR5JN6"/>
        <s v="B09B47S644"/>
        <s v="B076Q7BR6F"/>
        <s v="B0BTHSH5MK"/>
        <s v="B095PQJGKX"/>
        <s v="B07ZJMFB3R"/>
        <s v="B06Y17FS6D"/>
        <s v="B07ZJQTGG8"/>
        <s v="B0CHFQXMZX"/>
        <s v="B08FDYW72J"/>
        <s v="B0CFB71DMN"/>
        <s v="B09ZBHJ91Q"/>
        <s v="B0CPFRMPTM"/>
        <s v="B073B67PLQ"/>
        <s v="B07NQ1T7YK"/>
        <s v="B07NQ2VYGD"/>
        <s v="B09LHXJXQL"/>
        <s v="B08L9D9KR9"/>
        <s v="B0BNNH9RZQ"/>
        <s v="B07B9CPH62"/>
        <s v="B07W7S9KYM"/>
        <s v="B09BD8BG34"/>
        <s v="B08GS7XW73"/>
        <s v="B07BB2DQ4V"/>
        <s v="B09D8G2H7Q"/>
        <s v="B076DCL19C"/>
        <s v="B01M4O6145"/>
        <s v="B0B2F48ZMP"/>
        <s v="B08FMLPKY9"/>
        <s v="B085R2GCKX"/>
        <s v="B08JYWF3PK"/>
        <s v="B0BD83RNDG"/>
        <s v="B07R984VMS"/>
        <s v="B011LFVLW8"/>
        <s v="B06Y1997YH"/>
        <s v="B084C3JTC2"/>
        <s v="B085JHSWJH"/>
        <s v="B0CHWMFNNT"/>
        <s v="B088V4DR59"/>
        <s v="B085JJ8RC6"/>
        <s v="B085JHTR6Q"/>
        <s v="B076QFRRZ5"/>
        <s v="B01CNX71NA"/>
        <s v="B09KYD9JGY"/>
        <s v="B0BVBY1RWS"/>
        <s v="B07KYWNC7Z"/>
        <s v="B09L4SLDSZ"/>
        <s v="B0C94Q6QZ9"/>
        <s v="B0BJL1Z674"/>
        <s v="B0BVZG7FPY"/>
        <s v="B08Y6RJ69Y"/>
        <s v="B08GSK6C18"/>
        <s v="B092QXCQ8K"/>
        <s v="B09HMK8JDN"/>
        <s v="B097YTGFH7"/>
        <s v="B08C7YJB5N"/>
        <s v="B091LRR67V"/>
        <s v="B08LZN1PWY"/>
        <s v="B088XJQ37J"/>
        <s v="B0BD4VX5JB"/>
        <s v="B084TGLSDV"/>
        <s v="B084TGLFLM"/>
        <s v="B084TG4594"/>
        <s v="B085JJ81R7"/>
        <s v="B08MX1SQKC"/>
        <s v="B0B6JPXDN6"/>
        <s v="B08KYZ2FLN"/>
        <s v="B0C3R6NJVT"/>
        <s v="B07BHCZR84"/>
        <s v="B07RN75ZFL"/>
        <s v="B085JJFLGY"/>
        <s v="B08B8M2B7B"/>
        <s v="B01I497WWM"/>
        <s v="B07HM7P6MP"/>
        <s v="B01KMJ9OXW"/>
        <s v="B00EYDRS1I"/>
        <s v="B0BQJSQ6PF"/>
        <s v="B017IUJA50"/>
        <s v="B08DL66NZ9"/>
        <s v="B085JJ9J4N"/>
        <s v="B08NF8TQKT"/>
        <s v="B01CNX6Z78"/>
        <s v="B0B6JKJNCP"/>
        <s v="B079SB5VJZ"/>
        <s v="B0B3N9ZNT2"/>
        <s v="B0C154W8S4"/>
        <s v="B0953R2W31"/>
        <s v="B08HCT78N3"/>
        <s v="B07Y3XHMMV"/>
        <s v="B07MC8ZVRM"/>
        <s v="B09Y9DBPK5"/>
        <s v="B098QM485T"/>
        <s v="B07TSNCJ5J"/>
        <s v="B0BJ2DC3KX"/>
        <s v="B0978ZKW4S"/>
        <s v="B07XVWXVK1"/>
        <s v="B0B2SB1ZQL"/>
        <s v="B08FJGGZ1D"/>
        <s v="B076DC4VWG"/>
        <s v="B00L5GPWFG"/>
        <s v="B07TQVD94L"/>
        <s v="B096SVXQDX"/>
        <s v="B07RRBS54G"/>
        <s v="B0BYZTG56X"/>
        <s v="B085R2NT18"/>
        <s v="B088V7DR7L"/>
        <s v="B0B5XB4X2T"/>
        <s v="B0BWSFLRWN"/>
        <s v="B075RF5S3N"/>
        <s v="B07YBNB2QY"/>
        <s v="B07TTJQDC2"/>
        <s v="B0C9V6YP8X"/>
        <s v="B075XR3T8V"/>
        <s v="B07B9CBD91"/>
        <s v="B0CXJCJF5B"/>
        <s v="B0CMHZ2WNV"/>
        <s v="B09VQLJ1WK"/>
        <s v="B0CC5QZ9CJ"/>
        <s v="B09YVL4VQ6"/>
        <s v="B07CZ4WMB8"/>
        <s v="B08XQT9P5C"/>
        <s v="B00OKE4RTM"/>
        <s v="B095WCSSLC"/>
        <s v="B09294Z7XG"/>
        <s v="B0B57933BC"/>
        <s v="B07YBNPZPJ"/>
        <s v="B09B15P5H1"/>
        <s v="B07NP6YY5W"/>
        <s v="B0BFS7CYLQ"/>
        <s v="B08DHZDXVV"/>
        <s v="B0B7WVD9L3"/>
        <s v="B07RRBP1YR"/>
        <s v="B00BH202XK"/>
        <s v="B076DD35DZ"/>
        <s v="B085JHZT67"/>
        <s v="B0929CVW7Q"/>
        <s v="B07ZHSCYF5"/>
        <s v="B07TJGZNPN"/>
        <s v="B09B2NT2SV"/>
        <s v="B07NQC6S9V"/>
        <s v="B08MM2VK11"/>
        <s v="B08FDP7T13"/>
        <s v="B0B94FL5H8"/>
        <s v="B076D74TC7"/>
        <s v="B0BYZZKNN1"/>
        <s v="B06Y1P6DPZ"/>
        <s v="B075FX6RFP"/>
        <s v="B081QRX1K7"/>
        <s v="B0BYZTX2NR"/>
        <s v="B097F45J2B"/>
        <s v="B08LVS1MMY"/>
        <s v="B076DCKSTJ"/>
        <s v="B0BLSQJZJ3"/>
        <s v="B09BBFTDLJ"/>
        <s v="B0BDFXPXY7"/>
        <s v="B01IHGX2HQ"/>
        <s v="B09HQN1LQ2"/>
        <s v="B0CHFVXXND"/>
        <s v="B097HRQNRG"/>
        <s v="B07HFPYL56"/>
        <s v="B07PTQPT16"/>
        <s v="B08FF245TD"/>
        <s v="B0B887SKJ1"/>
        <s v="B0BWS8WNS9"/>
        <s v="B0957PWXL8"/>
        <s v="B0BHTBMNX8"/>
        <s v="B09MS5H54V"/>
        <s v="B07QX1RJRH"/>
        <s v="B08V4VTTQN"/>
        <s v="B07NNZSW1W"/>
        <s v="B088PL1CY6"/>
        <s v="B07HFQH172"/>
        <s v="B075K5C2QG"/>
        <s v="B01N12PI05"/>
        <s v="B01II7S968"/>
        <s v="B08YN2SRQS"/>
        <s v="B0BKGZC9YH"/>
        <s v="B07PCQJ1P8"/>
        <s v="B09495C38F"/>
        <s v="B0BXDTH4VN"/>
        <s v="B09251R9RJ"/>
        <s v="B06XPK3BTC"/>
        <s v="B06Y195DJN"/>
        <s v="B08XVV3PVK"/>
        <s v="B07FN14FSN"/>
        <s v="B085JJMBM7"/>
        <s v="B06WGS8ZVG"/>
        <s v="B0757TJRR9"/>
        <s v="B08485QRVZ"/>
        <s v="B084PN7WPZ"/>
        <s v="B01CNX704K"/>
        <s v="B07N4C3H3V"/>
        <s v="B08NDZKNF5"/>
        <s v="B08JYDDFZ2"/>
        <s v="B00NSNZSLM"/>
        <s v="B076DCX3JH"/>
        <s v="B092DN1NCS"/>
        <s v="B0C28S79G8"/>
        <s v="B091VSY78C"/>
        <s v="B01CNX6T10"/>
        <s v="B01CNX6UIM"/>
        <s v="B07QZ89PLH"/>
        <s v="B096KVY46G"/>
        <s v="B0C2Q58PTZ"/>
        <s v="B00CMAD2FG"/>
        <s v="B01CHW1L88"/>
        <s v="B07P7L18T9"/>
        <s v="B011LFM60E"/>
        <s v="B08HN4DPJV"/>
        <s v="B09PGHNKWP"/>
        <s v="B0B131VWYS"/>
        <s v="B08F5GYFKS"/>
        <s v="B08DJ3K9J8"/>
        <s v="B08LDDKBYG"/>
        <s v="B095X9KDJR"/>
        <s v="B084TG23R3"/>
        <s v="B00YH3FRV8"/>
        <s v="B01HM47LF8"/>
        <s v="B07F187NFQ"/>
        <s v="B085JHSWJW"/>
        <s v="B097785V2V"/>
        <s v="B009O92WU4"/>
        <s v="B06XPYSCGJ"/>
        <s v="B098F33WBD"/>
        <s v="B08KSBDTQD"/>
        <s v="B08NTD853X"/>
        <s v="B092J2RHL8"/>
        <s v="B07TSNB5WG"/>
        <s v="B09NBXYF5J"/>
        <s v="B08GS96GPT"/>
        <s v="B07YZZZVXP"/>
        <s v="B07YBFRMM7"/>
        <s v="B091C5XQZN"/>
        <s v="B09BG1GGSM"/>
        <s v="B0823CVGHX"/>
        <s v="B09XR94HF8"/>
        <s v="B08X4VZV3S"/>
        <s v="B08B66J4C3"/>
        <s v="B07TVSJDCL"/>
        <s v="B085JHSTQS"/>
        <s v="B01MTSEGF9"/>
        <s v="B00FMZ2VW8"/>
        <s v="B08JZDZTPG"/>
        <s v="B07TWX2L8N"/>
        <s v="B07YBN2FS3"/>
        <s v="B085JJ747G"/>
        <s v="B00FFBFVG2"/>
        <s v="B07HHDSJHM"/>
        <s v="B07YBM3P68"/>
        <s v="B08XWBGJHR"/>
        <s v="B08FMS5ZDK"/>
        <s v="B07BHTW4WV"/>
        <s v="B089BGZSNM"/>
        <s v="B075RF8FM9"/>
        <s v="B06XYMCV3W"/>
        <s v="B08ZJHV47V"/>
        <s v="B06XSJPGR9"/>
        <s v="B09XN3Z69T"/>
        <s v="B06XQ25NLB"/>
        <s v="B076DD26WW"/>
      </sharedItems>
    </cacheField>
    <cacheField name="Numero del modello" numFmtId="0">
      <sharedItems count="280">
        <s v="P203TER201"/>
        <s v="40.979"/>
        <s v="P302VIS002"/>
        <s v="P102ROB050"/>
        <s v="P201UTP111"/>
        <s v="40.121"/>
        <s v="P101COS001"/>
        <s v="BP.304"/>
        <s v="BC.060"/>
        <s v="P102FRU003"/>
        <s v="BP.581"/>
        <s v="P203TFO001"/>
        <s v="40.490"/>
        <s v="C106CAS001"/>
        <s v="P201UTP113"/>
        <s v="C206UTI004"/>
        <s v="40.821"/>
        <s v="P101CUD200"/>
        <s v="BP.961"/>
        <s v="P203PAN010"/>
        <s v="P302VIS050"/>
        <s v="P201UTP112"/>
        <s v="P101CUD501"/>
        <s v="BC.041N"/>
        <s v="C103ACC001"/>
        <s v="C107UTT002"/>
        <s v="BC.510"/>
        <s v="90.550"/>
        <s v="50.245"/>
        <s v="P203PAN001"/>
        <s v="P101CUD100"/>
        <s v="C203PUL004"/>
        <s v="P201UTP100"/>
        <s v="P101CAF001"/>
        <s v="90.884"/>
        <s v="BP.101H"/>
        <s v="BT.710Y"/>
        <s v="P102SBA007"/>
        <s v="P202VAL001"/>
        <s v="P302VIS060"/>
        <s v="BG.200Y"/>
        <s v="BB.200"/>
        <s v="P301PIS001"/>
        <s v="P204FER250"/>
        <s v="BT.150Y"/>
        <s v="P102SBA500"/>
        <s v="BP.720"/>
        <s v="90.071"/>
        <s v="P102GEL100"/>
        <s v="P201UTP004"/>
        <s v="40.332"/>
        <s v="C102COC101"/>
        <s v="C106CAS002"/>
        <s v="BI.505"/>
        <s v="90.620"/>
        <s v="90.883"/>
        <s v="40.406"/>
        <s v="BP.802"/>
        <s v="P202ASP250"/>
        <s v="P206ZAN040"/>
        <s v="BB.050"/>
        <s v="BP.790"/>
        <s v="40.931"/>
        <s v="90.871"/>
        <s v="P301PIS100"/>
        <s v="P206VEN550"/>
        <s v="40.405"/>
        <s v="P203TFO100"/>
        <s v="P101TOS100"/>
        <s v="C102SPE001"/>
        <s v="P206VEN600"/>
        <s v="P204CAL001"/>
        <s v="P204FER200"/>
        <s v="P205DIF001"/>
        <s v="P203TER001"/>
        <s v="P102ROB200"/>
        <s v="P201UTP001"/>
        <s v="P101FRI050"/>
        <s v="P101TEM001"/>
        <s v="C301ABE001"/>
        <s v="P203PAN002"/>
        <s v="C102BOT004"/>
        <s v="C102BOT002"/>
        <s v="C102BOT003"/>
        <s v="RCO9003028"/>
        <s v="P302VIS001"/>
        <s v="P201UTP200"/>
        <s v="P101FRI001"/>
        <s v="P101FRI090"/>
        <s v="BA.200Y"/>
        <s v="50.401"/>
        <s v="RCO9003022"/>
        <s v="P102EST001"/>
        <s v="90.920R"/>
        <s v="RI.080"/>
        <s v="90.590Y"/>
        <s v="90.349"/>
        <s v="P101CUD600"/>
        <s v="90.920G"/>
        <s v="P301ASC001"/>
        <s v="P206RAF200"/>
        <s v="P102FRU100"/>
        <s v="90.820"/>
        <s v="P201UTP201"/>
        <s v="50451"/>
        <s v="P101CUD051"/>
        <s v="P206VEN450"/>
        <s v="P102ACP001"/>
        <s v="P202ASP400"/>
        <s v="BP.604"/>
        <s v="40.452"/>
        <s v="P101CUD300"/>
        <s v="P101CUD050"/>
        <s v="BP.800"/>
        <s v="P101FRI080"/>
        <s v="P205DIF100"/>
        <s v="RI.503"/>
        <s v="P102EST100"/>
        <s v="70.405"/>
        <s v="40.501"/>
        <s v="40.120"/>
        <s v="BP.690"/>
        <s v="P201UTP011"/>
        <s v="BP.620"/>
        <s v="P201UTP101"/>
        <s v="3BEPI001"/>
        <s v="P206VEN130"/>
        <s v="P102ACP100"/>
        <s v="P206VEN151"/>
        <s v="BC.160A"/>
        <s v="50161"/>
        <s v="70.404"/>
        <s v="C301ABE002"/>
        <s v="BT.600Y"/>
        <s v="VE.550"/>
        <s v="P101PIA003"/>
        <s v="P101FRI051"/>
        <s v="P204FER004"/>
        <s v="C206UTI006"/>
        <s v="P302MAS100"/>
        <s v="40.330"/>
        <s v="P102GEL001"/>
        <s v="90.386"/>
        <s v="C301ABE101"/>
        <s v="P206ZAN300"/>
        <s v="P102FRU300"/>
        <s v="BP.552"/>
        <s v="P102FRU200"/>
        <s v="BP.200"/>
        <s v="P101CUD052"/>
        <s v="P102SBA100"/>
        <s v="P205DIF050"/>
        <s v="VE.502"/>
        <s v="40.808A"/>
        <s v="BC.002"/>
        <s v="P206VEN420"/>
        <s v="P206ZAN110"/>
        <s v="BF.700"/>
        <s v="BP.654"/>
        <s v="P102FRU150"/>
        <s v="BT.651Y"/>
        <s v="P302MAS001"/>
        <s v="P101FOR001"/>
        <s v="PE.387"/>
        <s v="BT.700Y"/>
        <s v="P201UTP103"/>
        <s v="VE.112"/>
        <s v="BC.040N"/>
        <s v="40.473"/>
        <s v="P201UTP102"/>
        <s v="P102FRU500"/>
        <s v="P202VAL100"/>
        <s v="BT.602H"/>
        <s v="C206UTI005"/>
        <s v="P101TOS501"/>
        <s v="P202ASP200"/>
        <s v="MD.104"/>
        <s v="P203TER100"/>
        <s v="P203TER010"/>
        <s v="P101FRI100"/>
        <s v="BC.353"/>
        <s v="BF.570"/>
        <s v="P101CUD500"/>
        <s v="P102SBA008"/>
        <s v="P206ZAN250"/>
        <s v="P102ACP010"/>
        <s v="P101CUD250"/>
        <s v="P101TOS502"/>
        <s v="40.742"/>
        <s v="C107UTT001"/>
        <s v="BT.110"/>
        <s v="P206VEN100"/>
        <s v="BC.250"/>
        <s v="RI.201"/>
        <s v="PE.301"/>
        <s v="MD.217"/>
        <s v="P206ZAN001"/>
        <s v="C301ABE200"/>
        <s v="BT.410"/>
        <s v="P204FER002"/>
        <s v="P206VEN152"/>
        <s v="P304CAP001"/>
        <s v="40.450GO"/>
        <s v="90.882"/>
        <s v="P303MED001"/>
        <s v="50.160"/>
        <s v="P206VEN400"/>
        <s v="90.131"/>
        <s v="40.500"/>
        <s v="BC.261"/>
        <s v="XUADA001"/>
        <s v="90.825"/>
        <s v="P102CON001"/>
        <s v="C206UTI002"/>
        <s v="90.602"/>
        <s v="BB.103"/>
        <s v="P206VEN440"/>
        <s v="P206VEN430"/>
        <s v="P303BIP050"/>
        <s v="PE.165"/>
        <s v="PE.300"/>
        <s v="40.403"/>
        <s v="P303MED050"/>
        <s v="P207OUT002"/>
        <s v="HK-NV009W"/>
        <s v="PE.001"/>
        <s v="40.102"/>
        <s v="40.948T"/>
        <s v="P201UTP003"/>
        <s v="AC.116"/>
        <s v="P201UTP020"/>
        <s v="P102FRU001"/>
        <s v="p102rob100"/>
        <s v="P202VAL002"/>
        <s v="P101BOL100"/>
        <s v="C102BOT001"/>
        <s v="40.998"/>
        <s v="MD.004"/>
        <s v="50.900"/>
        <s v="RCOBP630"/>
        <s v="P202VAL110"/>
        <s v="40.999"/>
        <s v="40.939"/>
        <s v="RCO4091819"/>
        <s v="P102ROB001"/>
        <s v="P102SBA006"/>
        <s v="P206ZAN200"/>
        <s v="BP.102"/>
        <s v="P101TOS002"/>
        <s v="P204FER100"/>
        <s v="MD.404"/>
        <s v="BB.210"/>
        <s v="P202ASP001"/>
        <s v="P204FER003"/>
        <s v="BP.400"/>
        <s v="C301ACC001"/>
        <s v="P303BIP001"/>
        <s v="P101PIA001"/>
        <s v="MD.500"/>
        <s v="P206VEN410"/>
        <s v="50.700"/>
        <s v="HK-HQ601C PINK"/>
        <s v="BP.803"/>
        <s v="40.361"/>
        <s v="BF.640"/>
        <s v="P206VEN260"/>
        <s v="40.100"/>
        <s v="BI.504"/>
        <s v="RI.096"/>
        <s v="P101PIA002"/>
        <s v="P201UTP002"/>
        <s v="VE.210"/>
        <s v="P101CUD001"/>
        <s v="BC.160G"/>
        <s v="90.485H"/>
        <s v="P206VEN150"/>
        <s v="50.130"/>
        <s v="P206VEN350"/>
        <s v="40.220"/>
        <s v="CA.010"/>
      </sharedItems>
    </cacheField>
    <cacheField name="Codice marketplace" numFmtId="0">
      <sharedItems count="7">
        <s v="IT"/>
        <s v="DE"/>
        <s v="FR"/>
        <s v="ES"/>
        <s v="GB"/>
        <s v="SE"/>
        <s v="NL"/>
      </sharedItems>
    </cacheField>
    <cacheField name="Ricavi ordini" numFmtId="4">
      <sharedItems containsSemiMixedTypes="0" containsString="0" containsNumber="1" minValue="-230.16" maxValue="9074.8700000000008"/>
    </cacheField>
    <cacheField name="Unità ordinate" numFmtId="3">
      <sharedItems containsSemiMixedTypes="0" containsString="0" containsNumber="1" containsInteger="1" minValue="-4" maxValue="634"/>
    </cacheField>
    <cacheField name="Ricavi spedizioni" numFmtId="0">
      <sharedItems containsMixedTypes="1" containsNumber="1" minValue="0" maxValue="8911.52"/>
    </cacheField>
    <cacheField name="COGS spedizioni" numFmtId="0">
      <sharedItems containsMixedTypes="1" containsNumber="1" minValue="0" maxValue="6568.29"/>
    </cacheField>
    <cacheField name="Unità spedite" numFmtId="0">
      <sharedItems containsMixedTypes="1" containsNumber="1" containsInteger="1" minValue="1" maxValue="626"/>
    </cacheField>
    <cacheField name="Resi cliente" numFmtId="0">
      <sharedItems containsMixedTypes="1" containsNumber="1" containsInteger="1" minValue="1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421836458336" createdVersion="8" refreshedVersion="8" minRefreshableVersion="3" recordCount="2533" xr:uid="{A1FFF49B-4329-4824-847F-1808DBD94544}">
  <cacheSource type="worksheet">
    <worksheetSource ref="A1:AI2534" sheet="seller_01_2024"/>
  </cacheSource>
  <cacheFields count="35">
    <cacheField name="amazon-order-id" numFmtId="0">
      <sharedItems/>
    </cacheField>
    <cacheField name="merchant-order-id" numFmtId="0">
      <sharedItems containsBlank="1"/>
    </cacheField>
    <cacheField name="purchase-date" numFmtId="0">
      <sharedItems/>
    </cacheField>
    <cacheField name="last-updated-date" numFmtId="0">
      <sharedItems/>
    </cacheField>
    <cacheField name="order-status" numFmtId="0">
      <sharedItems/>
    </cacheField>
    <cacheField name="fulfillment-channel" numFmtId="0">
      <sharedItems count="2">
        <s v="Amazon"/>
        <s v="Merchant"/>
      </sharedItems>
    </cacheField>
    <cacheField name="sales-channel" numFmtId="0">
      <sharedItems count="4">
        <s v="Amazon.fr"/>
        <s v="Amazon.es"/>
        <s v="Non-Amazon"/>
        <s v="Amazon.it"/>
      </sharedItems>
    </cacheField>
    <cacheField name="order-channel" numFmtId="0">
      <sharedItems containsBlank="1"/>
    </cacheField>
    <cacheField name="url" numFmtId="0">
      <sharedItems containsBlank="1"/>
    </cacheField>
    <cacheField name="ship-service-level" numFmtId="0">
      <sharedItems/>
    </cacheField>
    <cacheField name="product-name" numFmtId="0">
      <sharedItems/>
    </cacheField>
    <cacheField name="sku" numFmtId="0">
      <sharedItems containsMixedTypes="1" containsNumber="1" containsInteger="1" minValue="40405" maxValue="90882"/>
    </cacheField>
    <cacheField name="asin" numFmtId="0">
      <sharedItems count="37">
        <s v="B07NQ2VYGD"/>
        <s v="B07N4C3H3V"/>
        <s v="B01KMJ9OXW"/>
        <s v="B08485QRVZ"/>
        <s v="B08KSBDTQD"/>
        <s v="B07BB2DQ4V"/>
        <s v="B07YBN2FS3"/>
        <s v="B07NQC6S9V"/>
        <s v="B0757TJRR9"/>
        <s v="B0823CVGHX"/>
        <s v="B096MX229M"/>
        <s v="B076DCKSTJ"/>
        <s v="B06Y17FS6D"/>
        <s v="B01I497WWM"/>
        <s v="B08GY7286R"/>
        <s v="B00NSNZSLM"/>
        <s v="B08LZN1PWY"/>
        <s v="B08JM7SZ36"/>
        <s v="B08JYDDFZ2"/>
        <s v="B06Y195DJN"/>
        <s v="B097HRQNRG"/>
        <s v="B07P7GGGQM"/>
        <s v="B00FAJUDU8"/>
        <s v="B01CNX704K"/>
        <s v="B01MTSEGF9"/>
        <s v="B0B8DLSNJF"/>
        <s v="B07V131F5W"/>
        <s v="B09ZBHJ91Q"/>
        <s v="B07TVSJDCL"/>
        <s v="B08FDYW72J"/>
        <s v="B07HM7P6MP"/>
        <s v="B076D74TC7"/>
        <s v="B0B6JPXDN6"/>
        <s v="B07YBNB2QY"/>
        <s v="B08L9D9KR9"/>
        <s v="B0050IHH4E"/>
        <s v="B085JHTR6Q"/>
      </sharedItems>
    </cacheField>
    <cacheField name="item-status" numFmtId="0">
      <sharedItems containsBlank="1"/>
    </cacheField>
    <cacheField name="quantity" numFmtId="0">
      <sharedItems containsSemiMixedTypes="0" containsString="0" containsNumber="1" containsInteger="1" minValue="0" maxValue="8"/>
    </cacheField>
    <cacheField name="currency" numFmtId="0">
      <sharedItems containsBlank="1"/>
    </cacheField>
    <cacheField name="item-price" numFmtId="0">
      <sharedItems containsString="0" containsBlank="1" containsNumber="1" minValue="12.21" maxValue="239.2"/>
    </cacheField>
    <cacheField name="item-tax" numFmtId="0">
      <sharedItems containsString="0" containsBlank="1" containsNumber="1" minValue="2.69" maxValue="43.12"/>
    </cacheField>
    <cacheField name="shipping-price" numFmtId="0">
      <sharedItems containsString="0" containsBlank="1" containsNumber="1" minValue="0.19" maxValue="24"/>
    </cacheField>
    <cacheField name="shipping-tax" numFmtId="0">
      <sharedItems containsString="0" containsBlank="1" containsNumber="1" minValue="0.09" maxValue="4.32"/>
    </cacheField>
    <cacheField name="gift-wrap-price" numFmtId="0">
      <sharedItems containsString="0" containsBlank="1" containsNumber="1" minValue="2.99" maxValue="2.99"/>
    </cacheField>
    <cacheField name="gift-wrap-tax" numFmtId="0">
      <sharedItems containsString="0" containsBlank="1" containsNumber="1" minValue="0.54" maxValue="0.54"/>
    </cacheField>
    <cacheField name="item-promotion-discount" numFmtId="0">
      <sharedItems containsNonDate="0" containsString="0" containsBlank="1"/>
    </cacheField>
    <cacheField name="ship-promotion-discount" numFmtId="0">
      <sharedItems containsString="0" containsBlank="1" containsNumber="1" minValue="0.19" maxValue="5.99"/>
    </cacheField>
    <cacheField name="ship-city" numFmtId="0">
      <sharedItems containsBlank="1" containsMixedTypes="1" containsNumber="1" containsInteger="1" minValue="67100" maxValue="67100"/>
    </cacheField>
    <cacheField name="ship-state" numFmtId="0">
      <sharedItems containsBlank="1" containsMixedTypes="1" containsNumber="1" containsInteger="1" minValue="25055" maxValue="25055"/>
    </cacheField>
    <cacheField name="ship-postal-code" numFmtId="0">
      <sharedItems containsBlank="1" containsMixedTypes="1" containsNumber="1" containsInteger="1" minValue="10" maxValue="98168"/>
    </cacheField>
    <cacheField name="ship-country" numFmtId="0">
      <sharedItems containsBlank="1"/>
    </cacheField>
    <cacheField name="promotion-ids" numFmtId="0">
      <sharedItems containsBlank="1"/>
    </cacheField>
    <cacheField name="buyer-company-name" numFmtId="0">
      <sharedItems containsNonDate="0" containsString="0" containsBlank="1"/>
    </cacheField>
    <cacheField name="buyer-cst-number" numFmtId="0">
      <sharedItems containsNonDate="0" containsString="0" containsBlank="1"/>
    </cacheField>
    <cacheField name="buyer-vat-number" numFmtId="0">
      <sharedItems containsNonDate="0" containsString="0" containsBlank="1"/>
    </cacheField>
    <cacheField name="buyer-tax-registration-id" numFmtId="0">
      <sharedItems containsBlank="1" containsMixedTypes="1" containsNumber="1" containsInteger="1" minValue="960670941" maxValue="14646101007"/>
    </cacheField>
    <cacheField name="buyer-tax-registration-country" numFmtId="0">
      <sharedItems containsBlank="1"/>
    </cacheField>
    <cacheField name="buyer-tax-registration-typ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643092245373" createdVersion="8" refreshedVersion="8" minRefreshableVersion="3" recordCount="359" xr:uid="{BE6242F0-EFF0-4D1F-A0DF-49F9F2E282C1}">
  <cacheSource type="worksheet">
    <worksheetSource ref="A1:N360" sheet="complessivo"/>
  </cacheSource>
  <cacheFields count="14">
    <cacheField name="ASIN" numFmtId="0">
      <sharedItems count="359">
        <s v="B0050IHH4E"/>
        <s v="B009O92WU4"/>
        <s v="B00BH202XK"/>
        <s v="B00CMAD2FG"/>
        <s v="B00EYDRS1I"/>
        <s v="B00FFBFVG2"/>
        <s v="B00FMZ2VW8"/>
        <s v="B00L5GPWFG"/>
        <s v="B00L5H5KUW"/>
        <s v="B00NSNZSLM"/>
        <s v="B00OKE4RTM"/>
        <s v="B00YH3FRV8"/>
        <s v="B011LFM60E"/>
        <s v="B011LFVLW8"/>
        <s v="B017IUJA50"/>
        <s v="B01CHW1L88"/>
        <s v="B01CNX6T10"/>
        <s v="B01CNX6UIM"/>
        <s v="B01CNX6Z78"/>
        <s v="B01CNX704K"/>
        <s v="B01CNX71NA"/>
        <s v="B01HM47LF8"/>
        <s v="B01I497WWM"/>
        <s v="B01IHGX2HQ"/>
        <s v="B01II7S968"/>
        <s v="B01KMJ9OXW"/>
        <s v="B01M4O6145"/>
        <s v="B01MTSEGF9"/>
        <s v="B01N12PI05"/>
        <s v="B06WGS8ZVG"/>
        <s v="B06XPK3BTC"/>
        <s v="B06XPYSCGJ"/>
        <s v="B06XQ25NLB"/>
        <s v="B06XSJPGR9"/>
        <s v="B06XYMCV3W"/>
        <s v="B06Y17FS6D"/>
        <s v="B06Y195DJN"/>
        <s v="B06Y1997YH"/>
        <s v="B06Y1P6DPZ"/>
        <s v="B073B67PLQ"/>
        <s v="B0757TJRR9"/>
        <s v="B075FX6RFP"/>
        <s v="B075K5C2QG"/>
        <s v="B075RF5S3N"/>
        <s v="B075RF8FM9"/>
        <s v="B075XR3T8V"/>
        <s v="B076D74TC7"/>
        <s v="B076DC4VWG"/>
        <s v="B076DCKSTJ"/>
        <s v="B076DCL19C"/>
        <s v="B076DCX3JH"/>
        <s v="B076DD26WW"/>
        <s v="B076DD35DZ"/>
        <s v="B076Q7BR6F"/>
        <s v="B076QCMZX1"/>
        <s v="B076QFRRZ5"/>
        <s v="B079SB5VJZ"/>
        <s v="B07B9CBD91"/>
        <s v="B07B9CPH62"/>
        <s v="B07BB2DQ4V"/>
        <s v="B07BHCZR84"/>
        <s v="B07BHTW4WV"/>
        <s v="B07CZ4WMB8"/>
        <s v="B07F187NFQ"/>
        <s v="B07FN14FSN"/>
        <s v="B07HFPYL56"/>
        <s v="B07HFQH172"/>
        <s v="B07HHDSJHM"/>
        <s v="B07HM7P6MP"/>
        <s v="B07JGVMFY1"/>
        <s v="B07KYWNC7Z"/>
        <s v="B07MC8ZVRM"/>
        <s v="B07N4C3H3V"/>
        <s v="B07NNZSW1W"/>
        <s v="B07NP6YY5W"/>
        <s v="B07NQ1T7YK"/>
        <s v="B07NQ2VYGD"/>
        <s v="B07NQC6S9V"/>
        <s v="B07P7GGGQM"/>
        <s v="B07P7L18T9"/>
        <s v="B07PCQJ1P8"/>
        <s v="B07PTQPT16"/>
        <s v="B07Q38Z7CK"/>
        <s v="B07QX1RJRH"/>
        <s v="B07QZ89PLH"/>
        <s v="B07R984VMS"/>
        <s v="B07RN75ZFL"/>
        <s v="B07RRBP1YR"/>
        <s v="B07RRBS54G"/>
        <s v="B07SSLRCT6"/>
        <s v="B07TJGZNPN"/>
        <s v="B07TQVD94L"/>
        <s v="B07TSNB5WG"/>
        <s v="B07TSNCJ5J"/>
        <s v="B07TTJQDC2"/>
        <s v="B07TVSJDCL"/>
        <s v="B07TWX2L8N"/>
        <s v="B07V131F5W"/>
        <s v="B07W7S9KYM"/>
        <s v="B07XVWXVK1"/>
        <s v="B07Y3XHMMV"/>
        <s v="B07YBFRMM7"/>
        <s v="B07YBM3P68"/>
        <s v="B07YBN2FS3"/>
        <s v="B07YBNB2QY"/>
        <s v="B07YBNPZPJ"/>
        <s v="B07YZZZVXP"/>
        <s v="B07ZHSCYF5"/>
        <s v="B07ZJMFB3R"/>
        <s v="B07ZJQTGG8"/>
        <s v="B081QRX1K7"/>
        <s v="B0823CVGHX"/>
        <s v="B08485QRVZ"/>
        <s v="B084C3JTC2"/>
        <s v="B084PN7WPZ"/>
        <s v="B084TG23R3"/>
        <s v="B084TG4594"/>
        <s v="B084TGLFLM"/>
        <s v="B084TGLSDV"/>
        <s v="B085JHSTQS"/>
        <s v="B085JHSWJH"/>
        <s v="B085JHSWJW"/>
        <s v="B085JHTR6Q"/>
        <s v="B085JHZT67"/>
        <s v="B085JJ747G"/>
        <s v="B085JJ81R7"/>
        <s v="B085JJ8RC6"/>
        <s v="B085JJ9J4N"/>
        <s v="B085JJFLGY"/>
        <s v="B085JJMBM7"/>
        <s v="B085R2GCKX"/>
        <s v="B085R2NT18"/>
        <s v="B088PL1CY6"/>
        <s v="B088V4DR59"/>
        <s v="B088V7DR7L"/>
        <s v="B088XJQ37J"/>
        <s v="B089BGZSNM"/>
        <s v="B08B66J4C3"/>
        <s v="B08B8M2B7B"/>
        <s v="B08C7YJB5N"/>
        <s v="B08DHZDXVV"/>
        <s v="B08DJ3K9J8"/>
        <s v="B08DL66NZ9"/>
        <s v="B08F5GYFKS"/>
        <s v="B08FDP7T13"/>
        <s v="B08FDYW72J"/>
        <s v="B08FF245TD"/>
        <s v="B08FJGGZ1D"/>
        <s v="B08FMLPKY9"/>
        <s v="B08FMS5ZDK"/>
        <s v="B08GS7XW73"/>
        <s v="B08GS96GPT"/>
        <s v="B08GSK6C18"/>
        <s v="B08GY7286R"/>
        <s v="B08HCT78N3"/>
        <s v="B08HN4DPJV"/>
        <s v="B08JYDDFZ2"/>
        <s v="B08JYWF3PK"/>
        <s v="B08JZDZTPG"/>
        <s v="B08KSBDTQD"/>
        <s v="B08KYZ2FLN"/>
        <s v="B08L9D9KR9"/>
        <s v="B08LDDKBYG"/>
        <s v="B08LVS1MMY"/>
        <s v="B08LZN1PWY"/>
        <s v="B08MM2VK11"/>
        <s v="B08MX1SQKC"/>
        <s v="B08NDZKNF5"/>
        <s v="B08NF8TQKT"/>
        <s v="B08NTD853X"/>
        <s v="B08V4VTTQN"/>
        <s v="B08X4VZV3S"/>
        <s v="B08XQT9P5C"/>
        <s v="B08XVV3PVK"/>
        <s v="B08XWBGJHR"/>
        <s v="B08Y6RJ69Y"/>
        <s v="B08YN2SRQS"/>
        <s v="B08ZJHV47V"/>
        <s v="B09146GTKW"/>
        <s v="B091C5XQZN"/>
        <s v="B091LRR67V"/>
        <s v="B091VSY78C"/>
        <s v="B09251R9RJ"/>
        <s v="B09294Z7XG"/>
        <s v="B0929CVW7Q"/>
        <s v="B092DN1NCS"/>
        <s v="B092J2RHL8"/>
        <s v="B092QXCQ8K"/>
        <s v="B09495C38F"/>
        <s v="B0953R2W31"/>
        <s v="B0957PWXL8"/>
        <s v="B095PQJGKX"/>
        <s v="B095WCSSLC"/>
        <s v="B095X9KDJR"/>
        <s v="B096KVY46G"/>
        <s v="B096MX229M"/>
        <s v="B096SVXQDX"/>
        <s v="B097785V2V"/>
        <s v="B0978ZKW4S"/>
        <s v="B097F45J2B"/>
        <s v="B097HRQNRG"/>
        <s v="B097YTGFH7"/>
        <s v="B098F33WBD"/>
        <s v="B098QM485T"/>
        <s v="B09968BKDS"/>
        <s v="B09B15P5H1"/>
        <s v="B09B2NT2SV"/>
        <s v="B09B47S644"/>
        <s v="B09BBFTDLJ"/>
        <s v="B09BD8BG34"/>
        <s v="B09BG1GGSM"/>
        <s v="B09D8G2H7Q"/>
        <s v="B09HMK8JDN"/>
        <s v="B09HQN1LQ2"/>
        <s v="B09KYD9JGY"/>
        <s v="B09L4SLDSZ"/>
        <s v="B09LHXJXQL"/>
        <s v="B09MS5H54V"/>
        <s v="B09NBXYF5J"/>
        <s v="B09PGHNKWP"/>
        <s v="B09VQLJ1WK"/>
        <s v="B09XN3Z69T"/>
        <s v="B09XR94HF8"/>
        <s v="B09Y9DBPK5"/>
        <s v="B09YVL4VQ6"/>
        <s v="B09ZBHJ91Q"/>
        <s v="B0B131VWYS"/>
        <s v="B0B2F48ZMP"/>
        <s v="B0B2SB1ZQL"/>
        <s v="B0B39H1Z8J"/>
        <s v="B0B3N9ZNT2"/>
        <s v="B0B57933BC"/>
        <s v="B0B5XB4X2T"/>
        <s v="B0B6JKJNCP"/>
        <s v="B0B6JPXDN6"/>
        <s v="B0B7WVD9L3"/>
        <s v="B0B887SKJ1"/>
        <s v="B0B8DLSNJF"/>
        <s v="B0B8JVTQYQ"/>
        <s v="B0B94FL5H8"/>
        <s v="B0BBH12BYN"/>
        <s v="B0BD4VX5JB"/>
        <s v="B0BD83RNDG"/>
        <s v="B0BDFXPXY7"/>
        <s v="B0BFS7CYLQ"/>
        <s v="B0BHHV552D"/>
        <s v="B0BHTBMNX8"/>
        <s v="B0BJ2DC3KX"/>
        <s v="B0BJ2TBPJW"/>
        <s v="B0BJL1Z674"/>
        <s v="B0BKGZC9YH"/>
        <s v="B0BLSQJZJ3"/>
        <s v="B0BNNH9RZQ"/>
        <s v="B0BQJSQ6PF"/>
        <s v="B0BTHSH5MK"/>
        <s v="B0BVBY1RWS"/>
        <s v="B0BVZG7FPY"/>
        <s v="B0BWS8WNS9"/>
        <s v="B0BWSFLRWN"/>
        <s v="B0BXDTH4VN"/>
        <s v="B0BYZTG56X"/>
        <s v="B0BYZTX2NR"/>
        <s v="B0BYZZKNN1"/>
        <s v="B0C154W8S4"/>
        <s v="B0C28S79G8"/>
        <s v="B0C2Q58PTZ"/>
        <s v="B0C3R6NJVT"/>
        <s v="B0C94Q6QZ9"/>
        <s v="B0C9V6YP8X"/>
        <s v="B0CC5QZ9CJ"/>
        <s v="B0CFB71DMN"/>
        <s v="B0CHF7YW6B"/>
        <s v="B0CHFQXMZX"/>
        <s v="B0CHFVXXND"/>
        <s v="B0CHWMFNNT"/>
        <s v="B0CLVR5JN6"/>
        <s v="B0CLVS3FH6"/>
        <s v="B0CLY2CF4T"/>
        <s v="B0CMHZ2WNV"/>
        <s v="B0CPFRMPTM"/>
        <s v="B0CXJCJF5B"/>
        <s v="B00C5CCJP0"/>
        <s v="B00EYF02AU"/>
        <s v="B00EZ4185S"/>
        <s v="B00FAJUDU8"/>
        <s v="B00FFBED98"/>
        <s v="B00J7MNQFS"/>
        <s v="B00OLZPU5K"/>
        <s v="B00WR5UPZG"/>
        <s v="B00YAIEPNQ"/>
        <s v="B00YCPX8R6"/>
        <s v="B00ZINWP5W"/>
        <s v="B011LLILUM"/>
        <s v="B016MWFVIU"/>
        <s v="B01CA687DI"/>
        <s v="B01HGS9EPA"/>
        <s v="B01HM47LI0"/>
        <s v="B01II660SS"/>
        <s v="B01ITBZK38"/>
        <s v="B01MFCQKVN"/>
        <s v="B01MTAUFYF"/>
        <s v="B01N4L0SUV"/>
        <s v="B01N5R491F"/>
        <s v="B01N6SQYFM"/>
        <s v="B06VWNNKF9"/>
        <s v="B06VWTF7V3"/>
        <s v="B06XYLCVBP"/>
        <s v="B06Y4GZ9QP"/>
        <s v="B072C5RN48"/>
        <s v="B072FW64RR"/>
        <s v="B073B57HQH"/>
        <s v="B0763R9MPM"/>
        <s v="B076DN647N"/>
        <s v="B076QDRTK6"/>
        <s v="B07B7YLZ6Z"/>
        <s v="B07BHTW4X8"/>
        <s v="B07BHVLCF5"/>
        <s v="B07HHHBXHL"/>
        <s v="B07J25HN6L"/>
        <s v="B07JXMJLG9"/>
        <s v="B07KG9T4M7"/>
        <s v="B07NQ2ZBPV"/>
        <s v="B07NQ4G4NX"/>
        <s v="B07NQ9JF3Z"/>
        <s v="B07P7GH655"/>
        <s v="B07Q47DQ4M"/>
        <s v="B07QY47V9Y"/>
        <s v="B07RMZYDCJ"/>
        <s v="B07RQ7FRCS"/>
        <s v="B07RTKKND8"/>
        <s v="B07RVKV56Z"/>
        <s v="B07RVLJ2KL"/>
        <s v="B07TVTGQ5B"/>
        <s v="B07TWX1RX3"/>
        <s v="B07V5TWWXM"/>
        <s v="B07XLT78B7"/>
        <s v="B07XYJ64GP"/>
        <s v="B0813VLDQY"/>
        <s v="B0823CLCWM"/>
        <s v="B084HK5BF8"/>
        <s v="B085JHTR6J"/>
        <s v="B085JJJR91"/>
        <s v="B088RZXVDL"/>
        <s v="B088V9LKW7"/>
        <s v="B089BKBZV3"/>
        <s v="B089DTP1BQ"/>
        <s v="B08C7TN27W"/>
        <s v="B08J47XH38"/>
        <s v="B08JM7SZ36"/>
        <s v="B092JNYG6Z"/>
        <s v="B095SWNCBS"/>
        <s v="B098TQ6NHC"/>
        <s v="B09C2K1HQW"/>
        <s v="B09J57VDX5"/>
        <s v="B09MFYXGV9"/>
        <s v="B09MKJBD92"/>
        <s v="B0B57FLJFX"/>
        <s v="B0BRQB2J4B"/>
        <s v="Totale complessivo"/>
      </sharedItems>
    </cacheField>
    <cacheField name="SKU" numFmtId="0">
      <sharedItems count="358">
        <s v="40.979"/>
        <s v="40.999"/>
        <s v="40.808A"/>
        <s v="HK-NV009W"/>
        <s v="90.349"/>
        <s v="40.100"/>
        <s v="HK-HQ601C PINK"/>
        <s v="40.120"/>
        <s v="40.121"/>
        <s v="90.602"/>
        <s v="90.386"/>
        <s v="40.998"/>
        <s v="40.948T"/>
        <s v="90.620"/>
        <s v="90.920G"/>
        <s v="PE.001"/>
        <s v="PE.165"/>
        <s v="PE.300"/>
        <s v="90.820"/>
        <s v="90.825"/>
        <s v="90.871"/>
        <s v="MD.004"/>
        <s v="90.920R"/>
        <s v="MD.104"/>
        <s v="MD.217"/>
        <s v="90.590Y"/>
        <s v="90.071"/>
        <s v="50.700"/>
        <s v="PE.301"/>
        <s v="90.131"/>
        <s v="40.450GO"/>
        <s v="40.939"/>
        <s v="40.220"/>
        <s v="50.130"/>
        <s v="90.485H"/>
        <s v="90.550"/>
        <s v="90.882"/>
        <s v="90.883"/>
        <s v="VE.112"/>
        <s v="90.884"/>
        <s v="40.500"/>
        <s v="BC.040N"/>
        <s v="RI.201"/>
        <s v="BC.160A"/>
        <s v="BC.160G"/>
        <s v="BT.600Y"/>
        <s v="BT.700Y"/>
        <s v="40.501"/>
        <s v="BT.602H"/>
        <s v="BP.720"/>
        <s v="BB.103"/>
        <s v="CA.010"/>
        <s v="BC.002"/>
        <s v="BC.041N"/>
        <s v="40.821"/>
        <s v="40.931"/>
        <s v="50451"/>
        <s v="VE.550"/>
        <s v="BG.200Y"/>
        <s v="BT.150Y"/>
        <s v="BA.200Y"/>
        <s v="VE.210"/>
        <s v="40.330"/>
        <s v="50.900"/>
        <s v="50.160"/>
        <s v="BC.353"/>
        <s v="BC.250"/>
        <s v="BI.504"/>
        <s v="RI.080"/>
        <s v="BP.581"/>
        <s v="40.405"/>
        <s v="40.452"/>
        <s v="BT.110"/>
        <s v="BP.200"/>
        <s v="BP.101H"/>
        <s v="BT.710Y"/>
        <s v="BT.651Y"/>
        <s v="BP.961"/>
        <s v="40.102"/>
        <s v="BT.410"/>
        <s v="BF.570"/>
        <s v="BC.060"/>
        <s v="40.742"/>
        <s v="40.403"/>
        <s v="BI.505"/>
        <s v="50.401"/>
        <s v="VE.502"/>
        <s v="BP.620"/>
        <s v="BP.304"/>
        <s v="BP.654"/>
        <s v="BP.690"/>
        <s v="BP.102"/>
        <s v="BP.800"/>
        <s v="70.404"/>
        <s v="MD.500"/>
        <s v="40.361"/>
        <s v="40.490"/>
        <s v="BB.200"/>
        <s v="RI.503"/>
        <s v="BP.604"/>
        <s v="BB.210"/>
        <s v="RI.096"/>
        <s v="BF.640"/>
        <s v="50161"/>
        <s v="BP.552"/>
        <s v="MD.404"/>
        <s v="BF.700"/>
        <s v="BC.510"/>
        <s v="50.245"/>
        <s v="40.473"/>
        <s v="BP.400"/>
        <s v="BC.261"/>
        <s v="40.406"/>
        <s v="XUADA001"/>
        <s v="C102BOT001"/>
        <s v="C102BOT003"/>
        <s v="C102BOT002"/>
        <s v="C102BOT004"/>
        <s v="P206VEN410"/>
        <s v="BP.802"/>
        <s v="RCOBP630"/>
        <s v="BP.790"/>
        <s v="P206VEN420"/>
        <s v="P206VEN260"/>
        <s v="RCO9003028"/>
        <s v="BB.050"/>
        <s v="P206RAF200"/>
        <s v="RCO9003022"/>
        <s v="P206VEN400"/>
        <s v="40.332"/>
        <s v="3BEPI001"/>
        <s v="P206VEN100"/>
        <s v="P206ZAN040"/>
        <s v="P206VEN130"/>
        <s v="C301ABE001"/>
        <s v="P101CUD001"/>
        <s v="P101PIA001"/>
        <s v="P102EST001"/>
        <s v="P201UTP001"/>
        <s v="P102SBA100"/>
        <s v="p102rob100"/>
        <s v="P301ASC001"/>
        <s v="P102FRU001"/>
        <s v="P101FOR001"/>
        <s v="P101CUD100"/>
        <s v="P101CUD500"/>
        <s v="70.405"/>
        <s v="P201UTP004"/>
        <s v="P201UTP002"/>
        <s v="P204FER250"/>
        <s v="P204FER100"/>
        <s v="P204FER200"/>
        <s v="P203TFO001"/>
        <s v="P202ASP400"/>
        <s v="P201UTP003"/>
        <s v="C206UTI002"/>
        <s v="C102COC101"/>
        <s v="BP.803"/>
        <s v="P102ROB001"/>
        <s v="P101FRI001"/>
        <s v="P202VAL001"/>
        <s v="P202VAL002"/>
        <s v="P202VAL100"/>
        <s v="P101TEM001"/>
        <s v="P302MAS001"/>
        <s v="P302VIS001"/>
        <s v="P102CON001"/>
        <s v="P102FRU100"/>
        <s v="P102SBA006"/>
        <s v="C107UTT001"/>
        <s v="P303BIP001"/>
        <s v="P102GEL001"/>
        <s v="P303MED001"/>
        <s v="P101PIA002"/>
        <s v="P204CAL001"/>
        <s v="P206ZAN001"/>
        <s v="P206VEN150"/>
        <s v="P302VIS002"/>
        <s v="P202ASP001"/>
        <s v="P101FRI050"/>
        <s v="P303BIP050"/>
        <s v="P304CAP001"/>
        <s v="P206ZAN300"/>
        <s v="P206ZAN110"/>
        <s v="P206VEN440"/>
        <s v="P206ZAN200"/>
        <s v="P205DIF001"/>
        <s v="P204FER002"/>
        <s v="P102ACP001"/>
        <s v="P102ACP010"/>
        <s v="C107UTT002"/>
        <s v="C301ABE101"/>
        <s v="P101BOL100"/>
        <s v="P303MED050"/>
        <s v="P102ROB050"/>
        <s v="P201UTP011"/>
        <s v="P202VAL110"/>
        <s v="P205DIF100"/>
        <s v="P102FRU500"/>
        <s v="P101FRI100"/>
        <s v="P102ROB200"/>
        <s v="RCO4091819"/>
        <s v="P101CUD050"/>
        <s v="P102FRU003"/>
        <s v="P102FRU200"/>
        <s v="P102FRU150"/>
        <s v="P101CUD501"/>
        <s v="P101TOS501"/>
        <s v="P301PIS001"/>
        <s v="P204FER003"/>
        <s v="P102SBA500"/>
        <s v="P203TER001"/>
        <s v="P203TER100"/>
        <s v="P301PIS100"/>
        <s v="P203TFO100"/>
        <s v="P102SBA007"/>
        <s v="P101TOS502"/>
        <s v="P101TOS002"/>
        <s v="AC.116"/>
        <s v="P204FER004"/>
        <s v="P206VEN350"/>
        <s v="C301ACC001"/>
        <s v="P101CUD300"/>
        <s v="P302MAS100"/>
        <s v="P201UTP100"/>
        <s v="P201UTP020"/>
        <s v="P102GEL100"/>
        <s v="P102EST100"/>
        <s v="C106CAS001"/>
        <s v="P101CUD051"/>
        <s v="P102FRU300"/>
        <s v="P102ACP100"/>
        <s v="P201UTP201"/>
        <s v="P201UTP200"/>
        <s v="P205DIF050"/>
        <s v="P102SBA008"/>
        <s v="P302VIS050"/>
        <s v="P101CUD200"/>
        <s v="PE.387"/>
        <s v="P101COS001"/>
        <s v="P203PAN002"/>
        <s v="C106CAS002"/>
        <s v="P202ASP200"/>
        <s v="P101CUD052"/>
        <s v="P203TER201"/>
        <s v="P101CUD250"/>
        <s v="P101FRI080"/>
        <s v="C206UTI004"/>
        <s v="C102SPE001"/>
        <s v="C301ABE200"/>
        <s v="C206UTI005"/>
        <s v="P302VIS060"/>
        <s v="P101CUD600"/>
        <s v="C103ACC001"/>
        <s v="P206VEN550"/>
        <s v="P206VEN600"/>
        <s v="P206ZAN250"/>
        <s v="P206VEN151"/>
        <s v="P206VEN152"/>
        <s v="P201UTP101"/>
        <s v="P201UTP102"/>
        <s v="P201UTP103"/>
        <s v="P206VEN450"/>
        <s v="P206VEN430"/>
        <s v="P207OUT002"/>
        <s v="P101FRI090"/>
        <s v="P101TOS100"/>
        <s v="C301ABE002"/>
        <s v="C206UTI006"/>
        <s v="C203PUL004"/>
        <s v="P203PAN010"/>
        <s v="P203PAN001"/>
        <s v="P203TER010"/>
        <s v="P202ASP250"/>
        <s v="P201UTP112"/>
        <s v="P201UTP111"/>
        <s v="P201UTP113"/>
        <s v="P101FRI051"/>
        <s v="P101CAF001"/>
        <s v="P101PIA003"/>
        <s v="40.993"/>
        <s v="90.502"/>
        <s v="RI.501SL"/>
        <s v="40.967N"/>
        <s v="40.11"/>
        <s v="40.994"/>
        <s v="40.947"/>
        <s v="40.978"/>
        <s v="90.605"/>
        <s v="40.969"/>
        <s v="40.996"/>
        <s v="90.520"/>
        <s v="40.761"/>
        <s v="90.514"/>
        <s v="40.531"/>
        <s v="MD.002"/>
        <s v="MD.213"/>
        <s v="PO.002"/>
        <s v="90.836"/>
        <s v="PE.361"/>
        <s v="40.926"/>
        <s v="PE.376"/>
        <s v="PE.377"/>
        <s v="90.130F2"/>
        <s v="90.436H"/>
        <s v="50.920V"/>
        <s v="90.350V"/>
        <s v="BT.001R"/>
        <s v="40.957N"/>
        <s v="90.886"/>
        <s v="BP.600"/>
        <s v="BB.001"/>
        <s v="40.915"/>
        <s v="BF.550"/>
        <s v="VE.402"/>
        <s v="BC.130"/>
        <s v="50.940GO"/>
        <s v="ri.093"/>
        <s v="RI.552"/>
        <s v="50600"/>
        <s v="BT.300"/>
        <s v="BP.500"/>
        <s v="BT.604"/>
        <s v="BT.450"/>
        <s v="BB.105"/>
        <s v="40.453"/>
        <s v="MD.127"/>
        <s v="BB.002"/>
        <s v="BP.630"/>
        <s v="CA.013"/>
        <s v="BC.300"/>
        <s v="40.918"/>
        <s v="40.919"/>
        <s v="BC.200"/>
        <s v="1"/>
        <s v="RI.064"/>
        <s v="BI.507"/>
        <s v="BT.800"/>
        <s v="RI.424"/>
        <s v="BC.125"/>
        <s v="BC.210"/>
        <s v="P206ZAN020"/>
        <s v="P206VEN230"/>
        <s v="P101TOS001"/>
        <s v="XUADA010"/>
        <s v="P204FER001"/>
        <s v="RCORI552"/>
        <s v="C206UTI001"/>
        <s v="P204CAL201"/>
        <s v="P101TOS500"/>
        <s v="P201UTP010"/>
        <s v="P302MAS050"/>
        <s v="P203TER200"/>
        <s v="P101FRI012"/>
        <s v="CP.007"/>
        <s v="P302VIS003"/>
        <s v="PET005"/>
        <s v="Totale complessivo"/>
      </sharedItems>
    </cacheField>
    <cacheField name="Ordini Vendor 24" numFmtId="0">
      <sharedItems containsSemiMixedTypes="0" containsString="0" containsNumber="1" containsInteger="1" minValue="-4" maxValue="13774"/>
    </cacheField>
    <cacheField name="Valori ordini Vendor 24" numFmtId="164">
      <sharedItems containsSemiMixedTypes="0" containsString="0" containsNumber="1" minValue="-230.16" maxValue="219396.13"/>
    </cacheField>
    <cacheField name="Ordini Seller 24" numFmtId="0">
      <sharedItems containsSemiMixedTypes="0" containsString="0" containsNumber="1" containsInteger="1" minValue="0" maxValue="2497"/>
    </cacheField>
    <cacheField name="Valori ordini Seller 24" numFmtId="164">
      <sharedItems containsSemiMixedTypes="0" containsString="0" containsNumber="1" minValue="0" maxValue="77269.539999999601"/>
    </cacheField>
    <cacheField name="% seller / totale" numFmtId="9">
      <sharedItems containsString="0" containsBlank="1" containsNumber="1" minValue="0" maxValue="1"/>
    </cacheField>
    <cacheField name="Ordini Complessivi 24" numFmtId="0">
      <sharedItems containsSemiMixedTypes="0" containsString="0" containsNumber="1" containsInteger="1" minValue="-4" maxValue="16271"/>
    </cacheField>
    <cacheField name="Valori ordini Complessivi 24" numFmtId="164">
      <sharedItems containsSemiMixedTypes="0" containsString="0" containsNumber="1" minValue="-230.16" maxValue="296665.66999999958"/>
    </cacheField>
    <cacheField name="Ordini Vendor 23" numFmtId="0">
      <sharedItems containsSemiMixedTypes="0" containsString="0" containsNumber="1" containsInteger="1" minValue="-3" maxValue="51985"/>
    </cacheField>
    <cacheField name="Valori ordini Vendor 23" numFmtId="164">
      <sharedItems containsSemiMixedTypes="0" containsString="0" containsNumber="1" minValue="-55.37" maxValue="814456.15999999992"/>
    </cacheField>
    <cacheField name="Differenza Ordini" numFmtId="0">
      <sharedItems containsSemiMixedTypes="0" containsString="0" containsNumber="1" containsInteger="1" minValue="-35714" maxValue="1172"/>
    </cacheField>
    <cacheField name="Differenza Valore" numFmtId="164">
      <sharedItems containsSemiMixedTypes="0" containsString="0" containsNumber="1" minValue="-517790.49000000034" maxValue="16700.490000000002"/>
    </cacheField>
    <cacheField name="Differenza Valore %" numFmtId="9">
      <sharedItems containsString="0" containsBlank="1" containsNumber="1" minValue="-3.767457627118644" maxValue="296.267741935483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1">
  <r>
    <x v="0"/>
    <x v="0"/>
    <x v="0"/>
    <n v="36493.17"/>
    <n v="2989"/>
    <n v="36359.699999999997"/>
    <n v="20059.05"/>
    <n v="2978"/>
    <n v="27"/>
  </r>
  <r>
    <x v="1"/>
    <x v="1"/>
    <x v="0"/>
    <n v="34319.58"/>
    <n v="2922"/>
    <n v="33633.589999999997"/>
    <n v="25554.71"/>
    <n v="2873"/>
    <n v="100"/>
  </r>
  <r>
    <x v="2"/>
    <x v="2"/>
    <x v="1"/>
    <n v="28799.279999999999"/>
    <n v="2322"/>
    <n v="28859.41"/>
    <n v="18118.2"/>
    <n v="2326"/>
    <n v="78"/>
  </r>
  <r>
    <x v="3"/>
    <x v="3"/>
    <x v="0"/>
    <n v="24665.9"/>
    <n v="1095"/>
    <n v="24321.95"/>
    <n v="10523.55"/>
    <n v="1073"/>
    <n v="77"/>
  </r>
  <r>
    <x v="4"/>
    <x v="4"/>
    <x v="0"/>
    <n v="19352.55"/>
    <n v="1487"/>
    <n v="19373.27"/>
    <n v="13675.4"/>
    <n v="1493"/>
    <n v="72"/>
  </r>
  <r>
    <x v="5"/>
    <x v="5"/>
    <x v="0"/>
    <n v="18144.490000000002"/>
    <n v="889"/>
    <n v="17981.21"/>
    <n v="14031"/>
    <n v="881"/>
    <n v="27"/>
  </r>
  <r>
    <x v="6"/>
    <x v="6"/>
    <x v="2"/>
    <n v="17910.240000000002"/>
    <n v="2190"/>
    <n v="18294.7"/>
    <n v="11297.2"/>
    <n v="2237"/>
    <n v="61"/>
  </r>
  <r>
    <x v="7"/>
    <x v="7"/>
    <x v="0"/>
    <n v="17144.47"/>
    <n v="597"/>
    <n v="17773.89"/>
    <n v="12407.85"/>
    <n v="619"/>
    <n v="34"/>
  </r>
  <r>
    <x v="7"/>
    <x v="7"/>
    <x v="3"/>
    <n v="16195.78"/>
    <n v="536"/>
    <n v="16304.03"/>
    <n v="10315.459999999999"/>
    <n v="538"/>
    <n v="33"/>
  </r>
  <r>
    <x v="8"/>
    <x v="8"/>
    <x v="0"/>
    <n v="15037.82"/>
    <n v="922"/>
    <n v="14793.17"/>
    <n v="12784.2"/>
    <n v="907"/>
    <n v="94"/>
  </r>
  <r>
    <x v="9"/>
    <x v="9"/>
    <x v="0"/>
    <n v="14888.98"/>
    <n v="1836"/>
    <n v="15132.28"/>
    <n v="11062.2"/>
    <n v="1866"/>
    <n v="63"/>
  </r>
  <r>
    <x v="10"/>
    <x v="10"/>
    <x v="0"/>
    <n v="14362.86"/>
    <n v="586"/>
    <n v="14583.45"/>
    <n v="15228.65"/>
    <n v="595"/>
    <n v="14"/>
  </r>
  <r>
    <x v="11"/>
    <x v="11"/>
    <x v="0"/>
    <n v="13504.68"/>
    <n v="828"/>
    <n v="13863.5"/>
    <n v="12545.33"/>
    <n v="850"/>
    <n v="91"/>
  </r>
  <r>
    <x v="12"/>
    <x v="12"/>
    <x v="0"/>
    <n v="13080"/>
    <n v="400"/>
    <n v="13308.9"/>
    <n v="13704.35"/>
    <n v="407"/>
    <n v="16"/>
  </r>
  <r>
    <x v="13"/>
    <x v="13"/>
    <x v="0"/>
    <n v="12846.24"/>
    <n v="1584"/>
    <n v="12992.22"/>
    <n v="9057.58"/>
    <n v="1602"/>
    <n v="24"/>
  </r>
  <r>
    <x v="8"/>
    <x v="8"/>
    <x v="3"/>
    <n v="12832.92"/>
    <n v="774"/>
    <n v="12003.92"/>
    <n v="10222.57"/>
    <n v="724"/>
    <n v="41"/>
  </r>
  <r>
    <x v="14"/>
    <x v="14"/>
    <x v="0"/>
    <n v="10170.93"/>
    <n v="833"/>
    <n v="10183.14"/>
    <n v="8641.24"/>
    <n v="834"/>
    <n v="61"/>
  </r>
  <r>
    <x v="15"/>
    <x v="15"/>
    <x v="0"/>
    <n v="9812.82"/>
    <n v="2441"/>
    <n v="9463.08"/>
    <n v="7613.34"/>
    <n v="2354"/>
    <n v="16"/>
  </r>
  <r>
    <x v="16"/>
    <x v="16"/>
    <x v="0"/>
    <n v="9694.74"/>
    <n v="794"/>
    <n v="9841.26"/>
    <n v="8163.4"/>
    <n v="806"/>
    <n v="20"/>
  </r>
  <r>
    <x v="17"/>
    <x v="17"/>
    <x v="0"/>
    <n v="9633.52"/>
    <n v="472"/>
    <n v="9858.0300000000007"/>
    <n v="7502.44"/>
    <n v="483"/>
    <n v="23"/>
  </r>
  <r>
    <x v="9"/>
    <x v="9"/>
    <x v="1"/>
    <n v="9285.1200000000008"/>
    <n v="1116"/>
    <n v="9451.52"/>
    <n v="6648.78"/>
    <n v="1136"/>
    <n v="53"/>
  </r>
  <r>
    <x v="18"/>
    <x v="18"/>
    <x v="0"/>
    <n v="9036.6"/>
    <n v="222"/>
    <n v="9363.7999999999993"/>
    <n v="7656.2"/>
    <n v="230"/>
    <n v="15"/>
  </r>
  <r>
    <x v="19"/>
    <x v="19"/>
    <x v="0"/>
    <n v="8510.9699999999993"/>
    <n v="417"/>
    <n v="8327.2800000000007"/>
    <n v="5052.07"/>
    <n v="408"/>
    <n v="12"/>
  </r>
  <r>
    <x v="20"/>
    <x v="20"/>
    <x v="0"/>
    <n v="8435.0400000000009"/>
    <n v="304"/>
    <n v="8435.0400000000009"/>
    <n v="5592.81"/>
    <n v="304"/>
    <n v="12"/>
  </r>
  <r>
    <x v="21"/>
    <x v="21"/>
    <x v="2"/>
    <n v="8309.25"/>
    <n v="675"/>
    <n v="8444.66"/>
    <n v="8062.2"/>
    <n v="686"/>
    <n v="26"/>
  </r>
  <r>
    <x v="22"/>
    <x v="22"/>
    <x v="0"/>
    <n v="8110.64"/>
    <n v="150"/>
    <n v="8019.93"/>
    <n v="6073.96"/>
    <n v="148"/>
    <n v="5"/>
  </r>
  <r>
    <x v="23"/>
    <x v="23"/>
    <x v="0"/>
    <n v="7919.08"/>
    <n v="388"/>
    <n v="7980.31"/>
    <n v="5797.33"/>
    <n v="391"/>
    <n v="15"/>
  </r>
  <r>
    <x v="2"/>
    <x v="2"/>
    <x v="3"/>
    <n v="7885.7"/>
    <n v="635"/>
    <n v="7848.44"/>
    <n v="4845.82"/>
    <n v="632"/>
    <n v="30"/>
  </r>
  <r>
    <x v="0"/>
    <x v="0"/>
    <x v="3"/>
    <n v="7737.66"/>
    <n v="623"/>
    <n v="7489.26"/>
    <n v="4201.3100000000004"/>
    <n v="603"/>
    <n v="5"/>
  </r>
  <r>
    <x v="24"/>
    <x v="24"/>
    <x v="0"/>
    <n v="7610.26"/>
    <n v="266"/>
    <n v="7667.48"/>
    <n v="6588.01"/>
    <n v="268"/>
    <n v="8"/>
  </r>
  <r>
    <x v="20"/>
    <x v="20"/>
    <x v="2"/>
    <n v="7338.87"/>
    <n v="297"/>
    <n v="7462.42"/>
    <n v="5589.43"/>
    <n v="302"/>
    <n v="22"/>
  </r>
  <r>
    <x v="25"/>
    <x v="25"/>
    <x v="1"/>
    <n v="7253.68"/>
    <n v="108"/>
    <n v="7253.84"/>
    <n v="5851.56"/>
    <n v="108"/>
    <n v="31"/>
  </r>
  <r>
    <x v="26"/>
    <x v="26"/>
    <x v="3"/>
    <n v="7134.43"/>
    <n v="187"/>
    <n v="6870.89"/>
    <n v="3183.99"/>
    <n v="179"/>
    <n v="8"/>
  </r>
  <r>
    <x v="9"/>
    <x v="9"/>
    <x v="2"/>
    <n v="6545.82"/>
    <n v="787"/>
    <n v="6897.56"/>
    <n v="4748.3999999999996"/>
    <n v="830"/>
    <n v="31"/>
  </r>
  <r>
    <x v="27"/>
    <x v="27"/>
    <x v="0"/>
    <n v="6234.61"/>
    <n v="152"/>
    <n v="6357.31"/>
    <n v="4814.8999999999996"/>
    <n v="155"/>
    <n v="19"/>
  </r>
  <r>
    <x v="2"/>
    <x v="2"/>
    <x v="0"/>
    <n v="6117.21"/>
    <n v="501"/>
    <n v="6349.2"/>
    <n v="3983.12"/>
    <n v="520"/>
    <n v="22"/>
  </r>
  <r>
    <x v="28"/>
    <x v="28"/>
    <x v="0"/>
    <n v="6004.95"/>
    <n v="245"/>
    <n v="6053.97"/>
    <n v="4376.66"/>
    <n v="247"/>
    <n v="8"/>
  </r>
  <r>
    <x v="29"/>
    <x v="29"/>
    <x v="0"/>
    <n v="5658.63"/>
    <n v="247"/>
    <n v="5628.18"/>
    <n v="4016.95"/>
    <n v="245"/>
    <n v="4"/>
  </r>
  <r>
    <x v="30"/>
    <x v="30"/>
    <x v="0"/>
    <n v="5216.21"/>
    <n v="428"/>
    <n v="5301.68"/>
    <n v="3013.42"/>
    <n v="435"/>
    <n v="27"/>
  </r>
  <r>
    <x v="31"/>
    <x v="31"/>
    <x v="0"/>
    <n v="4968"/>
    <n v="135"/>
    <n v="5004.8"/>
    <n v="4487.6000000000004"/>
    <n v="136"/>
    <n v="11"/>
  </r>
  <r>
    <x v="32"/>
    <x v="32"/>
    <x v="0"/>
    <n v="4817.34"/>
    <n v="76"/>
    <n v="4952.42"/>
    <n v="3673.49"/>
    <n v="78"/>
    <n v="8"/>
  </r>
  <r>
    <x v="14"/>
    <x v="14"/>
    <x v="3"/>
    <n v="4767.34"/>
    <n v="349"/>
    <n v="4603.42"/>
    <n v="3695.49"/>
    <n v="337"/>
    <n v="16"/>
  </r>
  <r>
    <x v="3"/>
    <x v="3"/>
    <x v="2"/>
    <n v="4755.6000000000004"/>
    <n v="362"/>
    <n v="4729.32"/>
    <n v="3768.63"/>
    <n v="360"/>
    <n v="12"/>
  </r>
  <r>
    <x v="2"/>
    <x v="2"/>
    <x v="2"/>
    <n v="4689.13"/>
    <n v="381"/>
    <n v="4861.47"/>
    <n v="3074"/>
    <n v="395"/>
    <n v="43"/>
  </r>
  <r>
    <x v="6"/>
    <x v="6"/>
    <x v="0"/>
    <n v="4428.0600000000004"/>
    <n v="546"/>
    <n v="4403.7299999999996"/>
    <n v="2885.07"/>
    <n v="543"/>
    <n v="10"/>
  </r>
  <r>
    <x v="33"/>
    <x v="33"/>
    <x v="0"/>
    <n v="4379.4399999999996"/>
    <n v="258"/>
    <n v="4219.78"/>
    <n v="2616.4"/>
    <n v="248"/>
    <s v=""/>
  </r>
  <r>
    <x v="34"/>
    <x v="34"/>
    <x v="0"/>
    <n v="4258.28"/>
    <n v="52"/>
    <n v="3603.16"/>
    <n v="3346.8"/>
    <n v="44"/>
    <n v="6"/>
  </r>
  <r>
    <x v="20"/>
    <x v="20"/>
    <x v="3"/>
    <n v="4185.8100000000004"/>
    <n v="166"/>
    <n v="4279.8900000000003"/>
    <n v="3128.39"/>
    <n v="170"/>
    <n v="6"/>
  </r>
  <r>
    <x v="35"/>
    <x v="35"/>
    <x v="0"/>
    <n v="4139.1899999999996"/>
    <n v="339"/>
    <n v="4163.6099999999997"/>
    <n v="2790.26"/>
    <n v="341"/>
    <n v="8"/>
  </r>
  <r>
    <x v="6"/>
    <x v="6"/>
    <x v="3"/>
    <n v="4106.42"/>
    <n v="498"/>
    <n v="4008.46"/>
    <n v="2184.6"/>
    <n v="486"/>
    <n v="7"/>
  </r>
  <r>
    <x v="11"/>
    <x v="11"/>
    <x v="2"/>
    <n v="3982"/>
    <n v="220"/>
    <n v="4072.5"/>
    <n v="3319.72"/>
    <n v="225"/>
    <n v="4"/>
  </r>
  <r>
    <x v="26"/>
    <x v="26"/>
    <x v="2"/>
    <n v="3953.6"/>
    <n v="160"/>
    <n v="4324.25"/>
    <n v="3325.18"/>
    <n v="175"/>
    <n v="14"/>
  </r>
  <r>
    <x v="36"/>
    <x v="36"/>
    <x v="1"/>
    <n v="3943.22"/>
    <n v="124"/>
    <n v="3757.94"/>
    <n v="2554.42"/>
    <n v="118"/>
    <n v="18"/>
  </r>
  <r>
    <x v="33"/>
    <x v="33"/>
    <x v="2"/>
    <n v="3651.87"/>
    <n v="239"/>
    <n v="3546.06"/>
    <n v="2745.38"/>
    <n v="232"/>
    <s v=""/>
  </r>
  <r>
    <x v="31"/>
    <x v="31"/>
    <x v="2"/>
    <n v="3636.78"/>
    <n v="98"/>
    <n v="4082.1"/>
    <n v="3858.92"/>
    <n v="110"/>
    <n v="4"/>
  </r>
  <r>
    <x v="37"/>
    <x v="37"/>
    <x v="2"/>
    <n v="3593.88"/>
    <n v="67"/>
    <n v="3701.16"/>
    <n v="2918.08"/>
    <n v="69"/>
    <n v="7"/>
  </r>
  <r>
    <x v="38"/>
    <x v="38"/>
    <x v="0"/>
    <n v="3560.59"/>
    <n v="65"/>
    <n v="3445.99"/>
    <n v="2811.2"/>
    <n v="63"/>
    <n v="8"/>
  </r>
  <r>
    <x v="39"/>
    <x v="39"/>
    <x v="0"/>
    <n v="3405.42"/>
    <n v="229"/>
    <n v="3425.2"/>
    <n v="1878.04"/>
    <n v="230"/>
    <n v="3"/>
  </r>
  <r>
    <x v="40"/>
    <x v="40"/>
    <x v="1"/>
    <n v="3394.09"/>
    <n v="111"/>
    <n v="3488.44"/>
    <n v="1967.16"/>
    <n v="114"/>
    <n v="12"/>
  </r>
  <r>
    <x v="41"/>
    <x v="41"/>
    <x v="0"/>
    <n v="3392.48"/>
    <n v="208"/>
    <n v="3653.44"/>
    <n v="2357.85"/>
    <n v="224"/>
    <n v="16"/>
  </r>
  <r>
    <x v="42"/>
    <x v="42"/>
    <x v="0"/>
    <n v="3367.65"/>
    <n v="165"/>
    <n v="3388.06"/>
    <n v="2356.9299999999998"/>
    <n v="166"/>
    <n v="3"/>
  </r>
  <r>
    <x v="32"/>
    <x v="32"/>
    <x v="1"/>
    <n v="3338.97"/>
    <n v="52"/>
    <n v="3210.97"/>
    <n v="2213.0300000000002"/>
    <n v="50"/>
    <n v="7"/>
  </r>
  <r>
    <x v="28"/>
    <x v="28"/>
    <x v="3"/>
    <n v="3264.52"/>
    <n v="131"/>
    <n v="3289.44"/>
    <n v="2841.87"/>
    <n v="132"/>
    <n v="4"/>
  </r>
  <r>
    <x v="43"/>
    <x v="43"/>
    <x v="0"/>
    <n v="3256.79"/>
    <n v="51"/>
    <n v="3188.1"/>
    <n v="2726.4"/>
    <n v="50"/>
    <n v="50"/>
  </r>
  <r>
    <x v="27"/>
    <x v="27"/>
    <x v="3"/>
    <n v="3248.25"/>
    <n v="71"/>
    <n v="3111"/>
    <n v="2161.7600000000002"/>
    <n v="68"/>
    <n v="1"/>
  </r>
  <r>
    <x v="25"/>
    <x v="25"/>
    <x v="3"/>
    <n v="3200.33"/>
    <n v="39"/>
    <n v="2954.18"/>
    <n v="1885.19"/>
    <n v="36"/>
    <n v="1"/>
  </r>
  <r>
    <x v="19"/>
    <x v="19"/>
    <x v="2"/>
    <n v="3050.36"/>
    <n v="152"/>
    <n v="3299.81"/>
    <n v="1748.08"/>
    <n v="164"/>
    <n v="11"/>
  </r>
  <r>
    <x v="13"/>
    <x v="13"/>
    <x v="3"/>
    <n v="2961.75"/>
    <n v="359"/>
    <n v="2961.75"/>
    <n v="2204.2600000000002"/>
    <n v="359"/>
    <n v="6"/>
  </r>
  <r>
    <x v="3"/>
    <x v="3"/>
    <x v="3"/>
    <n v="2960.89"/>
    <n v="165"/>
    <n v="2927.65"/>
    <n v="1713.84"/>
    <n v="163"/>
    <n v="10"/>
  </r>
  <r>
    <x v="44"/>
    <x v="44"/>
    <x v="0"/>
    <n v="2832.39"/>
    <n v="99"/>
    <n v="2861"/>
    <n v="2435.91"/>
    <n v="100"/>
    <n v="4"/>
  </r>
  <r>
    <x v="45"/>
    <x v="45"/>
    <x v="0"/>
    <n v="2800.22"/>
    <n v="38"/>
    <n v="2800.22"/>
    <n v="2565"/>
    <n v="38"/>
    <n v="1"/>
  </r>
  <r>
    <x v="46"/>
    <x v="46"/>
    <x v="0"/>
    <n v="2670.84"/>
    <n v="181"/>
    <n v="2668.17"/>
    <n v="1305.95"/>
    <n v="180"/>
    <n v="20"/>
  </r>
  <r>
    <x v="3"/>
    <x v="3"/>
    <x v="1"/>
    <n v="2591.84"/>
    <n v="194"/>
    <n v="2618.56"/>
    <n v="2046.29"/>
    <n v="196"/>
    <n v="15"/>
  </r>
  <r>
    <x v="9"/>
    <x v="9"/>
    <x v="3"/>
    <n v="2475"/>
    <n v="300"/>
    <n v="2499.75"/>
    <n v="1740"/>
    <n v="303"/>
    <n v="9"/>
  </r>
  <r>
    <x v="47"/>
    <x v="47"/>
    <x v="0"/>
    <n v="2418.41"/>
    <n v="223"/>
    <n v="2219.1799999999998"/>
    <n v="1023.96"/>
    <n v="191"/>
    <n v="2"/>
  </r>
  <r>
    <x v="48"/>
    <x v="48"/>
    <x v="0"/>
    <n v="2367.1999999999998"/>
    <n v="118"/>
    <n v="2330.1"/>
    <n v="1095.51"/>
    <n v="116"/>
    <n v="1"/>
  </r>
  <r>
    <x v="49"/>
    <x v="49"/>
    <x v="2"/>
    <n v="2355.86"/>
    <n v="221"/>
    <n v="2515.7600000000002"/>
    <n v="2100.48"/>
    <n v="236"/>
    <n v="7"/>
  </r>
  <r>
    <x v="50"/>
    <x v="50"/>
    <x v="1"/>
    <n v="2288.91"/>
    <n v="52"/>
    <n v="2289.2600000000002"/>
    <n v="1577.26"/>
    <n v="52"/>
    <n v="9"/>
  </r>
  <r>
    <x v="51"/>
    <x v="51"/>
    <x v="0"/>
    <n v="2282.7399999999998"/>
    <n v="146"/>
    <n v="2175.13"/>
    <n v="1588.24"/>
    <n v="139"/>
    <n v="1"/>
  </r>
  <r>
    <x v="52"/>
    <x v="52"/>
    <x v="1"/>
    <n v="2250.83"/>
    <n v="119"/>
    <n v="2133.5300000000002"/>
    <n v="1549.5"/>
    <n v="113"/>
    <n v="3"/>
  </r>
  <r>
    <x v="53"/>
    <x v="53"/>
    <x v="3"/>
    <n v="2239.16"/>
    <n v="77"/>
    <n v="2151.92"/>
    <n v="1485.35"/>
    <n v="74"/>
    <n v="5"/>
  </r>
  <r>
    <x v="25"/>
    <x v="25"/>
    <x v="2"/>
    <n v="2237.37"/>
    <n v="38"/>
    <n v="2179.6"/>
    <n v="1964.17"/>
    <n v="37"/>
    <n v="4"/>
  </r>
  <r>
    <x v="54"/>
    <x v="54"/>
    <x v="0"/>
    <n v="2230.41"/>
    <n v="91"/>
    <n v="2475.5100000000002"/>
    <n v="1891.93"/>
    <n v="101"/>
    <n v="1"/>
  </r>
  <r>
    <x v="52"/>
    <x v="52"/>
    <x v="0"/>
    <n v="2164.4499999999998"/>
    <n v="123"/>
    <n v="2050.2800000000002"/>
    <n v="1462.92"/>
    <n v="116"/>
    <n v="3"/>
  </r>
  <r>
    <x v="21"/>
    <x v="21"/>
    <x v="3"/>
    <n v="2154.9899999999998"/>
    <n v="125"/>
    <n v="2026.87"/>
    <n v="1412.6"/>
    <n v="117"/>
    <n v="3"/>
  </r>
  <r>
    <x v="55"/>
    <x v="55"/>
    <x v="0"/>
    <n v="2143.0500000000002"/>
    <n v="105"/>
    <n v="2183.87"/>
    <n v="1596.8"/>
    <n v="107"/>
    <n v="14"/>
  </r>
  <r>
    <x v="41"/>
    <x v="41"/>
    <x v="3"/>
    <n v="2101.9499999999998"/>
    <n v="127"/>
    <n v="2234.8000000000002"/>
    <n v="1372.85"/>
    <n v="135"/>
    <n v="9"/>
  </r>
  <r>
    <x v="56"/>
    <x v="56"/>
    <x v="0"/>
    <n v="2094.08"/>
    <n v="512"/>
    <n v="2089.9899999999998"/>
    <n v="1427.72"/>
    <n v="511"/>
    <n v="1"/>
  </r>
  <r>
    <x v="49"/>
    <x v="49"/>
    <x v="0"/>
    <n v="2092.86"/>
    <n v="198"/>
    <n v="2061.15"/>
    <n v="1719.52"/>
    <n v="195"/>
    <n v="8"/>
  </r>
  <r>
    <x v="42"/>
    <x v="42"/>
    <x v="3"/>
    <n v="2054.25"/>
    <n v="99"/>
    <n v="2054.25"/>
    <n v="1450.62"/>
    <n v="99"/>
    <n v="5"/>
  </r>
  <r>
    <x v="5"/>
    <x v="5"/>
    <x v="3"/>
    <n v="2007.52"/>
    <n v="64"/>
    <n v="1883.91"/>
    <n v="961.2"/>
    <n v="60"/>
    <n v="2"/>
  </r>
  <r>
    <x v="39"/>
    <x v="39"/>
    <x v="1"/>
    <n v="1989.68"/>
    <n v="119"/>
    <n v="2023.12"/>
    <n v="1242.43"/>
    <n v="121"/>
    <n v="2"/>
  </r>
  <r>
    <x v="31"/>
    <x v="31"/>
    <x v="3"/>
    <n v="1983.26"/>
    <n v="53"/>
    <n v="1983.26"/>
    <n v="1832.39"/>
    <n v="53"/>
    <n v="2"/>
  </r>
  <r>
    <x v="57"/>
    <x v="57"/>
    <x v="0"/>
    <n v="1965.81"/>
    <n v="161"/>
    <n v="1978.02"/>
    <n v="1765.14"/>
    <n v="162"/>
    <n v="4"/>
  </r>
  <r>
    <x v="58"/>
    <x v="58"/>
    <x v="0"/>
    <n v="1963.08"/>
    <n v="33"/>
    <n v="1955.7"/>
    <n v="1313.93"/>
    <n v="33"/>
    <n v="5"/>
  </r>
  <r>
    <x v="59"/>
    <x v="59"/>
    <x v="3"/>
    <n v="1862.87"/>
    <n v="144"/>
    <n v="1947.68"/>
    <n v="1272.27"/>
    <n v="151"/>
    <n v="8"/>
  </r>
  <r>
    <x v="60"/>
    <x v="60"/>
    <x v="1"/>
    <n v="1828.58"/>
    <n v="37"/>
    <n v="1731.08"/>
    <n v="1024.94"/>
    <n v="35"/>
    <n v="4"/>
  </r>
  <r>
    <x v="61"/>
    <x v="61"/>
    <x v="0"/>
    <n v="1813.74"/>
    <n v="74"/>
    <n v="1936.37"/>
    <n v="1101.02"/>
    <n v="79"/>
    <n v="11"/>
  </r>
  <r>
    <x v="49"/>
    <x v="49"/>
    <x v="1"/>
    <n v="1799.44"/>
    <n v="166"/>
    <n v="1723.56"/>
    <n v="1408.23"/>
    <n v="159"/>
    <n v="4"/>
  </r>
  <r>
    <x v="62"/>
    <x v="62"/>
    <x v="0"/>
    <n v="1766.5"/>
    <n v="242"/>
    <n v="1766.5"/>
    <n v="1043.76"/>
    <n v="242"/>
    <n v="1"/>
  </r>
  <r>
    <x v="63"/>
    <x v="63"/>
    <x v="3"/>
    <n v="1674.58"/>
    <n v="101"/>
    <n v="1658"/>
    <n v="1296.76"/>
    <n v="100"/>
    <s v=""/>
  </r>
  <r>
    <x v="10"/>
    <x v="10"/>
    <x v="3"/>
    <n v="1562.75"/>
    <n v="47"/>
    <n v="1629.25"/>
    <n v="1343.98"/>
    <n v="49"/>
    <n v="7"/>
  </r>
  <r>
    <x v="37"/>
    <x v="37"/>
    <x v="1"/>
    <n v="1556.23"/>
    <n v="29"/>
    <n v="1710.88"/>
    <n v="1372.04"/>
    <n v="32"/>
    <n v="1"/>
  </r>
  <r>
    <x v="64"/>
    <x v="64"/>
    <x v="3"/>
    <n v="1499.04"/>
    <n v="72"/>
    <n v="1499.04"/>
    <n v="1229.81"/>
    <n v="72"/>
    <n v="1"/>
  </r>
  <r>
    <x v="39"/>
    <x v="39"/>
    <x v="2"/>
    <n v="1464.05"/>
    <n v="89"/>
    <n v="1546.3"/>
    <n v="938.08"/>
    <n v="94"/>
    <n v="10"/>
  </r>
  <r>
    <x v="65"/>
    <x v="65"/>
    <x v="0"/>
    <n v="1386.35"/>
    <n v="85"/>
    <n v="1337.42"/>
    <n v="532.29"/>
    <n v="82"/>
    <n v="38"/>
  </r>
  <r>
    <x v="66"/>
    <x v="66"/>
    <x v="0"/>
    <n v="1386.05"/>
    <n v="19"/>
    <n v="1313.1"/>
    <n v="1362.9"/>
    <n v="18"/>
    <n v="4"/>
  </r>
  <r>
    <x v="67"/>
    <x v="67"/>
    <x v="2"/>
    <n v="1385.16"/>
    <n v="42"/>
    <n v="1681.98"/>
    <n v="1223.08"/>
    <n v="51"/>
    <n v="1"/>
  </r>
  <r>
    <x v="68"/>
    <x v="68"/>
    <x v="0"/>
    <n v="1355.31"/>
    <n v="111"/>
    <n v="1404.15"/>
    <n v="672.39"/>
    <n v="115"/>
    <n v="4"/>
  </r>
  <r>
    <x v="69"/>
    <x v="69"/>
    <x v="2"/>
    <n v="1348.9"/>
    <n v="82"/>
    <n v="1579.2"/>
    <n v="1338.55"/>
    <n v="96"/>
    <n v="9"/>
  </r>
  <r>
    <x v="47"/>
    <x v="47"/>
    <x v="3"/>
    <n v="1344.75"/>
    <n v="163"/>
    <n v="1386"/>
    <n v="928.26"/>
    <n v="168"/>
    <s v=""/>
  </r>
  <r>
    <x v="29"/>
    <x v="29"/>
    <x v="3"/>
    <n v="1343.2"/>
    <n v="52"/>
    <n v="1318.28"/>
    <n v="851.27"/>
    <n v="51"/>
    <s v=""/>
  </r>
  <r>
    <x v="70"/>
    <x v="70"/>
    <x v="0"/>
    <n v="1299.03"/>
    <n v="53"/>
    <n v="1348.05"/>
    <n v="927.52"/>
    <n v="55"/>
    <n v="5"/>
  </r>
  <r>
    <x v="71"/>
    <x v="71"/>
    <x v="0"/>
    <n v="1297.24"/>
    <n v="60"/>
    <n v="1360.93"/>
    <n v="1031.24"/>
    <n v="63"/>
    <n v="5"/>
  </r>
  <r>
    <x v="69"/>
    <x v="69"/>
    <x v="0"/>
    <n v="1288.49"/>
    <n v="79"/>
    <n v="1239.56"/>
    <n v="1010.5"/>
    <n v="76"/>
    <n v="12"/>
  </r>
  <r>
    <x v="28"/>
    <x v="28"/>
    <x v="1"/>
    <n v="1281.6300000000001"/>
    <n v="51"/>
    <n v="1257.67"/>
    <n v="1094.3800000000001"/>
    <n v="50"/>
    <n v="4"/>
  </r>
  <r>
    <x v="72"/>
    <x v="72"/>
    <x v="0"/>
    <n v="1278.33"/>
    <n v="13"/>
    <n v="1269.4000000000001"/>
    <n v="944.71"/>
    <n v="13"/>
    <s v=""/>
  </r>
  <r>
    <x v="33"/>
    <x v="33"/>
    <x v="3"/>
    <n v="1260.08"/>
    <n v="76"/>
    <n v="1210.3399999999999"/>
    <n v="1129.31"/>
    <n v="73"/>
    <s v=""/>
  </r>
  <r>
    <x v="4"/>
    <x v="4"/>
    <x v="3"/>
    <n v="1245.5"/>
    <n v="94"/>
    <n v="1219"/>
    <n v="863.97"/>
    <n v="92"/>
    <n v="5"/>
  </r>
  <r>
    <x v="73"/>
    <x v="73"/>
    <x v="0"/>
    <n v="1233.21"/>
    <n v="101"/>
    <n v="1306.47"/>
    <n v="827.82"/>
    <n v="107"/>
    <n v="4"/>
  </r>
  <r>
    <x v="32"/>
    <x v="32"/>
    <x v="2"/>
    <n v="1212.25"/>
    <n v="19"/>
    <n v="1212.25"/>
    <n v="934.96"/>
    <n v="19"/>
    <n v="2"/>
  </r>
  <r>
    <x v="52"/>
    <x v="52"/>
    <x v="3"/>
    <n v="1211.56"/>
    <n v="68"/>
    <n v="1135.26"/>
    <n v="723.54"/>
    <n v="63"/>
    <n v="1"/>
  </r>
  <r>
    <x v="13"/>
    <x v="13"/>
    <x v="2"/>
    <n v="1210.6400000000001"/>
    <n v="148"/>
    <n v="1227"/>
    <n v="874.5"/>
    <n v="150"/>
    <n v="5"/>
  </r>
  <r>
    <x v="35"/>
    <x v="35"/>
    <x v="3"/>
    <n v="1192.32"/>
    <n v="96"/>
    <n v="1229.58"/>
    <n v="713.82"/>
    <n v="99"/>
    <s v=""/>
  </r>
  <r>
    <x v="74"/>
    <x v="74"/>
    <x v="0"/>
    <n v="1190.25"/>
    <n v="11"/>
    <n v="1405.3"/>
    <n v="1173.9000000000001"/>
    <n v="13"/>
    <n v="3"/>
  </r>
  <r>
    <x v="36"/>
    <x v="36"/>
    <x v="3"/>
    <n v="1179.99"/>
    <n v="35"/>
    <n v="1148.74"/>
    <n v="799.9"/>
    <n v="34"/>
    <n v="1"/>
  </r>
  <r>
    <x v="69"/>
    <x v="69"/>
    <x v="1"/>
    <n v="1170.4000000000001"/>
    <n v="70"/>
    <n v="1120.24"/>
    <n v="969.7"/>
    <n v="67"/>
    <n v="1"/>
  </r>
  <r>
    <x v="1"/>
    <x v="1"/>
    <x v="2"/>
    <n v="1120.8499999999999"/>
    <n v="69"/>
    <n v="1104"/>
    <n v="671.69"/>
    <n v="68"/>
    <n v="10"/>
  </r>
  <r>
    <x v="75"/>
    <x v="75"/>
    <x v="0"/>
    <n v="1118.2"/>
    <n v="23"/>
    <n v="1068.3599999999999"/>
    <n v="794.53"/>
    <n v="22"/>
    <n v="3"/>
  </r>
  <r>
    <x v="55"/>
    <x v="55"/>
    <x v="3"/>
    <n v="1099.75"/>
    <n v="53"/>
    <n v="1037.5"/>
    <n v="762.3"/>
    <n v="50"/>
    <n v="4"/>
  </r>
  <r>
    <x v="55"/>
    <x v="55"/>
    <x v="2"/>
    <n v="1090.74"/>
    <n v="53"/>
    <n v="1173.06"/>
    <n v="849.25"/>
    <n v="57"/>
    <n v="13"/>
  </r>
  <r>
    <x v="76"/>
    <x v="76"/>
    <x v="0"/>
    <n v="1090.33"/>
    <n v="55"/>
    <n v="1109.8599999999999"/>
    <n v="908.91"/>
    <n v="56"/>
    <n v="1"/>
  </r>
  <r>
    <x v="77"/>
    <x v="77"/>
    <x v="0"/>
    <n v="1074.48"/>
    <n v="222"/>
    <n v="1084.1600000000001"/>
    <n v="1048.29"/>
    <n v="224"/>
    <n v="2"/>
  </r>
  <r>
    <x v="78"/>
    <x v="78"/>
    <x v="0"/>
    <n v="1073.6300000000001"/>
    <n v="9"/>
    <n v="1073.6300000000001"/>
    <n v="1012.5"/>
    <n v="9"/>
    <n v="2"/>
  </r>
  <r>
    <x v="79"/>
    <x v="79"/>
    <x v="3"/>
    <n v="1073.5"/>
    <n v="37"/>
    <n v="957.18"/>
    <n v="672.53"/>
    <n v="33"/>
    <n v="1"/>
  </r>
  <r>
    <x v="29"/>
    <x v="29"/>
    <x v="2"/>
    <n v="1057.01"/>
    <n v="43"/>
    <n v="1081.72"/>
    <n v="666.48"/>
    <n v="44"/>
    <s v=""/>
  </r>
  <r>
    <x v="67"/>
    <x v="67"/>
    <x v="0"/>
    <n v="1046.4000000000001"/>
    <n v="32"/>
    <n v="1144.5"/>
    <n v="811.46"/>
    <n v="35"/>
    <n v="3"/>
  </r>
  <r>
    <x v="80"/>
    <x v="80"/>
    <x v="0"/>
    <n v="1042.1500000000001"/>
    <n v="132"/>
    <n v="1059.99"/>
    <n v="554.79"/>
    <n v="134"/>
    <n v="4"/>
  </r>
  <r>
    <x v="81"/>
    <x v="81"/>
    <x v="0"/>
    <n v="1031.4000000000001"/>
    <n v="18"/>
    <n v="1088.7"/>
    <n v="777.86"/>
    <n v="19"/>
    <n v="3"/>
  </r>
  <r>
    <x v="82"/>
    <x v="82"/>
    <x v="3"/>
    <n v="1030.75"/>
    <n v="31"/>
    <n v="1030.75"/>
    <n v="783.14"/>
    <n v="31"/>
    <n v="6"/>
  </r>
  <r>
    <x v="83"/>
    <x v="83"/>
    <x v="0"/>
    <n v="998.34"/>
    <n v="21"/>
    <n v="998.34"/>
    <n v="689.01"/>
    <n v="21"/>
    <n v="13"/>
  </r>
  <r>
    <x v="84"/>
    <x v="84"/>
    <x v="2"/>
    <n v="980.56"/>
    <n v="34"/>
    <n v="1153.5999999999999"/>
    <n v="678.7"/>
    <n v="40"/>
    <n v="5"/>
  </r>
  <r>
    <x v="85"/>
    <x v="85"/>
    <x v="0"/>
    <n v="978.6"/>
    <n v="60"/>
    <n v="897.05"/>
    <n v="956.12"/>
    <n v="55"/>
    <s v=""/>
  </r>
  <r>
    <x v="86"/>
    <x v="86"/>
    <x v="1"/>
    <n v="968.24"/>
    <n v="31"/>
    <n v="968.24"/>
    <n v="639.52"/>
    <n v="31"/>
    <n v="3"/>
  </r>
  <r>
    <x v="53"/>
    <x v="53"/>
    <x v="1"/>
    <n v="960.3"/>
    <n v="34"/>
    <n v="960.3"/>
    <n v="654.89"/>
    <n v="34"/>
    <n v="3"/>
  </r>
  <r>
    <x v="87"/>
    <x v="87"/>
    <x v="0"/>
    <n v="955.89"/>
    <n v="39"/>
    <n v="1004.91"/>
    <n v="634.05999999999995"/>
    <n v="41"/>
    <n v="3"/>
  </r>
  <r>
    <x v="53"/>
    <x v="53"/>
    <x v="2"/>
    <n v="951.72"/>
    <n v="33"/>
    <n v="951.72"/>
    <n v="659.86"/>
    <n v="33"/>
    <n v="3"/>
  </r>
  <r>
    <x v="88"/>
    <x v="88"/>
    <x v="3"/>
    <n v="951.16"/>
    <n v="32"/>
    <n v="951.16"/>
    <n v="572.29999999999995"/>
    <n v="32"/>
    <n v="1"/>
  </r>
  <r>
    <x v="89"/>
    <x v="89"/>
    <x v="0"/>
    <n v="948.35"/>
    <n v="13"/>
    <n v="948.35"/>
    <n v="1000.75"/>
    <n v="13"/>
    <n v="4"/>
  </r>
  <r>
    <x v="36"/>
    <x v="36"/>
    <x v="0"/>
    <n v="944.13"/>
    <n v="33"/>
    <n v="915.52"/>
    <n v="534.08000000000004"/>
    <n v="32"/>
    <n v="10"/>
  </r>
  <r>
    <x v="80"/>
    <x v="80"/>
    <x v="2"/>
    <n v="930.8"/>
    <n v="118"/>
    <n v="926.72"/>
    <n v="491.43"/>
    <n v="117"/>
    <n v="2"/>
  </r>
  <r>
    <x v="39"/>
    <x v="39"/>
    <x v="3"/>
    <n v="928.48"/>
    <n v="56"/>
    <n v="945.06"/>
    <n v="603.49"/>
    <n v="57"/>
    <n v="1"/>
  </r>
  <r>
    <x v="18"/>
    <x v="18"/>
    <x v="3"/>
    <n v="914.76"/>
    <n v="22"/>
    <n v="914.76"/>
    <n v="665"/>
    <n v="22"/>
    <n v="3"/>
  </r>
  <r>
    <x v="90"/>
    <x v="90"/>
    <x v="0"/>
    <n v="906.26"/>
    <n v="23"/>
    <n v="906.26"/>
    <n v="689.66"/>
    <n v="23"/>
    <n v="5"/>
  </r>
  <r>
    <x v="30"/>
    <x v="30"/>
    <x v="2"/>
    <n v="896.69"/>
    <n v="85"/>
    <n v="918.01"/>
    <n v="544.64"/>
    <n v="87"/>
    <n v="1"/>
  </r>
  <r>
    <x v="91"/>
    <x v="91"/>
    <x v="0"/>
    <n v="878.32"/>
    <n v="37"/>
    <n v="905"/>
    <n v="592.70000000000005"/>
    <n v="38"/>
    <n v="4"/>
  </r>
  <r>
    <x v="92"/>
    <x v="92"/>
    <x v="0"/>
    <n v="862.16"/>
    <n v="53"/>
    <n v="862.16"/>
    <n v="487"/>
    <n v="53"/>
    <s v=""/>
  </r>
  <r>
    <x v="48"/>
    <x v="48"/>
    <x v="3"/>
    <n v="859.97"/>
    <n v="46"/>
    <n v="842.55"/>
    <n v="521.6"/>
    <n v="45"/>
    <s v=""/>
  </r>
  <r>
    <x v="21"/>
    <x v="21"/>
    <x v="0"/>
    <n v="859.53"/>
    <n v="50"/>
    <n v="859.53"/>
    <n v="554.20000000000005"/>
    <n v="50"/>
    <s v=""/>
  </r>
  <r>
    <x v="79"/>
    <x v="79"/>
    <x v="1"/>
    <n v="845.11"/>
    <n v="29"/>
    <n v="757.15"/>
    <n v="544.34"/>
    <n v="26"/>
    <n v="3"/>
  </r>
  <r>
    <x v="93"/>
    <x v="93"/>
    <x v="0"/>
    <n v="818.72"/>
    <n v="52"/>
    <n v="818.72"/>
    <n v="534.87"/>
    <n v="52"/>
    <s v=""/>
  </r>
  <r>
    <x v="68"/>
    <x v="68"/>
    <x v="2"/>
    <n v="811.62"/>
    <n v="66"/>
    <n v="822.05"/>
    <n v="311.55"/>
    <n v="67"/>
    <n v="8"/>
  </r>
  <r>
    <x v="90"/>
    <x v="90"/>
    <x v="1"/>
    <n v="798.28"/>
    <n v="20"/>
    <n v="798.28"/>
    <n v="617.36"/>
    <n v="20"/>
    <n v="1"/>
  </r>
  <r>
    <x v="94"/>
    <x v="91"/>
    <x v="0"/>
    <n v="794.19"/>
    <n v="68"/>
    <n v="782.55"/>
    <n v="399.6"/>
    <n v="67"/>
    <n v="4"/>
  </r>
  <r>
    <x v="90"/>
    <x v="90"/>
    <x v="3"/>
    <n v="790.9"/>
    <n v="20"/>
    <n v="751.01"/>
    <n v="583.64"/>
    <n v="19"/>
    <n v="1"/>
  </r>
  <r>
    <x v="51"/>
    <x v="51"/>
    <x v="2"/>
    <n v="789.6"/>
    <n v="48"/>
    <n v="789.6"/>
    <n v="600"/>
    <n v="48"/>
    <n v="7"/>
  </r>
  <r>
    <x v="79"/>
    <x v="79"/>
    <x v="2"/>
    <n v="778.69"/>
    <n v="28"/>
    <n v="807.25"/>
    <n v="595.6"/>
    <n v="29"/>
    <s v=""/>
  </r>
  <r>
    <x v="95"/>
    <x v="94"/>
    <x v="0"/>
    <n v="755.85"/>
    <n v="109"/>
    <n v="783.73"/>
    <n v="510.03"/>
    <n v="113"/>
    <n v="6"/>
  </r>
  <r>
    <x v="50"/>
    <x v="50"/>
    <x v="3"/>
    <n v="752.57"/>
    <n v="15"/>
    <n v="816.37"/>
    <n v="479.57"/>
    <n v="16"/>
    <n v="1"/>
  </r>
  <r>
    <x v="48"/>
    <x v="48"/>
    <x v="2"/>
    <n v="738.91"/>
    <n v="36"/>
    <n v="697.71"/>
    <n v="341.73"/>
    <n v="34"/>
    <n v="6"/>
  </r>
  <r>
    <x v="96"/>
    <x v="95"/>
    <x v="2"/>
    <n v="735.5"/>
    <n v="10"/>
    <n v="735.5"/>
    <n v="620.66"/>
    <n v="10"/>
    <n v="4"/>
  </r>
  <r>
    <x v="32"/>
    <x v="32"/>
    <x v="3"/>
    <n v="735.02"/>
    <n v="11"/>
    <n v="670.94"/>
    <n v="504.18"/>
    <n v="10"/>
    <n v="1"/>
  </r>
  <r>
    <x v="20"/>
    <x v="20"/>
    <x v="4"/>
    <n v="727.41"/>
    <n v="24"/>
    <n v="727.41"/>
    <n v="424.67"/>
    <n v="24"/>
    <n v="5"/>
  </r>
  <r>
    <x v="32"/>
    <x v="32"/>
    <x v="4"/>
    <n v="722.53"/>
    <n v="21"/>
    <n v="722.53"/>
    <n v="1223.03"/>
    <n v="21"/>
    <n v="3"/>
  </r>
  <r>
    <x v="40"/>
    <x v="40"/>
    <x v="3"/>
    <n v="721.79"/>
    <n v="22"/>
    <n v="755.79"/>
    <n v="395.09"/>
    <n v="23"/>
    <n v="2"/>
  </r>
  <r>
    <x v="97"/>
    <x v="96"/>
    <x v="3"/>
    <n v="710.11"/>
    <n v="10"/>
    <n v="647.69000000000005"/>
    <n v="366.21"/>
    <n v="9"/>
    <n v="1"/>
  </r>
  <r>
    <x v="98"/>
    <x v="97"/>
    <x v="0"/>
    <n v="708.18"/>
    <n v="58"/>
    <n v="708.18"/>
    <n v="359.08"/>
    <n v="58"/>
    <n v="4"/>
  </r>
  <r>
    <x v="59"/>
    <x v="59"/>
    <x v="0"/>
    <n v="701.33"/>
    <n v="43"/>
    <n v="750.26"/>
    <n v="326"/>
    <n v="46"/>
    <n v="1"/>
  </r>
  <r>
    <x v="99"/>
    <x v="98"/>
    <x v="3"/>
    <n v="697.92"/>
    <n v="24"/>
    <n v="697.92"/>
    <n v="562.65"/>
    <n v="24"/>
    <n v="1"/>
  </r>
  <r>
    <x v="61"/>
    <x v="61"/>
    <x v="3"/>
    <n v="695.29"/>
    <n v="26"/>
    <n v="744.23"/>
    <n v="501.33"/>
    <n v="28"/>
    <n v="1"/>
  </r>
  <r>
    <x v="49"/>
    <x v="49"/>
    <x v="3"/>
    <n v="688"/>
    <n v="64"/>
    <n v="688"/>
    <n v="566.91999999999996"/>
    <n v="64"/>
    <n v="1"/>
  </r>
  <r>
    <x v="65"/>
    <x v="65"/>
    <x v="2"/>
    <n v="675.56"/>
    <n v="55"/>
    <n v="712.49"/>
    <n v="370.26"/>
    <n v="58"/>
    <n v="18"/>
  </r>
  <r>
    <x v="56"/>
    <x v="56"/>
    <x v="2"/>
    <n v="673.44"/>
    <n v="138"/>
    <n v="683.2"/>
    <n v="410.76"/>
    <n v="140"/>
    <n v="1"/>
  </r>
  <r>
    <x v="53"/>
    <x v="53"/>
    <x v="4"/>
    <n v="645.09"/>
    <n v="21"/>
    <n v="559.67999999999995"/>
    <n v="382.87"/>
    <n v="18"/>
    <n v="1"/>
  </r>
  <r>
    <x v="40"/>
    <x v="40"/>
    <x v="0"/>
    <n v="629.25"/>
    <n v="23"/>
    <n v="727.35"/>
    <n v="444.3"/>
    <n v="26"/>
    <s v=""/>
  </r>
  <r>
    <x v="100"/>
    <x v="99"/>
    <x v="3"/>
    <n v="623.70000000000005"/>
    <n v="15"/>
    <n v="623.70000000000005"/>
    <n v="482.56"/>
    <n v="15"/>
    <s v=""/>
  </r>
  <r>
    <x v="101"/>
    <x v="100"/>
    <x v="0"/>
    <n v="596.63"/>
    <n v="52"/>
    <n v="608.84"/>
    <n v="292.02999999999997"/>
    <n v="53"/>
    <n v="1"/>
  </r>
  <r>
    <x v="27"/>
    <x v="27"/>
    <x v="2"/>
    <n v="589.80999999999995"/>
    <n v="13"/>
    <n v="589.80999999999995"/>
    <n v="501.08"/>
    <n v="13"/>
    <n v="3"/>
  </r>
  <r>
    <x v="42"/>
    <x v="42"/>
    <x v="1"/>
    <n v="583.5"/>
    <n v="23"/>
    <n v="583.5"/>
    <n v="307.92"/>
    <n v="23"/>
    <n v="3"/>
  </r>
  <r>
    <x v="47"/>
    <x v="47"/>
    <x v="2"/>
    <n v="580.78"/>
    <n v="71"/>
    <n v="580.78"/>
    <n v="396.3"/>
    <n v="71"/>
    <n v="2"/>
  </r>
  <r>
    <x v="102"/>
    <x v="101"/>
    <x v="1"/>
    <n v="580"/>
    <n v="100"/>
    <n v="580"/>
    <n v="332"/>
    <n v="100"/>
    <s v=""/>
  </r>
  <r>
    <x v="103"/>
    <x v="102"/>
    <x v="2"/>
    <n v="575.75"/>
    <n v="35"/>
    <n v="625.1"/>
    <n v="442.8"/>
    <n v="38"/>
    <s v=""/>
  </r>
  <r>
    <x v="104"/>
    <x v="103"/>
    <x v="0"/>
    <n v="551.73"/>
    <n v="6"/>
    <n v="466.89"/>
    <n v="350.65"/>
    <n v="5"/>
    <n v="1"/>
  </r>
  <r>
    <x v="105"/>
    <x v="104"/>
    <x v="0"/>
    <n v="543.38"/>
    <n v="34"/>
    <n v="510.09"/>
    <n v="271.2"/>
    <n v="32"/>
    <n v="4"/>
  </r>
  <r>
    <x v="106"/>
    <x v="105"/>
    <x v="0"/>
    <n v="540.20000000000005"/>
    <n v="74"/>
    <n v="525.6"/>
    <n v="205.02"/>
    <n v="72"/>
    <n v="2"/>
  </r>
  <r>
    <x v="63"/>
    <x v="63"/>
    <x v="0"/>
    <n v="536.78"/>
    <n v="26"/>
    <n v="618.84"/>
    <n v="368.94"/>
    <n v="30"/>
    <s v=""/>
  </r>
  <r>
    <x v="46"/>
    <x v="46"/>
    <x v="3"/>
    <n v="533.26"/>
    <n v="31"/>
    <n v="550.35"/>
    <n v="263.88"/>
    <n v="32"/>
    <n v="2"/>
  </r>
  <r>
    <x v="43"/>
    <x v="43"/>
    <x v="3"/>
    <n v="532.64"/>
    <n v="8"/>
    <n v="532.64"/>
    <n v="448.72"/>
    <n v="8"/>
    <s v=""/>
  </r>
  <r>
    <x v="73"/>
    <x v="73"/>
    <x v="2"/>
    <n v="517.02"/>
    <n v="42"/>
    <n v="504.71"/>
    <n v="342.1"/>
    <n v="41"/>
    <n v="3"/>
  </r>
  <r>
    <x v="42"/>
    <x v="42"/>
    <x v="2"/>
    <n v="491.17"/>
    <n v="13"/>
    <n v="528.83000000000004"/>
    <n v="195.5"/>
    <n v="14"/>
    <n v="11"/>
  </r>
  <r>
    <x v="86"/>
    <x v="86"/>
    <x v="0"/>
    <n v="490.2"/>
    <n v="20"/>
    <n v="514.71"/>
    <n v="415.2"/>
    <n v="21"/>
    <n v="1"/>
  </r>
  <r>
    <x v="16"/>
    <x v="16"/>
    <x v="3"/>
    <n v="478.72"/>
    <n v="34"/>
    <n v="464.64"/>
    <n v="354.32"/>
    <n v="33"/>
    <s v=""/>
  </r>
  <r>
    <x v="107"/>
    <x v="106"/>
    <x v="0"/>
    <n v="477.88"/>
    <n v="23"/>
    <n v="477.88"/>
    <n v="316.48"/>
    <n v="23"/>
    <n v="1"/>
  </r>
  <r>
    <x v="99"/>
    <x v="98"/>
    <x v="2"/>
    <n v="469.49"/>
    <n v="19"/>
    <n v="494.2"/>
    <n v="501.94"/>
    <n v="20"/>
    <n v="8"/>
  </r>
  <r>
    <x v="63"/>
    <x v="63"/>
    <x v="1"/>
    <n v="468.16"/>
    <n v="28"/>
    <n v="451.44"/>
    <n v="365.63"/>
    <n v="27"/>
    <n v="2"/>
  </r>
  <r>
    <x v="108"/>
    <x v="107"/>
    <x v="0"/>
    <n v="465.69"/>
    <n v="19"/>
    <n v="465.69"/>
    <n v="263.16000000000003"/>
    <n v="19"/>
    <n v="4"/>
  </r>
  <r>
    <x v="43"/>
    <x v="43"/>
    <x v="2"/>
    <n v="462.21"/>
    <n v="7"/>
    <n v="462.21"/>
    <n v="391.92"/>
    <n v="7"/>
    <n v="2"/>
  </r>
  <r>
    <x v="92"/>
    <x v="92"/>
    <x v="2"/>
    <n v="460.6"/>
    <n v="28"/>
    <n v="427.7"/>
    <n v="195"/>
    <n v="26"/>
    <s v=""/>
  </r>
  <r>
    <x v="109"/>
    <x v="108"/>
    <x v="3"/>
    <n v="458.26"/>
    <n v="11"/>
    <n v="374.94"/>
    <n v="298.02"/>
    <n v="9"/>
    <n v="3"/>
  </r>
  <r>
    <x v="17"/>
    <x v="17"/>
    <x v="3"/>
    <n v="448.56"/>
    <n v="18"/>
    <n v="423.64"/>
    <n v="268.94"/>
    <n v="17"/>
    <n v="3"/>
  </r>
  <r>
    <x v="110"/>
    <x v="109"/>
    <x v="2"/>
    <n v="432.41"/>
    <n v="13"/>
    <n v="432.41"/>
    <n v="372.84"/>
    <n v="13"/>
    <n v="2"/>
  </r>
  <r>
    <x v="36"/>
    <x v="36"/>
    <x v="2"/>
    <n v="427"/>
    <n v="14"/>
    <n v="427"/>
    <n v="272.19"/>
    <n v="14"/>
    <s v=""/>
  </r>
  <r>
    <x v="111"/>
    <x v="110"/>
    <x v="3"/>
    <n v="415.8"/>
    <n v="10"/>
    <n v="374.22"/>
    <n v="276.19"/>
    <n v="9"/>
    <n v="1"/>
  </r>
  <r>
    <x v="112"/>
    <x v="111"/>
    <x v="3"/>
    <n v="414.5"/>
    <n v="25"/>
    <n v="447.66"/>
    <n v="225.72"/>
    <n v="27"/>
    <s v=""/>
  </r>
  <r>
    <x v="113"/>
    <x v="112"/>
    <x v="1"/>
    <n v="409.42"/>
    <n v="10"/>
    <n v="369.4"/>
    <n v="828"/>
    <n v="9"/>
    <s v=""/>
  </r>
  <r>
    <x v="114"/>
    <x v="113"/>
    <x v="0"/>
    <n v="401.1"/>
    <n v="7"/>
    <n v="401.1"/>
    <n v="314.16000000000003"/>
    <n v="7"/>
    <n v="1"/>
  </r>
  <r>
    <x v="115"/>
    <x v="114"/>
    <x v="0"/>
    <n v="392.16"/>
    <n v="16"/>
    <n v="367.65"/>
    <n v="417.6"/>
    <n v="15"/>
    <s v=""/>
  </r>
  <r>
    <x v="116"/>
    <x v="115"/>
    <x v="0"/>
    <n v="390.72"/>
    <n v="32"/>
    <n v="390.72"/>
    <n v="239.38"/>
    <n v="32"/>
    <n v="5"/>
  </r>
  <r>
    <x v="60"/>
    <x v="60"/>
    <x v="3"/>
    <n v="381.5"/>
    <n v="8"/>
    <n v="381.5"/>
    <n v="241.34"/>
    <n v="8"/>
    <s v=""/>
  </r>
  <r>
    <x v="117"/>
    <x v="116"/>
    <x v="0"/>
    <n v="367.65"/>
    <n v="15"/>
    <n v="392.16"/>
    <n v="319.10000000000002"/>
    <n v="16"/>
    <n v="2"/>
  </r>
  <r>
    <x v="118"/>
    <x v="117"/>
    <x v="0"/>
    <n v="364.33"/>
    <n v="7"/>
    <n v="364.33"/>
    <n v="283.5"/>
    <n v="7"/>
    <s v=""/>
  </r>
  <r>
    <x v="119"/>
    <x v="118"/>
    <x v="0"/>
    <n v="358.82"/>
    <n v="22"/>
    <n v="375.13"/>
    <n v="320.27999999999997"/>
    <n v="23"/>
    <n v="1"/>
  </r>
  <r>
    <x v="120"/>
    <x v="119"/>
    <x v="0"/>
    <n v="352.02"/>
    <n v="50"/>
    <n v="345.54"/>
    <n v="167.58"/>
    <n v="49"/>
    <s v=""/>
  </r>
  <r>
    <x v="121"/>
    <x v="120"/>
    <x v="1"/>
    <n v="345.29"/>
    <n v="11"/>
    <n v="345.29"/>
    <n v="236.5"/>
    <n v="11"/>
    <n v="3"/>
  </r>
  <r>
    <x v="122"/>
    <x v="121"/>
    <x v="1"/>
    <n v="343.72"/>
    <n v="15"/>
    <n v="367.29"/>
    <n v="356.32"/>
    <n v="16"/>
    <n v="1"/>
  </r>
  <r>
    <x v="119"/>
    <x v="118"/>
    <x v="1"/>
    <n v="334.4"/>
    <n v="20"/>
    <n v="334.4"/>
    <n v="285"/>
    <n v="20"/>
    <n v="2"/>
  </r>
  <r>
    <x v="60"/>
    <x v="60"/>
    <x v="2"/>
    <n v="333.99"/>
    <n v="9"/>
    <n v="408.21"/>
    <n v="274.18"/>
    <n v="11"/>
    <n v="4"/>
  </r>
  <r>
    <x v="86"/>
    <x v="86"/>
    <x v="4"/>
    <n v="328.21"/>
    <n v="10"/>
    <n v="328.21"/>
    <n v="259.88"/>
    <n v="10"/>
    <n v="5"/>
  </r>
  <r>
    <x v="123"/>
    <x v="122"/>
    <x v="0"/>
    <n v="327.45"/>
    <n v="5"/>
    <n v="327.45"/>
    <n v="236.7"/>
    <n v="5"/>
    <n v="2"/>
  </r>
  <r>
    <x v="124"/>
    <x v="123"/>
    <x v="0"/>
    <n v="325.83999999999997"/>
    <n v="20"/>
    <n v="325.83999999999997"/>
    <n v="381.96"/>
    <n v="20"/>
    <s v=""/>
  </r>
  <r>
    <x v="125"/>
    <x v="124"/>
    <x v="0"/>
    <n v="324.39999999999998"/>
    <n v="40"/>
    <n v="340.62"/>
    <n v="210"/>
    <n v="42"/>
    <s v=""/>
  </r>
  <r>
    <x v="14"/>
    <x v="14"/>
    <x v="2"/>
    <n v="317.95"/>
    <n v="23"/>
    <n v="303.98"/>
    <n v="237.9"/>
    <n v="22"/>
    <n v="1"/>
  </r>
  <r>
    <x v="71"/>
    <x v="71"/>
    <x v="2"/>
    <n v="316.87"/>
    <n v="11"/>
    <n v="288.47000000000003"/>
    <n v="184.75"/>
    <n v="10"/>
    <n v="1"/>
  </r>
  <r>
    <x v="7"/>
    <x v="7"/>
    <x v="5"/>
    <n v="315.62"/>
    <n v="10"/>
    <n v="315.62"/>
    <n v="180"/>
    <n v="10"/>
    <n v="1"/>
  </r>
  <r>
    <x v="104"/>
    <x v="103"/>
    <x v="2"/>
    <n v="313.69"/>
    <n v="3"/>
    <n v="313.69"/>
    <n v="246"/>
    <n v="3"/>
    <n v="1"/>
  </r>
  <r>
    <x v="45"/>
    <x v="45"/>
    <x v="2"/>
    <n v="312.3"/>
    <n v="5"/>
    <n v="312.3"/>
    <n v="337.5"/>
    <n v="5"/>
    <s v=""/>
  </r>
  <r>
    <x v="75"/>
    <x v="75"/>
    <x v="3"/>
    <n v="300.2"/>
    <n v="5"/>
    <n v="300.2"/>
    <n v="162.1"/>
    <n v="5"/>
    <s v=""/>
  </r>
  <r>
    <x v="104"/>
    <x v="103"/>
    <x v="3"/>
    <n v="299.08"/>
    <n v="3"/>
    <n v="299.08"/>
    <n v="210.39"/>
    <n v="3"/>
    <s v=""/>
  </r>
  <r>
    <x v="105"/>
    <x v="104"/>
    <x v="2"/>
    <n v="293.82"/>
    <n v="18"/>
    <n v="278.83999999999997"/>
    <n v="174.91"/>
    <n v="17"/>
    <n v="6"/>
  </r>
  <r>
    <x v="26"/>
    <x v="26"/>
    <x v="5"/>
    <n v="289.38"/>
    <n v="11"/>
    <n v="289.38"/>
    <n v="205.92"/>
    <n v="11"/>
    <s v=""/>
  </r>
  <r>
    <x v="81"/>
    <x v="81"/>
    <x v="2"/>
    <n v="288.55"/>
    <n v="5"/>
    <n v="227.55"/>
    <n v="195.04"/>
    <n v="4"/>
    <s v=""/>
  </r>
  <r>
    <x v="41"/>
    <x v="41"/>
    <x v="2"/>
    <n v="288.48"/>
    <n v="19"/>
    <n v="392.9"/>
    <n v="276.55"/>
    <n v="26"/>
    <n v="7"/>
  </r>
  <r>
    <x v="29"/>
    <x v="29"/>
    <x v="1"/>
    <n v="285.26"/>
    <n v="10"/>
    <n v="285.26"/>
    <n v="153.21"/>
    <n v="10"/>
    <s v=""/>
  </r>
  <r>
    <x v="26"/>
    <x v="26"/>
    <x v="4"/>
    <n v="283.41000000000003"/>
    <n v="11"/>
    <n v="316.58999999999997"/>
    <n v="253.35"/>
    <n v="12"/>
    <s v=""/>
  </r>
  <r>
    <x v="112"/>
    <x v="111"/>
    <x v="2"/>
    <n v="283.13"/>
    <n v="23"/>
    <n v="307.75"/>
    <n v="203.28"/>
    <n v="25"/>
    <n v="2"/>
  </r>
  <r>
    <x v="111"/>
    <x v="110"/>
    <x v="0"/>
    <n v="276.7"/>
    <n v="7"/>
    <n v="276.7"/>
    <n v="211.57"/>
    <n v="7"/>
    <s v=""/>
  </r>
  <r>
    <x v="36"/>
    <x v="36"/>
    <x v="5"/>
    <n v="271.81"/>
    <n v="11"/>
    <n v="222.39"/>
    <n v="189.47"/>
    <n v="9"/>
    <s v=""/>
  </r>
  <r>
    <x v="103"/>
    <x v="102"/>
    <x v="3"/>
    <n v="265.27999999999997"/>
    <n v="16"/>
    <n v="265.27999999999997"/>
    <n v="187.2"/>
    <n v="16"/>
    <n v="2"/>
  </r>
  <r>
    <x v="8"/>
    <x v="8"/>
    <x v="2"/>
    <n v="263.2"/>
    <n v="16"/>
    <n v="246.75"/>
    <n v="206.68"/>
    <n v="15"/>
    <s v=""/>
  </r>
  <r>
    <x v="126"/>
    <x v="125"/>
    <x v="0"/>
    <n v="252.19"/>
    <n v="19"/>
    <n v="249.94"/>
    <n v="117.14"/>
    <n v="19"/>
    <n v="8"/>
  </r>
  <r>
    <x v="127"/>
    <x v="126"/>
    <x v="4"/>
    <n v="249.72"/>
    <n v="20"/>
    <n v="316.45"/>
    <n v="104.09"/>
    <n v="25"/>
    <n v="1"/>
  </r>
  <r>
    <x v="105"/>
    <x v="104"/>
    <x v="3"/>
    <n v="246.88"/>
    <n v="15"/>
    <n v="231.3"/>
    <n v="116.37"/>
    <n v="14"/>
    <n v="2"/>
  </r>
  <r>
    <x v="119"/>
    <x v="118"/>
    <x v="2"/>
    <n v="246.75"/>
    <n v="15"/>
    <n v="246.75"/>
    <n v="213.91"/>
    <n v="15"/>
    <s v=""/>
  </r>
  <r>
    <x v="122"/>
    <x v="121"/>
    <x v="3"/>
    <n v="239.93"/>
    <n v="10"/>
    <n v="267.33999999999997"/>
    <n v="224.75"/>
    <n v="11"/>
    <s v=""/>
  </r>
  <r>
    <x v="96"/>
    <x v="95"/>
    <x v="0"/>
    <n v="238.42"/>
    <n v="3"/>
    <n v="238.42"/>
    <n v="192.85"/>
    <n v="3"/>
    <s v=""/>
  </r>
  <r>
    <x v="128"/>
    <x v="127"/>
    <x v="0"/>
    <n v="235.31"/>
    <n v="8"/>
    <n v="235.31"/>
    <n v="200"/>
    <n v="8"/>
    <n v="3"/>
  </r>
  <r>
    <x v="129"/>
    <x v="128"/>
    <x v="3"/>
    <n v="234.14"/>
    <n v="7"/>
    <n v="206.61"/>
    <n v="85.44"/>
    <n v="6"/>
    <n v="1"/>
  </r>
  <r>
    <x v="58"/>
    <x v="58"/>
    <x v="3"/>
    <n v="233"/>
    <n v="4"/>
    <n v="233"/>
    <n v="199.4"/>
    <n v="4"/>
    <s v=""/>
  </r>
  <r>
    <x v="58"/>
    <x v="58"/>
    <x v="2"/>
    <n v="231.08"/>
    <n v="4"/>
    <n v="173.31"/>
    <n v="153.04"/>
    <n v="3"/>
    <n v="1"/>
  </r>
  <r>
    <x v="130"/>
    <x v="129"/>
    <x v="0"/>
    <n v="230.68"/>
    <n v="24"/>
    <n v="230.68"/>
    <n v="262.56"/>
    <n v="24"/>
    <n v="2"/>
  </r>
  <r>
    <x v="38"/>
    <x v="38"/>
    <x v="3"/>
    <n v="229.54"/>
    <n v="3"/>
    <n v="229.54"/>
    <n v="128.52000000000001"/>
    <n v="3"/>
    <s v=""/>
  </r>
  <r>
    <x v="131"/>
    <x v="130"/>
    <x v="0"/>
    <n v="228.34"/>
    <n v="14"/>
    <n v="244.65"/>
    <n v="140.09"/>
    <n v="15"/>
    <s v=""/>
  </r>
  <r>
    <x v="132"/>
    <x v="131"/>
    <x v="3"/>
    <n v="228.2"/>
    <n v="10"/>
    <n v="228.2"/>
    <n v="154.09"/>
    <n v="10"/>
    <n v="1"/>
  </r>
  <r>
    <x v="58"/>
    <x v="58"/>
    <x v="1"/>
    <n v="227.68"/>
    <n v="4"/>
    <n v="227.68"/>
    <n v="192.04"/>
    <n v="4"/>
    <n v="1"/>
  </r>
  <r>
    <x v="133"/>
    <x v="132"/>
    <x v="0"/>
    <n v="227.33"/>
    <n v="17"/>
    <n v="227.33"/>
    <n v="93.67"/>
    <n v="17"/>
    <s v=""/>
  </r>
  <r>
    <x v="23"/>
    <x v="23"/>
    <x v="3"/>
    <n v="224.91"/>
    <n v="9"/>
    <n v="199.92"/>
    <n v="122.79"/>
    <n v="8"/>
    <n v="1"/>
  </r>
  <r>
    <x v="87"/>
    <x v="87"/>
    <x v="3"/>
    <n v="224.28"/>
    <n v="9"/>
    <n v="224.28"/>
    <n v="174.24"/>
    <n v="9"/>
    <s v=""/>
  </r>
  <r>
    <x v="134"/>
    <x v="133"/>
    <x v="0"/>
    <n v="223.33"/>
    <n v="26"/>
    <n v="231.66"/>
    <n v="126.63"/>
    <n v="27"/>
    <n v="3"/>
  </r>
  <r>
    <x v="135"/>
    <x v="134"/>
    <x v="0"/>
    <n v="221.38"/>
    <n v="11"/>
    <n v="221.38"/>
    <n v="150.21"/>
    <n v="11"/>
    <s v=""/>
  </r>
  <r>
    <x v="30"/>
    <x v="30"/>
    <x v="1"/>
    <n v="221.14"/>
    <n v="21"/>
    <n v="221.14"/>
    <n v="115.74"/>
    <n v="21"/>
    <s v=""/>
  </r>
  <r>
    <x v="136"/>
    <x v="135"/>
    <x v="0"/>
    <n v="220.8"/>
    <n v="6"/>
    <n v="220.8"/>
    <n v="205.2"/>
    <n v="6"/>
    <n v="2"/>
  </r>
  <r>
    <x v="137"/>
    <x v="136"/>
    <x v="0"/>
    <n v="220.59"/>
    <n v="9"/>
    <n v="196.08"/>
    <n v="123.82"/>
    <n v="8"/>
    <n v="1"/>
  </r>
  <r>
    <x v="138"/>
    <x v="137"/>
    <x v="0"/>
    <n v="218.97"/>
    <n v="27"/>
    <n v="218.97"/>
    <n v="105.84"/>
    <n v="27"/>
    <n v="1"/>
  </r>
  <r>
    <x v="63"/>
    <x v="63"/>
    <x v="4"/>
    <n v="214.92"/>
    <n v="22"/>
    <n v="214.92"/>
    <n v="303.25"/>
    <n v="22"/>
    <s v=""/>
  </r>
  <r>
    <x v="139"/>
    <x v="138"/>
    <x v="1"/>
    <n v="214.36"/>
    <n v="30"/>
    <n v="196.99"/>
    <n v="216.27"/>
    <n v="27"/>
    <n v="4"/>
  </r>
  <r>
    <x v="140"/>
    <x v="139"/>
    <x v="3"/>
    <n v="211.9"/>
    <n v="7"/>
    <n v="66.5"/>
    <n v="55.82"/>
    <n v="2"/>
    <s v=""/>
  </r>
  <r>
    <x v="141"/>
    <x v="140"/>
    <x v="0"/>
    <n v="211.48"/>
    <n v="2"/>
    <n v="211.48"/>
    <n v="183.4"/>
    <n v="2"/>
    <s v=""/>
  </r>
  <r>
    <x v="61"/>
    <x v="61"/>
    <x v="1"/>
    <n v="211.28"/>
    <n v="8"/>
    <n v="211.28"/>
    <n v="113.2"/>
    <n v="8"/>
    <n v="1"/>
  </r>
  <r>
    <x v="20"/>
    <x v="20"/>
    <x v="5"/>
    <n v="209.83"/>
    <n v="8"/>
    <n v="209.83"/>
    <n v="149.72"/>
    <n v="8"/>
    <n v="1"/>
  </r>
  <r>
    <x v="86"/>
    <x v="86"/>
    <x v="3"/>
    <n v="208.78"/>
    <n v="6"/>
    <n v="208.78"/>
    <n v="129.94999999999999"/>
    <n v="6"/>
    <s v=""/>
  </r>
  <r>
    <x v="140"/>
    <x v="139"/>
    <x v="2"/>
    <n v="206.14"/>
    <n v="6"/>
    <n v="206.14"/>
    <n v="173.34"/>
    <n v="6"/>
    <s v=""/>
  </r>
  <r>
    <x v="25"/>
    <x v="25"/>
    <x v="6"/>
    <n v="204.89"/>
    <n v="3"/>
    <n v="203.16"/>
    <n v="156.53"/>
    <n v="3"/>
    <s v=""/>
  </r>
  <r>
    <x v="60"/>
    <x v="60"/>
    <x v="6"/>
    <n v="203.8"/>
    <n v="4"/>
    <n v="203.8"/>
    <n v="110.7"/>
    <n v="4"/>
    <n v="2"/>
  </r>
  <r>
    <x v="88"/>
    <x v="88"/>
    <x v="2"/>
    <n v="201.88"/>
    <n v="7"/>
    <n v="201.88"/>
    <n v="158.41999999999999"/>
    <n v="7"/>
    <n v="3"/>
  </r>
  <r>
    <x v="90"/>
    <x v="90"/>
    <x v="2"/>
    <n v="201.24"/>
    <n v="5"/>
    <n v="201.24"/>
    <n v="157.1"/>
    <n v="5"/>
    <n v="2"/>
  </r>
  <r>
    <x v="142"/>
    <x v="141"/>
    <x v="0"/>
    <n v="199.11"/>
    <n v="13"/>
    <n v="199.11"/>
    <n v="130.91"/>
    <n v="13"/>
    <s v=""/>
  </r>
  <r>
    <x v="143"/>
    <x v="142"/>
    <x v="2"/>
    <n v="197.68"/>
    <n v="8"/>
    <n v="271.81"/>
    <n v="213"/>
    <n v="11"/>
    <n v="2"/>
  </r>
  <r>
    <x v="144"/>
    <x v="143"/>
    <x v="0"/>
    <n v="196.47"/>
    <n v="3"/>
    <n v="196.47"/>
    <n v="130.5"/>
    <n v="3"/>
    <s v=""/>
  </r>
  <r>
    <x v="82"/>
    <x v="82"/>
    <x v="0"/>
    <n v="196.2"/>
    <n v="6"/>
    <n v="196.2"/>
    <n v="152.35"/>
    <n v="6"/>
    <s v=""/>
  </r>
  <r>
    <x v="145"/>
    <x v="144"/>
    <x v="0"/>
    <n v="195.22"/>
    <n v="12"/>
    <n v="211.53"/>
    <n v="73.98"/>
    <n v="13"/>
    <n v="5"/>
  </r>
  <r>
    <x v="146"/>
    <x v="145"/>
    <x v="2"/>
    <n v="189.94"/>
    <n v="8"/>
    <n v="189.94"/>
    <n v="139.25"/>
    <n v="8"/>
    <n v="2"/>
  </r>
  <r>
    <x v="48"/>
    <x v="48"/>
    <x v="1"/>
    <n v="187.48"/>
    <n v="10"/>
    <n v="187.48"/>
    <n v="86.4"/>
    <n v="10"/>
    <n v="3"/>
  </r>
  <r>
    <x v="34"/>
    <x v="34"/>
    <x v="3"/>
    <n v="183.16"/>
    <n v="2"/>
    <n v="183.16"/>
    <n v="149.62"/>
    <n v="2"/>
    <s v=""/>
  </r>
  <r>
    <x v="147"/>
    <x v="146"/>
    <x v="0"/>
    <n v="182.42"/>
    <n v="14"/>
    <n v="143.33000000000001"/>
    <n v="116.16"/>
    <n v="11"/>
    <s v=""/>
  </r>
  <r>
    <x v="148"/>
    <x v="147"/>
    <x v="0"/>
    <n v="178.21"/>
    <n v="12"/>
    <n v="178.21"/>
    <n v="183.95"/>
    <n v="12"/>
    <n v="1"/>
  </r>
  <r>
    <x v="1"/>
    <x v="1"/>
    <x v="3"/>
    <n v="174.9"/>
    <n v="10"/>
    <n v="174.9"/>
    <n v="92.91"/>
    <n v="10"/>
    <n v="1"/>
  </r>
  <r>
    <x v="149"/>
    <x v="148"/>
    <x v="0"/>
    <n v="171.89"/>
    <n v="23"/>
    <n v="155.66999999999999"/>
    <n v="71.819999999999993"/>
    <n v="21"/>
    <s v=""/>
  </r>
  <r>
    <x v="150"/>
    <x v="149"/>
    <x v="0"/>
    <n v="168.36"/>
    <n v="24"/>
    <n v="168.36"/>
    <n v="114"/>
    <n v="24"/>
    <s v=""/>
  </r>
  <r>
    <x v="67"/>
    <x v="67"/>
    <x v="3"/>
    <n v="166.25"/>
    <n v="5"/>
    <n v="166.25"/>
    <n v="118.85"/>
    <n v="5"/>
    <s v=""/>
  </r>
  <r>
    <x v="151"/>
    <x v="150"/>
    <x v="0"/>
    <n v="162.30000000000001"/>
    <n v="2"/>
    <n v="162.30000000000001"/>
    <n v="177.4"/>
    <n v="2"/>
    <s v=""/>
  </r>
  <r>
    <x v="152"/>
    <x v="151"/>
    <x v="2"/>
    <n v="161.63999999999999"/>
    <n v="4"/>
    <n v="161.63999999999999"/>
    <n v="132"/>
    <n v="4"/>
    <s v=""/>
  </r>
  <r>
    <x v="110"/>
    <x v="109"/>
    <x v="0"/>
    <n v="158.13"/>
    <n v="5"/>
    <n v="158.13"/>
    <n v="143.4"/>
    <n v="5"/>
    <n v="1"/>
  </r>
  <r>
    <x v="153"/>
    <x v="152"/>
    <x v="0"/>
    <n v="156.72"/>
    <n v="8"/>
    <n v="156.72"/>
    <n v="114"/>
    <n v="8"/>
    <n v="2"/>
  </r>
  <r>
    <x v="109"/>
    <x v="108"/>
    <x v="4"/>
    <n v="156.18"/>
    <n v="5"/>
    <n v="156.18"/>
    <n v="175.27"/>
    <n v="5"/>
    <n v="2"/>
  </r>
  <r>
    <x v="154"/>
    <x v="153"/>
    <x v="2"/>
    <n v="155.41999999999999"/>
    <n v="19"/>
    <n v="155.41999999999999"/>
    <n v="117.83"/>
    <n v="19"/>
    <n v="2"/>
  </r>
  <r>
    <x v="155"/>
    <x v="154"/>
    <x v="0"/>
    <n v="154.09"/>
    <n v="6"/>
    <n v="154.09"/>
    <n v="119.7"/>
    <n v="6"/>
    <n v="2"/>
  </r>
  <r>
    <x v="26"/>
    <x v="26"/>
    <x v="6"/>
    <n v="151.5"/>
    <n v="6"/>
    <n v="151.96"/>
    <n v="117.42"/>
    <n v="6"/>
    <n v="1"/>
  </r>
  <r>
    <x v="156"/>
    <x v="155"/>
    <x v="0"/>
    <n v="150.51"/>
    <n v="12"/>
    <n v="150.51"/>
    <n v="148.19999999999999"/>
    <n v="12"/>
    <s v=""/>
  </r>
  <r>
    <x v="157"/>
    <x v="156"/>
    <x v="0"/>
    <n v="150.5"/>
    <n v="16"/>
    <n v="150.5"/>
    <n v="75.040000000000006"/>
    <n v="16"/>
    <s v=""/>
  </r>
  <r>
    <x v="60"/>
    <x v="60"/>
    <x v="5"/>
    <n v="148.74"/>
    <n v="3"/>
    <n v="148.74"/>
    <n v="86.46"/>
    <n v="3"/>
    <s v=""/>
  </r>
  <r>
    <x v="158"/>
    <x v="157"/>
    <x v="2"/>
    <n v="148.26"/>
    <n v="6"/>
    <n v="148.26"/>
    <n v="111"/>
    <n v="6"/>
    <s v=""/>
  </r>
  <r>
    <x v="11"/>
    <x v="11"/>
    <x v="3"/>
    <n v="146"/>
    <n v="8"/>
    <n v="146"/>
    <n v="118.16"/>
    <n v="8"/>
    <n v="2"/>
  </r>
  <r>
    <x v="159"/>
    <x v="158"/>
    <x v="3"/>
    <n v="143.11000000000001"/>
    <n v="2"/>
    <n v="143.11000000000001"/>
    <n v="153"/>
    <n v="2"/>
    <s v=""/>
  </r>
  <r>
    <x v="160"/>
    <x v="159"/>
    <x v="0"/>
    <n v="141.31"/>
    <n v="7"/>
    <n v="141.31"/>
    <n v="95.08"/>
    <n v="7"/>
    <n v="1"/>
  </r>
  <r>
    <x v="161"/>
    <x v="160"/>
    <x v="0"/>
    <n v="140.69"/>
    <n v="10"/>
    <n v="140.69"/>
    <n v="124"/>
    <n v="10"/>
    <s v=""/>
  </r>
  <r>
    <x v="162"/>
    <x v="161"/>
    <x v="3"/>
    <n v="139.68"/>
    <n v="4"/>
    <n v="139.68"/>
    <n v="88.65"/>
    <n v="4"/>
    <s v=""/>
  </r>
  <r>
    <x v="157"/>
    <x v="156"/>
    <x v="1"/>
    <n v="139.54"/>
    <n v="16"/>
    <n v="131.22"/>
    <n v="70.349999999999994"/>
    <n v="15"/>
    <s v=""/>
  </r>
  <r>
    <x v="102"/>
    <x v="101"/>
    <x v="0"/>
    <n v="138.69999999999999"/>
    <n v="19"/>
    <n v="138.69999999999999"/>
    <n v="64.88"/>
    <n v="19"/>
    <s v=""/>
  </r>
  <r>
    <x v="163"/>
    <x v="162"/>
    <x v="2"/>
    <n v="137.27000000000001"/>
    <n v="8"/>
    <n v="121.98"/>
    <n v="130.06"/>
    <n v="7"/>
    <s v=""/>
  </r>
  <r>
    <x v="51"/>
    <x v="51"/>
    <x v="1"/>
    <n v="133.76"/>
    <n v="8"/>
    <n v="66.88"/>
    <n v="50"/>
    <n v="4"/>
    <s v=""/>
  </r>
  <r>
    <x v="2"/>
    <x v="2"/>
    <x v="4"/>
    <n v="133.76"/>
    <n v="16"/>
    <n v="133.76"/>
    <n v="125.5"/>
    <n v="16"/>
    <s v=""/>
  </r>
  <r>
    <x v="121"/>
    <x v="120"/>
    <x v="3"/>
    <n v="131.32"/>
    <n v="4"/>
    <n v="103.65"/>
    <n v="64.5"/>
    <n v="3"/>
    <s v=""/>
  </r>
  <r>
    <x v="160"/>
    <x v="159"/>
    <x v="3"/>
    <n v="128.51"/>
    <n v="6"/>
    <n v="128.51"/>
    <n v="86.95"/>
    <n v="6"/>
    <s v=""/>
  </r>
  <r>
    <x v="126"/>
    <x v="125"/>
    <x v="3"/>
    <n v="125.54"/>
    <n v="10"/>
    <n v="138.74"/>
    <n v="71.739999999999995"/>
    <n v="11"/>
    <n v="1"/>
  </r>
  <r>
    <x v="164"/>
    <x v="163"/>
    <x v="0"/>
    <n v="125.12"/>
    <n v="11"/>
    <n v="114.38"/>
    <n v="93.8"/>
    <n v="10"/>
    <n v="1"/>
  </r>
  <r>
    <x v="65"/>
    <x v="65"/>
    <x v="4"/>
    <n v="124.73"/>
    <n v="12"/>
    <n v="124.73"/>
    <n v="77.650000000000006"/>
    <n v="12"/>
    <s v=""/>
  </r>
  <r>
    <x v="54"/>
    <x v="54"/>
    <x v="1"/>
    <n v="123.25"/>
    <n v="5"/>
    <n v="123.25"/>
    <n v="98.4"/>
    <n v="5"/>
    <s v=""/>
  </r>
  <r>
    <x v="35"/>
    <x v="35"/>
    <x v="5"/>
    <n v="123.1"/>
    <n v="10"/>
    <n v="123.1"/>
    <n v="70.94"/>
    <n v="10"/>
    <s v=""/>
  </r>
  <r>
    <x v="56"/>
    <x v="56"/>
    <x v="3"/>
    <n v="123"/>
    <n v="25"/>
    <n v="118.08"/>
    <n v="69.02"/>
    <n v="24"/>
    <s v=""/>
  </r>
  <r>
    <x v="165"/>
    <x v="164"/>
    <x v="0"/>
    <n v="122.7"/>
    <n v="3"/>
    <n v="122.7"/>
    <n v="108"/>
    <n v="3"/>
    <s v=""/>
  </r>
  <r>
    <x v="0"/>
    <x v="0"/>
    <x v="5"/>
    <n v="122.55"/>
    <n v="9"/>
    <n v="136.4"/>
    <n v="78.97"/>
    <n v="10"/>
    <s v=""/>
  </r>
  <r>
    <x v="22"/>
    <x v="22"/>
    <x v="2"/>
    <n v="120.5"/>
    <n v="2"/>
    <n v="120.5"/>
    <n v="79.2"/>
    <n v="2"/>
    <n v="1"/>
  </r>
  <r>
    <x v="166"/>
    <x v="165"/>
    <x v="5"/>
    <n v="119.51"/>
    <n v="1"/>
    <n v="119.51"/>
    <n v="95"/>
    <n v="1"/>
    <n v="1"/>
  </r>
  <r>
    <x v="167"/>
    <x v="166"/>
    <x v="0"/>
    <n v="117.64"/>
    <n v="14"/>
    <n v="125.75"/>
    <n v="41.85"/>
    <n v="15"/>
    <s v=""/>
  </r>
  <r>
    <x v="168"/>
    <x v="167"/>
    <x v="2"/>
    <n v="115.74"/>
    <n v="1"/>
    <s v=""/>
    <s v=""/>
    <s v=""/>
    <n v="1"/>
  </r>
  <r>
    <x v="113"/>
    <x v="112"/>
    <x v="5"/>
    <n v="115.66"/>
    <n v="1"/>
    <n v="115.66"/>
    <n v="92"/>
    <n v="1"/>
    <s v=""/>
  </r>
  <r>
    <x v="78"/>
    <x v="78"/>
    <x v="2"/>
    <n v="115.61"/>
    <n v="1"/>
    <n v="115.61"/>
    <n v="112.5"/>
    <n v="1"/>
    <s v=""/>
  </r>
  <r>
    <x v="157"/>
    <x v="156"/>
    <x v="3"/>
    <n v="115.5"/>
    <n v="14"/>
    <n v="99"/>
    <n v="56.28"/>
    <n v="12"/>
    <s v=""/>
  </r>
  <r>
    <x v="22"/>
    <x v="22"/>
    <x v="3"/>
    <n v="114.48"/>
    <n v="2"/>
    <n v="114.48"/>
    <n v="79.2"/>
    <n v="2"/>
    <s v=""/>
  </r>
  <r>
    <x v="141"/>
    <x v="140"/>
    <x v="3"/>
    <n v="114"/>
    <n v="1"/>
    <n v="114"/>
    <n v="68.78"/>
    <n v="1"/>
    <s v=""/>
  </r>
  <r>
    <x v="143"/>
    <x v="142"/>
    <x v="3"/>
    <n v="113.33"/>
    <n v="3"/>
    <n v="113.33"/>
    <n v="60.75"/>
    <n v="3"/>
    <s v=""/>
  </r>
  <r>
    <x v="169"/>
    <x v="168"/>
    <x v="2"/>
    <n v="113.16"/>
    <n v="3"/>
    <n v="113.16"/>
    <n v="68.739999999999995"/>
    <n v="3"/>
    <s v=""/>
  </r>
  <r>
    <x v="35"/>
    <x v="35"/>
    <x v="2"/>
    <n v="110.79"/>
    <n v="9"/>
    <n v="147.72"/>
    <n v="113.78"/>
    <n v="12"/>
    <n v="1"/>
  </r>
  <r>
    <x v="15"/>
    <x v="15"/>
    <x v="2"/>
    <n v="108.3"/>
    <n v="19"/>
    <n v="91.2"/>
    <n v="52.86"/>
    <n v="16"/>
    <s v=""/>
  </r>
  <r>
    <x v="37"/>
    <x v="37"/>
    <x v="3"/>
    <n v="108.16"/>
    <n v="2"/>
    <n v="108.16"/>
    <n v="88.83"/>
    <n v="2"/>
    <n v="1"/>
  </r>
  <r>
    <x v="170"/>
    <x v="169"/>
    <x v="2"/>
    <n v="106.34"/>
    <n v="13"/>
    <n v="106.34"/>
    <n v="61.1"/>
    <n v="13"/>
    <s v=""/>
  </r>
  <r>
    <x v="168"/>
    <x v="167"/>
    <x v="1"/>
    <n v="106.01"/>
    <n v="1"/>
    <n v="106.01"/>
    <n v="91.7"/>
    <n v="1"/>
    <s v=""/>
  </r>
  <r>
    <x v="171"/>
    <x v="170"/>
    <x v="0"/>
    <n v="104.95"/>
    <n v="5"/>
    <n v="104.95"/>
    <n v="71.099999999999994"/>
    <n v="5"/>
    <s v=""/>
  </r>
  <r>
    <x v="20"/>
    <x v="20"/>
    <x v="6"/>
    <n v="102.66"/>
    <n v="4"/>
    <n v="127.66"/>
    <n v="89.25"/>
    <n v="5"/>
    <s v=""/>
  </r>
  <r>
    <x v="172"/>
    <x v="171"/>
    <x v="0"/>
    <n v="100.16"/>
    <n v="8"/>
    <n v="87.39"/>
    <n v="43.12"/>
    <n v="7"/>
    <n v="2"/>
  </r>
  <r>
    <x v="154"/>
    <x v="153"/>
    <x v="3"/>
    <n v="99.82"/>
    <n v="12"/>
    <n v="108.89"/>
    <n v="85.61"/>
    <n v="13"/>
    <s v=""/>
  </r>
  <r>
    <x v="117"/>
    <x v="116"/>
    <x v="3"/>
    <n v="99.68"/>
    <n v="4"/>
    <n v="99.68"/>
    <n v="82.57"/>
    <n v="4"/>
    <s v=""/>
  </r>
  <r>
    <x v="115"/>
    <x v="114"/>
    <x v="3"/>
    <n v="99.68"/>
    <n v="4"/>
    <n v="174.44"/>
    <n v="199.8"/>
    <n v="7"/>
    <s v=""/>
  </r>
  <r>
    <x v="173"/>
    <x v="172"/>
    <x v="3"/>
    <n v="99.48"/>
    <n v="6"/>
    <n v="99.48"/>
    <n v="70.8"/>
    <n v="6"/>
    <s v=""/>
  </r>
  <r>
    <x v="174"/>
    <x v="173"/>
    <x v="2"/>
    <n v="99"/>
    <n v="2"/>
    <n v="99"/>
    <n v="63.9"/>
    <n v="2"/>
    <s v=""/>
  </r>
  <r>
    <x v="175"/>
    <x v="174"/>
    <x v="1"/>
    <n v="98.71"/>
    <n v="6"/>
    <n v="98.71"/>
    <n v="29.1"/>
    <n v="6"/>
    <s v=""/>
  </r>
  <r>
    <x v="176"/>
    <x v="175"/>
    <x v="0"/>
    <n v="98.2"/>
    <n v="2"/>
    <n v="98.2"/>
    <n v="76"/>
    <n v="2"/>
    <s v=""/>
  </r>
  <r>
    <x v="116"/>
    <x v="115"/>
    <x v="3"/>
    <n v="96.75"/>
    <n v="9"/>
    <n v="75.25"/>
    <n v="54.99"/>
    <n v="7"/>
    <s v=""/>
  </r>
  <r>
    <x v="36"/>
    <x v="36"/>
    <x v="6"/>
    <n v="95.03"/>
    <n v="3"/>
    <n v="95.03"/>
    <n v="72.78"/>
    <n v="3"/>
    <s v=""/>
  </r>
  <r>
    <x v="40"/>
    <x v="40"/>
    <x v="2"/>
    <n v="93.29"/>
    <n v="3"/>
    <n v="125.71"/>
    <n v="62.56"/>
    <n v="4"/>
    <s v=""/>
  </r>
  <r>
    <x v="174"/>
    <x v="173"/>
    <x v="5"/>
    <n v="93.28"/>
    <n v="2"/>
    <n v="93.28"/>
    <n v="63.9"/>
    <n v="2"/>
    <s v=""/>
  </r>
  <r>
    <x v="167"/>
    <x v="166"/>
    <x v="1"/>
    <n v="92.8"/>
    <n v="16"/>
    <n v="92.8"/>
    <n v="44.64"/>
    <n v="16"/>
    <s v=""/>
  </r>
  <r>
    <x v="120"/>
    <x v="119"/>
    <x v="2"/>
    <n v="92.72"/>
    <n v="19"/>
    <n v="102.48"/>
    <n v="73.5"/>
    <n v="21"/>
    <s v=""/>
  </r>
  <r>
    <x v="131"/>
    <x v="130"/>
    <x v="2"/>
    <n v="92.19"/>
    <n v="6"/>
    <n v="92.19"/>
    <n v="51.75"/>
    <n v="6"/>
    <s v=""/>
  </r>
  <r>
    <x v="94"/>
    <x v="91"/>
    <x v="1"/>
    <n v="91.45"/>
    <n v="7"/>
    <n v="95.74"/>
    <n v="52.92"/>
    <n v="7"/>
    <s v=""/>
  </r>
  <r>
    <x v="14"/>
    <x v="14"/>
    <x v="1"/>
    <n v="91.15"/>
    <n v="6"/>
    <n v="76.95"/>
    <n v="53.32"/>
    <n v="5"/>
    <s v=""/>
  </r>
  <r>
    <x v="156"/>
    <x v="155"/>
    <x v="3"/>
    <n v="90.86"/>
    <n v="7"/>
    <n v="63.98"/>
    <n v="61.75"/>
    <n v="5"/>
    <s v=""/>
  </r>
  <r>
    <x v="34"/>
    <x v="34"/>
    <x v="2"/>
    <n v="90.83"/>
    <n v="1"/>
    <n v="90.83"/>
    <n v="78.75"/>
    <n v="1"/>
    <s v=""/>
  </r>
  <r>
    <x v="12"/>
    <x v="12"/>
    <x v="6"/>
    <n v="89.28"/>
    <n v="2"/>
    <n v="89.28"/>
    <n v="77.62"/>
    <n v="2"/>
    <n v="1"/>
  </r>
  <r>
    <x v="134"/>
    <x v="133"/>
    <x v="3"/>
    <n v="89.16"/>
    <n v="10"/>
    <n v="89.16"/>
    <n v="46.9"/>
    <n v="10"/>
    <s v=""/>
  </r>
  <r>
    <x v="66"/>
    <x v="66"/>
    <x v="1"/>
    <n v="88.51"/>
    <n v="1"/>
    <n v="88.51"/>
    <n v="77"/>
    <n v="1"/>
    <s v=""/>
  </r>
  <r>
    <x v="88"/>
    <x v="88"/>
    <x v="1"/>
    <n v="87.99"/>
    <n v="3"/>
    <n v="87.99"/>
    <n v="59.06"/>
    <n v="3"/>
    <n v="1"/>
  </r>
  <r>
    <x v="73"/>
    <x v="73"/>
    <x v="3"/>
    <n v="86.94"/>
    <n v="7"/>
    <n v="74.52"/>
    <n v="49.56"/>
    <n v="6"/>
    <s v=""/>
  </r>
  <r>
    <x v="112"/>
    <x v="111"/>
    <x v="0"/>
    <n v="86.76"/>
    <n v="5"/>
    <n v="86.76"/>
    <n v="39.6"/>
    <n v="5"/>
    <n v="3"/>
  </r>
  <r>
    <x v="177"/>
    <x v="176"/>
    <x v="6"/>
    <n v="86.73"/>
    <n v="3"/>
    <n v="86.73"/>
    <n v="64.58"/>
    <n v="3"/>
    <s v=""/>
  </r>
  <r>
    <x v="80"/>
    <x v="80"/>
    <x v="4"/>
    <n v="86.5"/>
    <n v="17"/>
    <n v="86.5"/>
    <n v="91.77"/>
    <n v="17"/>
    <s v=""/>
  </r>
  <r>
    <x v="128"/>
    <x v="127"/>
    <x v="6"/>
    <n v="86.47"/>
    <n v="3"/>
    <n v="86.47"/>
    <n v="72.430000000000007"/>
    <n v="3"/>
    <n v="1"/>
  </r>
  <r>
    <x v="50"/>
    <x v="50"/>
    <x v="2"/>
    <n v="86.26"/>
    <n v="2"/>
    <n v="132.11000000000001"/>
    <n v="84.83"/>
    <n v="3"/>
    <s v=""/>
  </r>
  <r>
    <x v="178"/>
    <x v="177"/>
    <x v="3"/>
    <n v="85.94"/>
    <n v="2"/>
    <n v="42.97"/>
    <n v="39.1"/>
    <n v="1"/>
    <s v=""/>
  </r>
  <r>
    <x v="54"/>
    <x v="54"/>
    <x v="3"/>
    <n v="85.55"/>
    <n v="3"/>
    <n v="58.13"/>
    <n v="38.380000000000003"/>
    <n v="2"/>
    <s v=""/>
  </r>
  <r>
    <x v="8"/>
    <x v="8"/>
    <x v="5"/>
    <n v="84.79"/>
    <n v="5"/>
    <n v="49.35"/>
    <n v="42.54"/>
    <n v="3"/>
    <s v=""/>
  </r>
  <r>
    <x v="127"/>
    <x v="126"/>
    <x v="2"/>
    <n v="84.15"/>
    <n v="5"/>
    <n v="84.15"/>
    <n v="20.8"/>
    <n v="5"/>
    <n v="3"/>
  </r>
  <r>
    <x v="89"/>
    <x v="89"/>
    <x v="1"/>
    <n v="83.19"/>
    <n v="1"/>
    <n v="83.19"/>
    <n v="85"/>
    <n v="1"/>
    <s v=""/>
  </r>
  <r>
    <x v="136"/>
    <x v="135"/>
    <x v="3"/>
    <n v="83.16"/>
    <n v="2"/>
    <n v="83.16"/>
    <n v="68.400000000000006"/>
    <n v="2"/>
    <s v=""/>
  </r>
  <r>
    <x v="89"/>
    <x v="89"/>
    <x v="3"/>
    <n v="82.5"/>
    <n v="1"/>
    <n v="82.5"/>
    <n v="80.75"/>
    <n v="1"/>
    <s v=""/>
  </r>
  <r>
    <x v="89"/>
    <x v="89"/>
    <x v="2"/>
    <n v="81.819999999999993"/>
    <n v="1"/>
    <n v="81.819999999999993"/>
    <n v="80.75"/>
    <n v="1"/>
    <s v=""/>
  </r>
  <r>
    <x v="179"/>
    <x v="178"/>
    <x v="0"/>
    <n v="81.64"/>
    <n v="4"/>
    <n v="81.64"/>
    <n v="59.64"/>
    <n v="4"/>
    <s v=""/>
  </r>
  <r>
    <x v="129"/>
    <x v="128"/>
    <x v="2"/>
    <n v="81.540000000000006"/>
    <n v="3"/>
    <n v="108.72"/>
    <n v="56.96"/>
    <n v="4"/>
    <s v=""/>
  </r>
  <r>
    <x v="152"/>
    <x v="151"/>
    <x v="3"/>
    <n v="81.5"/>
    <n v="2"/>
    <n v="40.75"/>
    <n v="33"/>
    <n v="1"/>
    <s v=""/>
  </r>
  <r>
    <x v="178"/>
    <x v="177"/>
    <x v="2"/>
    <n v="81.45"/>
    <n v="2"/>
    <n v="81.45"/>
    <n v="60.04"/>
    <n v="2"/>
    <s v=""/>
  </r>
  <r>
    <x v="169"/>
    <x v="168"/>
    <x v="1"/>
    <n v="81.13"/>
    <n v="2"/>
    <n v="81.13"/>
    <n v="52"/>
    <n v="2"/>
    <s v=""/>
  </r>
  <r>
    <x v="135"/>
    <x v="134"/>
    <x v="3"/>
    <n v="80.53"/>
    <n v="4"/>
    <n v="80.53"/>
    <n v="52.04"/>
    <n v="4"/>
    <s v=""/>
  </r>
  <r>
    <x v="180"/>
    <x v="179"/>
    <x v="0"/>
    <n v="80.3"/>
    <n v="11"/>
    <n v="80.3"/>
    <n v="31.54"/>
    <n v="11"/>
    <s v=""/>
  </r>
  <r>
    <x v="181"/>
    <x v="180"/>
    <x v="0"/>
    <n v="79.989999999999995"/>
    <n v="7"/>
    <n v="79.989999999999995"/>
    <n v="45.71"/>
    <n v="7"/>
    <s v=""/>
  </r>
  <r>
    <x v="182"/>
    <x v="181"/>
    <x v="0"/>
    <n v="78.599999999999994"/>
    <n v="12"/>
    <n v="78.599999999999994"/>
    <n v="65.400000000000006"/>
    <n v="12"/>
    <s v=""/>
  </r>
  <r>
    <x v="9"/>
    <x v="9"/>
    <x v="6"/>
    <n v="76.180000000000007"/>
    <n v="9"/>
    <n v="76.180000000000007"/>
    <n v="51.69"/>
    <n v="9"/>
    <s v=""/>
  </r>
  <r>
    <x v="152"/>
    <x v="151"/>
    <x v="5"/>
    <n v="76.08"/>
    <n v="2"/>
    <s v=""/>
    <s v=""/>
    <s v=""/>
    <s v=""/>
  </r>
  <r>
    <x v="183"/>
    <x v="182"/>
    <x v="3"/>
    <n v="75.790000000000006"/>
    <n v="1"/>
    <n v="75.790000000000006"/>
    <n v="55"/>
    <n v="1"/>
    <s v=""/>
  </r>
  <r>
    <x v="135"/>
    <x v="134"/>
    <x v="2"/>
    <n v="75.540000000000006"/>
    <n v="4"/>
    <n v="75.540000000000006"/>
    <n v="52.04"/>
    <n v="4"/>
    <s v=""/>
  </r>
  <r>
    <x v="184"/>
    <x v="183"/>
    <x v="3"/>
    <n v="74.52"/>
    <n v="6"/>
    <n v="86.94"/>
    <n v="48.18"/>
    <n v="7"/>
    <n v="3"/>
  </r>
  <r>
    <x v="167"/>
    <x v="166"/>
    <x v="2"/>
    <n v="74.099999999999994"/>
    <n v="13"/>
    <n v="74.099999999999994"/>
    <n v="36.270000000000003"/>
    <n v="13"/>
    <n v="1"/>
  </r>
  <r>
    <x v="116"/>
    <x v="115"/>
    <x v="2"/>
    <n v="73.86"/>
    <n v="6"/>
    <n v="98.48"/>
    <n v="59.2"/>
    <n v="8"/>
    <s v=""/>
  </r>
  <r>
    <x v="106"/>
    <x v="105"/>
    <x v="2"/>
    <n v="73.2"/>
    <n v="15"/>
    <n v="82.96"/>
    <n v="47.5"/>
    <n v="17"/>
    <s v=""/>
  </r>
  <r>
    <x v="185"/>
    <x v="184"/>
    <x v="2"/>
    <n v="72.77"/>
    <n v="3"/>
    <n v="72.77"/>
    <n v="42.66"/>
    <n v="3"/>
    <s v=""/>
  </r>
  <r>
    <x v="186"/>
    <x v="185"/>
    <x v="2"/>
    <n v="72.73"/>
    <n v="1"/>
    <n v="72.73"/>
    <n v="52.8"/>
    <n v="1"/>
    <n v="1"/>
  </r>
  <r>
    <x v="95"/>
    <x v="94"/>
    <x v="2"/>
    <n v="72.7"/>
    <n v="10"/>
    <n v="72.7"/>
    <n v="27.65"/>
    <n v="10"/>
    <s v=""/>
  </r>
  <r>
    <x v="187"/>
    <x v="186"/>
    <x v="1"/>
    <n v="72.08"/>
    <n v="1"/>
    <n v="72.08"/>
    <n v="37.5"/>
    <n v="1"/>
    <s v=""/>
  </r>
  <r>
    <x v="188"/>
    <x v="187"/>
    <x v="0"/>
    <n v="71.680000000000007"/>
    <n v="14"/>
    <n v="71.680000000000007"/>
    <n v="32.340000000000003"/>
    <n v="14"/>
    <s v=""/>
  </r>
  <r>
    <x v="189"/>
    <x v="188"/>
    <x v="0"/>
    <n v="71.489999999999995"/>
    <n v="9"/>
    <n v="71.489999999999995"/>
    <n v="22.05"/>
    <n v="9"/>
    <s v=""/>
  </r>
  <r>
    <x v="190"/>
    <x v="189"/>
    <x v="0"/>
    <n v="71.13"/>
    <n v="7"/>
    <n v="71.13"/>
    <n v="51.8"/>
    <n v="7"/>
    <n v="1"/>
  </r>
  <r>
    <x v="191"/>
    <x v="190"/>
    <x v="3"/>
    <n v="71.099999999999994"/>
    <n v="2"/>
    <n v="29.94"/>
    <n v="23.17"/>
    <n v="1"/>
    <s v=""/>
  </r>
  <r>
    <x v="192"/>
    <x v="191"/>
    <x v="0"/>
    <n v="70.88"/>
    <n v="1"/>
    <n v="70.88"/>
    <n v="112.5"/>
    <n v="1"/>
    <s v=""/>
  </r>
  <r>
    <x v="145"/>
    <x v="144"/>
    <x v="3"/>
    <n v="70.209999999999994"/>
    <n v="6"/>
    <n v="58.11"/>
    <n v="32.21"/>
    <n v="5"/>
    <s v=""/>
  </r>
  <r>
    <x v="16"/>
    <x v="16"/>
    <x v="2"/>
    <n v="69.849999999999994"/>
    <n v="5"/>
    <n v="69.849999999999994"/>
    <n v="49.62"/>
    <n v="5"/>
    <s v=""/>
  </r>
  <r>
    <x v="25"/>
    <x v="25"/>
    <x v="5"/>
    <n v="69.13"/>
    <n v="1"/>
    <n v="69.13"/>
    <n v="54"/>
    <n v="1"/>
    <s v=""/>
  </r>
  <r>
    <x v="52"/>
    <x v="52"/>
    <x v="2"/>
    <n v="69.08"/>
    <n v="4"/>
    <n v="103.62"/>
    <n v="70.34"/>
    <n v="6"/>
    <s v=""/>
  </r>
  <r>
    <x v="75"/>
    <x v="75"/>
    <x v="2"/>
    <n v="68.400000000000006"/>
    <n v="1"/>
    <n v="68.400000000000006"/>
    <n v="32.42"/>
    <n v="1"/>
    <s v=""/>
  </r>
  <r>
    <x v="193"/>
    <x v="192"/>
    <x v="0"/>
    <n v="68.34"/>
    <n v="17"/>
    <n v="68.34"/>
    <n v="30.6"/>
    <n v="17"/>
    <s v=""/>
  </r>
  <r>
    <x v="94"/>
    <x v="91"/>
    <x v="3"/>
    <n v="68.3"/>
    <n v="5"/>
    <n v="68.3"/>
    <n v="27"/>
    <n v="5"/>
    <s v=""/>
  </r>
  <r>
    <x v="94"/>
    <x v="91"/>
    <x v="2"/>
    <n v="67.75"/>
    <n v="5"/>
    <n v="67.75"/>
    <n v="29.31"/>
    <n v="5"/>
    <n v="2"/>
  </r>
  <r>
    <x v="19"/>
    <x v="19"/>
    <x v="1"/>
    <n v="67.290000000000006"/>
    <n v="3"/>
    <n v="87.05"/>
    <n v="47.2"/>
    <n v="4"/>
    <s v=""/>
  </r>
  <r>
    <x v="186"/>
    <x v="185"/>
    <x v="1"/>
    <n v="67.22"/>
    <n v="1"/>
    <n v="67.22"/>
    <n v="44.55"/>
    <n v="1"/>
    <n v="2"/>
  </r>
  <r>
    <x v="67"/>
    <x v="67"/>
    <x v="1"/>
    <n v="67.06"/>
    <n v="2"/>
    <n v="100.59"/>
    <n v="72.819999999999993"/>
    <n v="3"/>
    <n v="1"/>
  </r>
  <r>
    <x v="112"/>
    <x v="111"/>
    <x v="1"/>
    <n v="66.88"/>
    <n v="4"/>
    <n v="66.88"/>
    <n v="33.659999999999997"/>
    <n v="4"/>
    <n v="1"/>
  </r>
  <r>
    <x v="173"/>
    <x v="172"/>
    <x v="1"/>
    <n v="66.88"/>
    <n v="4"/>
    <n v="66.88"/>
    <n v="47.2"/>
    <n v="4"/>
    <n v="1"/>
  </r>
  <r>
    <x v="123"/>
    <x v="122"/>
    <x v="2"/>
    <n v="66.709999999999994"/>
    <n v="1"/>
    <n v="66.709999999999994"/>
    <n v="47.34"/>
    <n v="1"/>
    <s v=""/>
  </r>
  <r>
    <x v="170"/>
    <x v="169"/>
    <x v="1"/>
    <n v="66.56"/>
    <n v="8"/>
    <n v="66.56"/>
    <n v="37.6"/>
    <n v="8"/>
    <s v=""/>
  </r>
  <r>
    <x v="79"/>
    <x v="79"/>
    <x v="4"/>
    <n v="66.459999999999994"/>
    <n v="2"/>
    <n v="102.48"/>
    <n v="61.07"/>
    <n v="3"/>
    <s v=""/>
  </r>
  <r>
    <x v="32"/>
    <x v="32"/>
    <x v="5"/>
    <n v="66.11"/>
    <n v="1"/>
    <n v="66.11"/>
    <n v="37.130000000000003"/>
    <n v="1"/>
    <s v=""/>
  </r>
  <r>
    <x v="82"/>
    <x v="82"/>
    <x v="2"/>
    <n v="65.959999999999994"/>
    <n v="2"/>
    <n v="65.959999999999994"/>
    <n v="50.34"/>
    <n v="2"/>
    <s v=""/>
  </r>
  <r>
    <x v="194"/>
    <x v="193"/>
    <x v="2"/>
    <n v="65.7"/>
    <n v="3"/>
    <n v="65.7"/>
    <n v="45.03"/>
    <n v="3"/>
    <n v="1"/>
  </r>
  <r>
    <x v="195"/>
    <x v="194"/>
    <x v="0"/>
    <n v="65.239999999999995"/>
    <n v="4"/>
    <n v="65.239999999999995"/>
    <n v="51.32"/>
    <n v="4"/>
    <s v=""/>
  </r>
  <r>
    <x v="196"/>
    <x v="195"/>
    <x v="0"/>
    <n v="64.61"/>
    <n v="1"/>
    <s v=""/>
    <s v=""/>
    <s v=""/>
    <s v=""/>
  </r>
  <r>
    <x v="107"/>
    <x v="106"/>
    <x v="6"/>
    <n v="64.37"/>
    <n v="3"/>
    <n v="64.37"/>
    <n v="38.630000000000003"/>
    <n v="3"/>
    <n v="1"/>
  </r>
  <r>
    <x v="187"/>
    <x v="186"/>
    <x v="3"/>
    <n v="63.13"/>
    <n v="1"/>
    <n v="63.13"/>
    <n v="37.5"/>
    <n v="1"/>
    <s v=""/>
  </r>
  <r>
    <x v="103"/>
    <x v="102"/>
    <x v="0"/>
    <n v="61.23"/>
    <n v="3"/>
    <n v="81.64"/>
    <n v="45.6"/>
    <n v="4"/>
    <s v=""/>
  </r>
  <r>
    <x v="6"/>
    <x v="6"/>
    <x v="5"/>
    <n v="61.04"/>
    <n v="6"/>
    <n v="61.04"/>
    <n v="29.79"/>
    <n v="6"/>
    <s v=""/>
  </r>
  <r>
    <x v="118"/>
    <x v="117"/>
    <x v="3"/>
    <n v="60.68"/>
    <n v="1"/>
    <n v="60.68"/>
    <n v="40.5"/>
    <n v="1"/>
    <s v=""/>
  </r>
  <r>
    <x v="121"/>
    <x v="120"/>
    <x v="2"/>
    <n v="58.7"/>
    <n v="2"/>
    <n v="58.7"/>
    <n v="50"/>
    <n v="2"/>
    <s v=""/>
  </r>
  <r>
    <x v="194"/>
    <x v="193"/>
    <x v="3"/>
    <n v="57.89"/>
    <n v="2"/>
    <n v="57.89"/>
    <n v="17.5"/>
    <n v="2"/>
    <n v="1"/>
  </r>
  <r>
    <x v="60"/>
    <x v="60"/>
    <x v="4"/>
    <n v="57.69"/>
    <n v="1"/>
    <n v="57.69"/>
    <n v="41.57"/>
    <n v="1"/>
    <s v=""/>
  </r>
  <r>
    <x v="105"/>
    <x v="104"/>
    <x v="1"/>
    <n v="57.32"/>
    <n v="4"/>
    <n v="57.32"/>
    <n v="39.6"/>
    <n v="4"/>
    <n v="1"/>
  </r>
  <r>
    <x v="197"/>
    <x v="196"/>
    <x v="0"/>
    <n v="56.23"/>
    <n v="1"/>
    <n v="56.23"/>
    <n v="33.75"/>
    <n v="1"/>
    <s v=""/>
  </r>
  <r>
    <x v="146"/>
    <x v="145"/>
    <x v="1"/>
    <n v="55.46"/>
    <n v="2"/>
    <n v="55.46"/>
    <n v="33.42"/>
    <n v="2"/>
    <s v=""/>
  </r>
  <r>
    <x v="198"/>
    <x v="197"/>
    <x v="2"/>
    <n v="55.17"/>
    <n v="3"/>
    <n v="55.17"/>
    <n v="60.75"/>
    <n v="3"/>
    <s v=""/>
  </r>
  <r>
    <x v="56"/>
    <x v="56"/>
    <x v="1"/>
    <n v="54.56"/>
    <n v="11"/>
    <n v="64.48"/>
    <n v="36.82"/>
    <n v="13"/>
    <n v="2"/>
  </r>
  <r>
    <x v="75"/>
    <x v="75"/>
    <x v="5"/>
    <n v="54.54"/>
    <n v="1"/>
    <n v="54.54"/>
    <n v="32.42"/>
    <n v="1"/>
    <s v=""/>
  </r>
  <r>
    <x v="52"/>
    <x v="52"/>
    <x v="6"/>
    <n v="54.24"/>
    <n v="3"/>
    <n v="54.24"/>
    <n v="40.9"/>
    <n v="3"/>
    <s v=""/>
  </r>
  <r>
    <x v="122"/>
    <x v="121"/>
    <x v="2"/>
    <n v="54.09"/>
    <n v="2"/>
    <n v="54.09"/>
    <n v="44.54"/>
    <n v="2"/>
    <n v="1"/>
  </r>
  <r>
    <x v="115"/>
    <x v="114"/>
    <x v="6"/>
    <n v="53.11"/>
    <n v="2"/>
    <n v="77.87"/>
    <n v="90.14"/>
    <n v="3"/>
    <s v=""/>
  </r>
  <r>
    <x v="21"/>
    <x v="21"/>
    <x v="1"/>
    <n v="52.68"/>
    <n v="3"/>
    <n v="52.68"/>
    <n v="35.700000000000003"/>
    <n v="3"/>
    <s v=""/>
  </r>
  <r>
    <x v="68"/>
    <x v="68"/>
    <x v="3"/>
    <n v="51.99"/>
    <n v="5"/>
    <n v="51.99"/>
    <n v="23.25"/>
    <n v="5"/>
    <s v=""/>
  </r>
  <r>
    <x v="199"/>
    <x v="198"/>
    <x v="0"/>
    <n v="51.28"/>
    <n v="2"/>
    <n v="51.28"/>
    <n v="38"/>
    <n v="2"/>
    <s v=""/>
  </r>
  <r>
    <x v="2"/>
    <x v="2"/>
    <x v="6"/>
    <n v="51"/>
    <n v="4"/>
    <n v="51"/>
    <n v="30.64"/>
    <n v="4"/>
    <s v=""/>
  </r>
  <r>
    <x v="9"/>
    <x v="9"/>
    <x v="4"/>
    <n v="50.93"/>
    <n v="8"/>
    <n v="50.93"/>
    <n v="47.06"/>
    <n v="8"/>
    <s v=""/>
  </r>
  <r>
    <x v="185"/>
    <x v="184"/>
    <x v="1"/>
    <n v="50.91"/>
    <n v="2"/>
    <n v="50.91"/>
    <n v="28.44"/>
    <n v="2"/>
    <s v=""/>
  </r>
  <r>
    <x v="156"/>
    <x v="155"/>
    <x v="2"/>
    <n v="50.7"/>
    <n v="4"/>
    <n v="23.9"/>
    <n v="25.35"/>
    <n v="2"/>
    <s v=""/>
  </r>
  <r>
    <x v="174"/>
    <x v="173"/>
    <x v="1"/>
    <n v="50.34"/>
    <n v="1"/>
    <n v="50.34"/>
    <n v="31.95"/>
    <n v="1"/>
    <s v=""/>
  </r>
  <r>
    <x v="117"/>
    <x v="116"/>
    <x v="1"/>
    <n v="50.26"/>
    <n v="2"/>
    <n v="50.26"/>
    <n v="39.76"/>
    <n v="2"/>
    <s v=""/>
  </r>
  <r>
    <x v="103"/>
    <x v="102"/>
    <x v="1"/>
    <n v="50.16"/>
    <n v="3"/>
    <n v="50.16"/>
    <n v="34.799999999999997"/>
    <n v="3"/>
    <s v=""/>
  </r>
  <r>
    <x v="200"/>
    <x v="199"/>
    <x v="3"/>
    <n v="49.92"/>
    <n v="1"/>
    <n v="49.92"/>
    <n v="39.380000000000003"/>
    <n v="1"/>
    <s v=""/>
  </r>
  <r>
    <x v="117"/>
    <x v="116"/>
    <x v="2"/>
    <n v="49.42"/>
    <n v="2"/>
    <n v="49.42"/>
    <n v="40.78"/>
    <n v="2"/>
    <s v=""/>
  </r>
  <r>
    <x v="201"/>
    <x v="200"/>
    <x v="2"/>
    <n v="49.42"/>
    <n v="2"/>
    <n v="49.42"/>
    <n v="34.04"/>
    <n v="2"/>
    <s v=""/>
  </r>
  <r>
    <x v="103"/>
    <x v="102"/>
    <x v="5"/>
    <n v="49.35"/>
    <n v="3"/>
    <n v="49.35"/>
    <n v="34.799999999999997"/>
    <n v="3"/>
    <s v=""/>
  </r>
  <r>
    <x v="202"/>
    <x v="201"/>
    <x v="0"/>
    <n v="49.02"/>
    <n v="2"/>
    <n v="49.02"/>
    <n v="26.56"/>
    <n v="2"/>
    <s v=""/>
  </r>
  <r>
    <x v="203"/>
    <x v="202"/>
    <x v="0"/>
    <n v="49.02"/>
    <n v="2"/>
    <n v="49.02"/>
    <n v="30.96"/>
    <n v="2"/>
    <s v=""/>
  </r>
  <r>
    <x v="204"/>
    <x v="203"/>
    <x v="0"/>
    <n v="48.93"/>
    <n v="3"/>
    <n v="48.93"/>
    <n v="32.86"/>
    <n v="3"/>
    <s v=""/>
  </r>
  <r>
    <x v="205"/>
    <x v="204"/>
    <x v="0"/>
    <n v="48.93"/>
    <n v="3"/>
    <n v="48.93"/>
    <n v="36"/>
    <n v="3"/>
    <n v="1"/>
  </r>
  <r>
    <x v="131"/>
    <x v="130"/>
    <x v="1"/>
    <n v="48.9"/>
    <n v="4"/>
    <n v="48.9"/>
    <n v="36"/>
    <n v="4"/>
    <s v=""/>
  </r>
  <r>
    <x v="18"/>
    <x v="18"/>
    <x v="5"/>
    <n v="48.75"/>
    <n v="1"/>
    <n v="48.75"/>
    <n v="36"/>
    <n v="1"/>
    <s v=""/>
  </r>
  <r>
    <x v="64"/>
    <x v="64"/>
    <x v="2"/>
    <n v="48.7"/>
    <n v="2"/>
    <n v="48.7"/>
    <n v="30.22"/>
    <n v="2"/>
    <s v=""/>
  </r>
  <r>
    <x v="206"/>
    <x v="205"/>
    <x v="0"/>
    <n v="47.98"/>
    <n v="1"/>
    <n v="47.98"/>
    <n v="36.799999999999997"/>
    <n v="1"/>
    <n v="1"/>
  </r>
  <r>
    <x v="200"/>
    <x v="199"/>
    <x v="1"/>
    <n v="47.62"/>
    <n v="1"/>
    <n v="47.62"/>
    <n v="39.380000000000003"/>
    <n v="1"/>
    <s v=""/>
  </r>
  <r>
    <x v="4"/>
    <x v="4"/>
    <x v="5"/>
    <n v="46.46"/>
    <n v="3"/>
    <n v="33.380000000000003"/>
    <n v="22.26"/>
    <n v="2"/>
    <s v=""/>
  </r>
  <r>
    <x v="185"/>
    <x v="184"/>
    <x v="0"/>
    <n v="45.58"/>
    <n v="2"/>
    <n v="45.58"/>
    <n v="28.44"/>
    <n v="2"/>
    <s v=""/>
  </r>
  <r>
    <x v="57"/>
    <x v="57"/>
    <x v="3"/>
    <n v="44.76"/>
    <n v="3"/>
    <n v="44.76"/>
    <n v="33.1"/>
    <n v="3"/>
    <s v=""/>
  </r>
  <r>
    <x v="207"/>
    <x v="206"/>
    <x v="0"/>
    <n v="44.57"/>
    <n v="1"/>
    <s v=""/>
    <s v=""/>
    <s v=""/>
    <s v=""/>
  </r>
  <r>
    <x v="49"/>
    <x v="49"/>
    <x v="6"/>
    <n v="44.35"/>
    <n v="4"/>
    <n v="44.35"/>
    <n v="35.9"/>
    <n v="4"/>
    <s v=""/>
  </r>
  <r>
    <x v="208"/>
    <x v="207"/>
    <x v="0"/>
    <n v="44.07"/>
    <n v="13"/>
    <n v="44.07"/>
    <n v="25.87"/>
    <n v="13"/>
    <s v=""/>
  </r>
  <r>
    <x v="209"/>
    <x v="208"/>
    <x v="1"/>
    <n v="43.7"/>
    <n v="11"/>
    <n v="55.88"/>
    <n v="74.760000000000005"/>
    <n v="14"/>
    <s v=""/>
  </r>
  <r>
    <x v="5"/>
    <x v="5"/>
    <x v="6"/>
    <n v="43.06"/>
    <n v="2"/>
    <n v="43.06"/>
    <n v="35.65"/>
    <n v="2"/>
    <s v=""/>
  </r>
  <r>
    <x v="210"/>
    <x v="209"/>
    <x v="0"/>
    <n v="42.76"/>
    <n v="7"/>
    <n v="42.76"/>
    <n v="8.4499999999999993"/>
    <n v="7"/>
    <s v=""/>
  </r>
  <r>
    <x v="23"/>
    <x v="23"/>
    <x v="6"/>
    <n v="42.67"/>
    <n v="2"/>
    <n v="21.31"/>
    <n v="15.1"/>
    <n v="1"/>
    <s v=""/>
  </r>
  <r>
    <x v="136"/>
    <x v="135"/>
    <x v="1"/>
    <n v="41.93"/>
    <n v="1"/>
    <n v="41.93"/>
    <n v="34.200000000000003"/>
    <n v="1"/>
    <s v=""/>
  </r>
  <r>
    <x v="11"/>
    <x v="11"/>
    <x v="1"/>
    <n v="41.84"/>
    <n v="2"/>
    <s v=""/>
    <s v=""/>
    <s v=""/>
    <s v=""/>
  </r>
  <r>
    <x v="211"/>
    <x v="210"/>
    <x v="0"/>
    <n v="41.82"/>
    <n v="7"/>
    <n v="41.82"/>
    <n v="19.32"/>
    <n v="7"/>
    <s v=""/>
  </r>
  <r>
    <x v="90"/>
    <x v="90"/>
    <x v="5"/>
    <n v="41.24"/>
    <n v="1"/>
    <n v="41.24"/>
    <n v="29.92"/>
    <n v="1"/>
    <s v=""/>
  </r>
  <r>
    <x v="212"/>
    <x v="211"/>
    <x v="2"/>
    <n v="40.85"/>
    <n v="1"/>
    <n v="40.85"/>
    <n v="32.42"/>
    <n v="1"/>
    <n v="1"/>
  </r>
  <r>
    <x v="213"/>
    <x v="212"/>
    <x v="3"/>
    <n v="40.380000000000003"/>
    <n v="2"/>
    <n v="40.380000000000003"/>
    <n v="28"/>
    <n v="2"/>
    <s v=""/>
  </r>
  <r>
    <x v="51"/>
    <x v="51"/>
    <x v="3"/>
    <n v="39.65"/>
    <n v="2"/>
    <n v="19.97"/>
    <n v="12.5"/>
    <n v="1"/>
    <s v=""/>
  </r>
  <r>
    <x v="11"/>
    <x v="11"/>
    <x v="5"/>
    <n v="38.32"/>
    <n v="2"/>
    <s v=""/>
    <s v=""/>
    <s v=""/>
    <s v=""/>
  </r>
  <r>
    <x v="214"/>
    <x v="213"/>
    <x v="6"/>
    <n v="37.97"/>
    <n v="1"/>
    <s v=""/>
    <s v=""/>
    <s v=""/>
    <s v=""/>
  </r>
  <r>
    <x v="31"/>
    <x v="31"/>
    <x v="1"/>
    <n v="37.729999999999997"/>
    <n v="1"/>
    <n v="75.459999999999994"/>
    <n v="70.12"/>
    <n v="2"/>
    <n v="2"/>
  </r>
  <r>
    <x v="109"/>
    <x v="108"/>
    <x v="6"/>
    <n v="37.47"/>
    <n v="1"/>
    <s v=""/>
    <s v=""/>
    <s v=""/>
    <s v=""/>
  </r>
  <r>
    <x v="126"/>
    <x v="125"/>
    <x v="2"/>
    <n v="37.25"/>
    <n v="3"/>
    <n v="37.25"/>
    <n v="18.239999999999998"/>
    <n v="3"/>
    <s v=""/>
  </r>
  <r>
    <x v="215"/>
    <x v="214"/>
    <x v="0"/>
    <n v="37.22"/>
    <n v="9"/>
    <n v="37.22"/>
    <n v="8.65"/>
    <n v="9"/>
    <s v=""/>
  </r>
  <r>
    <x v="216"/>
    <x v="215"/>
    <x v="0"/>
    <n v="36.18"/>
    <n v="9"/>
    <n v="32.159999999999997"/>
    <n v="16"/>
    <n v="8"/>
    <s v=""/>
  </r>
  <r>
    <x v="145"/>
    <x v="144"/>
    <x v="2"/>
    <n v="34.99"/>
    <n v="2"/>
    <n v="34.99"/>
    <n v="13.43"/>
    <n v="2"/>
    <n v="1"/>
  </r>
  <r>
    <x v="85"/>
    <x v="85"/>
    <x v="1"/>
    <n v="34.130000000000003"/>
    <n v="1"/>
    <n v="34.130000000000003"/>
    <n v="16.88"/>
    <n v="1"/>
    <s v=""/>
  </r>
  <r>
    <x v="217"/>
    <x v="216"/>
    <x v="0"/>
    <n v="34.130000000000003"/>
    <n v="3"/>
    <n v="34.130000000000003"/>
    <n v="15.96"/>
    <n v="3"/>
    <n v="1"/>
  </r>
  <r>
    <x v="218"/>
    <x v="217"/>
    <x v="0"/>
    <n v="33.9"/>
    <n v="2"/>
    <n v="16.95"/>
    <n v="8.5"/>
    <n v="1"/>
    <s v=""/>
  </r>
  <r>
    <x v="110"/>
    <x v="109"/>
    <x v="3"/>
    <n v="33.72"/>
    <n v="1"/>
    <n v="33.72"/>
    <n v="28.68"/>
    <n v="1"/>
    <n v="1"/>
  </r>
  <r>
    <x v="140"/>
    <x v="139"/>
    <x v="1"/>
    <n v="33.53"/>
    <n v="1"/>
    <n v="33.53"/>
    <n v="27.91"/>
    <n v="1"/>
    <s v=""/>
  </r>
  <r>
    <x v="82"/>
    <x v="82"/>
    <x v="1"/>
    <n v="33.53"/>
    <n v="1"/>
    <n v="33.53"/>
    <n v="26.5"/>
    <n v="1"/>
    <s v=""/>
  </r>
  <r>
    <x v="92"/>
    <x v="92"/>
    <x v="1"/>
    <n v="33.44"/>
    <n v="2"/>
    <n v="33.44"/>
    <n v="20"/>
    <n v="2"/>
    <n v="1"/>
  </r>
  <r>
    <x v="187"/>
    <x v="186"/>
    <x v="2"/>
    <n v="33.42"/>
    <n v="1"/>
    <n v="33.42"/>
    <n v="37.5"/>
    <n v="1"/>
    <s v=""/>
  </r>
  <r>
    <x v="219"/>
    <x v="218"/>
    <x v="3"/>
    <n v="33"/>
    <n v="4"/>
    <n v="33"/>
    <n v="21.72"/>
    <n v="4"/>
    <n v="1"/>
  </r>
  <r>
    <x v="63"/>
    <x v="63"/>
    <x v="5"/>
    <n v="32.9"/>
    <n v="2"/>
    <n v="32.9"/>
    <n v="26.7"/>
    <n v="2"/>
    <s v=""/>
  </r>
  <r>
    <x v="189"/>
    <x v="188"/>
    <x v="3"/>
    <n v="32.75"/>
    <n v="4"/>
    <n v="32.75"/>
    <n v="9"/>
    <n v="4"/>
    <s v=""/>
  </r>
  <r>
    <x v="220"/>
    <x v="219"/>
    <x v="0"/>
    <n v="32.659999999999997"/>
    <n v="2"/>
    <n v="32.659999999999997"/>
    <n v="31.5"/>
    <n v="2"/>
    <s v=""/>
  </r>
  <r>
    <x v="213"/>
    <x v="212"/>
    <x v="0"/>
    <n v="32.619999999999997"/>
    <n v="2"/>
    <n v="32.619999999999997"/>
    <n v="28"/>
    <n v="2"/>
    <n v="1"/>
  </r>
  <r>
    <x v="221"/>
    <x v="220"/>
    <x v="0"/>
    <n v="32.47"/>
    <n v="3"/>
    <n v="32.47"/>
    <n v="14.1"/>
    <n v="3"/>
    <s v=""/>
  </r>
  <r>
    <x v="138"/>
    <x v="137"/>
    <x v="3"/>
    <n v="32.44"/>
    <n v="4"/>
    <n v="32.44"/>
    <n v="15.68"/>
    <n v="4"/>
    <s v=""/>
  </r>
  <r>
    <x v="107"/>
    <x v="106"/>
    <x v="2"/>
    <n v="32.07"/>
    <n v="1"/>
    <n v="32.07"/>
    <n v="13.76"/>
    <n v="1"/>
    <s v=""/>
  </r>
  <r>
    <x v="71"/>
    <x v="71"/>
    <x v="3"/>
    <n v="31.99"/>
    <n v="1"/>
    <n v="31.99"/>
    <n v="21.28"/>
    <n v="1"/>
    <s v=""/>
  </r>
  <r>
    <x v="222"/>
    <x v="221"/>
    <x v="0"/>
    <n v="31.75"/>
    <n v="1"/>
    <n v="31.75"/>
    <n v="36.9"/>
    <n v="1"/>
    <s v=""/>
  </r>
  <r>
    <x v="223"/>
    <x v="222"/>
    <x v="3"/>
    <n v="31.23"/>
    <n v="1"/>
    <n v="31.23"/>
    <n v="35.549999999999997"/>
    <n v="1"/>
    <s v=""/>
  </r>
  <r>
    <x v="204"/>
    <x v="203"/>
    <x v="1"/>
    <n v="31.22"/>
    <n v="2"/>
    <n v="31.22"/>
    <n v="19"/>
    <n v="2"/>
    <s v=""/>
  </r>
  <r>
    <x v="82"/>
    <x v="82"/>
    <x v="4"/>
    <n v="31.11"/>
    <n v="1"/>
    <s v=""/>
    <s v=""/>
    <s v=""/>
    <s v=""/>
  </r>
  <r>
    <x v="142"/>
    <x v="141"/>
    <x v="3"/>
    <n v="30.85"/>
    <n v="2"/>
    <n v="30.85"/>
    <n v="20.67"/>
    <n v="2"/>
    <s v=""/>
  </r>
  <r>
    <x v="39"/>
    <x v="39"/>
    <x v="4"/>
    <n v="30.42"/>
    <n v="3"/>
    <n v="30.42"/>
    <n v="27.41"/>
    <n v="3"/>
    <n v="1"/>
  </r>
  <r>
    <x v="224"/>
    <x v="223"/>
    <x v="0"/>
    <n v="30.37"/>
    <n v="1"/>
    <n v="30.37"/>
    <n v="24.75"/>
    <n v="1"/>
    <s v=""/>
  </r>
  <r>
    <x v="84"/>
    <x v="84"/>
    <x v="5"/>
    <n v="30.26"/>
    <n v="1"/>
    <s v=""/>
    <s v=""/>
    <s v=""/>
    <s v=""/>
  </r>
  <r>
    <x v="40"/>
    <x v="40"/>
    <x v="5"/>
    <n v="29.66"/>
    <n v="1"/>
    <n v="29.66"/>
    <n v="16.5"/>
    <n v="1"/>
    <n v="1"/>
  </r>
  <r>
    <x v="62"/>
    <x v="62"/>
    <x v="2"/>
    <n v="29.44"/>
    <n v="4"/>
    <n v="29.44"/>
    <n v="16.8"/>
    <n v="4"/>
    <s v=""/>
  </r>
  <r>
    <x v="99"/>
    <x v="98"/>
    <x v="1"/>
    <n v="29.33"/>
    <n v="1"/>
    <n v="29.33"/>
    <n v="25.46"/>
    <n v="1"/>
    <s v=""/>
  </r>
  <r>
    <x v="130"/>
    <x v="129"/>
    <x v="2"/>
    <n v="29.24"/>
    <n v="2"/>
    <n v="29.24"/>
    <n v="18.760000000000002"/>
    <n v="2"/>
    <n v="1"/>
  </r>
  <r>
    <x v="79"/>
    <x v="79"/>
    <x v="6"/>
    <n v="29.22"/>
    <n v="1"/>
    <n v="29.22"/>
    <n v="14.65"/>
    <n v="1"/>
    <s v=""/>
  </r>
  <r>
    <x v="171"/>
    <x v="170"/>
    <x v="3"/>
    <n v="29.14"/>
    <n v="1"/>
    <n v="29.14"/>
    <n v="13.5"/>
    <n v="1"/>
    <s v=""/>
  </r>
  <r>
    <x v="79"/>
    <x v="79"/>
    <x v="5"/>
    <n v="28.84"/>
    <n v="1"/>
    <n v="28.84"/>
    <n v="20.239999999999998"/>
    <n v="1"/>
    <s v=""/>
  </r>
  <r>
    <x v="225"/>
    <x v="224"/>
    <x v="3"/>
    <n v="28.84"/>
    <n v="1"/>
    <n v="28.84"/>
    <n v="23.12"/>
    <n v="1"/>
    <s v=""/>
  </r>
  <r>
    <x v="226"/>
    <x v="225"/>
    <x v="1"/>
    <n v="28.72"/>
    <n v="1"/>
    <n v="28.72"/>
    <n v="24.01"/>
    <n v="1"/>
    <s v=""/>
  </r>
  <r>
    <x v="128"/>
    <x v="127"/>
    <x v="2"/>
    <n v="28.7"/>
    <n v="1"/>
    <n v="61.68"/>
    <n v="50"/>
    <n v="2"/>
    <n v="1"/>
  </r>
  <r>
    <x v="53"/>
    <x v="53"/>
    <x v="0"/>
    <n v="28.61"/>
    <n v="1"/>
    <n v="28.61"/>
    <n v="19.23"/>
    <n v="1"/>
    <n v="1"/>
  </r>
  <r>
    <x v="16"/>
    <x v="16"/>
    <x v="1"/>
    <n v="28.4"/>
    <n v="2"/>
    <n v="28.4"/>
    <n v="22.14"/>
    <n v="2"/>
    <s v=""/>
  </r>
  <r>
    <x v="227"/>
    <x v="226"/>
    <x v="2"/>
    <n v="28.03"/>
    <n v="1"/>
    <n v="28.03"/>
    <n v="37.130000000000003"/>
    <n v="1"/>
    <s v=""/>
  </r>
  <r>
    <x v="64"/>
    <x v="64"/>
    <x v="5"/>
    <n v="27.99"/>
    <n v="1"/>
    <n v="27.99"/>
    <n v="20.14"/>
    <n v="1"/>
    <s v=""/>
  </r>
  <r>
    <x v="6"/>
    <x v="6"/>
    <x v="4"/>
    <n v="27.95"/>
    <n v="3"/>
    <n v="27.95"/>
    <n v="16.190000000000001"/>
    <n v="3"/>
    <s v=""/>
  </r>
  <r>
    <x v="228"/>
    <x v="227"/>
    <x v="0"/>
    <n v="27.93"/>
    <n v="1"/>
    <s v=""/>
    <s v=""/>
    <s v=""/>
    <s v=""/>
  </r>
  <r>
    <x v="229"/>
    <x v="228"/>
    <x v="1"/>
    <n v="27.73"/>
    <n v="1"/>
    <n v="27.73"/>
    <n v="9.92"/>
    <n v="1"/>
    <n v="1"/>
  </r>
  <r>
    <x v="230"/>
    <x v="229"/>
    <x v="0"/>
    <n v="27.55"/>
    <n v="4"/>
    <n v="21.89"/>
    <n v="17.600000000000001"/>
    <n v="3"/>
    <s v=""/>
  </r>
  <r>
    <x v="229"/>
    <x v="228"/>
    <x v="3"/>
    <n v="27.41"/>
    <n v="1"/>
    <n v="27.41"/>
    <n v="17.77"/>
    <n v="1"/>
    <s v=""/>
  </r>
  <r>
    <x v="54"/>
    <x v="54"/>
    <x v="2"/>
    <n v="27.19"/>
    <n v="1"/>
    <n v="27.19"/>
    <n v="18.7"/>
    <n v="1"/>
    <s v=""/>
  </r>
  <r>
    <x v="61"/>
    <x v="61"/>
    <x v="5"/>
    <n v="27.18"/>
    <n v="1"/>
    <n v="27.18"/>
    <n v="14.25"/>
    <n v="1"/>
    <s v=""/>
  </r>
  <r>
    <x v="181"/>
    <x v="180"/>
    <x v="2"/>
    <n v="27.1"/>
    <n v="2"/>
    <n v="27.1"/>
    <n v="13.06"/>
    <n v="2"/>
    <s v=""/>
  </r>
  <r>
    <x v="23"/>
    <x v="23"/>
    <x v="5"/>
    <n v="26.92"/>
    <n v="1"/>
    <s v=""/>
    <s v=""/>
    <s v=""/>
    <s v=""/>
  </r>
  <r>
    <x v="139"/>
    <x v="138"/>
    <x v="0"/>
    <n v="26.88"/>
    <n v="2"/>
    <n v="26.88"/>
    <n v="16.46"/>
    <n v="2"/>
    <s v=""/>
  </r>
  <r>
    <x v="30"/>
    <x v="30"/>
    <x v="4"/>
    <n v="26.54"/>
    <n v="2"/>
    <n v="13.27"/>
    <n v="5.09"/>
    <n v="1"/>
    <s v=""/>
  </r>
  <r>
    <x v="226"/>
    <x v="225"/>
    <x v="3"/>
    <n v="26.16"/>
    <n v="1"/>
    <n v="26.16"/>
    <n v="26"/>
    <n v="1"/>
    <s v=""/>
  </r>
  <r>
    <x v="128"/>
    <x v="127"/>
    <x v="1"/>
    <n v="26.13"/>
    <n v="1"/>
    <n v="26.13"/>
    <n v="25"/>
    <n v="1"/>
    <n v="3"/>
  </r>
  <r>
    <x v="42"/>
    <x v="42"/>
    <x v="6"/>
    <n v="25.49"/>
    <n v="1"/>
    <n v="25.49"/>
    <n v="10.75"/>
    <n v="1"/>
    <s v=""/>
  </r>
  <r>
    <x v="61"/>
    <x v="61"/>
    <x v="2"/>
    <n v="25.45"/>
    <n v="1"/>
    <n v="25.45"/>
    <n v="14.25"/>
    <n v="1"/>
    <s v=""/>
  </r>
  <r>
    <x v="73"/>
    <x v="73"/>
    <x v="6"/>
    <n v="25.29"/>
    <n v="2"/>
    <n v="12.53"/>
    <n v="8.75"/>
    <n v="1"/>
    <s v=""/>
  </r>
  <r>
    <x v="73"/>
    <x v="73"/>
    <x v="1"/>
    <n v="25.04"/>
    <n v="2"/>
    <n v="25.04"/>
    <n v="18.399999999999999"/>
    <n v="2"/>
    <s v=""/>
  </r>
  <r>
    <x v="231"/>
    <x v="230"/>
    <x v="3"/>
    <n v="24.92"/>
    <n v="1"/>
    <n v="24.92"/>
    <n v="17.399999999999999"/>
    <n v="1"/>
    <s v=""/>
  </r>
  <r>
    <x v="232"/>
    <x v="231"/>
    <x v="3"/>
    <n v="24.92"/>
    <n v="1"/>
    <n v="24.92"/>
    <n v="19.670000000000002"/>
    <n v="1"/>
    <s v=""/>
  </r>
  <r>
    <x v="233"/>
    <x v="232"/>
    <x v="3"/>
    <n v="24.92"/>
    <n v="1"/>
    <n v="24.92"/>
    <n v="24.3"/>
    <n v="1"/>
    <s v=""/>
  </r>
  <r>
    <x v="234"/>
    <x v="233"/>
    <x v="0"/>
    <n v="24.51"/>
    <n v="1"/>
    <n v="24.51"/>
    <n v="16.87"/>
    <n v="1"/>
    <s v=""/>
  </r>
  <r>
    <x v="184"/>
    <x v="183"/>
    <x v="0"/>
    <n v="24.42"/>
    <n v="2"/>
    <n v="24.42"/>
    <n v="13.9"/>
    <n v="2"/>
    <s v=""/>
  </r>
  <r>
    <x v="102"/>
    <x v="101"/>
    <x v="2"/>
    <n v="24.4"/>
    <n v="5"/>
    <n v="24.4"/>
    <n v="16.78"/>
    <n v="5"/>
    <s v=""/>
  </r>
  <r>
    <x v="70"/>
    <x v="70"/>
    <x v="1"/>
    <n v="24.37"/>
    <n v="1"/>
    <n v="24.37"/>
    <n v="16.72"/>
    <n v="1"/>
    <s v=""/>
  </r>
  <r>
    <x v="126"/>
    <x v="125"/>
    <x v="4"/>
    <n v="23.93"/>
    <n v="1"/>
    <n v="23.93"/>
    <n v="6.03"/>
    <n v="1"/>
    <s v=""/>
  </r>
  <r>
    <x v="88"/>
    <x v="88"/>
    <x v="5"/>
    <n v="23.93"/>
    <n v="1"/>
    <n v="23.93"/>
    <n v="14.72"/>
    <n v="1"/>
    <s v=""/>
  </r>
  <r>
    <x v="235"/>
    <x v="234"/>
    <x v="0"/>
    <n v="23.6"/>
    <n v="2"/>
    <n v="23.6"/>
    <n v="12.64"/>
    <n v="2"/>
    <s v=""/>
  </r>
  <r>
    <x v="8"/>
    <x v="8"/>
    <x v="6"/>
    <n v="23.45"/>
    <n v="1"/>
    <n v="23.45"/>
    <n v="14.34"/>
    <n v="1"/>
    <s v=""/>
  </r>
  <r>
    <x v="217"/>
    <x v="216"/>
    <x v="2"/>
    <n v="23.34"/>
    <n v="2"/>
    <n v="23.34"/>
    <n v="10.64"/>
    <n v="2"/>
    <s v=""/>
  </r>
  <r>
    <x v="175"/>
    <x v="174"/>
    <x v="2"/>
    <n v="23.09"/>
    <n v="2"/>
    <n v="23.09"/>
    <n v="9.6999999999999993"/>
    <n v="2"/>
    <s v=""/>
  </r>
  <r>
    <x v="150"/>
    <x v="149"/>
    <x v="3"/>
    <n v="22.72"/>
    <n v="3"/>
    <n v="22.72"/>
    <n v="14.75"/>
    <n v="3"/>
    <s v=""/>
  </r>
  <r>
    <x v="160"/>
    <x v="159"/>
    <x v="2"/>
    <n v="22.64"/>
    <n v="1"/>
    <n v="45.28"/>
    <n v="28.16"/>
    <n v="2"/>
    <s v=""/>
  </r>
  <r>
    <x v="132"/>
    <x v="131"/>
    <x v="2"/>
    <n v="22.64"/>
    <n v="1"/>
    <n v="22.64"/>
    <n v="18.02"/>
    <n v="1"/>
    <s v=""/>
  </r>
  <r>
    <x v="209"/>
    <x v="208"/>
    <x v="2"/>
    <n v="22.37"/>
    <n v="5"/>
    <n v="22.37"/>
    <n v="26.6"/>
    <n v="5"/>
    <s v=""/>
  </r>
  <r>
    <x v="119"/>
    <x v="118"/>
    <x v="5"/>
    <n v="22.02"/>
    <n v="1"/>
    <n v="22.02"/>
    <n v="14.65"/>
    <n v="1"/>
    <s v=""/>
  </r>
  <r>
    <x v="42"/>
    <x v="42"/>
    <x v="5"/>
    <n v="21.9"/>
    <n v="1"/>
    <n v="21.9"/>
    <n v="18.32"/>
    <n v="1"/>
    <s v=""/>
  </r>
  <r>
    <x v="164"/>
    <x v="163"/>
    <x v="2"/>
    <n v="21.56"/>
    <n v="2"/>
    <n v="21.56"/>
    <n v="21.88"/>
    <n v="2"/>
    <s v=""/>
  </r>
  <r>
    <x v="236"/>
    <x v="235"/>
    <x v="0"/>
    <n v="21.51"/>
    <n v="1"/>
    <s v=""/>
    <s v=""/>
    <s v=""/>
    <s v=""/>
  </r>
  <r>
    <x v="19"/>
    <x v="19"/>
    <x v="6"/>
    <n v="21.26"/>
    <n v="1"/>
    <s v=""/>
    <s v=""/>
    <s v=""/>
    <s v=""/>
  </r>
  <r>
    <x v="195"/>
    <x v="194"/>
    <x v="1"/>
    <n v="21.21"/>
    <n v="1"/>
    <s v=""/>
    <s v=""/>
    <s v=""/>
    <s v=""/>
  </r>
  <r>
    <x v="11"/>
    <x v="11"/>
    <x v="6"/>
    <n v="20.95"/>
    <n v="1"/>
    <n v="20.95"/>
    <n v="14.82"/>
    <n v="1"/>
    <s v=""/>
  </r>
  <r>
    <x v="107"/>
    <x v="106"/>
    <x v="1"/>
    <n v="20.92"/>
    <n v="1"/>
    <n v="20.92"/>
    <n v="13.76"/>
    <n v="1"/>
    <s v=""/>
  </r>
  <r>
    <x v="17"/>
    <x v="17"/>
    <x v="1"/>
    <n v="20.87"/>
    <n v="1"/>
    <n v="20.87"/>
    <n v="17.07"/>
    <n v="1"/>
    <s v=""/>
  </r>
  <r>
    <x v="135"/>
    <x v="134"/>
    <x v="1"/>
    <n v="20.66"/>
    <n v="1"/>
    <n v="20.66"/>
    <n v="13.01"/>
    <n v="1"/>
    <s v=""/>
  </r>
  <r>
    <x v="127"/>
    <x v="126"/>
    <x v="5"/>
    <n v="20.62"/>
    <n v="2"/>
    <n v="10.31"/>
    <n v="4.16"/>
    <n v="1"/>
    <s v=""/>
  </r>
  <r>
    <x v="237"/>
    <x v="236"/>
    <x v="0"/>
    <n v="20.59"/>
    <n v="1"/>
    <n v="20.59"/>
    <n v="11.25"/>
    <n v="1"/>
    <s v=""/>
  </r>
  <r>
    <x v="179"/>
    <x v="178"/>
    <x v="2"/>
    <n v="20.58"/>
    <n v="1"/>
    <n v="20.58"/>
    <n v="14.28"/>
    <n v="1"/>
    <s v=""/>
  </r>
  <r>
    <x v="238"/>
    <x v="237"/>
    <x v="0"/>
    <n v="20.41"/>
    <n v="1"/>
    <s v=""/>
    <s v=""/>
    <s v=""/>
    <s v=""/>
  </r>
  <r>
    <x v="239"/>
    <x v="238"/>
    <x v="0"/>
    <n v="19.690000000000001"/>
    <n v="1"/>
    <n v="19.690000000000001"/>
    <n v="14"/>
    <n v="1"/>
    <s v=""/>
  </r>
  <r>
    <x v="13"/>
    <x v="13"/>
    <x v="4"/>
    <n v="19.03"/>
    <n v="2"/>
    <n v="19.03"/>
    <n v="12.41"/>
    <n v="2"/>
    <s v=""/>
  </r>
  <r>
    <x v="161"/>
    <x v="160"/>
    <x v="3"/>
    <n v="18.399999999999999"/>
    <n v="1"/>
    <n v="18.399999999999999"/>
    <n v="12.4"/>
    <n v="1"/>
    <s v=""/>
  </r>
  <r>
    <x v="204"/>
    <x v="203"/>
    <x v="3"/>
    <n v="18.239999999999998"/>
    <n v="1"/>
    <n v="18.239999999999998"/>
    <n v="9.5"/>
    <n v="1"/>
    <s v=""/>
  </r>
  <r>
    <x v="240"/>
    <x v="239"/>
    <x v="3"/>
    <n v="18.239999999999998"/>
    <n v="1"/>
    <n v="18.239999999999998"/>
    <n v="9.76"/>
    <n v="1"/>
    <s v=""/>
  </r>
  <r>
    <x v="15"/>
    <x v="15"/>
    <x v="6"/>
    <n v="17.579999999999998"/>
    <n v="3"/>
    <n v="17.579999999999998"/>
    <n v="9.67"/>
    <n v="3"/>
    <s v=""/>
  </r>
  <r>
    <x v="106"/>
    <x v="105"/>
    <x v="1"/>
    <n v="17.399999999999999"/>
    <n v="3"/>
    <n v="17.399999999999999"/>
    <n v="7.89"/>
    <n v="3"/>
    <s v=""/>
  </r>
  <r>
    <x v="39"/>
    <x v="39"/>
    <x v="6"/>
    <n v="17.13"/>
    <n v="1"/>
    <n v="17.13"/>
    <n v="9.5"/>
    <n v="1"/>
    <s v=""/>
  </r>
  <r>
    <x v="69"/>
    <x v="69"/>
    <x v="6"/>
    <n v="17.100000000000001"/>
    <n v="1"/>
    <n v="17.100000000000001"/>
    <n v="14.55"/>
    <n v="1"/>
    <s v=""/>
  </r>
  <r>
    <x v="218"/>
    <x v="217"/>
    <x v="1"/>
    <n v="16.95"/>
    <n v="1"/>
    <n v="16.95"/>
    <n v="8.5"/>
    <n v="1"/>
    <s v=""/>
  </r>
  <r>
    <x v="134"/>
    <x v="133"/>
    <x v="1"/>
    <n v="16.72"/>
    <n v="2"/>
    <n v="16.72"/>
    <n v="9.3800000000000008"/>
    <n v="2"/>
    <s v=""/>
  </r>
  <r>
    <x v="218"/>
    <x v="217"/>
    <x v="3"/>
    <n v="16.66"/>
    <n v="1"/>
    <s v=""/>
    <s v=""/>
    <s v=""/>
    <s v=""/>
  </r>
  <r>
    <x v="47"/>
    <x v="47"/>
    <x v="1"/>
    <n v="16.64"/>
    <n v="2"/>
    <n v="16.64"/>
    <n v="12"/>
    <n v="2"/>
    <s v=""/>
  </r>
  <r>
    <x v="127"/>
    <x v="126"/>
    <x v="1"/>
    <n v="16.64"/>
    <n v="2"/>
    <n v="16.64"/>
    <n v="8.32"/>
    <n v="2"/>
    <s v=""/>
  </r>
  <r>
    <x v="205"/>
    <x v="204"/>
    <x v="3"/>
    <n v="16.579999999999998"/>
    <n v="1"/>
    <n v="16.579999999999998"/>
    <n v="12"/>
    <n v="1"/>
    <s v=""/>
  </r>
  <r>
    <x v="241"/>
    <x v="240"/>
    <x v="1"/>
    <n v="16.48"/>
    <n v="4"/>
    <n v="16.48"/>
    <n v="11.04"/>
    <n v="4"/>
    <s v=""/>
  </r>
  <r>
    <x v="142"/>
    <x v="141"/>
    <x v="5"/>
    <n v="16.45"/>
    <n v="1"/>
    <n v="16.45"/>
    <n v="10.07"/>
    <n v="1"/>
    <s v=""/>
  </r>
  <r>
    <x v="205"/>
    <x v="204"/>
    <x v="2"/>
    <n v="16.45"/>
    <n v="1"/>
    <n v="32.9"/>
    <n v="24"/>
    <n v="2"/>
    <s v=""/>
  </r>
  <r>
    <x v="182"/>
    <x v="181"/>
    <x v="2"/>
    <n v="16.36"/>
    <n v="2"/>
    <n v="16.36"/>
    <n v="10.9"/>
    <n v="2"/>
    <s v=""/>
  </r>
  <r>
    <x v="216"/>
    <x v="215"/>
    <x v="6"/>
    <n v="16.18"/>
    <n v="4"/>
    <n v="16.18"/>
    <n v="8.0299999999999994"/>
    <n v="4"/>
    <s v=""/>
  </r>
  <r>
    <x v="198"/>
    <x v="197"/>
    <x v="6"/>
    <n v="16.09"/>
    <n v="1"/>
    <n v="16.09"/>
    <n v="19.48"/>
    <n v="1"/>
    <s v=""/>
  </r>
  <r>
    <x v="21"/>
    <x v="21"/>
    <x v="4"/>
    <n v="15.46"/>
    <n v="1"/>
    <n v="15.46"/>
    <n v="15.88"/>
    <n v="1"/>
    <s v=""/>
  </r>
  <r>
    <x v="142"/>
    <x v="141"/>
    <x v="1"/>
    <n v="15.24"/>
    <n v="1"/>
    <n v="15.24"/>
    <n v="10.07"/>
    <n v="1"/>
    <s v=""/>
  </r>
  <r>
    <x v="161"/>
    <x v="160"/>
    <x v="1"/>
    <n v="14.85"/>
    <n v="1"/>
    <n v="14.85"/>
    <n v="12.4"/>
    <n v="1"/>
    <n v="1"/>
  </r>
  <r>
    <x v="180"/>
    <x v="179"/>
    <x v="2"/>
    <n v="14.64"/>
    <n v="3"/>
    <n v="14.64"/>
    <n v="8.3000000000000007"/>
    <n v="3"/>
    <s v=""/>
  </r>
  <r>
    <x v="239"/>
    <x v="238"/>
    <x v="3"/>
    <n v="14.49"/>
    <n v="1"/>
    <n v="14.49"/>
    <n v="15.5"/>
    <n v="1"/>
    <s v=""/>
  </r>
  <r>
    <x v="242"/>
    <x v="241"/>
    <x v="5"/>
    <n v="13.76"/>
    <n v="1"/>
    <n v="13.76"/>
    <n v="7"/>
    <n v="1"/>
    <s v=""/>
  </r>
  <r>
    <x v="243"/>
    <x v="242"/>
    <x v="2"/>
    <n v="13.06"/>
    <n v="1"/>
    <s v=""/>
    <s v=""/>
    <s v=""/>
    <s v=""/>
  </r>
  <r>
    <x v="101"/>
    <x v="100"/>
    <x v="2"/>
    <n v="12.82"/>
    <n v="1"/>
    <n v="12.82"/>
    <n v="5.51"/>
    <n v="1"/>
    <s v=""/>
  </r>
  <r>
    <x v="0"/>
    <x v="0"/>
    <x v="6"/>
    <n v="12.8"/>
    <n v="1"/>
    <n v="12.8"/>
    <n v="6.17"/>
    <n v="1"/>
    <s v=""/>
  </r>
  <r>
    <x v="244"/>
    <x v="243"/>
    <x v="2"/>
    <n v="12.65"/>
    <n v="1"/>
    <n v="12.65"/>
    <n v="19"/>
    <n v="1"/>
    <s v=""/>
  </r>
  <r>
    <x v="148"/>
    <x v="147"/>
    <x v="1"/>
    <n v="12.65"/>
    <n v="1"/>
    <n v="12.65"/>
    <n v="17.82"/>
    <n v="1"/>
    <n v="1"/>
  </r>
  <r>
    <x v="149"/>
    <x v="148"/>
    <x v="1"/>
    <n v="12.61"/>
    <n v="1"/>
    <n v="12.61"/>
    <n v="3.42"/>
    <n v="1"/>
    <s v=""/>
  </r>
  <r>
    <x v="184"/>
    <x v="183"/>
    <x v="1"/>
    <n v="12.52"/>
    <n v="1"/>
    <n v="12.52"/>
    <n v="6.95"/>
    <n v="1"/>
    <s v=""/>
  </r>
  <r>
    <x v="133"/>
    <x v="132"/>
    <x v="3"/>
    <n v="12.42"/>
    <n v="1"/>
    <n v="12.42"/>
    <n v="5.51"/>
    <n v="1"/>
    <n v="1"/>
  </r>
  <r>
    <x v="245"/>
    <x v="244"/>
    <x v="4"/>
    <n v="12.4"/>
    <n v="1"/>
    <s v=""/>
    <s v=""/>
    <s v=""/>
    <s v=""/>
  </r>
  <r>
    <x v="126"/>
    <x v="125"/>
    <x v="1"/>
    <n v="12.36"/>
    <n v="1"/>
    <n v="12.36"/>
    <n v="6.08"/>
    <n v="1"/>
    <s v=""/>
  </r>
  <r>
    <x v="242"/>
    <x v="241"/>
    <x v="2"/>
    <n v="12.31"/>
    <n v="1"/>
    <n v="12.31"/>
    <n v="7"/>
    <n v="1"/>
    <s v=""/>
  </r>
  <r>
    <x v="246"/>
    <x v="245"/>
    <x v="3"/>
    <n v="11.83"/>
    <n v="1"/>
    <n v="11.83"/>
    <n v="9.9"/>
    <n v="1"/>
    <s v=""/>
  </r>
  <r>
    <x v="247"/>
    <x v="246"/>
    <x v="0"/>
    <n v="11.82"/>
    <n v="1"/>
    <n v="11.82"/>
    <n v="11.38"/>
    <n v="1"/>
    <s v=""/>
  </r>
  <r>
    <x v="1"/>
    <x v="1"/>
    <x v="5"/>
    <n v="11.78"/>
    <n v="1"/>
    <s v=""/>
    <s v=""/>
    <s v=""/>
    <s v=""/>
  </r>
  <r>
    <x v="120"/>
    <x v="119"/>
    <x v="6"/>
    <n v="11.61"/>
    <n v="2"/>
    <n v="11.61"/>
    <n v="6.93"/>
    <n v="2"/>
    <s v=""/>
  </r>
  <r>
    <x v="248"/>
    <x v="247"/>
    <x v="1"/>
    <n v="11.5"/>
    <n v="1"/>
    <n v="11.5"/>
    <n v="13.76"/>
    <n v="1"/>
    <n v="1"/>
  </r>
  <r>
    <x v="102"/>
    <x v="101"/>
    <x v="3"/>
    <n v="11.5"/>
    <n v="2"/>
    <n v="11.5"/>
    <n v="6.64"/>
    <n v="2"/>
    <s v=""/>
  </r>
  <r>
    <x v="248"/>
    <x v="247"/>
    <x v="2"/>
    <n v="11.5"/>
    <n v="1"/>
    <n v="11.5"/>
    <n v="10.32"/>
    <n v="1"/>
    <s v=""/>
  </r>
  <r>
    <x v="180"/>
    <x v="179"/>
    <x v="3"/>
    <n v="11.5"/>
    <n v="2"/>
    <n v="11.5"/>
    <n v="7"/>
    <n v="2"/>
    <s v=""/>
  </r>
  <r>
    <x v="49"/>
    <x v="49"/>
    <x v="5"/>
    <n v="11.49"/>
    <n v="1"/>
    <n v="11.49"/>
    <n v="9.07"/>
    <n v="1"/>
    <s v=""/>
  </r>
  <r>
    <x v="101"/>
    <x v="100"/>
    <x v="3"/>
    <n v="11.37"/>
    <n v="1"/>
    <n v="11.37"/>
    <n v="5.51"/>
    <n v="1"/>
    <s v=""/>
  </r>
  <r>
    <x v="210"/>
    <x v="209"/>
    <x v="3"/>
    <n v="11.34"/>
    <n v="2"/>
    <n v="11.34"/>
    <n v="2.65"/>
    <n v="2"/>
    <s v=""/>
  </r>
  <r>
    <x v="248"/>
    <x v="247"/>
    <x v="3"/>
    <n v="11.17"/>
    <n v="1"/>
    <n v="11.17"/>
    <n v="10.32"/>
    <n v="1"/>
    <s v=""/>
  </r>
  <r>
    <x v="242"/>
    <x v="241"/>
    <x v="3"/>
    <n v="11.02"/>
    <n v="1"/>
    <n v="11.02"/>
    <n v="7"/>
    <n v="1"/>
    <s v=""/>
  </r>
  <r>
    <x v="248"/>
    <x v="247"/>
    <x v="0"/>
    <n v="10.83"/>
    <n v="1"/>
    <n v="10.83"/>
    <n v="10.32"/>
    <n v="1"/>
    <s v=""/>
  </r>
  <r>
    <x v="249"/>
    <x v="248"/>
    <x v="0"/>
    <n v="10.57"/>
    <n v="1"/>
    <n v="10.57"/>
    <n v="8.5"/>
    <n v="1"/>
    <s v=""/>
  </r>
  <r>
    <x v="138"/>
    <x v="137"/>
    <x v="2"/>
    <n v="10.55"/>
    <n v="1"/>
    <n v="10.55"/>
    <n v="3.92"/>
    <n v="1"/>
    <s v=""/>
  </r>
  <r>
    <x v="6"/>
    <x v="6"/>
    <x v="6"/>
    <n v="9.92"/>
    <n v="1"/>
    <n v="9.92"/>
    <n v="5.52"/>
    <n v="1"/>
    <s v=""/>
  </r>
  <r>
    <x v="77"/>
    <x v="77"/>
    <x v="2"/>
    <n v="9"/>
    <n v="1"/>
    <n v="9"/>
    <n v="3.8"/>
    <n v="1"/>
    <s v=""/>
  </r>
  <r>
    <x v="250"/>
    <x v="249"/>
    <x v="1"/>
    <n v="8.32"/>
    <n v="1"/>
    <s v=""/>
    <s v=""/>
    <s v=""/>
    <s v=""/>
  </r>
  <r>
    <x v="80"/>
    <x v="80"/>
    <x v="3"/>
    <n v="8.25"/>
    <n v="1"/>
    <n v="8.25"/>
    <n v="4.13"/>
    <n v="1"/>
    <s v=""/>
  </r>
  <r>
    <x v="251"/>
    <x v="250"/>
    <x v="2"/>
    <n v="7.86"/>
    <n v="1"/>
    <n v="7.86"/>
    <n v="16"/>
    <n v="1"/>
    <s v=""/>
  </r>
  <r>
    <x v="68"/>
    <x v="68"/>
    <x v="6"/>
    <n v="7.66"/>
    <n v="1"/>
    <n v="7.66"/>
    <n v="4.18"/>
    <n v="1"/>
    <s v=""/>
  </r>
  <r>
    <x v="209"/>
    <x v="208"/>
    <x v="0"/>
    <n v="6.89"/>
    <n v="1"/>
    <n v="6.89"/>
    <n v="5.32"/>
    <n v="1"/>
    <s v=""/>
  </r>
  <r>
    <x v="15"/>
    <x v="15"/>
    <x v="1"/>
    <n v="5.8"/>
    <n v="1"/>
    <n v="5.8"/>
    <n v="3.26"/>
    <n v="1"/>
    <s v=""/>
  </r>
  <r>
    <x v="120"/>
    <x v="119"/>
    <x v="1"/>
    <n v="5.8"/>
    <n v="1"/>
    <n v="5.8"/>
    <n v="3.01"/>
    <n v="1"/>
    <s v=""/>
  </r>
  <r>
    <x v="180"/>
    <x v="179"/>
    <x v="1"/>
    <n v="5.8"/>
    <n v="1"/>
    <n v="5.8"/>
    <n v="3.32"/>
    <n v="1"/>
    <s v=""/>
  </r>
  <r>
    <x v="106"/>
    <x v="105"/>
    <x v="3"/>
    <n v="5.75"/>
    <n v="1"/>
    <n v="5.75"/>
    <n v="2.63"/>
    <n v="1"/>
    <s v=""/>
  </r>
  <r>
    <x v="15"/>
    <x v="15"/>
    <x v="3"/>
    <n v="5.75"/>
    <n v="1"/>
    <n v="5.75"/>
    <n v="3.26"/>
    <n v="1"/>
    <s v=""/>
  </r>
  <r>
    <x v="120"/>
    <x v="119"/>
    <x v="3"/>
    <n v="5.75"/>
    <n v="1"/>
    <n v="5.75"/>
    <n v="3.5"/>
    <n v="1"/>
    <n v="1"/>
  </r>
  <r>
    <x v="106"/>
    <x v="105"/>
    <x v="5"/>
    <n v="5.7"/>
    <n v="1"/>
    <n v="5.7"/>
    <n v="2.63"/>
    <n v="1"/>
    <s v=""/>
  </r>
  <r>
    <x v="252"/>
    <x v="251"/>
    <x v="1"/>
    <n v="5.54"/>
    <n v="1"/>
    <n v="5.54"/>
    <n v="1.85"/>
    <n v="1"/>
    <s v=""/>
  </r>
  <r>
    <x v="253"/>
    <x v="252"/>
    <x v="1"/>
    <n v="0"/>
    <n v="0"/>
    <s v=""/>
    <s v=""/>
    <s v=""/>
    <n v="2"/>
  </r>
  <r>
    <x v="35"/>
    <x v="35"/>
    <x v="1"/>
    <n v="0"/>
    <n v="0"/>
    <s v=""/>
    <s v=""/>
    <s v=""/>
    <n v="1"/>
  </r>
  <r>
    <x v="176"/>
    <x v="175"/>
    <x v="3"/>
    <n v="0"/>
    <n v="0"/>
    <s v=""/>
    <s v=""/>
    <s v=""/>
    <n v="1"/>
  </r>
  <r>
    <x v="195"/>
    <x v="194"/>
    <x v="3"/>
    <n v="0"/>
    <n v="0"/>
    <s v=""/>
    <s v=""/>
    <s v=""/>
    <s v=""/>
  </r>
  <r>
    <x v="254"/>
    <x v="253"/>
    <x v="4"/>
    <n v="0"/>
    <n v="0"/>
    <s v=""/>
    <s v=""/>
    <s v=""/>
    <s v=""/>
  </r>
  <r>
    <x v="86"/>
    <x v="86"/>
    <x v="5"/>
    <n v="0"/>
    <n v="0"/>
    <s v=""/>
    <s v=""/>
    <s v=""/>
    <n v="1"/>
  </r>
  <r>
    <x v="255"/>
    <x v="254"/>
    <x v="2"/>
    <n v="0"/>
    <n v="0"/>
    <s v=""/>
    <s v=""/>
    <s v=""/>
    <s v=""/>
  </r>
  <r>
    <x v="256"/>
    <x v="255"/>
    <x v="4"/>
    <n v="0"/>
    <n v="0"/>
    <s v=""/>
    <s v=""/>
    <s v=""/>
    <s v=""/>
  </r>
  <r>
    <x v="192"/>
    <x v="191"/>
    <x v="1"/>
    <n v="0"/>
    <n v="0"/>
    <s v=""/>
    <s v=""/>
    <s v=""/>
    <s v=""/>
  </r>
  <r>
    <x v="257"/>
    <x v="256"/>
    <x v="0"/>
    <n v="0"/>
    <n v="0"/>
    <s v=""/>
    <s v=""/>
    <s v=""/>
    <s v=""/>
  </r>
  <r>
    <x v="155"/>
    <x v="154"/>
    <x v="2"/>
    <n v="0"/>
    <n v="0"/>
    <s v=""/>
    <s v=""/>
    <s v=""/>
    <n v="1"/>
  </r>
  <r>
    <x v="258"/>
    <x v="257"/>
    <x v="3"/>
    <n v="0"/>
    <n v="0"/>
    <s v=""/>
    <s v=""/>
    <s v=""/>
    <s v=""/>
  </r>
  <r>
    <x v="131"/>
    <x v="130"/>
    <x v="3"/>
    <n v="0"/>
    <n v="0"/>
    <s v=""/>
    <s v=""/>
    <s v=""/>
    <s v=""/>
  </r>
  <r>
    <x v="226"/>
    <x v="225"/>
    <x v="2"/>
    <n v="0"/>
    <n v="0"/>
    <s v=""/>
    <s v=""/>
    <s v=""/>
    <n v="1"/>
  </r>
  <r>
    <x v="259"/>
    <x v="258"/>
    <x v="0"/>
    <n v="0"/>
    <n v="0"/>
    <s v=""/>
    <s v=""/>
    <s v=""/>
    <s v=""/>
  </r>
  <r>
    <x v="55"/>
    <x v="55"/>
    <x v="6"/>
    <n v="0"/>
    <n v="0"/>
    <s v=""/>
    <s v=""/>
    <s v=""/>
    <n v="1"/>
  </r>
  <r>
    <x v="260"/>
    <x v="259"/>
    <x v="0"/>
    <n v="0"/>
    <n v="0"/>
    <s v=""/>
    <s v=""/>
    <s v=""/>
    <s v=""/>
  </r>
  <r>
    <x v="167"/>
    <x v="166"/>
    <x v="3"/>
    <n v="0"/>
    <n v="0"/>
    <n v="9.1999999999999993"/>
    <n v="2.79"/>
    <n v="1"/>
    <s v=""/>
  </r>
  <r>
    <x v="140"/>
    <x v="139"/>
    <x v="4"/>
    <n v="0"/>
    <n v="0"/>
    <s v=""/>
    <s v=""/>
    <s v=""/>
    <s v=""/>
  </r>
  <r>
    <x v="261"/>
    <x v="260"/>
    <x v="2"/>
    <n v="0"/>
    <n v="0"/>
    <s v=""/>
    <s v=""/>
    <s v=""/>
    <s v=""/>
  </r>
  <r>
    <x v="139"/>
    <x v="138"/>
    <x v="6"/>
    <n v="0"/>
    <n v="0"/>
    <s v=""/>
    <s v=""/>
    <s v=""/>
    <s v=""/>
  </r>
  <r>
    <x v="90"/>
    <x v="90"/>
    <x v="4"/>
    <n v="0"/>
    <n v="0"/>
    <n v="43.76"/>
    <n v="33.42"/>
    <n v="1"/>
    <s v=""/>
  </r>
  <r>
    <x v="262"/>
    <x v="261"/>
    <x v="2"/>
    <n v="0"/>
    <n v="0"/>
    <s v=""/>
    <s v=""/>
    <s v=""/>
    <s v=""/>
  </r>
  <r>
    <x v="40"/>
    <x v="40"/>
    <x v="4"/>
    <n v="0"/>
    <n v="0"/>
    <s v=""/>
    <s v=""/>
    <s v=""/>
    <s v=""/>
  </r>
  <r>
    <x v="24"/>
    <x v="24"/>
    <x v="3"/>
    <n v="0"/>
    <n v="0"/>
    <s v=""/>
    <s v=""/>
    <s v=""/>
    <n v="1"/>
  </r>
  <r>
    <x v="263"/>
    <x v="262"/>
    <x v="0"/>
    <n v="0"/>
    <n v="0"/>
    <s v=""/>
    <s v=""/>
    <s v=""/>
    <s v=""/>
  </r>
  <r>
    <x v="125"/>
    <x v="124"/>
    <x v="3"/>
    <n v="0"/>
    <n v="0"/>
    <s v=""/>
    <s v=""/>
    <s v=""/>
    <n v="1"/>
  </r>
  <r>
    <x v="264"/>
    <x v="263"/>
    <x v="1"/>
    <n v="0"/>
    <n v="0"/>
    <s v=""/>
    <s v=""/>
    <s v=""/>
    <s v=""/>
  </r>
  <r>
    <x v="50"/>
    <x v="50"/>
    <x v="4"/>
    <n v="0"/>
    <n v="0"/>
    <s v=""/>
    <s v=""/>
    <s v=""/>
    <s v=""/>
  </r>
  <r>
    <x v="265"/>
    <x v="264"/>
    <x v="0"/>
    <n v="0"/>
    <n v="0"/>
    <s v=""/>
    <s v=""/>
    <s v=""/>
    <n v="2"/>
  </r>
  <r>
    <x v="266"/>
    <x v="265"/>
    <x v="3"/>
    <n v="0"/>
    <n v="0"/>
    <s v=""/>
    <s v=""/>
    <s v=""/>
    <n v="2"/>
  </r>
  <r>
    <x v="98"/>
    <x v="97"/>
    <x v="2"/>
    <n v="0"/>
    <n v="0"/>
    <n v="12.31"/>
    <n v="7.36"/>
    <n v="1"/>
    <s v=""/>
  </r>
  <r>
    <x v="250"/>
    <x v="249"/>
    <x v="3"/>
    <n v="0"/>
    <n v="0"/>
    <s v=""/>
    <s v=""/>
    <s v=""/>
    <s v=""/>
  </r>
  <r>
    <x v="130"/>
    <x v="129"/>
    <x v="1"/>
    <n v="0"/>
    <n v="0"/>
    <s v=""/>
    <s v=""/>
    <s v=""/>
    <s v=""/>
  </r>
  <r>
    <x v="106"/>
    <x v="105"/>
    <x v="6"/>
    <n v="0"/>
    <n v="0"/>
    <n v="5.74"/>
    <n v="2.5"/>
    <n v="1"/>
    <s v=""/>
  </r>
  <r>
    <x v="251"/>
    <x v="250"/>
    <x v="1"/>
    <n v="0"/>
    <n v="0"/>
    <n v="16.559999999999999"/>
    <n v="96"/>
    <n v="6"/>
    <n v="7"/>
  </r>
  <r>
    <x v="261"/>
    <x v="260"/>
    <x v="5"/>
    <n v="0"/>
    <n v="0"/>
    <s v=""/>
    <s v=""/>
    <s v=""/>
    <s v=""/>
  </r>
  <r>
    <x v="267"/>
    <x v="266"/>
    <x v="0"/>
    <n v="0"/>
    <n v="0"/>
    <n v="33.9"/>
    <n v="29.25"/>
    <n v="1"/>
    <s v=""/>
  </r>
  <r>
    <x v="112"/>
    <x v="111"/>
    <x v="4"/>
    <n v="0"/>
    <n v="0"/>
    <s v=""/>
    <s v=""/>
    <s v=""/>
    <n v="2"/>
  </r>
  <r>
    <x v="8"/>
    <x v="8"/>
    <x v="1"/>
    <n v="0"/>
    <n v="0"/>
    <s v=""/>
    <s v=""/>
    <s v=""/>
    <n v="2"/>
  </r>
  <r>
    <x v="134"/>
    <x v="133"/>
    <x v="2"/>
    <n v="0"/>
    <n v="0"/>
    <s v=""/>
    <s v=""/>
    <s v=""/>
    <s v=""/>
  </r>
  <r>
    <x v="268"/>
    <x v="267"/>
    <x v="1"/>
    <n v="0"/>
    <n v="0"/>
    <s v=""/>
    <s v=""/>
    <s v=""/>
    <s v=""/>
  </r>
  <r>
    <x v="269"/>
    <x v="268"/>
    <x v="5"/>
    <n v="0"/>
    <n v="0"/>
    <s v=""/>
    <s v=""/>
    <s v=""/>
    <s v=""/>
  </r>
  <r>
    <x v="165"/>
    <x v="164"/>
    <x v="3"/>
    <n v="0"/>
    <n v="0"/>
    <s v=""/>
    <s v=""/>
    <s v=""/>
    <s v=""/>
  </r>
  <r>
    <x v="81"/>
    <x v="81"/>
    <x v="4"/>
    <n v="0"/>
    <n v="0"/>
    <s v=""/>
    <s v=""/>
    <s v=""/>
    <n v="1"/>
  </r>
  <r>
    <x v="270"/>
    <x v="269"/>
    <x v="2"/>
    <n v="0"/>
    <n v="0"/>
    <s v=""/>
    <s v=""/>
    <s v=""/>
    <s v=""/>
  </r>
  <r>
    <x v="271"/>
    <x v="270"/>
    <x v="0"/>
    <n v="0"/>
    <n v="0"/>
    <s v=""/>
    <s v=""/>
    <s v=""/>
    <s v=""/>
  </r>
  <r>
    <x v="272"/>
    <x v="271"/>
    <x v="0"/>
    <n v="0"/>
    <n v="0"/>
    <s v=""/>
    <s v=""/>
    <s v=""/>
    <s v=""/>
  </r>
  <r>
    <x v="273"/>
    <x v="272"/>
    <x v="2"/>
    <n v="0"/>
    <n v="0"/>
    <n v="76.84"/>
    <n v="51.94"/>
    <n v="1"/>
    <s v=""/>
  </r>
  <r>
    <x v="62"/>
    <x v="62"/>
    <x v="1"/>
    <n v="0"/>
    <n v="0"/>
    <s v=""/>
    <s v=""/>
    <s v=""/>
    <n v="1"/>
  </r>
  <r>
    <x v="274"/>
    <x v="273"/>
    <x v="2"/>
    <n v="0"/>
    <n v="0"/>
    <s v=""/>
    <s v=""/>
    <s v=""/>
    <s v=""/>
  </r>
  <r>
    <x v="81"/>
    <x v="81"/>
    <x v="3"/>
    <n v="0"/>
    <n v="0"/>
    <s v=""/>
    <s v=""/>
    <s v=""/>
    <s v=""/>
  </r>
  <r>
    <x v="275"/>
    <x v="274"/>
    <x v="0"/>
    <n v="0"/>
    <n v="0"/>
    <s v=""/>
    <s v=""/>
    <s v=""/>
    <n v="2"/>
  </r>
  <r>
    <x v="276"/>
    <x v="275"/>
    <x v="0"/>
    <n v="0"/>
    <n v="0"/>
    <s v=""/>
    <s v=""/>
    <s v=""/>
    <s v=""/>
  </r>
  <r>
    <x v="162"/>
    <x v="161"/>
    <x v="4"/>
    <n v="0"/>
    <n v="0"/>
    <s v=""/>
    <s v=""/>
    <s v=""/>
    <s v=""/>
  </r>
  <r>
    <x v="277"/>
    <x v="276"/>
    <x v="0"/>
    <n v="0"/>
    <n v="0"/>
    <s v=""/>
    <s v=""/>
    <s v=""/>
    <s v=""/>
  </r>
  <r>
    <x v="84"/>
    <x v="84"/>
    <x v="1"/>
    <n v="0"/>
    <n v="0"/>
    <s v=""/>
    <s v=""/>
    <s v=""/>
    <n v="1"/>
  </r>
  <r>
    <x v="70"/>
    <x v="70"/>
    <x v="4"/>
    <n v="0"/>
    <n v="0"/>
    <s v=""/>
    <s v=""/>
    <s v=""/>
    <s v=""/>
  </r>
  <r>
    <x v="176"/>
    <x v="175"/>
    <x v="2"/>
    <n v="0"/>
    <n v="0"/>
    <s v=""/>
    <s v=""/>
    <s v=""/>
    <n v="1"/>
  </r>
  <r>
    <x v="184"/>
    <x v="183"/>
    <x v="2"/>
    <n v="0"/>
    <n v="0"/>
    <s v=""/>
    <s v=""/>
    <s v=""/>
    <n v="1"/>
  </r>
  <r>
    <x v="41"/>
    <x v="41"/>
    <x v="6"/>
    <n v="0"/>
    <n v="0"/>
    <n v="14.02"/>
    <n v="9.91"/>
    <n v="1"/>
    <s v=""/>
  </r>
  <r>
    <x v="261"/>
    <x v="260"/>
    <x v="0"/>
    <n v="0"/>
    <n v="0"/>
    <s v=""/>
    <s v=""/>
    <s v=""/>
    <s v=""/>
  </r>
  <r>
    <x v="162"/>
    <x v="161"/>
    <x v="5"/>
    <n v="0"/>
    <n v="0"/>
    <s v=""/>
    <s v=""/>
    <s v=""/>
    <n v="1"/>
  </r>
  <r>
    <x v="278"/>
    <x v="277"/>
    <x v="2"/>
    <n v="0"/>
    <n v="0"/>
    <s v=""/>
    <s v=""/>
    <s v=""/>
    <s v=""/>
  </r>
  <r>
    <x v="279"/>
    <x v="278"/>
    <x v="2"/>
    <n v="0"/>
    <n v="0"/>
    <s v=""/>
    <s v=""/>
    <s v=""/>
    <s v=""/>
  </r>
  <r>
    <x v="150"/>
    <x v="149"/>
    <x v="5"/>
    <n v="0"/>
    <n v="0"/>
    <s v=""/>
    <s v=""/>
    <s v=""/>
    <s v=""/>
  </r>
  <r>
    <x v="108"/>
    <x v="107"/>
    <x v="3"/>
    <n v="0"/>
    <n v="0"/>
    <s v=""/>
    <s v=""/>
    <s v=""/>
    <s v=""/>
  </r>
  <r>
    <x v="280"/>
    <x v="279"/>
    <x v="1"/>
    <n v="0"/>
    <n v="0"/>
    <s v=""/>
    <s v=""/>
    <s v=""/>
    <s v=""/>
  </r>
  <r>
    <x v="46"/>
    <x v="46"/>
    <x v="6"/>
    <n v="0"/>
    <n v="0"/>
    <s v=""/>
    <s v=""/>
    <s v=""/>
    <s v=""/>
  </r>
  <r>
    <x v="185"/>
    <x v="184"/>
    <x v="6"/>
    <n v="0"/>
    <n v="0"/>
    <s v=""/>
    <s v=""/>
    <s v=""/>
    <s v=""/>
  </r>
  <r>
    <x v="281"/>
    <x v="280"/>
    <x v="2"/>
    <n v="0"/>
    <n v="0"/>
    <s v=""/>
    <s v=""/>
    <s v=""/>
    <s v=""/>
  </r>
  <r>
    <x v="91"/>
    <x v="91"/>
    <x v="2"/>
    <n v="0"/>
    <n v="0"/>
    <s v=""/>
    <s v=""/>
    <s v=""/>
    <n v="1"/>
  </r>
  <r>
    <x v="282"/>
    <x v="281"/>
    <x v="1"/>
    <n v="0"/>
    <n v="0"/>
    <s v=""/>
    <s v=""/>
    <s v=""/>
    <s v=""/>
  </r>
  <r>
    <x v="283"/>
    <x v="282"/>
    <x v="0"/>
    <n v="0"/>
    <n v="0"/>
    <s v=""/>
    <s v=""/>
    <s v=""/>
    <n v="1"/>
  </r>
  <r>
    <x v="284"/>
    <x v="283"/>
    <x v="0"/>
    <n v="0"/>
    <n v="0"/>
    <s v=""/>
    <s v=""/>
    <s v=""/>
    <s v=""/>
  </r>
  <r>
    <x v="83"/>
    <x v="83"/>
    <x v="1"/>
    <n v="0"/>
    <n v="0"/>
    <s v=""/>
    <s v=""/>
    <s v=""/>
    <s v=""/>
  </r>
  <r>
    <x v="285"/>
    <x v="284"/>
    <x v="3"/>
    <n v="-10.75"/>
    <n v="-1"/>
    <s v=""/>
    <s v=""/>
    <s v=""/>
    <s v=""/>
  </r>
  <r>
    <x v="272"/>
    <x v="271"/>
    <x v="1"/>
    <n v="-10.84"/>
    <n v="-1"/>
    <s v=""/>
    <s v=""/>
    <s v=""/>
    <s v=""/>
  </r>
  <r>
    <x v="286"/>
    <x v="285"/>
    <x v="0"/>
    <n v="-11.39"/>
    <n v="-1"/>
    <s v=""/>
    <s v=""/>
    <s v=""/>
    <s v=""/>
  </r>
  <r>
    <x v="287"/>
    <x v="286"/>
    <x v="0"/>
    <n v="-14.75"/>
    <n v="-1"/>
    <s v=""/>
    <s v=""/>
    <s v=""/>
    <s v=""/>
  </r>
  <r>
    <x v="288"/>
    <x v="287"/>
    <x v="0"/>
    <n v="-16.309999999999999"/>
    <n v="-1"/>
    <s v=""/>
    <s v=""/>
    <s v=""/>
    <n v="1"/>
  </r>
  <r>
    <x v="289"/>
    <x v="288"/>
    <x v="3"/>
    <n v="-16.5"/>
    <n v="-2"/>
    <s v=""/>
    <s v=""/>
    <s v=""/>
    <s v=""/>
  </r>
  <r>
    <x v="290"/>
    <x v="289"/>
    <x v="1"/>
    <n v="-16.97"/>
    <n v="-1"/>
    <s v=""/>
    <s v=""/>
    <s v=""/>
    <s v=""/>
  </r>
  <r>
    <x v="12"/>
    <x v="12"/>
    <x v="1"/>
    <n v="-41.18"/>
    <n v="-1"/>
    <s v=""/>
    <s v=""/>
    <s v=""/>
    <s v=""/>
  </r>
  <r>
    <x v="18"/>
    <x v="18"/>
    <x v="6"/>
    <n v="-41.8"/>
    <n v="-1"/>
    <s v=""/>
    <s v=""/>
    <s v=""/>
    <s v=""/>
  </r>
  <r>
    <x v="62"/>
    <x v="62"/>
    <x v="3"/>
    <n v="-44.52"/>
    <n v="-6"/>
    <n v="29.68"/>
    <n v="18.48"/>
    <n v="4"/>
    <s v=""/>
  </r>
  <r>
    <x v="291"/>
    <x v="290"/>
    <x v="4"/>
    <n v="-55.37"/>
    <n v="-3"/>
    <n v="18.46"/>
    <n v="6.97"/>
    <n v="1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9">
  <r>
    <x v="0"/>
    <x v="0"/>
    <x v="0"/>
    <n v="9074.8700000000008"/>
    <n v="558"/>
    <n v="8862.85"/>
    <n v="6568.29"/>
    <n v="545"/>
    <n v="85"/>
  </r>
  <r>
    <x v="1"/>
    <x v="1"/>
    <x v="1"/>
    <n v="8964.8799999999992"/>
    <n v="634"/>
    <n v="8911.52"/>
    <n v="5696.78"/>
    <n v="626"/>
    <n v="45"/>
  </r>
  <r>
    <x v="1"/>
    <x v="1"/>
    <x v="0"/>
    <n v="6983.03"/>
    <n v="486"/>
    <n v="6700.53"/>
    <n v="4517.9799999999996"/>
    <n v="466"/>
    <n v="15"/>
  </r>
  <r>
    <x v="2"/>
    <x v="2"/>
    <x v="0"/>
    <n v="5723.45"/>
    <n v="544"/>
    <n v="5533.77"/>
    <n v="3168"/>
    <n v="528"/>
    <n v="28"/>
  </r>
  <r>
    <x v="3"/>
    <x v="3"/>
    <x v="1"/>
    <n v="5380.42"/>
    <n v="431"/>
    <n v="5105.68"/>
    <n v="3225.2"/>
    <n v="409"/>
    <n v="31"/>
  </r>
  <r>
    <x v="4"/>
    <x v="4"/>
    <x v="0"/>
    <n v="5284.44"/>
    <n v="324"/>
    <n v="4990.8599999999997"/>
    <n v="4284"/>
    <n v="306"/>
    <n v="24"/>
  </r>
  <r>
    <x v="5"/>
    <x v="5"/>
    <x v="0"/>
    <n v="5023.29"/>
    <n v="275"/>
    <n v="4969.4399999999996"/>
    <n v="3229"/>
    <n v="272"/>
    <s v=""/>
  </r>
  <r>
    <x v="6"/>
    <x v="6"/>
    <x v="0"/>
    <n v="5001.34"/>
    <n v="57"/>
    <n v="5079.9399999999996"/>
    <n v="3342.7"/>
    <n v="58"/>
    <n v="16"/>
  </r>
  <r>
    <x v="7"/>
    <x v="7"/>
    <x v="2"/>
    <n v="3652.58"/>
    <n v="253"/>
    <n v="3770.46"/>
    <n v="2744.2"/>
    <n v="262"/>
    <n v="23"/>
  </r>
  <r>
    <x v="8"/>
    <x v="8"/>
    <x v="0"/>
    <n v="3399.3"/>
    <n v="168"/>
    <n v="3460.53"/>
    <n v="2565"/>
    <n v="171"/>
    <n v="34"/>
  </r>
  <r>
    <x v="9"/>
    <x v="9"/>
    <x v="2"/>
    <n v="2885.72"/>
    <n v="203"/>
    <n v="2835.81"/>
    <n v="1745.72"/>
    <n v="200"/>
    <n v="20"/>
  </r>
  <r>
    <x v="10"/>
    <x v="10"/>
    <x v="2"/>
    <n v="2760.2"/>
    <n v="185"/>
    <n v="2715.44"/>
    <n v="1833.8"/>
    <n v="182"/>
    <n v="15"/>
  </r>
  <r>
    <x v="11"/>
    <x v="11"/>
    <x v="0"/>
    <n v="2651.93"/>
    <n v="191"/>
    <n v="2734.11"/>
    <n v="1960.2"/>
    <n v="198"/>
    <n v="15"/>
  </r>
  <r>
    <x v="12"/>
    <x v="12"/>
    <x v="0"/>
    <n v="2591.61"/>
    <n v="105"/>
    <n v="2542.59"/>
    <n v="1854"/>
    <n v="103"/>
    <n v="1"/>
  </r>
  <r>
    <x v="13"/>
    <x v="13"/>
    <x v="0"/>
    <n v="2397.59"/>
    <n v="222"/>
    <n v="2343.81"/>
    <n v="1140.1199999999999"/>
    <n v="217"/>
    <n v="30"/>
  </r>
  <r>
    <x v="14"/>
    <x v="14"/>
    <x v="0"/>
    <n v="2234.4699999999998"/>
    <n v="137"/>
    <n v="2201.85"/>
    <n v="1890"/>
    <n v="135"/>
    <n v="5"/>
  </r>
  <r>
    <x v="15"/>
    <x v="15"/>
    <x v="0"/>
    <n v="2224.23"/>
    <n v="453"/>
    <n v="2199.6799999999998"/>
    <n v="950.98"/>
    <n v="448"/>
    <n v="1"/>
  </r>
  <r>
    <x v="16"/>
    <x v="16"/>
    <x v="0"/>
    <n v="1977.32"/>
    <n v="162"/>
    <n v="1989.53"/>
    <n v="1371.9"/>
    <n v="163"/>
    <n v="13"/>
  </r>
  <r>
    <x v="17"/>
    <x v="17"/>
    <x v="1"/>
    <n v="1957.21"/>
    <n v="42"/>
    <n v="1957.21"/>
    <n v="1438.29"/>
    <n v="42"/>
    <n v="21"/>
  </r>
  <r>
    <x v="18"/>
    <x v="18"/>
    <x v="1"/>
    <n v="1761.85"/>
    <n v="42"/>
    <n v="1551.41"/>
    <n v="1332"/>
    <n v="37"/>
    <n v="8"/>
  </r>
  <r>
    <x v="19"/>
    <x v="19"/>
    <x v="0"/>
    <n v="1652.69"/>
    <n v="51"/>
    <n v="1748.54"/>
    <n v="999"/>
    <n v="54"/>
    <n v="22"/>
  </r>
  <r>
    <x v="20"/>
    <x v="20"/>
    <x v="0"/>
    <n v="1631"/>
    <n v="100"/>
    <n v="1679.93"/>
    <n v="1448.18"/>
    <n v="103"/>
    <n v="9"/>
  </r>
  <r>
    <x v="21"/>
    <x v="21"/>
    <x v="0"/>
    <n v="1549.45"/>
    <n v="95"/>
    <n v="1206.94"/>
    <n v="1036"/>
    <n v="74"/>
    <n v="1"/>
  </r>
  <r>
    <x v="22"/>
    <x v="22"/>
    <x v="2"/>
    <n v="1542.93"/>
    <n v="54"/>
    <n v="1514.68"/>
    <n v="1106.5999999999999"/>
    <n v="53"/>
    <n v="7"/>
  </r>
  <r>
    <x v="23"/>
    <x v="23"/>
    <x v="0"/>
    <n v="1525.2"/>
    <n v="34"/>
    <n v="1390.41"/>
    <n v="1116"/>
    <n v="31"/>
    <n v="12"/>
  </r>
  <r>
    <x v="24"/>
    <x v="24"/>
    <x v="0"/>
    <n v="1493.58"/>
    <n v="168"/>
    <n v="1507.33"/>
    <n v="930.9"/>
    <n v="169"/>
    <n v="12"/>
  </r>
  <r>
    <x v="0"/>
    <x v="0"/>
    <x v="2"/>
    <n v="1446.1"/>
    <n v="59"/>
    <n v="1348.4"/>
    <n v="544.72"/>
    <n v="54"/>
    <n v="144"/>
  </r>
  <r>
    <x v="25"/>
    <x v="25"/>
    <x v="3"/>
    <n v="1444.39"/>
    <n v="151"/>
    <n v="1371.17"/>
    <n v="770.8"/>
    <n v="144"/>
    <n v="10"/>
  </r>
  <r>
    <x v="13"/>
    <x v="13"/>
    <x v="2"/>
    <n v="1440.5"/>
    <n v="134"/>
    <n v="1397.5"/>
    <n v="707.42"/>
    <n v="130"/>
    <n v="3"/>
  </r>
  <r>
    <x v="26"/>
    <x v="26"/>
    <x v="1"/>
    <n v="1421.18"/>
    <n v="27"/>
    <n v="1366.04"/>
    <n v="1206.4000000000001"/>
    <n v="26"/>
    <n v="12"/>
  </r>
  <r>
    <x v="27"/>
    <x v="27"/>
    <x v="0"/>
    <n v="1395.95"/>
    <n v="49"/>
    <n v="1526.19"/>
    <n v="1219"/>
    <n v="53"/>
    <n v="31"/>
  </r>
  <r>
    <x v="7"/>
    <x v="7"/>
    <x v="0"/>
    <n v="1371.15"/>
    <n v="99"/>
    <n v="1343.45"/>
    <n v="921.9"/>
    <n v="97"/>
    <n v="21"/>
  </r>
  <r>
    <x v="28"/>
    <x v="28"/>
    <x v="0"/>
    <n v="1345.75"/>
    <n v="107"/>
    <n v="1492.27"/>
    <n v="1003.17"/>
    <n v="119"/>
    <n v="84"/>
  </r>
  <r>
    <x v="29"/>
    <x v="29"/>
    <x v="0"/>
    <n v="1342.61"/>
    <n v="85"/>
    <n v="1522.66"/>
    <n v="931"/>
    <n v="98"/>
    <n v="111"/>
  </r>
  <r>
    <x v="30"/>
    <x v="30"/>
    <x v="1"/>
    <n v="1317.4"/>
    <n v="42"/>
    <n v="1348.48"/>
    <n v="870.75"/>
    <n v="43"/>
    <n v="6"/>
  </r>
  <r>
    <x v="31"/>
    <x v="31"/>
    <x v="2"/>
    <n v="1312.02"/>
    <n v="197"/>
    <n v="1218.78"/>
    <n v="533.70000000000005"/>
    <n v="183"/>
    <n v="2"/>
  </r>
  <r>
    <x v="32"/>
    <x v="32"/>
    <x v="0"/>
    <n v="1274.2"/>
    <n v="92"/>
    <n v="1634.3"/>
    <n v="1239"/>
    <n v="118"/>
    <n v="3"/>
  </r>
  <r>
    <x v="3"/>
    <x v="3"/>
    <x v="2"/>
    <n v="1266.8399999999999"/>
    <n v="102"/>
    <n v="1254.42"/>
    <n v="796"/>
    <n v="101"/>
    <n v="8"/>
  </r>
  <r>
    <x v="17"/>
    <x v="17"/>
    <x v="2"/>
    <n v="1242.21"/>
    <n v="28"/>
    <n v="1242.21"/>
    <n v="930.24"/>
    <n v="28"/>
    <n v="2"/>
  </r>
  <r>
    <x v="33"/>
    <x v="33"/>
    <x v="0"/>
    <n v="1210"/>
    <n v="40"/>
    <n v="1300.75"/>
    <n v="1139.5"/>
    <n v="43"/>
    <n v="10"/>
  </r>
  <r>
    <x v="3"/>
    <x v="3"/>
    <x v="0"/>
    <n v="1179.03"/>
    <n v="84"/>
    <n v="1081.53"/>
    <n v="580.4"/>
    <n v="74"/>
    <n v="8"/>
  </r>
  <r>
    <x v="34"/>
    <x v="34"/>
    <x v="0"/>
    <n v="1136.27"/>
    <n v="14"/>
    <n v="1054.06"/>
    <n v="871.5"/>
    <n v="13"/>
    <n v="4"/>
  </r>
  <r>
    <x v="31"/>
    <x v="31"/>
    <x v="0"/>
    <n v="1134.1099999999999"/>
    <n v="199"/>
    <n v="1134.1099999999999"/>
    <n v="574.79999999999995"/>
    <n v="199"/>
    <n v="2"/>
  </r>
  <r>
    <x v="35"/>
    <x v="35"/>
    <x v="1"/>
    <n v="1126.8"/>
    <n v="90"/>
    <n v="1039.1600000000001"/>
    <n v="799.23"/>
    <n v="83"/>
    <n v="8"/>
  </r>
  <r>
    <x v="36"/>
    <x v="36"/>
    <x v="2"/>
    <n v="1116.1500000000001"/>
    <n v="35"/>
    <n v="1116.1500000000001"/>
    <n v="609"/>
    <n v="35"/>
    <n v="2"/>
  </r>
  <r>
    <x v="37"/>
    <x v="37"/>
    <x v="1"/>
    <n v="1115.92"/>
    <n v="58"/>
    <n v="1000.48"/>
    <n v="731.12"/>
    <n v="52"/>
    <n v="2"/>
  </r>
  <r>
    <x v="25"/>
    <x v="25"/>
    <x v="2"/>
    <n v="1104.9100000000001"/>
    <n v="108"/>
    <n v="1014.11"/>
    <n v="515.44000000000005"/>
    <n v="98"/>
    <n v="7"/>
  </r>
  <r>
    <x v="38"/>
    <x v="38"/>
    <x v="1"/>
    <n v="1099.2"/>
    <n v="18"/>
    <n v="1289.48"/>
    <n v="945"/>
    <n v="21"/>
    <n v="1"/>
  </r>
  <r>
    <x v="39"/>
    <x v="39"/>
    <x v="0"/>
    <n v="1096.6500000000001"/>
    <n v="99"/>
    <n v="1141.42"/>
    <n v="746.91"/>
    <n v="103"/>
    <n v="21"/>
  </r>
  <r>
    <x v="38"/>
    <x v="38"/>
    <x v="0"/>
    <n v="1088.7"/>
    <n v="19"/>
    <n v="1146"/>
    <n v="900"/>
    <n v="20"/>
    <n v="4"/>
  </r>
  <r>
    <x v="40"/>
    <x v="40"/>
    <x v="1"/>
    <n v="1085.57"/>
    <n v="21"/>
    <n v="1136.52"/>
    <n v="891"/>
    <n v="22"/>
    <n v="6"/>
  </r>
  <r>
    <x v="39"/>
    <x v="39"/>
    <x v="2"/>
    <n v="1030.8599999999999"/>
    <n v="83"/>
    <n v="981.18"/>
    <n v="601.30999999999995"/>
    <n v="79"/>
    <n v="21"/>
  </r>
  <r>
    <x v="13"/>
    <x v="13"/>
    <x v="3"/>
    <n v="1012.7"/>
    <n v="95"/>
    <n v="1044.68"/>
    <n v="503.44"/>
    <n v="98"/>
    <n v="4"/>
  </r>
  <r>
    <x v="29"/>
    <x v="29"/>
    <x v="1"/>
    <n v="993.84"/>
    <n v="68"/>
    <n v="965.44"/>
    <n v="627"/>
    <n v="66"/>
    <n v="11"/>
  </r>
  <r>
    <x v="41"/>
    <x v="41"/>
    <x v="0"/>
    <n v="993.72"/>
    <n v="25"/>
    <n v="954"/>
    <n v="944.88"/>
    <n v="24"/>
    <n v="15"/>
  </r>
  <r>
    <x v="42"/>
    <x v="42"/>
    <x v="3"/>
    <n v="935.56"/>
    <n v="76"/>
    <n v="898.63"/>
    <n v="642.4"/>
    <n v="73"/>
    <n v="6"/>
  </r>
  <r>
    <x v="43"/>
    <x v="43"/>
    <x v="1"/>
    <n v="919.6"/>
    <n v="55"/>
    <n v="785.84"/>
    <n v="613.35"/>
    <n v="47"/>
    <n v="3"/>
  </r>
  <r>
    <x v="11"/>
    <x v="11"/>
    <x v="1"/>
    <n v="908.8"/>
    <n v="64"/>
    <n v="923"/>
    <n v="644.16999999999996"/>
    <n v="65"/>
    <n v="14"/>
  </r>
  <r>
    <x v="6"/>
    <x v="6"/>
    <x v="2"/>
    <n v="908.3"/>
    <n v="10"/>
    <n v="908.3"/>
    <n v="686.73"/>
    <n v="10"/>
    <n v="3"/>
  </r>
  <r>
    <x v="25"/>
    <x v="25"/>
    <x v="0"/>
    <n v="906.26"/>
    <n v="81"/>
    <n v="923.06"/>
    <n v="433.28"/>
    <n v="82"/>
    <n v="7"/>
  </r>
  <r>
    <x v="44"/>
    <x v="44"/>
    <x v="1"/>
    <n v="905.64"/>
    <n v="30"/>
    <n v="817.65"/>
    <n v="607.5"/>
    <n v="27"/>
    <n v="4"/>
  </r>
  <r>
    <x v="39"/>
    <x v="39"/>
    <x v="3"/>
    <n v="900.25"/>
    <n v="72"/>
    <n v="900.25"/>
    <n v="502.92"/>
    <n v="72"/>
    <n v="37"/>
  </r>
  <r>
    <x v="36"/>
    <x v="36"/>
    <x v="3"/>
    <n v="864.85"/>
    <n v="35"/>
    <n v="1087.24"/>
    <n v="765.6"/>
    <n v="44"/>
    <s v=""/>
  </r>
  <r>
    <x v="35"/>
    <x v="35"/>
    <x v="2"/>
    <n v="856.06"/>
    <n v="61"/>
    <n v="980.44"/>
    <n v="703.36"/>
    <n v="72"/>
    <n v="10"/>
  </r>
  <r>
    <x v="4"/>
    <x v="4"/>
    <x v="1"/>
    <n v="853.17"/>
    <n v="45"/>
    <n v="853.17"/>
    <n v="630"/>
    <n v="45"/>
    <n v="3"/>
  </r>
  <r>
    <x v="45"/>
    <x v="45"/>
    <x v="0"/>
    <n v="842.72"/>
    <n v="8"/>
    <n v="842.72"/>
    <n v="646.4"/>
    <n v="8"/>
    <n v="11"/>
  </r>
  <r>
    <x v="12"/>
    <x v="12"/>
    <x v="3"/>
    <n v="819.64"/>
    <n v="34"/>
    <n v="716.59"/>
    <n v="522"/>
    <n v="29"/>
    <n v="1"/>
  </r>
  <r>
    <x v="46"/>
    <x v="46"/>
    <x v="0"/>
    <n v="814.3"/>
    <n v="17"/>
    <n v="814.3"/>
    <n v="670.85"/>
    <n v="17"/>
    <n v="6"/>
  </r>
  <r>
    <x v="45"/>
    <x v="45"/>
    <x v="2"/>
    <n v="755.38"/>
    <n v="7"/>
    <n v="644.75"/>
    <n v="484.8"/>
    <n v="6"/>
    <s v=""/>
  </r>
  <r>
    <x v="47"/>
    <x v="47"/>
    <x v="0"/>
    <n v="755.17"/>
    <n v="37"/>
    <n v="693.94"/>
    <n v="657.9"/>
    <n v="34"/>
    <n v="4"/>
  </r>
  <r>
    <x v="48"/>
    <x v="48"/>
    <x v="2"/>
    <n v="723.25"/>
    <n v="21"/>
    <n v="689.72"/>
    <n v="598.4"/>
    <n v="20"/>
    <n v="2"/>
  </r>
  <r>
    <x v="42"/>
    <x v="42"/>
    <x v="1"/>
    <n v="713.64"/>
    <n v="57"/>
    <n v="688.6"/>
    <n v="484"/>
    <n v="55"/>
    <n v="8"/>
  </r>
  <r>
    <x v="49"/>
    <x v="49"/>
    <x v="2"/>
    <n v="712.94"/>
    <n v="43"/>
    <n v="712.94"/>
    <n v="580.5"/>
    <n v="43"/>
    <n v="8"/>
  </r>
  <r>
    <x v="50"/>
    <x v="50"/>
    <x v="0"/>
    <n v="712.92"/>
    <n v="43"/>
    <n v="664.39"/>
    <n v="450"/>
    <n v="40"/>
    <n v="14"/>
  </r>
  <r>
    <x v="26"/>
    <x v="26"/>
    <x v="0"/>
    <n v="709.12"/>
    <n v="12"/>
    <n v="709.12"/>
    <n v="556.79999999999995"/>
    <n v="12"/>
    <n v="6"/>
  </r>
  <r>
    <x v="17"/>
    <x v="17"/>
    <x v="3"/>
    <n v="701.68"/>
    <n v="18"/>
    <n v="712.34"/>
    <n v="615.6"/>
    <n v="18"/>
    <n v="1"/>
  </r>
  <r>
    <x v="51"/>
    <x v="51"/>
    <x v="2"/>
    <n v="701.25"/>
    <n v="85"/>
    <n v="726"/>
    <n v="528"/>
    <n v="88"/>
    <s v=""/>
  </r>
  <r>
    <x v="52"/>
    <x v="52"/>
    <x v="0"/>
    <n v="690.53"/>
    <n v="62"/>
    <n v="722.24"/>
    <n v="479.37"/>
    <n v="65"/>
    <n v="4"/>
  </r>
  <r>
    <x v="53"/>
    <x v="53"/>
    <x v="2"/>
    <n v="687.96"/>
    <n v="93"/>
    <n v="687.96"/>
    <n v="587.76"/>
    <n v="93"/>
    <n v="1"/>
  </r>
  <r>
    <x v="54"/>
    <x v="54"/>
    <x v="0"/>
    <n v="686.19"/>
    <n v="19"/>
    <n v="751.59"/>
    <n v="567"/>
    <n v="21"/>
    <n v="6"/>
  </r>
  <r>
    <x v="55"/>
    <x v="55"/>
    <x v="0"/>
    <n v="685.1"/>
    <n v="11"/>
    <n v="742.4"/>
    <n v="511.44"/>
    <n v="12"/>
    <n v="4"/>
  </r>
  <r>
    <x v="29"/>
    <x v="29"/>
    <x v="2"/>
    <n v="677.25"/>
    <n v="43"/>
    <n v="693"/>
    <n v="418"/>
    <n v="44"/>
    <n v="31"/>
  </r>
  <r>
    <x v="56"/>
    <x v="56"/>
    <x v="0"/>
    <n v="676.38"/>
    <n v="28"/>
    <n v="674.09"/>
    <n v="563.27"/>
    <n v="28"/>
    <n v="5"/>
  </r>
  <r>
    <x v="57"/>
    <x v="57"/>
    <x v="0"/>
    <n v="665.8"/>
    <n v="51"/>
    <n v="653.66999999999996"/>
    <n v="485.8"/>
    <n v="50"/>
    <s v=""/>
  </r>
  <r>
    <x v="58"/>
    <x v="58"/>
    <x v="2"/>
    <n v="665.28"/>
    <n v="16"/>
    <n v="582.12"/>
    <n v="420"/>
    <n v="14"/>
    <n v="2"/>
  </r>
  <r>
    <x v="40"/>
    <x v="40"/>
    <x v="3"/>
    <n v="643.5"/>
    <n v="13"/>
    <n v="643.5"/>
    <n v="526.5"/>
    <n v="13"/>
    <n v="3"/>
  </r>
  <r>
    <x v="59"/>
    <x v="59"/>
    <x v="0"/>
    <n v="631.29999999999995"/>
    <n v="12"/>
    <n v="575.15"/>
    <n v="450.49"/>
    <n v="11"/>
    <s v=""/>
  </r>
  <r>
    <x v="60"/>
    <x v="60"/>
    <x v="2"/>
    <n v="627.89"/>
    <n v="44"/>
    <n v="667.19"/>
    <n v="455.9"/>
    <n v="47"/>
    <n v="8"/>
  </r>
  <r>
    <x v="43"/>
    <x v="43"/>
    <x v="2"/>
    <n v="626.08000000000004"/>
    <n v="38"/>
    <n v="495.42"/>
    <n v="391.5"/>
    <n v="30"/>
    <n v="2"/>
  </r>
  <r>
    <x v="42"/>
    <x v="42"/>
    <x v="2"/>
    <n v="621"/>
    <n v="50"/>
    <n v="683.1"/>
    <n v="484"/>
    <n v="55"/>
    <n v="4"/>
  </r>
  <r>
    <x v="24"/>
    <x v="24"/>
    <x v="2"/>
    <n v="618.75"/>
    <n v="75"/>
    <n v="594"/>
    <n v="390.08"/>
    <n v="72"/>
    <n v="3"/>
  </r>
  <r>
    <x v="2"/>
    <x v="2"/>
    <x v="2"/>
    <n v="618.75"/>
    <n v="75"/>
    <n v="577.5"/>
    <n v="420"/>
    <n v="70"/>
    <n v="4"/>
  </r>
  <r>
    <x v="3"/>
    <x v="3"/>
    <x v="3"/>
    <n v="615.5"/>
    <n v="50"/>
    <n v="590.88"/>
    <n v="383.6"/>
    <n v="48"/>
    <n v="1"/>
  </r>
  <r>
    <x v="39"/>
    <x v="39"/>
    <x v="1"/>
    <n v="613.48"/>
    <n v="49"/>
    <n v="626"/>
    <n v="375.66"/>
    <n v="50"/>
    <n v="48"/>
  </r>
  <r>
    <x v="61"/>
    <x v="61"/>
    <x v="0"/>
    <n v="612.75"/>
    <n v="25"/>
    <n v="612.75"/>
    <n v="448.25"/>
    <n v="25"/>
    <n v="1"/>
  </r>
  <r>
    <x v="13"/>
    <x v="13"/>
    <x v="4"/>
    <n v="606.35"/>
    <n v="54"/>
    <n v="573.37"/>
    <n v="315.19"/>
    <n v="51"/>
    <n v="2"/>
  </r>
  <r>
    <x v="62"/>
    <x v="62"/>
    <x v="0"/>
    <n v="573.30999999999995"/>
    <n v="40"/>
    <n v="569.67999999999995"/>
    <n v="261.60000000000002"/>
    <n v="40"/>
    <n v="11"/>
  </r>
  <r>
    <x v="63"/>
    <x v="63"/>
    <x v="3"/>
    <n v="572.74"/>
    <n v="7"/>
    <n v="572.74"/>
    <n v="465.5"/>
    <n v="7"/>
    <s v=""/>
  </r>
  <r>
    <x v="57"/>
    <x v="57"/>
    <x v="2"/>
    <n v="569.75"/>
    <n v="43"/>
    <n v="530"/>
    <n v="356.8"/>
    <n v="40"/>
    <n v="2"/>
  </r>
  <r>
    <x v="51"/>
    <x v="51"/>
    <x v="0"/>
    <n v="567.63"/>
    <n v="63"/>
    <n v="558.62"/>
    <n v="372"/>
    <n v="62"/>
    <s v=""/>
  </r>
  <r>
    <x v="64"/>
    <x v="64"/>
    <x v="0"/>
    <n v="549.39"/>
    <n v="21"/>
    <n v="602.99"/>
    <n v="344.08"/>
    <n v="23"/>
    <n v="4"/>
  </r>
  <r>
    <x v="65"/>
    <x v="65"/>
    <x v="1"/>
    <n v="545.09"/>
    <n v="13"/>
    <n v="545.09"/>
    <n v="455"/>
    <n v="13"/>
    <n v="1"/>
  </r>
  <r>
    <x v="66"/>
    <x v="66"/>
    <x v="0"/>
    <n v="540.71"/>
    <n v="25"/>
    <n v="540.71"/>
    <n v="416.25"/>
    <n v="25"/>
    <n v="3"/>
  </r>
  <r>
    <x v="33"/>
    <x v="33"/>
    <x v="3"/>
    <n v="518.91"/>
    <n v="21"/>
    <n v="518.91"/>
    <n v="556.5"/>
    <n v="21"/>
    <n v="1"/>
  </r>
  <r>
    <x v="37"/>
    <x v="37"/>
    <x v="0"/>
    <n v="516.37"/>
    <n v="28"/>
    <n v="479.06"/>
    <n v="365.56"/>
    <n v="26"/>
    <n v="5"/>
  </r>
  <r>
    <x v="29"/>
    <x v="29"/>
    <x v="3"/>
    <n v="498.28"/>
    <n v="32"/>
    <n v="498.28"/>
    <n v="304"/>
    <n v="32"/>
    <n v="17"/>
  </r>
  <r>
    <x v="19"/>
    <x v="19"/>
    <x v="2"/>
    <n v="493.56"/>
    <n v="18"/>
    <n v="493.56"/>
    <n v="333"/>
    <n v="18"/>
    <n v="3"/>
  </r>
  <r>
    <x v="67"/>
    <x v="67"/>
    <x v="0"/>
    <n v="490.2"/>
    <n v="20"/>
    <n v="514.71"/>
    <n v="353.76"/>
    <n v="21"/>
    <n v="4"/>
  </r>
  <r>
    <x v="68"/>
    <x v="68"/>
    <x v="0"/>
    <n v="489.7"/>
    <n v="21"/>
    <n v="489.7"/>
    <n v="306.39"/>
    <n v="21"/>
    <n v="26"/>
  </r>
  <r>
    <x v="43"/>
    <x v="43"/>
    <x v="0"/>
    <n v="488.1"/>
    <n v="30"/>
    <n v="358.82"/>
    <n v="286.75"/>
    <n v="22"/>
    <n v="6"/>
  </r>
  <r>
    <x v="52"/>
    <x v="52"/>
    <x v="2"/>
    <n v="486.46"/>
    <n v="40"/>
    <n v="518.71"/>
    <n v="324.76"/>
    <n v="43"/>
    <n v="5"/>
  </r>
  <r>
    <x v="69"/>
    <x v="69"/>
    <x v="2"/>
    <n v="485.52"/>
    <n v="77"/>
    <n v="472.2"/>
    <n v="232.54"/>
    <n v="75"/>
    <n v="3"/>
  </r>
  <r>
    <x v="35"/>
    <x v="35"/>
    <x v="3"/>
    <n v="480.09"/>
    <n v="39"/>
    <n v="480.09"/>
    <n v="412.04"/>
    <n v="39"/>
    <n v="1"/>
  </r>
  <r>
    <x v="38"/>
    <x v="38"/>
    <x v="2"/>
    <n v="466"/>
    <n v="8"/>
    <n v="466"/>
    <n v="360"/>
    <n v="8"/>
    <s v=""/>
  </r>
  <r>
    <x v="70"/>
    <x v="70"/>
    <x v="0"/>
    <n v="464.74"/>
    <n v="12"/>
    <n v="464.74"/>
    <n v="307.8"/>
    <n v="12"/>
    <n v="8"/>
  </r>
  <r>
    <x v="71"/>
    <x v="71"/>
    <x v="3"/>
    <n v="464.51"/>
    <n v="8"/>
    <n v="464.51"/>
    <n v="288.64"/>
    <n v="8"/>
    <n v="1"/>
  </r>
  <r>
    <x v="40"/>
    <x v="40"/>
    <x v="2"/>
    <n v="464.06"/>
    <n v="5"/>
    <n v="464.06"/>
    <n v="202.5"/>
    <n v="5"/>
    <n v="1"/>
  </r>
  <r>
    <x v="72"/>
    <x v="72"/>
    <x v="3"/>
    <n v="460.6"/>
    <n v="28"/>
    <n v="444.15"/>
    <n v="351.03"/>
    <n v="27"/>
    <s v=""/>
  </r>
  <r>
    <x v="48"/>
    <x v="48"/>
    <x v="0"/>
    <n v="451.55"/>
    <n v="12"/>
    <n v="412.05"/>
    <n v="329.12"/>
    <n v="11"/>
    <n v="2"/>
  </r>
  <r>
    <x v="1"/>
    <x v="1"/>
    <x v="3"/>
    <n v="444.71"/>
    <n v="34"/>
    <n v="444.71"/>
    <n v="339.02"/>
    <n v="34"/>
    <n v="2"/>
  </r>
  <r>
    <x v="73"/>
    <x v="73"/>
    <x v="2"/>
    <n v="438.44"/>
    <n v="32"/>
    <n v="479.27"/>
    <n v="343.79"/>
    <n v="35"/>
    <n v="2"/>
  </r>
  <r>
    <x v="74"/>
    <x v="74"/>
    <x v="3"/>
    <n v="437.95"/>
    <n v="5"/>
    <n v="437.95"/>
    <n v="365.75"/>
    <n v="5"/>
    <n v="1"/>
  </r>
  <r>
    <x v="34"/>
    <x v="34"/>
    <x v="3"/>
    <n v="437.22"/>
    <n v="7"/>
    <n v="437.22"/>
    <n v="472.5"/>
    <n v="7"/>
    <n v="1"/>
  </r>
  <r>
    <x v="75"/>
    <x v="75"/>
    <x v="0"/>
    <n v="433.99"/>
    <n v="7"/>
    <n v="433.99"/>
    <n v="406"/>
    <n v="7"/>
    <n v="1"/>
  </r>
  <r>
    <x v="76"/>
    <x v="76"/>
    <x v="0"/>
    <n v="432.96"/>
    <n v="33"/>
    <n v="407.04"/>
    <n v="145.5"/>
    <n v="32"/>
    <s v=""/>
  </r>
  <r>
    <x v="12"/>
    <x v="12"/>
    <x v="1"/>
    <n v="431.8"/>
    <n v="20"/>
    <n v="431.8"/>
    <n v="361.21"/>
    <n v="20"/>
    <n v="1"/>
  </r>
  <r>
    <x v="11"/>
    <x v="11"/>
    <x v="2"/>
    <n v="429.83"/>
    <n v="30"/>
    <n v="443.8"/>
    <n v="306.89999999999998"/>
    <n v="31"/>
    <n v="9"/>
  </r>
  <r>
    <x v="1"/>
    <x v="1"/>
    <x v="2"/>
    <n v="429.59"/>
    <n v="29"/>
    <n v="542.57000000000005"/>
    <n v="327.08"/>
    <n v="36"/>
    <n v="3"/>
  </r>
  <r>
    <x v="50"/>
    <x v="50"/>
    <x v="1"/>
    <n v="418"/>
    <n v="25"/>
    <n v="351.12"/>
    <n v="236.25"/>
    <n v="21"/>
    <n v="3"/>
  </r>
  <r>
    <x v="22"/>
    <x v="22"/>
    <x v="1"/>
    <n v="416.22"/>
    <n v="13"/>
    <n v="399.68"/>
    <n v="271.7"/>
    <n v="13"/>
    <n v="4"/>
  </r>
  <r>
    <x v="77"/>
    <x v="77"/>
    <x v="0"/>
    <n v="415.55"/>
    <n v="7"/>
    <n v="415.55"/>
    <n v="399.79"/>
    <n v="7"/>
    <n v="4"/>
  </r>
  <r>
    <x v="49"/>
    <x v="49"/>
    <x v="1"/>
    <n v="413.53"/>
    <n v="24"/>
    <n v="413.53"/>
    <n v="319.05"/>
    <n v="24"/>
    <n v="2"/>
  </r>
  <r>
    <x v="37"/>
    <x v="37"/>
    <x v="2"/>
    <n v="413.04"/>
    <n v="18"/>
    <n v="413.04"/>
    <n v="253.08"/>
    <n v="18"/>
    <n v="1"/>
  </r>
  <r>
    <x v="15"/>
    <x v="15"/>
    <x v="3"/>
    <n v="405.65"/>
    <n v="85"/>
    <n v="387.35"/>
    <n v="164"/>
    <n v="82"/>
    <s v=""/>
  </r>
  <r>
    <x v="78"/>
    <x v="78"/>
    <x v="3"/>
    <n v="404.39"/>
    <n v="7"/>
    <n v="462.16"/>
    <n v="388.96"/>
    <n v="8"/>
    <s v=""/>
  </r>
  <r>
    <x v="79"/>
    <x v="79"/>
    <x v="0"/>
    <n v="402.93"/>
    <n v="33"/>
    <n v="402.93"/>
    <n v="214.35"/>
    <n v="33"/>
    <n v="3"/>
  </r>
  <r>
    <x v="19"/>
    <x v="19"/>
    <x v="1"/>
    <n v="387.1"/>
    <n v="14"/>
    <n v="359.45"/>
    <n v="240.5"/>
    <n v="13"/>
    <n v="2"/>
  </r>
  <r>
    <x v="80"/>
    <x v="80"/>
    <x v="0"/>
    <n v="380.8"/>
    <n v="4"/>
    <n v="490.05"/>
    <n v="280.55"/>
    <n v="5"/>
    <s v=""/>
  </r>
  <r>
    <x v="75"/>
    <x v="75"/>
    <x v="1"/>
    <n v="376.32"/>
    <n v="9"/>
    <n v="376.32"/>
    <n v="522"/>
    <n v="9"/>
    <n v="2"/>
  </r>
  <r>
    <x v="18"/>
    <x v="18"/>
    <x v="2"/>
    <n v="374.22"/>
    <n v="9"/>
    <n v="374.22"/>
    <n v="324"/>
    <n v="9"/>
    <n v="1"/>
  </r>
  <r>
    <x v="61"/>
    <x v="61"/>
    <x v="2"/>
    <n v="373.8"/>
    <n v="15"/>
    <n v="373.8"/>
    <n v="268.95"/>
    <n v="15"/>
    <s v=""/>
  </r>
  <r>
    <x v="23"/>
    <x v="23"/>
    <x v="2"/>
    <n v="370.9"/>
    <n v="9"/>
    <n v="330.15"/>
    <n v="288"/>
    <n v="8"/>
    <s v=""/>
  </r>
  <r>
    <x v="11"/>
    <x v="11"/>
    <x v="3"/>
    <n v="363.22"/>
    <n v="26"/>
    <n v="377.19"/>
    <n v="267.3"/>
    <n v="27"/>
    <n v="2"/>
  </r>
  <r>
    <x v="81"/>
    <x v="81"/>
    <x v="0"/>
    <n v="357.47"/>
    <n v="57"/>
    <n v="326.04000000000002"/>
    <n v="156.52000000000001"/>
    <n v="52"/>
    <s v=""/>
  </r>
  <r>
    <x v="47"/>
    <x v="47"/>
    <x v="2"/>
    <n v="352.75"/>
    <n v="17"/>
    <n v="373.5"/>
    <n v="348.3"/>
    <n v="18"/>
    <n v="4"/>
  </r>
  <r>
    <x v="44"/>
    <x v="44"/>
    <x v="2"/>
    <n v="348.96"/>
    <n v="12"/>
    <n v="290.8"/>
    <n v="225"/>
    <n v="10"/>
    <n v="1"/>
  </r>
  <r>
    <x v="30"/>
    <x v="30"/>
    <x v="2"/>
    <n v="348.88"/>
    <n v="14"/>
    <n v="348.88"/>
    <n v="283.5"/>
    <n v="14"/>
    <n v="3"/>
  </r>
  <r>
    <x v="63"/>
    <x v="63"/>
    <x v="2"/>
    <n v="342.57"/>
    <n v="3"/>
    <n v="342.57"/>
    <n v="199.5"/>
    <n v="3"/>
    <n v="1"/>
  </r>
  <r>
    <x v="60"/>
    <x v="60"/>
    <x v="3"/>
    <n v="341.8"/>
    <n v="26"/>
    <n v="341.8"/>
    <n v="252.2"/>
    <n v="26"/>
    <n v="3"/>
  </r>
  <r>
    <x v="52"/>
    <x v="52"/>
    <x v="3"/>
    <n v="339.2"/>
    <n v="32"/>
    <n v="339.2"/>
    <n v="247.5"/>
    <n v="32"/>
    <s v=""/>
  </r>
  <r>
    <x v="82"/>
    <x v="82"/>
    <x v="2"/>
    <n v="333"/>
    <n v="50"/>
    <n v="326.33999999999997"/>
    <n v="164.04"/>
    <n v="49"/>
    <n v="1"/>
  </r>
  <r>
    <x v="12"/>
    <x v="12"/>
    <x v="2"/>
    <n v="323.95999999999998"/>
    <n v="13"/>
    <n v="299.04000000000002"/>
    <n v="216"/>
    <n v="12"/>
    <s v=""/>
  </r>
  <r>
    <x v="74"/>
    <x v="74"/>
    <x v="0"/>
    <n v="314.75"/>
    <n v="4"/>
    <n v="388.24"/>
    <n v="365.75"/>
    <n v="5"/>
    <s v=""/>
  </r>
  <r>
    <x v="70"/>
    <x v="70"/>
    <x v="1"/>
    <n v="301.83999999999997"/>
    <n v="8"/>
    <n v="264.11"/>
    <n v="179.55"/>
    <n v="7"/>
    <n v="3"/>
  </r>
  <r>
    <x v="40"/>
    <x v="40"/>
    <x v="0"/>
    <n v="294.60000000000002"/>
    <n v="6"/>
    <n v="294.60000000000002"/>
    <n v="243"/>
    <n v="6"/>
    <n v="2"/>
  </r>
  <r>
    <x v="83"/>
    <x v="83"/>
    <x v="0"/>
    <n v="281"/>
    <n v="45"/>
    <n v="281"/>
    <n v="118.69"/>
    <n v="45"/>
    <n v="2"/>
  </r>
  <r>
    <x v="84"/>
    <x v="84"/>
    <x v="0"/>
    <n v="278.64"/>
    <n v="43"/>
    <n v="285.12"/>
    <n v="160.80000000000001"/>
    <n v="44"/>
    <n v="2"/>
  </r>
  <r>
    <x v="85"/>
    <x v="85"/>
    <x v="3"/>
    <n v="275.08"/>
    <n v="25"/>
    <n v="275.43"/>
    <n v="172.5"/>
    <n v="25"/>
    <n v="2"/>
  </r>
  <r>
    <x v="6"/>
    <x v="6"/>
    <x v="1"/>
    <n v="274.8"/>
    <n v="3"/>
    <n v="366.4"/>
    <n v="272.51"/>
    <n v="4"/>
    <n v="3"/>
  </r>
  <r>
    <x v="86"/>
    <x v="86"/>
    <x v="1"/>
    <n v="269.36"/>
    <n v="14"/>
    <n v="269.36"/>
    <n v="195.3"/>
    <n v="14"/>
    <n v="5"/>
  </r>
  <r>
    <x v="87"/>
    <x v="87"/>
    <x v="2"/>
    <n v="266.61"/>
    <n v="6"/>
    <n v="225.62"/>
    <n v="202.5"/>
    <n v="5"/>
    <n v="1"/>
  </r>
  <r>
    <x v="88"/>
    <x v="88"/>
    <x v="1"/>
    <n v="266.45999999999998"/>
    <n v="2"/>
    <n v="266.45999999999998"/>
    <n v="196"/>
    <n v="2"/>
    <n v="1"/>
  </r>
  <r>
    <x v="89"/>
    <x v="89"/>
    <x v="0"/>
    <n v="266.22000000000003"/>
    <n v="22"/>
    <n v="302.85000000000002"/>
    <n v="201.97"/>
    <n v="25"/>
    <n v="3"/>
  </r>
  <r>
    <x v="90"/>
    <x v="90"/>
    <x v="1"/>
    <n v="264.99"/>
    <n v="21"/>
    <n v="264.99"/>
    <n v="405.3"/>
    <n v="21"/>
    <n v="2"/>
  </r>
  <r>
    <x v="91"/>
    <x v="91"/>
    <x v="0"/>
    <n v="261.66000000000003"/>
    <n v="54"/>
    <n v="241.21"/>
    <n v="248.17"/>
    <n v="49"/>
    <s v=""/>
  </r>
  <r>
    <x v="92"/>
    <x v="92"/>
    <x v="0"/>
    <n v="261.60000000000002"/>
    <n v="8"/>
    <n v="228.9"/>
    <n v="141.05000000000001"/>
    <n v="7"/>
    <n v="3"/>
  </r>
  <r>
    <x v="93"/>
    <x v="93"/>
    <x v="0"/>
    <n v="260.2"/>
    <n v="14"/>
    <n v="276.51"/>
    <n v="147.15"/>
    <n v="15"/>
    <n v="160"/>
  </r>
  <r>
    <x v="94"/>
    <x v="94"/>
    <x v="0"/>
    <n v="253.92"/>
    <n v="10"/>
    <n v="204.9"/>
    <n v="153.11000000000001"/>
    <n v="8"/>
    <n v="16"/>
  </r>
  <r>
    <x v="70"/>
    <x v="70"/>
    <x v="4"/>
    <n v="253.72"/>
    <n v="10"/>
    <n v="253.72"/>
    <n v="316.75"/>
    <n v="10"/>
    <s v=""/>
  </r>
  <r>
    <x v="61"/>
    <x v="61"/>
    <x v="1"/>
    <n v="251.3"/>
    <n v="10"/>
    <n v="226.17"/>
    <n v="161.37"/>
    <n v="9"/>
    <n v="2"/>
  </r>
  <r>
    <x v="19"/>
    <x v="19"/>
    <x v="3"/>
    <n v="244.71"/>
    <n v="9"/>
    <n v="244.71"/>
    <n v="166.5"/>
    <n v="9"/>
    <n v="1"/>
  </r>
  <r>
    <x v="34"/>
    <x v="34"/>
    <x v="2"/>
    <n v="239.7"/>
    <n v="3"/>
    <n v="239.7"/>
    <n v="202.5"/>
    <n v="3"/>
    <n v="1"/>
  </r>
  <r>
    <x v="95"/>
    <x v="95"/>
    <x v="2"/>
    <n v="232.64"/>
    <n v="8"/>
    <n v="290.8"/>
    <n v="259.88"/>
    <n v="10"/>
    <n v="24"/>
  </r>
  <r>
    <x v="48"/>
    <x v="48"/>
    <x v="3"/>
    <n v="232.56"/>
    <n v="6"/>
    <n v="232.56"/>
    <n v="179.52"/>
    <n v="6"/>
    <n v="4"/>
  </r>
  <r>
    <x v="22"/>
    <x v="22"/>
    <x v="3"/>
    <n v="230.72"/>
    <n v="8"/>
    <n v="201.88"/>
    <n v="145.19999999999999"/>
    <n v="7"/>
    <n v="4"/>
  </r>
  <r>
    <x v="37"/>
    <x v="37"/>
    <x v="3"/>
    <n v="227.16"/>
    <n v="12"/>
    <n v="227.16"/>
    <n v="168.72"/>
    <n v="12"/>
    <n v="1"/>
  </r>
  <r>
    <x v="47"/>
    <x v="47"/>
    <x v="3"/>
    <n v="226.38"/>
    <n v="11"/>
    <n v="226.38"/>
    <n v="212.85"/>
    <n v="11"/>
    <s v=""/>
  </r>
  <r>
    <x v="70"/>
    <x v="70"/>
    <x v="2"/>
    <n v="216.31"/>
    <n v="4"/>
    <n v="197.66"/>
    <n v="102.6"/>
    <n v="4"/>
    <n v="1"/>
  </r>
  <r>
    <x v="81"/>
    <x v="81"/>
    <x v="2"/>
    <n v="213.12"/>
    <n v="32"/>
    <n v="206.46"/>
    <n v="93.31"/>
    <n v="31"/>
    <s v=""/>
  </r>
  <r>
    <x v="96"/>
    <x v="96"/>
    <x v="0"/>
    <n v="211.74"/>
    <n v="36"/>
    <n v="212.68"/>
    <n v="119.21"/>
    <n v="36"/>
    <s v=""/>
  </r>
  <r>
    <x v="97"/>
    <x v="97"/>
    <x v="1"/>
    <n v="209.65"/>
    <n v="5"/>
    <n v="209.65"/>
    <n v="119.8"/>
    <n v="5"/>
    <n v="1"/>
  </r>
  <r>
    <x v="98"/>
    <x v="98"/>
    <x v="0"/>
    <n v="209.45"/>
    <n v="15"/>
    <n v="181.02"/>
    <n v="91.85"/>
    <n v="12"/>
    <n v="72"/>
  </r>
  <r>
    <x v="99"/>
    <x v="99"/>
    <x v="1"/>
    <n v="209.2"/>
    <n v="10"/>
    <n v="209.2"/>
    <n v="151.82"/>
    <n v="10"/>
    <n v="3"/>
  </r>
  <r>
    <x v="86"/>
    <x v="86"/>
    <x v="0"/>
    <n v="206.47"/>
    <n v="11"/>
    <n v="225.24"/>
    <n v="167.4"/>
    <n v="12"/>
    <n v="1"/>
  </r>
  <r>
    <x v="60"/>
    <x v="60"/>
    <x v="0"/>
    <n v="206.03"/>
    <n v="16"/>
    <n v="188.9"/>
    <n v="145.5"/>
    <n v="15"/>
    <n v="6"/>
  </r>
  <r>
    <x v="58"/>
    <x v="58"/>
    <x v="0"/>
    <n v="204.5"/>
    <n v="5"/>
    <n v="204.5"/>
    <n v="150"/>
    <n v="5"/>
    <s v=""/>
  </r>
  <r>
    <x v="100"/>
    <x v="100"/>
    <x v="0"/>
    <n v="204.1"/>
    <n v="10"/>
    <n v="204.1"/>
    <n v="152.08000000000001"/>
    <n v="10"/>
    <n v="1"/>
  </r>
  <r>
    <x v="101"/>
    <x v="101"/>
    <x v="0"/>
    <n v="203.19"/>
    <n v="9"/>
    <n v="202.96"/>
    <n v="118.9"/>
    <n v="9"/>
    <n v="1"/>
  </r>
  <r>
    <x v="9"/>
    <x v="9"/>
    <x v="3"/>
    <n v="201.29"/>
    <n v="15"/>
    <n v="214.91"/>
    <n v="149.15"/>
    <n v="16"/>
    <s v=""/>
  </r>
  <r>
    <x v="6"/>
    <x v="6"/>
    <x v="5"/>
    <n v="200.01"/>
    <n v="2"/>
    <n v="200.01"/>
    <n v="147.87"/>
    <n v="2"/>
    <n v="1"/>
  </r>
  <r>
    <x v="102"/>
    <x v="102"/>
    <x v="2"/>
    <n v="199.98"/>
    <n v="9"/>
    <n v="199.98"/>
    <n v="164.79"/>
    <n v="9"/>
    <n v="4"/>
  </r>
  <r>
    <x v="55"/>
    <x v="55"/>
    <x v="2"/>
    <n v="199.51"/>
    <n v="3"/>
    <n v="199.51"/>
    <n v="144.06"/>
    <n v="3"/>
    <n v="2"/>
  </r>
  <r>
    <x v="32"/>
    <x v="32"/>
    <x v="2"/>
    <n v="197.12"/>
    <n v="14"/>
    <n v="352"/>
    <n v="262.5"/>
    <n v="25"/>
    <n v="1"/>
  </r>
  <r>
    <x v="103"/>
    <x v="103"/>
    <x v="1"/>
    <n v="196.84"/>
    <n v="11"/>
    <n v="196.84"/>
    <n v="149.96"/>
    <n v="11"/>
    <n v="7"/>
  </r>
  <r>
    <x v="104"/>
    <x v="104"/>
    <x v="1"/>
    <n v="196.73"/>
    <n v="4"/>
    <n v="196.73"/>
    <n v="141.76"/>
    <n v="4"/>
    <n v="1"/>
  </r>
  <r>
    <x v="105"/>
    <x v="105"/>
    <x v="0"/>
    <n v="196.2"/>
    <n v="6"/>
    <n v="163.5"/>
    <n v="119.06"/>
    <n v="5"/>
    <n v="4"/>
  </r>
  <r>
    <x v="52"/>
    <x v="52"/>
    <x v="4"/>
    <n v="192.78"/>
    <n v="10"/>
    <n v="152.54"/>
    <n v="75.5"/>
    <n v="8"/>
    <n v="1"/>
  </r>
  <r>
    <x v="82"/>
    <x v="82"/>
    <x v="0"/>
    <n v="189.95"/>
    <n v="29"/>
    <n v="183.4"/>
    <n v="96.08"/>
    <n v="28"/>
    <n v="1"/>
  </r>
  <r>
    <x v="106"/>
    <x v="106"/>
    <x v="0"/>
    <n v="188.32"/>
    <n v="11"/>
    <n v="188.32"/>
    <n v="198"/>
    <n v="11"/>
    <s v=""/>
  </r>
  <r>
    <x v="9"/>
    <x v="9"/>
    <x v="0"/>
    <n v="187.88"/>
    <n v="13"/>
    <n v="202.38"/>
    <n v="132.53"/>
    <n v="14"/>
    <n v="9"/>
  </r>
  <r>
    <x v="75"/>
    <x v="75"/>
    <x v="2"/>
    <n v="184.96"/>
    <n v="4"/>
    <n v="184.96"/>
    <n v="232"/>
    <n v="4"/>
    <s v=""/>
  </r>
  <r>
    <x v="107"/>
    <x v="107"/>
    <x v="3"/>
    <n v="184.65"/>
    <n v="15"/>
    <n v="184.65"/>
    <n v="118.05"/>
    <n v="15"/>
    <n v="2"/>
  </r>
  <r>
    <x v="8"/>
    <x v="8"/>
    <x v="2"/>
    <n v="184.34"/>
    <n v="9"/>
    <n v="205.09"/>
    <n v="150"/>
    <n v="10"/>
    <n v="1"/>
  </r>
  <r>
    <x v="49"/>
    <x v="49"/>
    <x v="0"/>
    <n v="182.97"/>
    <n v="9"/>
    <n v="203.3"/>
    <n v="135"/>
    <n v="10"/>
    <n v="2"/>
  </r>
  <r>
    <x v="35"/>
    <x v="35"/>
    <x v="0"/>
    <n v="182.92"/>
    <n v="13"/>
    <n v="182.92"/>
    <n v="125.84"/>
    <n v="13"/>
    <n v="37"/>
  </r>
  <r>
    <x v="6"/>
    <x v="6"/>
    <x v="3"/>
    <n v="180.16"/>
    <n v="2"/>
    <n v="180.16"/>
    <n v="127.17"/>
    <n v="2"/>
    <s v=""/>
  </r>
  <r>
    <x v="108"/>
    <x v="108"/>
    <x v="0"/>
    <n v="179.69"/>
    <n v="17"/>
    <n v="147.97999999999999"/>
    <n v="92.4"/>
    <n v="14"/>
    <n v="26"/>
  </r>
  <r>
    <x v="62"/>
    <x v="62"/>
    <x v="2"/>
    <n v="175.87"/>
    <n v="11"/>
    <n v="175.87"/>
    <n v="85.34"/>
    <n v="11"/>
    <n v="11"/>
  </r>
  <r>
    <x v="18"/>
    <x v="18"/>
    <x v="5"/>
    <n v="175.27"/>
    <n v="4"/>
    <n v="175.27"/>
    <n v="147.02000000000001"/>
    <n v="4"/>
    <n v="1"/>
  </r>
  <r>
    <x v="109"/>
    <x v="109"/>
    <x v="3"/>
    <n v="174.77"/>
    <n v="9"/>
    <n v="174.77"/>
    <n v="111.09"/>
    <n v="9"/>
    <s v=""/>
  </r>
  <r>
    <x v="33"/>
    <x v="33"/>
    <x v="2"/>
    <n v="174.44"/>
    <n v="7"/>
    <n v="199.36"/>
    <n v="212"/>
    <n v="8"/>
    <s v=""/>
  </r>
  <r>
    <x v="110"/>
    <x v="110"/>
    <x v="2"/>
    <n v="174.44"/>
    <n v="7"/>
    <n v="224.28"/>
    <n v="153.09"/>
    <n v="9"/>
    <n v="2"/>
  </r>
  <r>
    <x v="69"/>
    <x v="69"/>
    <x v="0"/>
    <n v="172.86"/>
    <n v="31"/>
    <n v="167.66"/>
    <n v="91.54"/>
    <n v="30"/>
    <s v=""/>
  </r>
  <r>
    <x v="9"/>
    <x v="9"/>
    <x v="1"/>
    <n v="168.68"/>
    <n v="12"/>
    <n v="154.47999999999999"/>
    <n v="87.91"/>
    <n v="11"/>
    <s v=""/>
  </r>
  <r>
    <x v="111"/>
    <x v="111"/>
    <x v="5"/>
    <n v="168.04"/>
    <n v="2"/>
    <n v="268.31"/>
    <n v="244.72"/>
    <n v="3"/>
    <n v="1"/>
  </r>
  <r>
    <x v="112"/>
    <x v="112"/>
    <x v="1"/>
    <n v="167.72"/>
    <n v="4"/>
    <n v="167.72"/>
    <n v="86"/>
    <n v="4"/>
    <n v="1"/>
  </r>
  <r>
    <x v="113"/>
    <x v="113"/>
    <x v="0"/>
    <n v="167.52"/>
    <n v="16"/>
    <n v="158.19"/>
    <n v="83.52"/>
    <n v="15"/>
    <n v="1"/>
  </r>
  <r>
    <x v="72"/>
    <x v="72"/>
    <x v="1"/>
    <n v="167.2"/>
    <n v="10"/>
    <n v="167.2"/>
    <n v="132.69999999999999"/>
    <n v="10"/>
    <s v=""/>
  </r>
  <r>
    <x v="97"/>
    <x v="97"/>
    <x v="2"/>
    <n v="166.32"/>
    <n v="4"/>
    <n v="166.32"/>
    <n v="119.81"/>
    <n v="4"/>
    <s v=""/>
  </r>
  <r>
    <x v="43"/>
    <x v="43"/>
    <x v="3"/>
    <n v="164.5"/>
    <n v="10"/>
    <n v="131.6"/>
    <n v="104.4"/>
    <n v="8"/>
    <n v="1"/>
  </r>
  <r>
    <x v="114"/>
    <x v="114"/>
    <x v="0"/>
    <n v="160.65"/>
    <n v="1"/>
    <n v="160.65"/>
    <n v="164.25"/>
    <n v="1"/>
    <s v=""/>
  </r>
  <r>
    <x v="115"/>
    <x v="115"/>
    <x v="0"/>
    <n v="158.72999999999999"/>
    <n v="13"/>
    <n v="170.94"/>
    <n v="112"/>
    <n v="14"/>
    <n v="8"/>
  </r>
  <r>
    <x v="87"/>
    <x v="87"/>
    <x v="0"/>
    <n v="158.49"/>
    <n v="4"/>
    <n v="158.49"/>
    <n v="150.97999999999999"/>
    <n v="4"/>
    <n v="2"/>
  </r>
  <r>
    <x v="113"/>
    <x v="113"/>
    <x v="1"/>
    <n v="158"/>
    <n v="11"/>
    <n v="130.12"/>
    <n v="48.43"/>
    <n v="9"/>
    <n v="4"/>
  </r>
  <r>
    <x v="116"/>
    <x v="116"/>
    <x v="2"/>
    <n v="157.5"/>
    <n v="1"/>
    <n v="157.5"/>
    <n v="98.25"/>
    <n v="1"/>
    <s v=""/>
  </r>
  <r>
    <x v="117"/>
    <x v="117"/>
    <x v="0"/>
    <n v="154.62"/>
    <n v="6"/>
    <n v="154.62"/>
    <n v="98.9"/>
    <n v="6"/>
    <n v="1"/>
  </r>
  <r>
    <x v="13"/>
    <x v="13"/>
    <x v="1"/>
    <n v="154"/>
    <n v="15"/>
    <n v="154"/>
    <n v="81.59"/>
    <n v="15"/>
    <s v=""/>
  </r>
  <r>
    <x v="118"/>
    <x v="118"/>
    <x v="3"/>
    <n v="152.1"/>
    <n v="19"/>
    <n v="152.1"/>
    <n v="254.03"/>
    <n v="19"/>
    <s v=""/>
  </r>
  <r>
    <x v="119"/>
    <x v="119"/>
    <x v="1"/>
    <n v="150.78"/>
    <n v="6"/>
    <n v="100.52"/>
    <n v="75.84"/>
    <n v="4"/>
    <s v=""/>
  </r>
  <r>
    <x v="120"/>
    <x v="120"/>
    <x v="0"/>
    <n v="147.9"/>
    <n v="6"/>
    <n v="172.41"/>
    <n v="118.09"/>
    <n v="7"/>
    <n v="1"/>
  </r>
  <r>
    <x v="121"/>
    <x v="121"/>
    <x v="0"/>
    <n v="147.06"/>
    <n v="6"/>
    <n v="122.55"/>
    <n v="135"/>
    <n v="5"/>
    <n v="4"/>
  </r>
  <r>
    <x v="30"/>
    <x v="30"/>
    <x v="0"/>
    <n v="147.06"/>
    <n v="6"/>
    <n v="147.06"/>
    <n v="121.5"/>
    <n v="6"/>
    <n v="1"/>
  </r>
  <r>
    <x v="68"/>
    <x v="68"/>
    <x v="1"/>
    <n v="146.44"/>
    <n v="7"/>
    <n v="146.44"/>
    <n v="106.75"/>
    <n v="7"/>
    <n v="1"/>
  </r>
  <r>
    <x v="15"/>
    <x v="15"/>
    <x v="2"/>
    <n v="146.25"/>
    <n v="23"/>
    <n v="146.25"/>
    <n v="55.51"/>
    <n v="23"/>
    <s v=""/>
  </r>
  <r>
    <x v="122"/>
    <x v="122"/>
    <x v="1"/>
    <n v="144.54"/>
    <n v="12"/>
    <n v="144.54"/>
    <n v="118.8"/>
    <n v="12"/>
    <n v="2"/>
  </r>
  <r>
    <x v="68"/>
    <x v="68"/>
    <x v="6"/>
    <n v="144.06"/>
    <n v="7"/>
    <n v="144.06"/>
    <n v="106.75"/>
    <n v="7"/>
    <s v=""/>
  </r>
  <r>
    <x v="123"/>
    <x v="123"/>
    <x v="2"/>
    <n v="143.52000000000001"/>
    <n v="2"/>
    <n v="143.52000000000001"/>
    <n v="184"/>
    <n v="2"/>
    <s v=""/>
  </r>
  <r>
    <x v="124"/>
    <x v="124"/>
    <x v="0"/>
    <n v="143.05000000000001"/>
    <n v="5"/>
    <n v="143.05000000000001"/>
    <n v="122.44"/>
    <n v="5"/>
    <s v=""/>
  </r>
  <r>
    <x v="125"/>
    <x v="125"/>
    <x v="1"/>
    <n v="140.41999999999999"/>
    <n v="6"/>
    <n v="115.29"/>
    <n v="77.22"/>
    <n v="5"/>
    <n v="1"/>
  </r>
  <r>
    <x v="100"/>
    <x v="100"/>
    <x v="3"/>
    <n v="140.4"/>
    <n v="5"/>
    <n v="140.4"/>
    <n v="75.36"/>
    <n v="5"/>
    <n v="1"/>
  </r>
  <r>
    <x v="81"/>
    <x v="81"/>
    <x v="3"/>
    <n v="138.6"/>
    <n v="21"/>
    <n v="145.19999999999999"/>
    <n v="66.22"/>
    <n v="22"/>
    <s v=""/>
  </r>
  <r>
    <x v="18"/>
    <x v="18"/>
    <x v="6"/>
    <n v="138.24"/>
    <n v="3"/>
    <n v="138.24"/>
    <n v="108"/>
    <n v="3"/>
    <n v="1"/>
  </r>
  <r>
    <x v="2"/>
    <x v="2"/>
    <x v="1"/>
    <n v="136.31"/>
    <n v="12"/>
    <n v="121.09"/>
    <n v="72"/>
    <n v="12"/>
    <n v="4"/>
  </r>
  <r>
    <x v="51"/>
    <x v="51"/>
    <x v="3"/>
    <n v="136.19999999999999"/>
    <n v="15"/>
    <n v="145.28"/>
    <n v="96"/>
    <n v="16"/>
    <s v=""/>
  </r>
  <r>
    <x v="10"/>
    <x v="10"/>
    <x v="1"/>
    <n v="135.02000000000001"/>
    <n v="9"/>
    <n v="119.98"/>
    <n v="81.62"/>
    <n v="8"/>
    <s v=""/>
  </r>
  <r>
    <x v="101"/>
    <x v="101"/>
    <x v="2"/>
    <n v="134.52000000000001"/>
    <n v="6"/>
    <n v="134.52000000000001"/>
    <n v="82.82"/>
    <n v="6"/>
    <s v=""/>
  </r>
  <r>
    <x v="88"/>
    <x v="88"/>
    <x v="4"/>
    <n v="133.75"/>
    <n v="1"/>
    <n v="133.75"/>
    <n v="107.26"/>
    <n v="1"/>
    <s v=""/>
  </r>
  <r>
    <x v="105"/>
    <x v="105"/>
    <x v="2"/>
    <n v="133"/>
    <n v="4"/>
    <n v="99.75"/>
    <n v="70.459999999999994"/>
    <n v="3"/>
    <n v="1"/>
  </r>
  <r>
    <x v="20"/>
    <x v="20"/>
    <x v="2"/>
    <n v="132.63999999999999"/>
    <n v="8"/>
    <n v="132.63999999999999"/>
    <n v="112.48"/>
    <n v="8"/>
    <n v="1"/>
  </r>
  <r>
    <x v="122"/>
    <x v="122"/>
    <x v="0"/>
    <n v="132.43"/>
    <n v="12"/>
    <n v="132.43"/>
    <n v="112.56"/>
    <n v="12"/>
    <s v=""/>
  </r>
  <r>
    <x v="31"/>
    <x v="31"/>
    <x v="3"/>
    <n v="132"/>
    <n v="20"/>
    <n v="118.8"/>
    <n v="51.9"/>
    <n v="18"/>
    <s v=""/>
  </r>
  <r>
    <x v="126"/>
    <x v="126"/>
    <x v="3"/>
    <n v="131.91999999999999"/>
    <n v="4"/>
    <n v="98.94"/>
    <n v="77.58"/>
    <n v="3"/>
    <s v=""/>
  </r>
  <r>
    <x v="105"/>
    <x v="105"/>
    <x v="3"/>
    <n v="131.91999999999999"/>
    <n v="4"/>
    <n v="131.91999999999999"/>
    <n v="97.2"/>
    <n v="4"/>
    <n v="2"/>
  </r>
  <r>
    <x v="127"/>
    <x v="127"/>
    <x v="0"/>
    <n v="131.65"/>
    <n v="7"/>
    <n v="114.3"/>
    <n v="101.28"/>
    <n v="6"/>
    <n v="1"/>
  </r>
  <r>
    <x v="128"/>
    <x v="128"/>
    <x v="1"/>
    <n v="130.57"/>
    <n v="3"/>
    <n v="109.3"/>
    <n v="120"/>
    <n v="2"/>
    <s v=""/>
  </r>
  <r>
    <x v="2"/>
    <x v="2"/>
    <x v="3"/>
    <n v="129.30000000000001"/>
    <n v="9"/>
    <n v="159.46"/>
    <n v="66"/>
    <n v="11"/>
    <n v="1"/>
  </r>
  <r>
    <x v="129"/>
    <x v="129"/>
    <x v="0"/>
    <n v="129.21"/>
    <n v="5"/>
    <n v="184.61"/>
    <n v="81.27"/>
    <n v="7"/>
    <n v="2"/>
  </r>
  <r>
    <x v="60"/>
    <x v="60"/>
    <x v="1"/>
    <n v="127.02"/>
    <n v="11"/>
    <n v="127.02"/>
    <n v="106.7"/>
    <n v="11"/>
    <n v="1"/>
  </r>
  <r>
    <x v="97"/>
    <x v="97"/>
    <x v="3"/>
    <n v="125.68"/>
    <n v="3"/>
    <n v="125.68"/>
    <n v="71.88"/>
    <n v="3"/>
    <n v="1"/>
  </r>
  <r>
    <x v="117"/>
    <x v="117"/>
    <x v="1"/>
    <n v="125.65"/>
    <n v="5"/>
    <n v="125.65"/>
    <n v="83.35"/>
    <n v="5"/>
    <s v=""/>
  </r>
  <r>
    <x v="130"/>
    <x v="130"/>
    <x v="2"/>
    <n v="124.74"/>
    <n v="3"/>
    <n v="124.74"/>
    <n v="94.5"/>
    <n v="3"/>
    <n v="2"/>
  </r>
  <r>
    <x v="28"/>
    <x v="28"/>
    <x v="2"/>
    <n v="124.2"/>
    <n v="10"/>
    <n v="136.62"/>
    <n v="92.5"/>
    <n v="11"/>
    <n v="10"/>
  </r>
  <r>
    <x v="65"/>
    <x v="65"/>
    <x v="3"/>
    <n v="123.72"/>
    <n v="3"/>
    <n v="123.72"/>
    <n v="105"/>
    <n v="3"/>
    <s v=""/>
  </r>
  <r>
    <x v="18"/>
    <x v="18"/>
    <x v="3"/>
    <n v="123.72"/>
    <n v="3"/>
    <n v="123.72"/>
    <n v="108"/>
    <n v="3"/>
    <s v=""/>
  </r>
  <r>
    <x v="131"/>
    <x v="131"/>
    <x v="3"/>
    <n v="123.55"/>
    <n v="5"/>
    <n v="98.84"/>
    <n v="81"/>
    <n v="4"/>
    <n v="1"/>
  </r>
  <r>
    <x v="132"/>
    <x v="132"/>
    <x v="0"/>
    <n v="122.81"/>
    <n v="24"/>
    <n v="118.05"/>
    <n v="69"/>
    <n v="23"/>
    <s v=""/>
  </r>
  <r>
    <x v="65"/>
    <x v="65"/>
    <x v="0"/>
    <n v="122.7"/>
    <n v="3"/>
    <n v="122.7"/>
    <n v="105"/>
    <n v="3"/>
    <s v=""/>
  </r>
  <r>
    <x v="78"/>
    <x v="78"/>
    <x v="1"/>
    <n v="122.68"/>
    <n v="2"/>
    <n v="122.68"/>
    <n v="97.24"/>
    <n v="2"/>
    <s v=""/>
  </r>
  <r>
    <x v="115"/>
    <x v="115"/>
    <x v="2"/>
    <n v="122.63"/>
    <n v="10"/>
    <n v="122.63"/>
    <n v="80"/>
    <n v="10"/>
    <n v="1"/>
  </r>
  <r>
    <x v="72"/>
    <x v="72"/>
    <x v="0"/>
    <n v="121.73"/>
    <n v="7"/>
    <n v="121.73"/>
    <n v="92.23"/>
    <n v="7"/>
    <n v="2"/>
  </r>
  <r>
    <x v="77"/>
    <x v="77"/>
    <x v="1"/>
    <n v="121.33"/>
    <n v="2"/>
    <n v="121.33"/>
    <n v="107.42"/>
    <n v="2"/>
    <s v=""/>
  </r>
  <r>
    <x v="133"/>
    <x v="133"/>
    <x v="3"/>
    <n v="119.92"/>
    <n v="3"/>
    <n v="119.92"/>
    <n v="66.900000000000006"/>
    <n v="3"/>
    <s v=""/>
  </r>
  <r>
    <x v="48"/>
    <x v="48"/>
    <x v="1"/>
    <n v="118.23"/>
    <n v="3"/>
    <n v="118.23"/>
    <n v="89.76"/>
    <n v="3"/>
    <n v="1"/>
  </r>
  <r>
    <x v="84"/>
    <x v="84"/>
    <x v="3"/>
    <n v="118.15"/>
    <n v="19"/>
    <n v="118.15"/>
    <n v="75.599999999999994"/>
    <n v="19"/>
    <s v=""/>
  </r>
  <r>
    <x v="134"/>
    <x v="134"/>
    <x v="3"/>
    <n v="117.41"/>
    <n v="1"/>
    <n v="234.82"/>
    <n v="204.64"/>
    <n v="2"/>
    <s v=""/>
  </r>
  <r>
    <x v="135"/>
    <x v="135"/>
    <x v="0"/>
    <n v="117.36"/>
    <n v="8"/>
    <n v="102.69"/>
    <n v="70"/>
    <n v="7"/>
    <s v=""/>
  </r>
  <r>
    <x v="136"/>
    <x v="136"/>
    <x v="2"/>
    <n v="115.5"/>
    <n v="3"/>
    <n v="192.5"/>
    <n v="220"/>
    <n v="5"/>
    <n v="3"/>
  </r>
  <r>
    <x v="137"/>
    <x v="137"/>
    <x v="0"/>
    <n v="115.44"/>
    <n v="8"/>
    <n v="89.04"/>
    <n v="70.680000000000007"/>
    <n v="6"/>
    <n v="2"/>
  </r>
  <r>
    <x v="24"/>
    <x v="24"/>
    <x v="3"/>
    <n v="114.52"/>
    <n v="14"/>
    <n v="106.34"/>
    <n v="74.349999999999994"/>
    <n v="13"/>
    <n v="2"/>
  </r>
  <r>
    <x v="86"/>
    <x v="86"/>
    <x v="3"/>
    <n v="113.58"/>
    <n v="6"/>
    <n v="113.58"/>
    <n v="83.7"/>
    <n v="6"/>
    <s v=""/>
  </r>
  <r>
    <x v="123"/>
    <x v="123"/>
    <x v="1"/>
    <n v="113.27"/>
    <n v="3"/>
    <n v="113.27"/>
    <n v="276"/>
    <n v="3"/>
    <n v="1"/>
  </r>
  <r>
    <x v="138"/>
    <x v="138"/>
    <x v="2"/>
    <n v="113.22"/>
    <n v="17"/>
    <n v="273.06"/>
    <n v="163.80000000000001"/>
    <n v="41"/>
    <n v="32"/>
  </r>
  <r>
    <x v="125"/>
    <x v="125"/>
    <x v="3"/>
    <n v="112.41"/>
    <n v="5"/>
    <n v="91.41"/>
    <n v="57.92"/>
    <n v="4"/>
    <s v=""/>
  </r>
  <r>
    <x v="22"/>
    <x v="22"/>
    <x v="0"/>
    <n v="112.32"/>
    <n v="4"/>
    <n v="112.32"/>
    <n v="83.6"/>
    <n v="4"/>
    <n v="4"/>
  </r>
  <r>
    <x v="73"/>
    <x v="73"/>
    <x v="0"/>
    <n v="109.67"/>
    <n v="6"/>
    <n v="109.67"/>
    <n v="44.58"/>
    <n v="6"/>
    <n v="1"/>
  </r>
  <r>
    <x v="45"/>
    <x v="45"/>
    <x v="1"/>
    <n v="108.4"/>
    <n v="1"/>
    <n v="108.4"/>
    <n v="80.8"/>
    <n v="1"/>
    <n v="1"/>
  </r>
  <r>
    <x v="46"/>
    <x v="46"/>
    <x v="2"/>
    <n v="108.18"/>
    <n v="2"/>
    <n v="108.18"/>
    <n v="74.3"/>
    <n v="2"/>
    <n v="1"/>
  </r>
  <r>
    <x v="75"/>
    <x v="75"/>
    <x v="3"/>
    <n v="107.86"/>
    <n v="2"/>
    <n v="55.89"/>
    <n v="61.04"/>
    <n v="1"/>
    <s v=""/>
  </r>
  <r>
    <x v="50"/>
    <x v="50"/>
    <x v="4"/>
    <n v="106.89"/>
    <n v="6"/>
    <n v="75.13"/>
    <n v="43.81"/>
    <n v="4"/>
    <s v=""/>
  </r>
  <r>
    <x v="139"/>
    <x v="139"/>
    <x v="1"/>
    <n v="106.26"/>
    <n v="3"/>
    <n v="106.26"/>
    <n v="0"/>
    <n v="3"/>
    <n v="2"/>
  </r>
  <r>
    <x v="133"/>
    <x v="133"/>
    <x v="2"/>
    <n v="104.86"/>
    <n v="3"/>
    <n v="104.86"/>
    <n v="65.7"/>
    <n v="3"/>
    <n v="4"/>
  </r>
  <r>
    <x v="140"/>
    <x v="140"/>
    <x v="2"/>
    <n v="103.75"/>
    <n v="5"/>
    <n v="103.75"/>
    <n v="70.900000000000006"/>
    <n v="5"/>
    <s v=""/>
  </r>
  <r>
    <x v="141"/>
    <x v="141"/>
    <x v="1"/>
    <n v="102.81"/>
    <n v="2"/>
    <n v="164.19"/>
    <n v="78"/>
    <n v="3"/>
    <s v=""/>
  </r>
  <r>
    <x v="3"/>
    <x v="3"/>
    <x v="4"/>
    <n v="100.56"/>
    <n v="7"/>
    <n v="86.58"/>
    <n v="44.37"/>
    <n v="6"/>
    <s v=""/>
  </r>
  <r>
    <x v="74"/>
    <x v="74"/>
    <x v="1"/>
    <n v="100"/>
    <n v="1"/>
    <n v="100"/>
    <n v="77"/>
    <n v="1"/>
    <s v=""/>
  </r>
  <r>
    <x v="111"/>
    <x v="111"/>
    <x v="0"/>
    <n v="98.22"/>
    <n v="1"/>
    <n v="98.22"/>
    <n v="75"/>
    <n v="1"/>
    <n v="1"/>
  </r>
  <r>
    <x v="142"/>
    <x v="142"/>
    <x v="0"/>
    <n v="98.08"/>
    <n v="2"/>
    <n v="98.08"/>
    <n v="79.8"/>
    <n v="2"/>
    <n v="3"/>
  </r>
  <r>
    <x v="143"/>
    <x v="143"/>
    <x v="5"/>
    <n v="97.71"/>
    <n v="11"/>
    <n v="81.28"/>
    <n v="35.51"/>
    <n v="9"/>
    <s v=""/>
  </r>
  <r>
    <x v="69"/>
    <x v="69"/>
    <x v="5"/>
    <n v="97.11"/>
    <n v="12"/>
    <n v="88.53"/>
    <n v="34.51"/>
    <n v="11"/>
    <n v="1"/>
  </r>
  <r>
    <x v="37"/>
    <x v="37"/>
    <x v="4"/>
    <n v="96.81"/>
    <n v="5"/>
    <n v="96.81"/>
    <n v="68.92"/>
    <n v="5"/>
    <s v=""/>
  </r>
  <r>
    <x v="144"/>
    <x v="144"/>
    <x v="2"/>
    <n v="95.66"/>
    <n v="8"/>
    <n v="95.66"/>
    <n v="58.52"/>
    <n v="8"/>
    <s v=""/>
  </r>
  <r>
    <x v="145"/>
    <x v="145"/>
    <x v="2"/>
    <n v="95.45"/>
    <n v="2"/>
    <n v="95.45"/>
    <n v="59.08"/>
    <n v="2"/>
    <n v="1"/>
  </r>
  <r>
    <x v="103"/>
    <x v="103"/>
    <x v="0"/>
    <n v="93.85"/>
    <n v="5"/>
    <n v="93.85"/>
    <n v="62.77"/>
    <n v="5"/>
    <n v="2"/>
  </r>
  <r>
    <x v="21"/>
    <x v="21"/>
    <x v="1"/>
    <n v="93.44"/>
    <n v="5"/>
    <n v="93.44"/>
    <n v="70"/>
    <n v="5"/>
    <s v=""/>
  </r>
  <r>
    <x v="107"/>
    <x v="107"/>
    <x v="0"/>
    <n v="93.23"/>
    <n v="5"/>
    <n v="93.23"/>
    <n v="39.35"/>
    <n v="5"/>
    <s v=""/>
  </r>
  <r>
    <x v="146"/>
    <x v="146"/>
    <x v="0"/>
    <n v="92.19"/>
    <n v="3"/>
    <n v="116.7"/>
    <n v="72"/>
    <n v="4"/>
    <n v="5"/>
  </r>
  <r>
    <x v="147"/>
    <x v="147"/>
    <x v="3"/>
    <n v="91.74"/>
    <n v="6"/>
    <n v="76.45"/>
    <n v="75.05"/>
    <n v="5"/>
    <n v="1"/>
  </r>
  <r>
    <x v="104"/>
    <x v="104"/>
    <x v="0"/>
    <n v="91.63"/>
    <n v="2"/>
    <n v="91.63"/>
    <n v="67.5"/>
    <n v="2"/>
    <n v="1"/>
  </r>
  <r>
    <x v="148"/>
    <x v="148"/>
    <x v="1"/>
    <n v="91.6"/>
    <n v="1"/>
    <n v="91.6"/>
    <n v="48"/>
    <n v="1"/>
    <n v="1"/>
  </r>
  <r>
    <x v="149"/>
    <x v="149"/>
    <x v="0"/>
    <n v="88.34"/>
    <n v="2"/>
    <n v="88.34"/>
    <n v="58.14"/>
    <n v="2"/>
    <n v="3"/>
  </r>
  <r>
    <x v="150"/>
    <x v="150"/>
    <x v="0"/>
    <n v="88.2"/>
    <n v="4"/>
    <n v="66.150000000000006"/>
    <n v="38.85"/>
    <n v="3"/>
    <s v=""/>
  </r>
  <r>
    <x v="151"/>
    <x v="151"/>
    <x v="0"/>
    <n v="87.72"/>
    <n v="2"/>
    <n v="87.72"/>
    <n v="44.08"/>
    <n v="2"/>
    <n v="1"/>
  </r>
  <r>
    <x v="69"/>
    <x v="69"/>
    <x v="1"/>
    <n v="87.01"/>
    <n v="12"/>
    <n v="87.01"/>
    <n v="36.36"/>
    <n v="12"/>
    <s v=""/>
  </r>
  <r>
    <x v="63"/>
    <x v="63"/>
    <x v="0"/>
    <n v="86.86"/>
    <n v="1"/>
    <n v="86.86"/>
    <n v="66.5"/>
    <n v="1"/>
    <s v=""/>
  </r>
  <r>
    <x v="152"/>
    <x v="152"/>
    <x v="3"/>
    <n v="85.74"/>
    <n v="1"/>
    <n v="85.74"/>
    <n v="91.35"/>
    <n v="1"/>
    <s v=""/>
  </r>
  <r>
    <x v="143"/>
    <x v="143"/>
    <x v="0"/>
    <n v="84.03"/>
    <n v="11"/>
    <n v="84.03"/>
    <n v="45.43"/>
    <n v="11"/>
    <s v=""/>
  </r>
  <r>
    <x v="29"/>
    <x v="29"/>
    <x v="6"/>
    <n v="83.82"/>
    <n v="6"/>
    <n v="55.88"/>
    <n v="38"/>
    <n v="4"/>
    <n v="3"/>
  </r>
  <r>
    <x v="66"/>
    <x v="66"/>
    <x v="2"/>
    <n v="83.59"/>
    <n v="3"/>
    <n v="83.59"/>
    <n v="49.95"/>
    <n v="3"/>
    <s v=""/>
  </r>
  <r>
    <x v="115"/>
    <x v="115"/>
    <x v="1"/>
    <n v="83.32"/>
    <n v="7"/>
    <n v="71.67"/>
    <n v="48"/>
    <n v="6"/>
    <n v="2"/>
  </r>
  <r>
    <x v="153"/>
    <x v="153"/>
    <x v="0"/>
    <n v="83.1"/>
    <n v="6"/>
    <n v="83.1"/>
    <n v="67.5"/>
    <n v="6"/>
    <s v=""/>
  </r>
  <r>
    <x v="111"/>
    <x v="111"/>
    <x v="2"/>
    <n v="82.5"/>
    <n v="1"/>
    <n v="82.5"/>
    <n v="75"/>
    <n v="1"/>
    <n v="1"/>
  </r>
  <r>
    <x v="154"/>
    <x v="154"/>
    <x v="3"/>
    <n v="82.48"/>
    <n v="2"/>
    <n v="82.48"/>
    <n v="53.32"/>
    <n v="2"/>
    <n v="1"/>
  </r>
  <r>
    <x v="130"/>
    <x v="130"/>
    <x v="3"/>
    <n v="82.48"/>
    <n v="2"/>
    <n v="82.48"/>
    <n v="63"/>
    <n v="2"/>
    <s v=""/>
  </r>
  <r>
    <x v="0"/>
    <x v="0"/>
    <x v="6"/>
    <n v="82.25"/>
    <n v="5"/>
    <n v="82.25"/>
    <n v="62.72"/>
    <n v="5"/>
    <n v="1"/>
  </r>
  <r>
    <x v="155"/>
    <x v="155"/>
    <x v="0"/>
    <n v="81.55"/>
    <n v="5"/>
    <n v="97.86"/>
    <n v="60.16"/>
    <n v="6"/>
    <s v=""/>
  </r>
  <r>
    <x v="64"/>
    <x v="64"/>
    <x v="3"/>
    <n v="81.06"/>
    <n v="3"/>
    <n v="81.06"/>
    <n v="44.88"/>
    <n v="3"/>
    <n v="3"/>
  </r>
  <r>
    <x v="156"/>
    <x v="156"/>
    <x v="0"/>
    <n v="81.040000000000006"/>
    <n v="4"/>
    <n v="81.040000000000006"/>
    <n v="30"/>
    <n v="4"/>
    <s v=""/>
  </r>
  <r>
    <x v="33"/>
    <x v="33"/>
    <x v="6"/>
    <n v="81.040000000000006"/>
    <n v="2"/>
    <n v="81.040000000000006"/>
    <n v="53"/>
    <n v="2"/>
    <s v=""/>
  </r>
  <r>
    <x v="109"/>
    <x v="109"/>
    <x v="0"/>
    <n v="80.010000000000005"/>
    <n v="4"/>
    <n v="80.010000000000005"/>
    <n v="51.18"/>
    <n v="4"/>
    <n v="1"/>
  </r>
  <r>
    <x v="83"/>
    <x v="83"/>
    <x v="2"/>
    <n v="79.92"/>
    <n v="12"/>
    <n v="79.92"/>
    <n v="30.71"/>
    <n v="12"/>
    <s v=""/>
  </r>
  <r>
    <x v="42"/>
    <x v="42"/>
    <x v="0"/>
    <n v="79.12"/>
    <n v="5"/>
    <n v="95.02"/>
    <n v="52.8"/>
    <n v="6"/>
    <n v="2"/>
  </r>
  <r>
    <x v="157"/>
    <x v="157"/>
    <x v="1"/>
    <n v="78.16"/>
    <n v="1"/>
    <n v="78.16"/>
    <n v="37.130000000000003"/>
    <n v="1"/>
    <s v=""/>
  </r>
  <r>
    <x v="69"/>
    <x v="69"/>
    <x v="3"/>
    <n v="78.09"/>
    <n v="12"/>
    <n v="78.239999999999995"/>
    <n v="37.32"/>
    <n v="12"/>
    <s v=""/>
  </r>
  <r>
    <x v="111"/>
    <x v="111"/>
    <x v="3"/>
    <n v="76.91"/>
    <n v="1"/>
    <n v="76.91"/>
    <n v="80.75"/>
    <n v="1"/>
    <s v=""/>
  </r>
  <r>
    <x v="158"/>
    <x v="158"/>
    <x v="2"/>
    <n v="76.7"/>
    <n v="4"/>
    <n v="55.95"/>
    <n v="47.25"/>
    <n v="3"/>
    <s v=""/>
  </r>
  <r>
    <x v="123"/>
    <x v="123"/>
    <x v="6"/>
    <n v="75.94"/>
    <n v="2"/>
    <n v="75.94"/>
    <n v="184"/>
    <n v="2"/>
    <s v=""/>
  </r>
  <r>
    <x v="103"/>
    <x v="103"/>
    <x v="3"/>
    <n v="75.72"/>
    <n v="4"/>
    <n v="56.79"/>
    <n v="41.85"/>
    <n v="3"/>
    <s v=""/>
  </r>
  <r>
    <x v="33"/>
    <x v="33"/>
    <x v="1"/>
    <n v="75.39"/>
    <n v="3"/>
    <n v="75.39"/>
    <n v="79.5"/>
    <n v="3"/>
    <s v=""/>
  </r>
  <r>
    <x v="107"/>
    <x v="107"/>
    <x v="1"/>
    <n v="75.12"/>
    <n v="6"/>
    <n v="75.12"/>
    <n v="47.22"/>
    <n v="6"/>
    <n v="4"/>
  </r>
  <r>
    <x v="159"/>
    <x v="159"/>
    <x v="5"/>
    <n v="74.95"/>
    <n v="4"/>
    <n v="74.95"/>
    <n v="96.48"/>
    <n v="4"/>
    <s v=""/>
  </r>
  <r>
    <x v="160"/>
    <x v="160"/>
    <x v="2"/>
    <n v="74.84"/>
    <n v="2"/>
    <n v="74.84"/>
    <n v="67.5"/>
    <n v="2"/>
    <n v="1"/>
  </r>
  <r>
    <x v="161"/>
    <x v="161"/>
    <x v="3"/>
    <n v="74.77"/>
    <n v="4"/>
    <n v="51.78"/>
    <n v="75"/>
    <n v="3"/>
    <s v=""/>
  </r>
  <r>
    <x v="90"/>
    <x v="90"/>
    <x v="2"/>
    <n v="74.760000000000005"/>
    <n v="3"/>
    <n v="74.760000000000005"/>
    <n v="57.9"/>
    <n v="3"/>
    <s v=""/>
  </r>
  <r>
    <x v="117"/>
    <x v="117"/>
    <x v="2"/>
    <n v="74.760000000000005"/>
    <n v="3"/>
    <n v="74.760000000000005"/>
    <n v="60.15"/>
    <n v="3"/>
    <n v="1"/>
  </r>
  <r>
    <x v="162"/>
    <x v="162"/>
    <x v="1"/>
    <n v="74.430000000000007"/>
    <n v="1"/>
    <n v="74.430000000000007"/>
    <n v="55"/>
    <n v="1"/>
    <s v=""/>
  </r>
  <r>
    <x v="140"/>
    <x v="140"/>
    <x v="3"/>
    <n v="74.13"/>
    <n v="3"/>
    <n v="74.13"/>
    <n v="42.54"/>
    <n v="3"/>
    <n v="1"/>
  </r>
  <r>
    <x v="106"/>
    <x v="106"/>
    <x v="3"/>
    <n v="74.13"/>
    <n v="3"/>
    <n v="74.13"/>
    <n v="54"/>
    <n v="3"/>
    <s v=""/>
  </r>
  <r>
    <x v="63"/>
    <x v="63"/>
    <x v="5"/>
    <n v="73.52"/>
    <n v="1"/>
    <n v="73.52"/>
    <n v="71.11"/>
    <n v="1"/>
    <s v=""/>
  </r>
  <r>
    <x v="163"/>
    <x v="163"/>
    <x v="0"/>
    <n v="72.989999999999995"/>
    <n v="9"/>
    <n v="72.989999999999995"/>
    <n v="35.28"/>
    <n v="9"/>
    <n v="2"/>
  </r>
  <r>
    <x v="20"/>
    <x v="20"/>
    <x v="5"/>
    <n v="72.430000000000007"/>
    <n v="4"/>
    <n v="72.430000000000007"/>
    <n v="56"/>
    <n v="4"/>
    <n v="1"/>
  </r>
  <r>
    <x v="164"/>
    <x v="164"/>
    <x v="2"/>
    <n v="72.36"/>
    <n v="2"/>
    <n v="72.36"/>
    <n v="47.24"/>
    <n v="2"/>
    <n v="4"/>
  </r>
  <r>
    <x v="65"/>
    <x v="65"/>
    <x v="6"/>
    <n v="71.41"/>
    <n v="2"/>
    <n v="41.24"/>
    <n v="35"/>
    <n v="1"/>
    <s v=""/>
  </r>
  <r>
    <x v="113"/>
    <x v="113"/>
    <x v="2"/>
    <n v="70.540000000000006"/>
    <n v="7"/>
    <n v="70.540000000000006"/>
    <n v="33.93"/>
    <n v="7"/>
    <n v="1"/>
  </r>
  <r>
    <x v="93"/>
    <x v="93"/>
    <x v="2"/>
    <n v="69.180000000000007"/>
    <n v="4"/>
    <n v="69.180000000000007"/>
    <n v="39.24"/>
    <n v="4"/>
    <n v="1"/>
  </r>
  <r>
    <x v="89"/>
    <x v="89"/>
    <x v="1"/>
    <n v="68.81"/>
    <n v="7"/>
    <n v="68.81"/>
    <n v="56.07"/>
    <n v="7"/>
    <n v="2"/>
  </r>
  <r>
    <x v="64"/>
    <x v="64"/>
    <x v="2"/>
    <n v="67.260000000000005"/>
    <n v="3"/>
    <n v="89.68"/>
    <n v="59.84"/>
    <n v="4"/>
    <s v=""/>
  </r>
  <r>
    <x v="165"/>
    <x v="165"/>
    <x v="4"/>
    <n v="67.09"/>
    <n v="2"/>
    <n v="67.09"/>
    <n v="48.49"/>
    <n v="2"/>
    <s v=""/>
  </r>
  <r>
    <x v="166"/>
    <x v="166"/>
    <x v="2"/>
    <n v="66.58"/>
    <n v="1"/>
    <n v="66.58"/>
    <n v="55.68"/>
    <n v="1"/>
    <s v=""/>
  </r>
  <r>
    <x v="159"/>
    <x v="159"/>
    <x v="2"/>
    <n v="66.5"/>
    <n v="2"/>
    <n v="66.5"/>
    <n v="53"/>
    <n v="2"/>
    <s v=""/>
  </r>
  <r>
    <x v="167"/>
    <x v="167"/>
    <x v="2"/>
    <n v="66.5"/>
    <n v="2"/>
    <n v="66.5"/>
    <n v="54"/>
    <n v="2"/>
    <n v="2"/>
  </r>
  <r>
    <x v="168"/>
    <x v="168"/>
    <x v="0"/>
    <n v="66.150000000000006"/>
    <n v="3"/>
    <n v="66.150000000000006"/>
    <n v="46.2"/>
    <n v="3"/>
    <s v=""/>
  </r>
  <r>
    <x v="152"/>
    <x v="152"/>
    <x v="5"/>
    <n v="66.12"/>
    <n v="1"/>
    <n v="132.79"/>
    <n v="189.45"/>
    <n v="2"/>
    <s v=""/>
  </r>
  <r>
    <x v="107"/>
    <x v="107"/>
    <x v="2"/>
    <n v="65.83"/>
    <n v="4"/>
    <n v="82.49"/>
    <n v="39.35"/>
    <n v="5"/>
    <n v="3"/>
  </r>
  <r>
    <x v="93"/>
    <x v="93"/>
    <x v="3"/>
    <n v="65.8"/>
    <n v="4"/>
    <n v="65.8"/>
    <n v="39.24"/>
    <n v="4"/>
    <n v="1"/>
  </r>
  <r>
    <x v="169"/>
    <x v="169"/>
    <x v="4"/>
    <n v="65.599999999999994"/>
    <n v="2"/>
    <n v="65.599999999999994"/>
    <n v="48.49"/>
    <n v="2"/>
    <s v=""/>
  </r>
  <r>
    <x v="170"/>
    <x v="170"/>
    <x v="0"/>
    <n v="65.400000000000006"/>
    <n v="2"/>
    <n v="32.700000000000003"/>
    <n v="24.75"/>
    <n v="1"/>
    <s v=""/>
  </r>
  <r>
    <x v="171"/>
    <x v="171"/>
    <x v="0"/>
    <n v="65.239999999999995"/>
    <n v="4"/>
    <n v="65.239999999999995"/>
    <n v="44.8"/>
    <n v="4"/>
    <s v=""/>
  </r>
  <r>
    <x v="108"/>
    <x v="108"/>
    <x v="1"/>
    <n v="65.040000000000006"/>
    <n v="6"/>
    <n v="54.2"/>
    <n v="33"/>
    <n v="5"/>
    <n v="8"/>
  </r>
  <r>
    <x v="44"/>
    <x v="44"/>
    <x v="5"/>
    <n v="64.040000000000006"/>
    <n v="2"/>
    <n v="31.69"/>
    <n v="22.59"/>
    <n v="1"/>
    <n v="1"/>
  </r>
  <r>
    <x v="172"/>
    <x v="172"/>
    <x v="0"/>
    <n v="62.39"/>
    <n v="3"/>
    <n v="62.39"/>
    <n v="38.65"/>
    <n v="3"/>
    <n v="22"/>
  </r>
  <r>
    <x v="68"/>
    <x v="68"/>
    <x v="2"/>
    <n v="62.25"/>
    <n v="3"/>
    <n v="62.25"/>
    <n v="44.21"/>
    <n v="3"/>
    <n v="1"/>
  </r>
  <r>
    <x v="109"/>
    <x v="109"/>
    <x v="2"/>
    <n v="62.25"/>
    <n v="3"/>
    <n v="62.25"/>
    <n v="35.43"/>
    <n v="3"/>
    <n v="1"/>
  </r>
  <r>
    <x v="173"/>
    <x v="173"/>
    <x v="4"/>
    <n v="62.18"/>
    <n v="1"/>
    <n v="62.18"/>
    <n v="70.239999999999995"/>
    <n v="1"/>
    <s v=""/>
  </r>
  <r>
    <x v="174"/>
    <x v="174"/>
    <x v="3"/>
    <n v="61.57"/>
    <n v="1"/>
    <n v="61.57"/>
    <n v="42.8"/>
    <n v="1"/>
    <s v=""/>
  </r>
  <r>
    <x v="135"/>
    <x v="135"/>
    <x v="1"/>
    <n v="60.16"/>
    <n v="4"/>
    <n v="45.12"/>
    <n v="30"/>
    <n v="3"/>
    <s v=""/>
  </r>
  <r>
    <x v="125"/>
    <x v="125"/>
    <x v="4"/>
    <n v="59.12"/>
    <n v="5"/>
    <n v="59.12"/>
    <n v="115.7"/>
    <n v="5"/>
    <s v=""/>
  </r>
  <r>
    <x v="175"/>
    <x v="175"/>
    <x v="1"/>
    <n v="58.74"/>
    <n v="1"/>
    <n v="58.74"/>
    <n v="51.75"/>
    <n v="1"/>
    <s v=""/>
  </r>
  <r>
    <x v="144"/>
    <x v="144"/>
    <x v="0"/>
    <n v="58.74"/>
    <n v="6"/>
    <n v="37.5"/>
    <n v="30"/>
    <n v="4"/>
    <s v=""/>
  </r>
  <r>
    <x v="176"/>
    <x v="176"/>
    <x v="0"/>
    <n v="58.41"/>
    <n v="14"/>
    <n v="58.18"/>
    <n v="13.55"/>
    <n v="14"/>
    <s v=""/>
  </r>
  <r>
    <x v="26"/>
    <x v="26"/>
    <x v="2"/>
    <n v="58.25"/>
    <n v="1"/>
    <n v="58.25"/>
    <n v="46.4"/>
    <n v="1"/>
    <s v=""/>
  </r>
  <r>
    <x v="177"/>
    <x v="177"/>
    <x v="0"/>
    <n v="58.2"/>
    <n v="1"/>
    <n v="113.06"/>
    <n v="67.319999999999993"/>
    <n v="2"/>
    <s v=""/>
  </r>
  <r>
    <x v="178"/>
    <x v="178"/>
    <x v="3"/>
    <n v="58.01"/>
    <n v="1"/>
    <n v="58.01"/>
    <n v="52"/>
    <n v="1"/>
    <n v="1"/>
  </r>
  <r>
    <x v="38"/>
    <x v="38"/>
    <x v="3"/>
    <n v="57.77"/>
    <n v="1"/>
    <n v="57.77"/>
    <n v="45"/>
    <n v="1"/>
    <s v=""/>
  </r>
  <r>
    <x v="55"/>
    <x v="55"/>
    <x v="3"/>
    <n v="57.77"/>
    <n v="1"/>
    <n v="57.77"/>
    <n v="48.02"/>
    <n v="1"/>
    <s v=""/>
  </r>
  <r>
    <x v="26"/>
    <x v="26"/>
    <x v="3"/>
    <n v="57.77"/>
    <n v="1"/>
    <n v="57.77"/>
    <n v="46.4"/>
    <n v="1"/>
    <n v="2"/>
  </r>
  <r>
    <x v="179"/>
    <x v="179"/>
    <x v="3"/>
    <n v="57.68"/>
    <n v="2"/>
    <n v="28.84"/>
    <n v="22.5"/>
    <n v="1"/>
    <n v="1"/>
  </r>
  <r>
    <x v="7"/>
    <x v="7"/>
    <x v="1"/>
    <n v="56.55"/>
    <n v="4"/>
    <n v="56.55"/>
    <n v="38.85"/>
    <n v="4"/>
    <n v="8"/>
  </r>
  <r>
    <x v="113"/>
    <x v="113"/>
    <x v="3"/>
    <n v="56.3"/>
    <n v="5"/>
    <n v="56.3"/>
    <n v="26.39"/>
    <n v="5"/>
    <n v="2"/>
  </r>
  <r>
    <x v="32"/>
    <x v="32"/>
    <x v="3"/>
    <n v="55.88"/>
    <n v="4"/>
    <n v="69.849999999999994"/>
    <n v="52.5"/>
    <n v="5"/>
    <s v=""/>
  </r>
  <r>
    <x v="180"/>
    <x v="180"/>
    <x v="2"/>
    <n v="55.62"/>
    <n v="1"/>
    <n v="55.62"/>
    <n v="33.21"/>
    <n v="1"/>
    <s v=""/>
  </r>
  <r>
    <x v="181"/>
    <x v="181"/>
    <x v="3"/>
    <n v="54.9"/>
    <n v="1"/>
    <n v="54.9"/>
    <n v="67"/>
    <n v="1"/>
    <s v=""/>
  </r>
  <r>
    <x v="182"/>
    <x v="182"/>
    <x v="0"/>
    <n v="54.55"/>
    <n v="2"/>
    <n v="54.55"/>
    <n v="41.76"/>
    <n v="2"/>
    <s v=""/>
  </r>
  <r>
    <x v="59"/>
    <x v="59"/>
    <x v="2"/>
    <n v="54.53"/>
    <n v="1"/>
    <n v="54.53"/>
    <n v="42.07"/>
    <n v="1"/>
    <s v=""/>
  </r>
  <r>
    <x v="30"/>
    <x v="30"/>
    <x v="5"/>
    <n v="54.34"/>
    <n v="2"/>
    <n v="54.34"/>
    <n v="34.479999999999997"/>
    <n v="2"/>
    <s v=""/>
  </r>
  <r>
    <x v="3"/>
    <x v="3"/>
    <x v="5"/>
    <n v="54.24"/>
    <n v="4"/>
    <n v="54.24"/>
    <n v="31.51"/>
    <n v="4"/>
    <s v=""/>
  </r>
  <r>
    <x v="106"/>
    <x v="106"/>
    <x v="2"/>
    <n v="53.48"/>
    <n v="3"/>
    <n v="53.48"/>
    <n v="54"/>
    <n v="3"/>
    <s v=""/>
  </r>
  <r>
    <x v="183"/>
    <x v="183"/>
    <x v="0"/>
    <n v="52.72"/>
    <n v="4"/>
    <n v="65.64"/>
    <n v="48.1"/>
    <n v="5"/>
    <s v=""/>
  </r>
  <r>
    <x v="159"/>
    <x v="159"/>
    <x v="1"/>
    <n v="52.59"/>
    <n v="3"/>
    <n v="52.59"/>
    <n v="71.55"/>
    <n v="3"/>
    <s v=""/>
  </r>
  <r>
    <x v="85"/>
    <x v="85"/>
    <x v="0"/>
    <n v="52.22"/>
    <n v="4"/>
    <n v="40.17"/>
    <n v="22.48"/>
    <n v="3"/>
    <n v="1"/>
  </r>
  <r>
    <x v="2"/>
    <x v="2"/>
    <x v="5"/>
    <n v="51.76"/>
    <n v="5"/>
    <n v="41.74"/>
    <n v="24.12"/>
    <n v="4"/>
    <n v="1"/>
  </r>
  <r>
    <x v="121"/>
    <x v="121"/>
    <x v="5"/>
    <n v="51.59"/>
    <n v="2"/>
    <n v="27.16"/>
    <n v="28.28"/>
    <n v="1"/>
    <n v="1"/>
  </r>
  <r>
    <x v="56"/>
    <x v="56"/>
    <x v="2"/>
    <n v="50.41"/>
    <n v="2"/>
    <n v="50.41"/>
    <n v="43.72"/>
    <n v="2"/>
    <n v="2"/>
  </r>
  <r>
    <x v="145"/>
    <x v="145"/>
    <x v="1"/>
    <n v="50.34"/>
    <n v="1"/>
    <n v="50.34"/>
    <n v="29.54"/>
    <n v="1"/>
    <s v=""/>
  </r>
  <r>
    <x v="131"/>
    <x v="131"/>
    <x v="1"/>
    <n v="50.26"/>
    <n v="2"/>
    <n v="50.26"/>
    <n v="40.5"/>
    <n v="2"/>
    <s v=""/>
  </r>
  <r>
    <x v="184"/>
    <x v="184"/>
    <x v="0"/>
    <n v="50.2"/>
    <n v="2"/>
    <n v="50.2"/>
    <n v="22"/>
    <n v="2"/>
    <s v=""/>
  </r>
  <r>
    <x v="146"/>
    <x v="146"/>
    <x v="2"/>
    <n v="49.84"/>
    <n v="2"/>
    <n v="49.84"/>
    <n v="36"/>
    <n v="2"/>
    <s v=""/>
  </r>
  <r>
    <x v="185"/>
    <x v="185"/>
    <x v="2"/>
    <n v="49.84"/>
    <n v="2"/>
    <n v="49.84"/>
    <n v="27.76"/>
    <n v="2"/>
    <s v=""/>
  </r>
  <r>
    <x v="50"/>
    <x v="50"/>
    <x v="2"/>
    <n v="49.74"/>
    <n v="3"/>
    <n v="49.74"/>
    <n v="33.75"/>
    <n v="3"/>
    <n v="2"/>
  </r>
  <r>
    <x v="186"/>
    <x v="186"/>
    <x v="3"/>
    <n v="49.5"/>
    <n v="1"/>
    <n v="49.5"/>
    <n v="28.04"/>
    <n v="1"/>
    <n v="1"/>
  </r>
  <r>
    <x v="87"/>
    <x v="87"/>
    <x v="3"/>
    <n v="49.5"/>
    <n v="1"/>
    <n v="49.5"/>
    <n v="40.5"/>
    <n v="1"/>
    <s v=""/>
  </r>
  <r>
    <x v="40"/>
    <x v="40"/>
    <x v="6"/>
    <n v="49.5"/>
    <n v="1"/>
    <n v="49.5"/>
    <n v="40.5"/>
    <n v="1"/>
    <s v=""/>
  </r>
  <r>
    <x v="185"/>
    <x v="185"/>
    <x v="3"/>
    <n v="49.42"/>
    <n v="2"/>
    <n v="73.39"/>
    <n v="42.56"/>
    <n v="3"/>
    <s v=""/>
  </r>
  <r>
    <x v="50"/>
    <x v="50"/>
    <x v="6"/>
    <n v="49.4"/>
    <n v="3"/>
    <n v="49.4"/>
    <n v="33.75"/>
    <n v="3"/>
    <s v=""/>
  </r>
  <r>
    <x v="50"/>
    <x v="50"/>
    <x v="3"/>
    <n v="49.35"/>
    <n v="3"/>
    <n v="16.45"/>
    <n v="11.25"/>
    <n v="1"/>
    <n v="4"/>
  </r>
  <r>
    <x v="20"/>
    <x v="20"/>
    <x v="3"/>
    <n v="49.35"/>
    <n v="3"/>
    <n v="49.35"/>
    <n v="42.18"/>
    <n v="3"/>
    <n v="1"/>
  </r>
  <r>
    <x v="79"/>
    <x v="79"/>
    <x v="3"/>
    <n v="49.24"/>
    <n v="4"/>
    <n v="49.24"/>
    <n v="29.16"/>
    <n v="4"/>
    <n v="1"/>
  </r>
  <r>
    <x v="49"/>
    <x v="49"/>
    <x v="3"/>
    <n v="49.11"/>
    <n v="3"/>
    <n v="49.11"/>
    <n v="40.5"/>
    <n v="3"/>
    <s v=""/>
  </r>
  <r>
    <x v="187"/>
    <x v="187"/>
    <x v="0"/>
    <n v="49.1"/>
    <n v="1"/>
    <n v="49.1"/>
    <n v="42.18"/>
    <n v="1"/>
    <s v=""/>
  </r>
  <r>
    <x v="188"/>
    <x v="188"/>
    <x v="0"/>
    <n v="48.17"/>
    <n v="2"/>
    <n v="48.17"/>
    <n v="27"/>
    <n v="2"/>
    <s v=""/>
  </r>
  <r>
    <x v="154"/>
    <x v="154"/>
    <x v="4"/>
    <n v="47.96"/>
    <n v="1"/>
    <s v=""/>
    <s v=""/>
    <s v=""/>
    <s v=""/>
  </r>
  <r>
    <x v="18"/>
    <x v="18"/>
    <x v="4"/>
    <n v="47.96"/>
    <n v="1"/>
    <n v="47.96"/>
    <n v="41.57"/>
    <n v="1"/>
    <s v=""/>
  </r>
  <r>
    <x v="130"/>
    <x v="130"/>
    <x v="4"/>
    <n v="47.96"/>
    <n v="1"/>
    <s v=""/>
    <s v=""/>
    <s v=""/>
    <s v=""/>
  </r>
  <r>
    <x v="36"/>
    <x v="36"/>
    <x v="6"/>
    <n v="47.94"/>
    <n v="2"/>
    <n v="24.71"/>
    <n v="17.399999999999999"/>
    <n v="1"/>
    <s v=""/>
  </r>
  <r>
    <x v="186"/>
    <x v="186"/>
    <x v="1"/>
    <n v="47.37"/>
    <n v="1"/>
    <n v="47.37"/>
    <n v="35.049999999999997"/>
    <n v="1"/>
    <s v=""/>
  </r>
  <r>
    <x v="164"/>
    <x v="164"/>
    <x v="3"/>
    <n v="47"/>
    <n v="1"/>
    <n v="47"/>
    <n v="23.62"/>
    <n v="1"/>
    <s v=""/>
  </r>
  <r>
    <x v="189"/>
    <x v="189"/>
    <x v="0"/>
    <n v="45.88"/>
    <n v="9"/>
    <n v="45.88"/>
    <n v="42.75"/>
    <n v="9"/>
    <s v=""/>
  </r>
  <r>
    <x v="130"/>
    <x v="130"/>
    <x v="5"/>
    <n v="45.69"/>
    <n v="1"/>
    <n v="45.69"/>
    <n v="31.68"/>
    <n v="1"/>
    <n v="1"/>
  </r>
  <r>
    <x v="65"/>
    <x v="65"/>
    <x v="5"/>
    <n v="45.32"/>
    <n v="1"/>
    <n v="45.32"/>
    <n v="35.229999999999997"/>
    <n v="1"/>
    <s v=""/>
  </r>
  <r>
    <x v="97"/>
    <x v="97"/>
    <x v="5"/>
    <n v="45.27"/>
    <n v="1"/>
    <n v="45.27"/>
    <n v="32.96"/>
    <n v="1"/>
    <s v=""/>
  </r>
  <r>
    <x v="34"/>
    <x v="34"/>
    <x v="6"/>
    <n v="45.05"/>
    <n v="1"/>
    <s v=""/>
    <s v=""/>
    <s v=""/>
    <s v=""/>
  </r>
  <r>
    <x v="39"/>
    <x v="39"/>
    <x v="6"/>
    <n v="44.88"/>
    <n v="3"/>
    <n v="44.88"/>
    <n v="22.95"/>
    <n v="3"/>
    <s v=""/>
  </r>
  <r>
    <x v="150"/>
    <x v="150"/>
    <x v="2"/>
    <n v="44.84"/>
    <n v="2"/>
    <n v="44.84"/>
    <n v="30.91"/>
    <n v="2"/>
    <s v=""/>
  </r>
  <r>
    <x v="190"/>
    <x v="190"/>
    <x v="3"/>
    <n v="44.79"/>
    <n v="3"/>
    <n v="44.79"/>
    <n v="47.88"/>
    <n v="3"/>
    <s v=""/>
  </r>
  <r>
    <x v="191"/>
    <x v="191"/>
    <x v="4"/>
    <n v="44.4"/>
    <n v="2"/>
    <n v="44.4"/>
    <n v="25.05"/>
    <n v="2"/>
    <s v=""/>
  </r>
  <r>
    <x v="178"/>
    <x v="178"/>
    <x v="1"/>
    <n v="44.31"/>
    <n v="1"/>
    <n v="44.31"/>
    <n v="52"/>
    <n v="1"/>
    <s v=""/>
  </r>
  <r>
    <x v="153"/>
    <x v="153"/>
    <x v="4"/>
    <n v="44.25"/>
    <n v="4"/>
    <n v="44.25"/>
    <n v="54.95"/>
    <n v="4"/>
    <s v=""/>
  </r>
  <r>
    <x v="127"/>
    <x v="127"/>
    <x v="3"/>
    <n v="44.19"/>
    <n v="2"/>
    <n v="44.19"/>
    <n v="27"/>
    <n v="2"/>
    <s v=""/>
  </r>
  <r>
    <x v="52"/>
    <x v="52"/>
    <x v="1"/>
    <n v="43.36"/>
    <n v="4"/>
    <n v="54.2"/>
    <n v="39.450000000000003"/>
    <n v="5"/>
    <s v=""/>
  </r>
  <r>
    <x v="31"/>
    <x v="31"/>
    <x v="1"/>
    <n v="43.17"/>
    <n v="7"/>
    <n v="43.17"/>
    <n v="20.85"/>
    <n v="7"/>
    <s v=""/>
  </r>
  <r>
    <x v="16"/>
    <x v="16"/>
    <x v="4"/>
    <n v="42.98"/>
    <n v="3"/>
    <n v="57.31"/>
    <n v="41.53"/>
    <n v="4"/>
    <n v="1"/>
  </r>
  <r>
    <x v="108"/>
    <x v="108"/>
    <x v="3"/>
    <n v="42.64"/>
    <n v="4"/>
    <n v="42.64"/>
    <n v="26.4"/>
    <n v="4"/>
    <n v="2"/>
  </r>
  <r>
    <x v="145"/>
    <x v="145"/>
    <x v="3"/>
    <n v="42.07"/>
    <n v="1"/>
    <n v="42.07"/>
    <n v="29.54"/>
    <n v="1"/>
    <s v=""/>
  </r>
  <r>
    <x v="130"/>
    <x v="130"/>
    <x v="1"/>
    <n v="41.93"/>
    <n v="1"/>
    <n v="41.93"/>
    <n v="31.5"/>
    <n v="1"/>
    <n v="7"/>
  </r>
  <r>
    <x v="7"/>
    <x v="7"/>
    <x v="6"/>
    <n v="41.91"/>
    <n v="3"/>
    <n v="41.91"/>
    <n v="31.6"/>
    <n v="3"/>
    <s v=""/>
  </r>
  <r>
    <x v="192"/>
    <x v="192"/>
    <x v="2"/>
    <n v="41.58"/>
    <n v="1"/>
    <n v="41.58"/>
    <n v="28"/>
    <n v="1"/>
    <s v=""/>
  </r>
  <r>
    <x v="130"/>
    <x v="130"/>
    <x v="6"/>
    <n v="41.24"/>
    <n v="1"/>
    <n v="41.24"/>
    <n v="31.5"/>
    <n v="1"/>
    <s v=""/>
  </r>
  <r>
    <x v="112"/>
    <x v="112"/>
    <x v="3"/>
    <n v="41.24"/>
    <n v="1"/>
    <n v="41.24"/>
    <n v="21.5"/>
    <n v="1"/>
    <s v=""/>
  </r>
  <r>
    <x v="172"/>
    <x v="172"/>
    <x v="3"/>
    <n v="41.16"/>
    <n v="2"/>
    <n v="41.16"/>
    <n v="24.65"/>
    <n v="2"/>
    <n v="2"/>
  </r>
  <r>
    <x v="193"/>
    <x v="193"/>
    <x v="0"/>
    <n v="40.82"/>
    <n v="2"/>
    <n v="40.82"/>
    <n v="23.4"/>
    <n v="2"/>
    <n v="4"/>
  </r>
  <r>
    <x v="194"/>
    <x v="194"/>
    <x v="3"/>
    <n v="40.72"/>
    <n v="10"/>
    <n v="40.72"/>
    <n v="33"/>
    <n v="10"/>
    <s v=""/>
  </r>
  <r>
    <x v="127"/>
    <x v="127"/>
    <x v="1"/>
    <n v="40.06"/>
    <n v="2"/>
    <n v="20.03"/>
    <n v="16.88"/>
    <n v="1"/>
    <s v=""/>
  </r>
  <r>
    <x v="128"/>
    <x v="128"/>
    <x v="0"/>
    <n v="39.58"/>
    <n v="1"/>
    <s v=""/>
    <s v=""/>
    <s v=""/>
    <s v=""/>
  </r>
  <r>
    <x v="115"/>
    <x v="115"/>
    <x v="4"/>
    <n v="38.840000000000003"/>
    <n v="3"/>
    <n v="38.840000000000003"/>
    <n v="23.53"/>
    <n v="3"/>
    <s v=""/>
  </r>
  <r>
    <x v="160"/>
    <x v="160"/>
    <x v="1"/>
    <n v="37.729999999999997"/>
    <n v="1"/>
    <n v="112.93"/>
    <n v="67.5"/>
    <n v="2"/>
    <s v=""/>
  </r>
  <r>
    <x v="16"/>
    <x v="16"/>
    <x v="1"/>
    <n v="37.56"/>
    <n v="3"/>
    <n v="37.56"/>
    <n v="25.5"/>
    <n v="3"/>
    <n v="1"/>
  </r>
  <r>
    <x v="104"/>
    <x v="104"/>
    <x v="5"/>
    <n v="37.479999999999997"/>
    <n v="1"/>
    <n v="37.479999999999997"/>
    <n v="36.369999999999997"/>
    <n v="1"/>
    <s v=""/>
  </r>
  <r>
    <x v="156"/>
    <x v="156"/>
    <x v="2"/>
    <n v="37.159999999999997"/>
    <n v="3"/>
    <n v="37.159999999999997"/>
    <n v="22.5"/>
    <n v="3"/>
    <s v=""/>
  </r>
  <r>
    <x v="70"/>
    <x v="70"/>
    <x v="3"/>
    <n v="37.11"/>
    <n v="1"/>
    <n v="37.11"/>
    <n v="25.65"/>
    <n v="1"/>
    <n v="1"/>
  </r>
  <r>
    <x v="160"/>
    <x v="160"/>
    <x v="3"/>
    <n v="37.11"/>
    <n v="1"/>
    <n v="37.11"/>
    <n v="33.75"/>
    <n v="1"/>
    <n v="1"/>
  </r>
  <r>
    <x v="89"/>
    <x v="89"/>
    <x v="2"/>
    <n v="37.07"/>
    <n v="3"/>
    <n v="37.07"/>
    <n v="24.03"/>
    <n v="3"/>
    <s v=""/>
  </r>
  <r>
    <x v="28"/>
    <x v="28"/>
    <x v="6"/>
    <n v="36.93"/>
    <n v="3"/>
    <n v="36.93"/>
    <n v="25.29"/>
    <n v="3"/>
    <n v="1"/>
  </r>
  <r>
    <x v="195"/>
    <x v="195"/>
    <x v="2"/>
    <n v="36.93"/>
    <n v="6"/>
    <n v="36.93"/>
    <n v="6.3"/>
    <n v="6"/>
    <n v="1"/>
  </r>
  <r>
    <x v="164"/>
    <x v="164"/>
    <x v="1"/>
    <n v="36.92"/>
    <n v="1"/>
    <n v="36.92"/>
    <n v="23.62"/>
    <n v="1"/>
    <s v=""/>
  </r>
  <r>
    <x v="160"/>
    <x v="160"/>
    <x v="0"/>
    <n v="36.799999999999997"/>
    <n v="1"/>
    <n v="36.799999999999997"/>
    <n v="33.75"/>
    <n v="1"/>
    <s v=""/>
  </r>
  <r>
    <x v="48"/>
    <x v="48"/>
    <x v="6"/>
    <n v="36.51"/>
    <n v="1"/>
    <n v="36.51"/>
    <n v="29.92"/>
    <n v="1"/>
    <s v=""/>
  </r>
  <r>
    <x v="96"/>
    <x v="96"/>
    <x v="3"/>
    <n v="35.76"/>
    <n v="8"/>
    <n v="31.79"/>
    <n v="18.62"/>
    <n v="7"/>
    <s v=""/>
  </r>
  <r>
    <x v="151"/>
    <x v="151"/>
    <x v="1"/>
    <n v="35.54"/>
    <n v="1"/>
    <n v="35.54"/>
    <n v="29.39"/>
    <n v="1"/>
    <n v="1"/>
  </r>
  <r>
    <x v="87"/>
    <x v="87"/>
    <x v="6"/>
    <n v="35.380000000000003"/>
    <n v="1"/>
    <n v="35.380000000000003"/>
    <n v="40.5"/>
    <n v="1"/>
    <s v=""/>
  </r>
  <r>
    <x v="95"/>
    <x v="95"/>
    <x v="0"/>
    <n v="35.32"/>
    <n v="1"/>
    <n v="35.32"/>
    <n v="25.31"/>
    <n v="1"/>
    <n v="74"/>
  </r>
  <r>
    <x v="196"/>
    <x v="196"/>
    <x v="2"/>
    <n v="35.200000000000003"/>
    <n v="2"/>
    <n v="35.200000000000003"/>
    <n v="27.8"/>
    <n v="2"/>
    <s v=""/>
  </r>
  <r>
    <x v="179"/>
    <x v="179"/>
    <x v="2"/>
    <n v="34.67"/>
    <n v="1"/>
    <s v=""/>
    <s v=""/>
    <s v=""/>
    <n v="5"/>
  </r>
  <r>
    <x v="167"/>
    <x v="167"/>
    <x v="5"/>
    <n v="34.64"/>
    <n v="1"/>
    <n v="34.64"/>
    <n v="27.1"/>
    <n v="1"/>
    <s v=""/>
  </r>
  <r>
    <x v="10"/>
    <x v="10"/>
    <x v="0"/>
    <n v="34.380000000000003"/>
    <n v="2"/>
    <n v="34.380000000000003"/>
    <n v="21.2"/>
    <n v="2"/>
    <s v=""/>
  </r>
  <r>
    <x v="197"/>
    <x v="197"/>
    <x v="0"/>
    <n v="33.79"/>
    <n v="9"/>
    <n v="33.79"/>
    <n v="39.24"/>
    <n v="9"/>
    <s v=""/>
  </r>
  <r>
    <x v="124"/>
    <x v="124"/>
    <x v="4"/>
    <n v="33.54"/>
    <n v="1"/>
    <n v="33.54"/>
    <n v="24.25"/>
    <n v="1"/>
    <s v=""/>
  </r>
  <r>
    <x v="126"/>
    <x v="126"/>
    <x v="1"/>
    <n v="33.53"/>
    <n v="1"/>
    <n v="33.53"/>
    <n v="27.99"/>
    <n v="1"/>
    <s v=""/>
  </r>
  <r>
    <x v="105"/>
    <x v="105"/>
    <x v="1"/>
    <n v="33.53"/>
    <n v="1"/>
    <n v="33.53"/>
    <n v="23.08"/>
    <n v="1"/>
    <n v="1"/>
  </r>
  <r>
    <x v="183"/>
    <x v="183"/>
    <x v="1"/>
    <n v="33.44"/>
    <n v="2"/>
    <n v="16.72"/>
    <n v="9.6199999999999992"/>
    <n v="1"/>
    <s v=""/>
  </r>
  <r>
    <x v="15"/>
    <x v="15"/>
    <x v="4"/>
    <n v="33.28"/>
    <n v="8"/>
    <n v="33.28"/>
    <n v="24.63"/>
    <n v="8"/>
    <s v=""/>
  </r>
  <r>
    <x v="92"/>
    <x v="92"/>
    <x v="2"/>
    <n v="33.25"/>
    <n v="1"/>
    <n v="33.25"/>
    <n v="20.149999999999999"/>
    <n v="1"/>
    <s v=""/>
  </r>
  <r>
    <x v="198"/>
    <x v="198"/>
    <x v="2"/>
    <n v="33.25"/>
    <n v="1"/>
    <n v="33.25"/>
    <n v="23.17"/>
    <n v="1"/>
    <s v=""/>
  </r>
  <r>
    <x v="183"/>
    <x v="183"/>
    <x v="2"/>
    <n v="33.159999999999997"/>
    <n v="2"/>
    <n v="33.159999999999997"/>
    <n v="19.239999999999998"/>
    <n v="2"/>
    <s v=""/>
  </r>
  <r>
    <x v="171"/>
    <x v="171"/>
    <x v="2"/>
    <n v="33.159999999999997"/>
    <n v="2"/>
    <n v="33.159999999999997"/>
    <n v="28"/>
    <n v="2"/>
    <s v=""/>
  </r>
  <r>
    <x v="44"/>
    <x v="44"/>
    <x v="0"/>
    <n v="33.14"/>
    <n v="1"/>
    <n v="33.14"/>
    <n v="22.5"/>
    <n v="1"/>
    <n v="1"/>
  </r>
  <r>
    <x v="76"/>
    <x v="76"/>
    <x v="2"/>
    <n v="33.03"/>
    <n v="2"/>
    <n v="16.39"/>
    <n v="4.5"/>
    <n v="1"/>
    <s v=""/>
  </r>
  <r>
    <x v="83"/>
    <x v="83"/>
    <x v="3"/>
    <n v="33"/>
    <n v="5"/>
    <n v="33"/>
    <n v="12.45"/>
    <n v="5"/>
    <s v=""/>
  </r>
  <r>
    <x v="92"/>
    <x v="92"/>
    <x v="3"/>
    <n v="32.979999999999997"/>
    <n v="1"/>
    <n v="32.979999999999997"/>
    <n v="28.68"/>
    <n v="1"/>
    <s v=""/>
  </r>
  <r>
    <x v="199"/>
    <x v="199"/>
    <x v="3"/>
    <n v="32.9"/>
    <n v="2"/>
    <n v="16.45"/>
    <n v="12.5"/>
    <n v="1"/>
    <s v=""/>
  </r>
  <r>
    <x v="155"/>
    <x v="155"/>
    <x v="3"/>
    <n v="32.9"/>
    <n v="2"/>
    <n v="32.9"/>
    <n v="19"/>
    <n v="2"/>
    <s v=""/>
  </r>
  <r>
    <x v="199"/>
    <x v="199"/>
    <x v="0"/>
    <n v="32.619999999999997"/>
    <n v="2"/>
    <n v="32.619999999999997"/>
    <n v="25"/>
    <n v="2"/>
    <n v="50"/>
  </r>
  <r>
    <x v="84"/>
    <x v="84"/>
    <x v="5"/>
    <n v="32.57"/>
    <n v="3"/>
    <n v="32.57"/>
    <n v="10.64"/>
    <n v="3"/>
    <s v=""/>
  </r>
  <r>
    <x v="141"/>
    <x v="141"/>
    <x v="2"/>
    <n v="32.56"/>
    <n v="1"/>
    <n v="32.56"/>
    <n v="31.6"/>
    <n v="1"/>
    <s v=""/>
  </r>
  <r>
    <x v="200"/>
    <x v="200"/>
    <x v="2"/>
    <n v="32.369999999999997"/>
    <n v="1"/>
    <n v="32.369999999999997"/>
    <n v="30.5"/>
    <n v="1"/>
    <s v=""/>
  </r>
  <r>
    <x v="133"/>
    <x v="133"/>
    <x v="6"/>
    <n v="32.229999999999997"/>
    <n v="1"/>
    <n v="32.229999999999997"/>
    <n v="21.9"/>
    <n v="1"/>
    <s v=""/>
  </r>
  <r>
    <x v="201"/>
    <x v="201"/>
    <x v="0"/>
    <n v="32.01"/>
    <n v="2"/>
    <n v="32.01"/>
    <n v="24"/>
    <n v="2"/>
    <s v=""/>
  </r>
  <r>
    <x v="105"/>
    <x v="105"/>
    <x v="6"/>
    <n v="31.76"/>
    <n v="1"/>
    <n v="31.76"/>
    <n v="23.08"/>
    <n v="1"/>
    <s v=""/>
  </r>
  <r>
    <x v="202"/>
    <x v="202"/>
    <x v="0"/>
    <n v="31.65"/>
    <n v="2"/>
    <n v="31.65"/>
    <n v="19"/>
    <n v="2"/>
    <s v=""/>
  </r>
  <r>
    <x v="48"/>
    <x v="48"/>
    <x v="4"/>
    <n v="31.54"/>
    <n v="1"/>
    <n v="31.54"/>
    <n v="33.42"/>
    <n v="1"/>
    <s v=""/>
  </r>
  <r>
    <x v="33"/>
    <x v="33"/>
    <x v="5"/>
    <n v="31.38"/>
    <n v="1"/>
    <s v=""/>
    <s v=""/>
    <s v=""/>
    <s v=""/>
  </r>
  <r>
    <x v="73"/>
    <x v="73"/>
    <x v="3"/>
    <n v="31.24"/>
    <n v="2"/>
    <n v="15.62"/>
    <n v="9.9"/>
    <n v="1"/>
    <n v="1"/>
  </r>
  <r>
    <x v="203"/>
    <x v="203"/>
    <x v="6"/>
    <n v="31.06"/>
    <n v="1"/>
    <s v=""/>
    <s v=""/>
    <s v=""/>
    <s v=""/>
  </r>
  <r>
    <x v="7"/>
    <x v="7"/>
    <x v="5"/>
    <n v="30.69"/>
    <n v="2"/>
    <n v="46.07"/>
    <n v="34.619999999999997"/>
    <n v="3"/>
    <s v=""/>
  </r>
  <r>
    <x v="204"/>
    <x v="204"/>
    <x v="0"/>
    <n v="30.66"/>
    <n v="2"/>
    <n v="30.66"/>
    <n v="27.52"/>
    <n v="2"/>
    <s v=""/>
  </r>
  <r>
    <x v="191"/>
    <x v="191"/>
    <x v="3"/>
    <n v="29.79"/>
    <n v="1"/>
    <n v="29.79"/>
    <n v="19"/>
    <n v="1"/>
    <s v=""/>
  </r>
  <r>
    <x v="10"/>
    <x v="10"/>
    <x v="6"/>
    <n v="29.58"/>
    <n v="2"/>
    <n v="44.37"/>
    <n v="30.74"/>
    <n v="3"/>
    <s v=""/>
  </r>
  <r>
    <x v="179"/>
    <x v="179"/>
    <x v="1"/>
    <n v="29.33"/>
    <n v="1"/>
    <n v="29.33"/>
    <n v="16.43"/>
    <n v="1"/>
    <n v="2"/>
  </r>
  <r>
    <x v="44"/>
    <x v="44"/>
    <x v="4"/>
    <n v="29.29"/>
    <n v="1"/>
    <s v=""/>
    <s v=""/>
    <s v=""/>
    <s v=""/>
  </r>
  <r>
    <x v="191"/>
    <x v="191"/>
    <x v="2"/>
    <n v="29.08"/>
    <n v="1"/>
    <n v="29.08"/>
    <n v="19"/>
    <n v="1"/>
    <s v=""/>
  </r>
  <r>
    <x v="205"/>
    <x v="205"/>
    <x v="1"/>
    <n v="29.03"/>
    <n v="1"/>
    <n v="29.03"/>
    <n v="25.2"/>
    <n v="1"/>
    <s v=""/>
  </r>
  <r>
    <x v="206"/>
    <x v="206"/>
    <x v="0"/>
    <n v="28.91"/>
    <n v="2"/>
    <n v="28.91"/>
    <n v="11.88"/>
    <n v="2"/>
    <s v=""/>
  </r>
  <r>
    <x v="161"/>
    <x v="161"/>
    <x v="1"/>
    <n v="28.82"/>
    <n v="1"/>
    <n v="28.82"/>
    <n v="25"/>
    <n v="1"/>
    <s v=""/>
  </r>
  <r>
    <x v="73"/>
    <x v="73"/>
    <x v="5"/>
    <n v="28.78"/>
    <n v="2"/>
    <n v="28.78"/>
    <n v="18.600000000000001"/>
    <n v="2"/>
    <s v=""/>
  </r>
  <r>
    <x v="140"/>
    <x v="140"/>
    <x v="4"/>
    <n v="28.74"/>
    <n v="1"/>
    <n v="28.74"/>
    <n v="14.18"/>
    <n v="1"/>
    <s v=""/>
  </r>
  <r>
    <x v="179"/>
    <x v="179"/>
    <x v="0"/>
    <n v="28.61"/>
    <n v="1"/>
    <n v="28.61"/>
    <n v="22.5"/>
    <n v="1"/>
    <n v="6"/>
  </r>
  <r>
    <x v="44"/>
    <x v="44"/>
    <x v="6"/>
    <n v="28.58"/>
    <n v="1"/>
    <n v="28.58"/>
    <n v="22.5"/>
    <n v="1"/>
    <s v=""/>
  </r>
  <r>
    <x v="100"/>
    <x v="100"/>
    <x v="5"/>
    <n v="28.1"/>
    <n v="1"/>
    <n v="28.1"/>
    <n v="15.44"/>
    <n v="1"/>
    <s v=""/>
  </r>
  <r>
    <x v="207"/>
    <x v="207"/>
    <x v="0"/>
    <n v="27.28"/>
    <n v="2"/>
    <n v="27.28"/>
    <n v="12.32"/>
    <n v="2"/>
    <s v=""/>
  </r>
  <r>
    <x v="156"/>
    <x v="156"/>
    <x v="1"/>
    <n v="27.26"/>
    <n v="2"/>
    <n v="27.26"/>
    <n v="15"/>
    <n v="2"/>
    <n v="1"/>
  </r>
  <r>
    <x v="19"/>
    <x v="19"/>
    <x v="6"/>
    <n v="27.19"/>
    <n v="1"/>
    <n v="54.38"/>
    <n v="37"/>
    <n v="2"/>
    <s v=""/>
  </r>
  <r>
    <x v="208"/>
    <x v="208"/>
    <x v="0"/>
    <n v="26.97"/>
    <n v="1"/>
    <n v="26.97"/>
    <n v="17.73"/>
    <n v="1"/>
    <n v="4"/>
  </r>
  <r>
    <x v="61"/>
    <x v="61"/>
    <x v="6"/>
    <n v="26.45"/>
    <n v="1"/>
    <n v="26.45"/>
    <n v="17.93"/>
    <n v="1"/>
    <s v=""/>
  </r>
  <r>
    <x v="85"/>
    <x v="85"/>
    <x v="5"/>
    <n v="26.09"/>
    <n v="2"/>
    <n v="26.09"/>
    <n v="14.93"/>
    <n v="2"/>
    <s v=""/>
  </r>
  <r>
    <x v="60"/>
    <x v="60"/>
    <x v="6"/>
    <n v="25.72"/>
    <n v="2"/>
    <n v="25.72"/>
    <n v="19.399999999999999"/>
    <n v="2"/>
    <s v=""/>
  </r>
  <r>
    <x v="24"/>
    <x v="24"/>
    <x v="1"/>
    <n v="24.96"/>
    <n v="3"/>
    <n v="33.28"/>
    <n v="23.4"/>
    <n v="4"/>
    <s v=""/>
  </r>
  <r>
    <x v="125"/>
    <x v="125"/>
    <x v="2"/>
    <n v="24.92"/>
    <n v="1"/>
    <n v="24.92"/>
    <n v="14.48"/>
    <n v="1"/>
    <s v=""/>
  </r>
  <r>
    <x v="131"/>
    <x v="131"/>
    <x v="2"/>
    <n v="24.92"/>
    <n v="1"/>
    <n v="24.92"/>
    <n v="20.25"/>
    <n v="1"/>
    <n v="1"/>
  </r>
  <r>
    <x v="209"/>
    <x v="209"/>
    <x v="0"/>
    <n v="24.88"/>
    <n v="1"/>
    <n v="24.88"/>
    <n v="17.399999999999999"/>
    <n v="1"/>
    <n v="27"/>
  </r>
  <r>
    <x v="16"/>
    <x v="16"/>
    <x v="2"/>
    <n v="24.84"/>
    <n v="2"/>
    <n v="24.84"/>
    <n v="17"/>
    <n v="2"/>
    <s v=""/>
  </r>
  <r>
    <x v="85"/>
    <x v="85"/>
    <x v="2"/>
    <n v="24.73"/>
    <n v="2"/>
    <n v="24.73"/>
    <n v="17.36"/>
    <n v="2"/>
    <n v="1"/>
  </r>
  <r>
    <x v="188"/>
    <x v="188"/>
    <x v="3"/>
    <n v="24.71"/>
    <n v="1"/>
    <n v="24.71"/>
    <n v="13.5"/>
    <n v="1"/>
    <s v=""/>
  </r>
  <r>
    <x v="117"/>
    <x v="117"/>
    <x v="3"/>
    <n v="24.71"/>
    <n v="1"/>
    <n v="24.71"/>
    <n v="20.39"/>
    <n v="1"/>
    <s v=""/>
  </r>
  <r>
    <x v="30"/>
    <x v="30"/>
    <x v="3"/>
    <n v="24.71"/>
    <n v="1"/>
    <n v="24.71"/>
    <n v="20.25"/>
    <n v="1"/>
    <s v=""/>
  </r>
  <r>
    <x v="115"/>
    <x v="115"/>
    <x v="3"/>
    <n v="24.62"/>
    <n v="2"/>
    <n v="24.62"/>
    <n v="16"/>
    <n v="2"/>
    <n v="1"/>
  </r>
  <r>
    <x v="210"/>
    <x v="210"/>
    <x v="0"/>
    <n v="24.55"/>
    <n v="5"/>
    <n v="24.55"/>
    <n v="12.96"/>
    <n v="5"/>
    <s v=""/>
  </r>
  <r>
    <x v="24"/>
    <x v="24"/>
    <x v="6"/>
    <n v="24.54"/>
    <n v="3"/>
    <n v="24.54"/>
    <n v="16.53"/>
    <n v="3"/>
    <s v=""/>
  </r>
  <r>
    <x v="47"/>
    <x v="47"/>
    <x v="5"/>
    <n v="23.57"/>
    <n v="1"/>
    <n v="23.57"/>
    <n v="19.420000000000002"/>
    <n v="1"/>
    <s v=""/>
  </r>
  <r>
    <x v="146"/>
    <x v="146"/>
    <x v="6"/>
    <n v="23.55"/>
    <n v="1"/>
    <n v="23.55"/>
    <n v="18"/>
    <n v="1"/>
    <s v=""/>
  </r>
  <r>
    <x v="211"/>
    <x v="211"/>
    <x v="6"/>
    <n v="22.97"/>
    <n v="1"/>
    <s v=""/>
    <s v=""/>
    <s v=""/>
    <s v=""/>
  </r>
  <r>
    <x v="101"/>
    <x v="101"/>
    <x v="1"/>
    <n v="22.61"/>
    <n v="1"/>
    <n v="22.61"/>
    <n v="13.94"/>
    <n v="1"/>
    <s v=""/>
  </r>
  <r>
    <x v="64"/>
    <x v="64"/>
    <x v="1"/>
    <n v="22.44"/>
    <n v="1"/>
    <n v="22.44"/>
    <n v="14.96"/>
    <n v="1"/>
    <n v="5"/>
  </r>
  <r>
    <x v="110"/>
    <x v="110"/>
    <x v="3"/>
    <n v="22.26"/>
    <n v="1"/>
    <n v="22.26"/>
    <n v="17.010000000000002"/>
    <n v="1"/>
    <s v=""/>
  </r>
  <r>
    <x v="212"/>
    <x v="66"/>
    <x v="0"/>
    <n v="22.14"/>
    <n v="2"/>
    <n v="33.119999999999997"/>
    <n v="21.6"/>
    <n v="3"/>
    <n v="2"/>
  </r>
  <r>
    <x v="168"/>
    <x v="168"/>
    <x v="6"/>
    <n v="21.71"/>
    <n v="1"/>
    <n v="21.71"/>
    <n v="16.8"/>
    <n v="1"/>
    <s v=""/>
  </r>
  <r>
    <x v="213"/>
    <x v="212"/>
    <x v="5"/>
    <n v="21.6"/>
    <n v="1"/>
    <n v="21.6"/>
    <n v="22"/>
    <n v="1"/>
    <s v=""/>
  </r>
  <r>
    <x v="108"/>
    <x v="108"/>
    <x v="2"/>
    <n v="21.5"/>
    <n v="2"/>
    <n v="21.5"/>
    <n v="13.2"/>
    <n v="2"/>
    <n v="3"/>
  </r>
  <r>
    <x v="214"/>
    <x v="213"/>
    <x v="0"/>
    <n v="21.14"/>
    <n v="2"/>
    <n v="21.14"/>
    <n v="0"/>
    <n v="2"/>
    <s v=""/>
  </r>
  <r>
    <x v="100"/>
    <x v="100"/>
    <x v="4"/>
    <n v="20.96"/>
    <n v="1"/>
    <n v="20.96"/>
    <n v="17.760000000000002"/>
    <n v="1"/>
    <s v=""/>
  </r>
  <r>
    <x v="66"/>
    <x v="66"/>
    <x v="1"/>
    <n v="20.92"/>
    <n v="1"/>
    <n v="20.92"/>
    <n v="16.649999999999999"/>
    <n v="1"/>
    <s v=""/>
  </r>
  <r>
    <x v="158"/>
    <x v="158"/>
    <x v="1"/>
    <n v="20.92"/>
    <n v="1"/>
    <n v="20.92"/>
    <n v="15.75"/>
    <n v="1"/>
    <s v=""/>
  </r>
  <r>
    <x v="8"/>
    <x v="8"/>
    <x v="1"/>
    <n v="20.92"/>
    <n v="1"/>
    <n v="41.84"/>
    <n v="30"/>
    <n v="2"/>
    <s v=""/>
  </r>
  <r>
    <x v="21"/>
    <x v="21"/>
    <x v="2"/>
    <n v="20.75"/>
    <n v="1"/>
    <n v="20.75"/>
    <n v="14"/>
    <n v="1"/>
    <s v=""/>
  </r>
  <r>
    <x v="4"/>
    <x v="4"/>
    <x v="2"/>
    <n v="20.75"/>
    <n v="1"/>
    <n v="20.75"/>
    <n v="14"/>
    <n v="1"/>
    <s v=""/>
  </r>
  <r>
    <x v="100"/>
    <x v="100"/>
    <x v="2"/>
    <n v="20.75"/>
    <n v="1"/>
    <n v="20.75"/>
    <n v="15.48"/>
    <n v="1"/>
    <n v="5"/>
  </r>
  <r>
    <x v="66"/>
    <x v="66"/>
    <x v="3"/>
    <n v="20.58"/>
    <n v="1"/>
    <n v="20.58"/>
    <n v="16.649999999999999"/>
    <n v="1"/>
    <s v=""/>
  </r>
  <r>
    <x v="127"/>
    <x v="127"/>
    <x v="6"/>
    <n v="20.58"/>
    <n v="1"/>
    <n v="20.58"/>
    <n v="12.66"/>
    <n v="1"/>
    <s v=""/>
  </r>
  <r>
    <x v="68"/>
    <x v="68"/>
    <x v="3"/>
    <n v="20.58"/>
    <n v="1"/>
    <n v="20.58"/>
    <n v="14.48"/>
    <n v="1"/>
    <s v=""/>
  </r>
  <r>
    <x v="215"/>
    <x v="214"/>
    <x v="0"/>
    <n v="20.41"/>
    <n v="1"/>
    <n v="20.41"/>
    <n v="19.68"/>
    <n v="1"/>
    <n v="4"/>
  </r>
  <r>
    <x v="99"/>
    <x v="99"/>
    <x v="3"/>
    <n v="19.96"/>
    <n v="1"/>
    <n v="19.96"/>
    <n v="12.65"/>
    <n v="1"/>
    <s v=""/>
  </r>
  <r>
    <x v="143"/>
    <x v="143"/>
    <x v="4"/>
    <n v="19.91"/>
    <n v="3"/>
    <n v="19.91"/>
    <n v="16.190000000000001"/>
    <n v="3"/>
    <s v=""/>
  </r>
  <r>
    <x v="190"/>
    <x v="190"/>
    <x v="0"/>
    <n v="19.72"/>
    <n v="1"/>
    <n v="70.930000000000007"/>
    <n v="57.44"/>
    <n v="4"/>
    <s v=""/>
  </r>
  <r>
    <x v="202"/>
    <x v="202"/>
    <x v="1"/>
    <n v="19.64"/>
    <n v="2"/>
    <n v="19.64"/>
    <n v="19"/>
    <n v="2"/>
    <n v="1"/>
  </r>
  <r>
    <x v="216"/>
    <x v="215"/>
    <x v="3"/>
    <n v="19.59"/>
    <n v="1"/>
    <n v="19.59"/>
    <n v="16.13"/>
    <n v="1"/>
    <s v=""/>
  </r>
  <r>
    <x v="4"/>
    <x v="4"/>
    <x v="6"/>
    <n v="19.29"/>
    <n v="1"/>
    <n v="19.29"/>
    <n v="14"/>
    <n v="1"/>
    <s v=""/>
  </r>
  <r>
    <x v="49"/>
    <x v="49"/>
    <x v="4"/>
    <n v="19.12"/>
    <n v="1"/>
    <n v="19.12"/>
    <n v="13.44"/>
    <n v="1"/>
    <s v=""/>
  </r>
  <r>
    <x v="86"/>
    <x v="86"/>
    <x v="6"/>
    <n v="18.93"/>
    <n v="1"/>
    <n v="18.93"/>
    <n v="13.95"/>
    <n v="1"/>
    <s v=""/>
  </r>
  <r>
    <x v="217"/>
    <x v="216"/>
    <x v="2"/>
    <n v="18.72"/>
    <n v="3"/>
    <n v="18.72"/>
    <n v="13.76"/>
    <n v="3"/>
    <s v=""/>
  </r>
  <r>
    <x v="4"/>
    <x v="4"/>
    <x v="5"/>
    <n v="18.64"/>
    <n v="1"/>
    <n v="18.64"/>
    <n v="14.09"/>
    <n v="1"/>
    <s v=""/>
  </r>
  <r>
    <x v="218"/>
    <x v="217"/>
    <x v="0"/>
    <n v="18.47"/>
    <n v="1"/>
    <s v=""/>
    <s v=""/>
    <s v=""/>
    <n v="1"/>
  </r>
  <r>
    <x v="2"/>
    <x v="2"/>
    <x v="6"/>
    <n v="18.27"/>
    <n v="2"/>
    <s v=""/>
    <s v=""/>
    <s v=""/>
    <n v="1"/>
  </r>
  <r>
    <x v="25"/>
    <x v="25"/>
    <x v="4"/>
    <n v="18.190000000000001"/>
    <n v="2"/>
    <n v="18.190000000000001"/>
    <n v="10.91"/>
    <n v="2"/>
    <n v="1"/>
  </r>
  <r>
    <x v="219"/>
    <x v="218"/>
    <x v="0"/>
    <n v="18.18"/>
    <n v="1"/>
    <n v="18.18"/>
    <n v="14"/>
    <n v="1"/>
    <s v=""/>
  </r>
  <r>
    <x v="220"/>
    <x v="219"/>
    <x v="1"/>
    <n v="18.03"/>
    <n v="1"/>
    <n v="18.03"/>
    <n v="27.09"/>
    <n v="1"/>
    <s v=""/>
  </r>
  <r>
    <x v="221"/>
    <x v="220"/>
    <x v="2"/>
    <n v="17.190000000000001"/>
    <n v="3"/>
    <n v="17.190000000000001"/>
    <n v="9.75"/>
    <n v="3"/>
    <s v=""/>
  </r>
  <r>
    <x v="183"/>
    <x v="183"/>
    <x v="4"/>
    <n v="17.07"/>
    <n v="2"/>
    <n v="17.07"/>
    <n v="28.28"/>
    <n v="2"/>
    <s v=""/>
  </r>
  <r>
    <x v="222"/>
    <x v="221"/>
    <x v="3"/>
    <n v="17.07"/>
    <n v="1"/>
    <s v=""/>
    <s v=""/>
    <s v=""/>
    <s v=""/>
  </r>
  <r>
    <x v="204"/>
    <x v="204"/>
    <x v="2"/>
    <n v="16.579999999999998"/>
    <n v="1"/>
    <n v="16.579999999999998"/>
    <n v="13.76"/>
    <n v="1"/>
    <s v=""/>
  </r>
  <r>
    <x v="155"/>
    <x v="155"/>
    <x v="2"/>
    <n v="16.579999999999998"/>
    <n v="1"/>
    <n v="16.579999999999998"/>
    <n v="9.5"/>
    <n v="1"/>
    <s v=""/>
  </r>
  <r>
    <x v="143"/>
    <x v="143"/>
    <x v="3"/>
    <n v="16.52"/>
    <n v="2"/>
    <n v="16.52"/>
    <n v="8.26"/>
    <n v="2"/>
    <s v=""/>
  </r>
  <r>
    <x v="143"/>
    <x v="143"/>
    <x v="2"/>
    <n v="16.5"/>
    <n v="2"/>
    <n v="16.5"/>
    <n v="8.26"/>
    <n v="2"/>
    <s v=""/>
  </r>
  <r>
    <x v="171"/>
    <x v="171"/>
    <x v="3"/>
    <n v="16.45"/>
    <n v="1"/>
    <n v="16.45"/>
    <n v="14"/>
    <n v="1"/>
    <s v=""/>
  </r>
  <r>
    <x v="223"/>
    <x v="222"/>
    <x v="3"/>
    <n v="16.45"/>
    <n v="1"/>
    <n v="16.45"/>
    <n v="9.3800000000000008"/>
    <n v="1"/>
    <s v=""/>
  </r>
  <r>
    <x v="0"/>
    <x v="0"/>
    <x v="3"/>
    <n v="16.45"/>
    <n v="1"/>
    <n v="16.45"/>
    <n v="9.75"/>
    <n v="1"/>
    <s v=""/>
  </r>
  <r>
    <x v="201"/>
    <x v="201"/>
    <x v="3"/>
    <n v="16.12"/>
    <n v="1"/>
    <n v="16.12"/>
    <n v="9"/>
    <n v="1"/>
    <n v="3"/>
  </r>
  <r>
    <x v="96"/>
    <x v="96"/>
    <x v="4"/>
    <n v="16.09"/>
    <n v="3"/>
    <n v="16.09"/>
    <n v="12.18"/>
    <n v="3"/>
    <s v=""/>
  </r>
  <r>
    <x v="93"/>
    <x v="93"/>
    <x v="6"/>
    <n v="15.62"/>
    <n v="1"/>
    <n v="15.62"/>
    <n v="9.81"/>
    <n v="1"/>
    <s v=""/>
  </r>
  <r>
    <x v="224"/>
    <x v="223"/>
    <x v="4"/>
    <n v="15.36"/>
    <n v="4"/>
    <n v="15.36"/>
    <n v="26.44"/>
    <n v="4"/>
    <s v=""/>
  </r>
  <r>
    <x v="225"/>
    <x v="224"/>
    <x v="2"/>
    <n v="15.18"/>
    <n v="1"/>
    <n v="15.18"/>
    <n v="15.5"/>
    <n v="1"/>
    <s v=""/>
  </r>
  <r>
    <x v="226"/>
    <x v="225"/>
    <x v="0"/>
    <n v="15.05"/>
    <n v="1"/>
    <n v="15.05"/>
    <n v="12.81"/>
    <n v="1"/>
    <s v=""/>
  </r>
  <r>
    <x v="10"/>
    <x v="10"/>
    <x v="5"/>
    <n v="14.65"/>
    <n v="1"/>
    <s v=""/>
    <s v=""/>
    <s v=""/>
    <s v=""/>
  </r>
  <r>
    <x v="62"/>
    <x v="62"/>
    <x v="5"/>
    <n v="14.53"/>
    <n v="1"/>
    <n v="14.53"/>
    <n v="7.87"/>
    <n v="1"/>
    <s v=""/>
  </r>
  <r>
    <x v="184"/>
    <x v="184"/>
    <x v="1"/>
    <n v="14.2"/>
    <n v="1"/>
    <n v="14.2"/>
    <n v="11"/>
    <n v="1"/>
    <s v=""/>
  </r>
  <r>
    <x v="135"/>
    <x v="135"/>
    <x v="3"/>
    <n v="13.97"/>
    <n v="1"/>
    <n v="13.97"/>
    <n v="10"/>
    <n v="1"/>
    <s v=""/>
  </r>
  <r>
    <x v="227"/>
    <x v="226"/>
    <x v="0"/>
    <n v="13.81"/>
    <n v="1"/>
    <n v="13.81"/>
    <n v="9.76"/>
    <n v="1"/>
    <n v="1"/>
  </r>
  <r>
    <x v="206"/>
    <x v="206"/>
    <x v="4"/>
    <n v="13.55"/>
    <n v="2"/>
    <n v="13.55"/>
    <n v="14.26"/>
    <n v="2"/>
    <s v=""/>
  </r>
  <r>
    <x v="185"/>
    <x v="185"/>
    <x v="5"/>
    <n v="13.48"/>
    <n v="1"/>
    <n v="13.48"/>
    <n v="17.809999999999999"/>
    <n v="1"/>
    <s v=""/>
  </r>
  <r>
    <x v="82"/>
    <x v="82"/>
    <x v="3"/>
    <n v="13.2"/>
    <n v="2"/>
    <n v="13.2"/>
    <n v="6.82"/>
    <n v="2"/>
    <s v=""/>
  </r>
  <r>
    <x v="57"/>
    <x v="57"/>
    <x v="3"/>
    <n v="13.14"/>
    <n v="1"/>
    <n v="13.14"/>
    <n v="10.8"/>
    <n v="1"/>
    <s v=""/>
  </r>
  <r>
    <x v="228"/>
    <x v="227"/>
    <x v="0"/>
    <n v="12.96"/>
    <n v="2"/>
    <n v="12.96"/>
    <n v="5.52"/>
    <n v="2"/>
    <s v=""/>
  </r>
  <r>
    <x v="25"/>
    <x v="25"/>
    <x v="6"/>
    <n v="12.88"/>
    <n v="1"/>
    <n v="12.88"/>
    <n v="5.22"/>
    <n v="1"/>
    <s v=""/>
  </r>
  <r>
    <x v="168"/>
    <x v="168"/>
    <x v="5"/>
    <n v="12.78"/>
    <n v="1"/>
    <n v="12.78"/>
    <n v="13.07"/>
    <n v="1"/>
    <s v=""/>
  </r>
  <r>
    <x v="113"/>
    <x v="113"/>
    <x v="6"/>
    <n v="12.66"/>
    <n v="1"/>
    <n v="12.66"/>
    <n v="5.51"/>
    <n v="1"/>
    <s v=""/>
  </r>
  <r>
    <x v="218"/>
    <x v="217"/>
    <x v="2"/>
    <n v="12.52"/>
    <n v="1"/>
    <n v="12.52"/>
    <n v="15"/>
    <n v="1"/>
    <s v=""/>
  </r>
  <r>
    <x v="229"/>
    <x v="228"/>
    <x v="0"/>
    <n v="12.48"/>
    <n v="1"/>
    <n v="12.48"/>
    <n v="8.1"/>
    <n v="1"/>
    <n v="2"/>
  </r>
  <r>
    <x v="229"/>
    <x v="228"/>
    <x v="2"/>
    <n v="12.42"/>
    <n v="1"/>
    <n v="12.42"/>
    <n v="8.1"/>
    <n v="1"/>
    <s v=""/>
  </r>
  <r>
    <x v="230"/>
    <x v="229"/>
    <x v="0"/>
    <n v="12.32"/>
    <n v="2"/>
    <n v="12.32"/>
    <n v="19.8"/>
    <n v="2"/>
    <s v=""/>
  </r>
  <r>
    <x v="85"/>
    <x v="85"/>
    <x v="1"/>
    <n v="11.27"/>
    <n v="1"/>
    <n v="11.27"/>
    <n v="9.1999999999999993"/>
    <n v="1"/>
    <s v=""/>
  </r>
  <r>
    <x v="231"/>
    <x v="230"/>
    <x v="3"/>
    <n v="10.74"/>
    <n v="1"/>
    <n v="10.74"/>
    <n v="7"/>
    <n v="1"/>
    <s v=""/>
  </r>
  <r>
    <x v="231"/>
    <x v="230"/>
    <x v="5"/>
    <n v="10.67"/>
    <n v="1"/>
    <s v=""/>
    <s v=""/>
    <s v=""/>
    <s v=""/>
  </r>
  <r>
    <x v="232"/>
    <x v="231"/>
    <x v="4"/>
    <n v="10.45"/>
    <n v="1"/>
    <s v=""/>
    <s v=""/>
    <s v=""/>
    <s v=""/>
  </r>
  <r>
    <x v="219"/>
    <x v="218"/>
    <x v="4"/>
    <n v="10.199999999999999"/>
    <n v="1"/>
    <n v="10.199999999999999"/>
    <n v="14.03"/>
    <n v="1"/>
    <s v=""/>
  </r>
  <r>
    <x v="233"/>
    <x v="232"/>
    <x v="3"/>
    <n v="9.83"/>
    <n v="1"/>
    <n v="9.83"/>
    <n v="6.26"/>
    <n v="1"/>
    <s v=""/>
  </r>
  <r>
    <x v="234"/>
    <x v="233"/>
    <x v="0"/>
    <n v="9.82"/>
    <n v="2"/>
    <n v="9.82"/>
    <n v="4.8"/>
    <n v="2"/>
    <s v=""/>
  </r>
  <r>
    <x v="233"/>
    <x v="232"/>
    <x v="0"/>
    <n v="9.75"/>
    <n v="1"/>
    <n v="9.75"/>
    <n v="6.26"/>
    <n v="1"/>
    <s v=""/>
  </r>
  <r>
    <x v="2"/>
    <x v="2"/>
    <x v="4"/>
    <n v="9.52"/>
    <n v="1"/>
    <n v="9.52"/>
    <n v="5.68"/>
    <n v="1"/>
    <s v=""/>
  </r>
  <r>
    <x v="235"/>
    <x v="234"/>
    <x v="0"/>
    <n v="9.51"/>
    <n v="1"/>
    <n v="9.51"/>
    <n v="13.5"/>
    <n v="1"/>
    <n v="4"/>
  </r>
  <r>
    <x v="189"/>
    <x v="189"/>
    <x v="4"/>
    <n v="9.3000000000000007"/>
    <n v="2"/>
    <n v="9.3000000000000007"/>
    <n v="9.8000000000000007"/>
    <n v="2"/>
    <s v=""/>
  </r>
  <r>
    <x v="51"/>
    <x v="51"/>
    <x v="1"/>
    <n v="9.24"/>
    <n v="1"/>
    <n v="9.24"/>
    <n v="6"/>
    <n v="1"/>
    <n v="2"/>
  </r>
  <r>
    <x v="24"/>
    <x v="24"/>
    <x v="5"/>
    <n v="9.0500000000000007"/>
    <n v="1"/>
    <n v="9.0500000000000007"/>
    <n v="6.04"/>
    <n v="1"/>
    <s v=""/>
  </r>
  <r>
    <x v="91"/>
    <x v="91"/>
    <x v="2"/>
    <n v="8.32"/>
    <n v="1"/>
    <n v="8.32"/>
    <n v="5.17"/>
    <n v="1"/>
    <s v=""/>
  </r>
  <r>
    <x v="96"/>
    <x v="96"/>
    <x v="2"/>
    <n v="8.2200000000000006"/>
    <n v="1"/>
    <n v="8.2200000000000006"/>
    <n v="3.71"/>
    <n v="1"/>
    <s v=""/>
  </r>
  <r>
    <x v="236"/>
    <x v="235"/>
    <x v="0"/>
    <n v="7.62"/>
    <n v="1"/>
    <s v=""/>
    <s v=""/>
    <s v=""/>
    <s v=""/>
  </r>
  <r>
    <x v="237"/>
    <x v="236"/>
    <x v="0"/>
    <n v="7.43"/>
    <n v="1"/>
    <n v="7.43"/>
    <n v="21.08"/>
    <n v="1"/>
    <s v=""/>
  </r>
  <r>
    <x v="238"/>
    <x v="237"/>
    <x v="0"/>
    <n v="7.25"/>
    <n v="2"/>
    <n v="7.25"/>
    <n v="3.98"/>
    <n v="2"/>
    <s v=""/>
  </r>
  <r>
    <x v="82"/>
    <x v="82"/>
    <x v="1"/>
    <n v="6.71"/>
    <n v="1"/>
    <n v="6.71"/>
    <n v="2.98"/>
    <n v="1"/>
    <s v=""/>
  </r>
  <r>
    <x v="138"/>
    <x v="138"/>
    <x v="0"/>
    <n v="6.55"/>
    <n v="1"/>
    <n v="6.55"/>
    <n v="3.99"/>
    <n v="1"/>
    <s v=""/>
  </r>
  <r>
    <x v="210"/>
    <x v="210"/>
    <x v="5"/>
    <n v="6.45"/>
    <n v="1"/>
    <s v=""/>
    <s v=""/>
    <s v=""/>
    <s v=""/>
  </r>
  <r>
    <x v="239"/>
    <x v="238"/>
    <x v="3"/>
    <n v="6.29"/>
    <n v="1"/>
    <n v="6.29"/>
    <n v="3.76"/>
    <n v="1"/>
    <s v=""/>
  </r>
  <r>
    <x v="240"/>
    <x v="239"/>
    <x v="0"/>
    <n v="5.98"/>
    <n v="1"/>
    <n v="5.98"/>
    <n v="4"/>
    <n v="1"/>
    <s v=""/>
  </r>
  <r>
    <x v="241"/>
    <x v="240"/>
    <x v="3"/>
    <n v="5.42"/>
    <n v="1"/>
    <n v="5.42"/>
    <n v="14.25"/>
    <n v="1"/>
    <s v=""/>
  </r>
  <r>
    <x v="242"/>
    <x v="241"/>
    <x v="1"/>
    <n v="5.03"/>
    <n v="1"/>
    <n v="5.03"/>
    <n v="5.28"/>
    <n v="1"/>
    <s v=""/>
  </r>
  <r>
    <x v="194"/>
    <x v="194"/>
    <x v="1"/>
    <n v="5.0199999999999996"/>
    <n v="1"/>
    <n v="5.0199999999999996"/>
    <n v="3.3"/>
    <n v="1"/>
    <s v=""/>
  </r>
  <r>
    <x v="239"/>
    <x v="238"/>
    <x v="4"/>
    <n v="4.29"/>
    <n v="1"/>
    <n v="4.29"/>
    <n v="3.77"/>
    <n v="1"/>
    <s v=""/>
  </r>
  <r>
    <x v="239"/>
    <x v="238"/>
    <x v="0"/>
    <n v="3.77"/>
    <n v="1"/>
    <n v="3.77"/>
    <n v="3.76"/>
    <n v="1"/>
    <n v="2"/>
  </r>
  <r>
    <x v="243"/>
    <x v="242"/>
    <x v="1"/>
    <n v="3.64"/>
    <n v="36"/>
    <n v="3.64"/>
    <n v="191.52"/>
    <n v="36"/>
    <s v=""/>
  </r>
  <r>
    <x v="238"/>
    <x v="237"/>
    <x v="1"/>
    <n v="3.24"/>
    <n v="1"/>
    <n v="3.24"/>
    <n v="1.99"/>
    <n v="1"/>
    <s v=""/>
  </r>
  <r>
    <x v="244"/>
    <x v="243"/>
    <x v="0"/>
    <n v="2.93"/>
    <n v="1"/>
    <n v="2.93"/>
    <n v="2"/>
    <n v="1"/>
    <s v=""/>
  </r>
  <r>
    <x v="245"/>
    <x v="244"/>
    <x v="1"/>
    <n v="0"/>
    <n v="0"/>
    <s v=""/>
    <s v=""/>
    <s v=""/>
    <n v="1"/>
  </r>
  <r>
    <x v="246"/>
    <x v="245"/>
    <x v="1"/>
    <n v="0"/>
    <n v="0"/>
    <s v=""/>
    <s v=""/>
    <s v=""/>
    <n v="1"/>
  </r>
  <r>
    <x v="247"/>
    <x v="246"/>
    <x v="0"/>
    <n v="0"/>
    <n v="0"/>
    <s v=""/>
    <s v=""/>
    <s v=""/>
    <n v="1"/>
  </r>
  <r>
    <x v="246"/>
    <x v="245"/>
    <x v="0"/>
    <n v="0"/>
    <n v="0"/>
    <s v=""/>
    <s v=""/>
    <s v=""/>
    <n v="1"/>
  </r>
  <r>
    <x v="248"/>
    <x v="247"/>
    <x v="0"/>
    <n v="0"/>
    <n v="0"/>
    <s v=""/>
    <s v=""/>
    <s v=""/>
    <n v="8"/>
  </r>
  <r>
    <x v="88"/>
    <x v="88"/>
    <x v="6"/>
    <n v="0"/>
    <n v="0"/>
    <s v=""/>
    <s v=""/>
    <s v=""/>
    <s v=""/>
  </r>
  <r>
    <x v="249"/>
    <x v="248"/>
    <x v="2"/>
    <n v="0"/>
    <n v="0"/>
    <s v=""/>
    <s v=""/>
    <s v=""/>
    <n v="3"/>
  </r>
  <r>
    <x v="235"/>
    <x v="234"/>
    <x v="1"/>
    <n v="0"/>
    <n v="0"/>
    <s v=""/>
    <s v=""/>
    <s v=""/>
    <n v="1"/>
  </r>
  <r>
    <x v="148"/>
    <x v="148"/>
    <x v="3"/>
    <n v="0"/>
    <n v="0"/>
    <s v=""/>
    <s v=""/>
    <s v=""/>
    <s v=""/>
  </r>
  <r>
    <x v="249"/>
    <x v="248"/>
    <x v="0"/>
    <n v="0"/>
    <n v="0"/>
    <s v=""/>
    <s v=""/>
    <s v=""/>
    <n v="2"/>
  </r>
  <r>
    <x v="103"/>
    <x v="103"/>
    <x v="5"/>
    <n v="0"/>
    <n v="0"/>
    <n v="19.47"/>
    <n v="14.48"/>
    <n v="1"/>
    <n v="1"/>
  </r>
  <r>
    <x v="250"/>
    <x v="249"/>
    <x v="5"/>
    <n v="0"/>
    <n v="0"/>
    <s v=""/>
    <s v=""/>
    <s v=""/>
    <s v=""/>
  </r>
  <r>
    <x v="121"/>
    <x v="121"/>
    <x v="2"/>
    <n v="0"/>
    <n v="0"/>
    <s v=""/>
    <s v=""/>
    <s v=""/>
    <n v="4"/>
  </r>
  <r>
    <x v="81"/>
    <x v="81"/>
    <x v="1"/>
    <n v="0"/>
    <n v="0"/>
    <s v=""/>
    <s v=""/>
    <s v=""/>
    <n v="2"/>
  </r>
  <r>
    <x v="251"/>
    <x v="250"/>
    <x v="1"/>
    <n v="0"/>
    <n v="0"/>
    <s v=""/>
    <s v=""/>
    <s v=""/>
    <n v="1"/>
  </r>
  <r>
    <x v="98"/>
    <x v="98"/>
    <x v="2"/>
    <n v="0"/>
    <n v="0"/>
    <s v=""/>
    <s v=""/>
    <s v=""/>
    <n v="13"/>
  </r>
  <r>
    <x v="252"/>
    <x v="251"/>
    <x v="1"/>
    <n v="0"/>
    <n v="0"/>
    <s v=""/>
    <s v=""/>
    <s v=""/>
    <n v="1"/>
  </r>
  <r>
    <x v="39"/>
    <x v="39"/>
    <x v="4"/>
    <n v="0"/>
    <n v="0"/>
    <s v=""/>
    <s v=""/>
    <s v=""/>
    <n v="1"/>
  </r>
  <r>
    <x v="189"/>
    <x v="189"/>
    <x v="2"/>
    <n v="0"/>
    <n v="0"/>
    <s v=""/>
    <s v=""/>
    <s v=""/>
    <s v=""/>
  </r>
  <r>
    <x v="65"/>
    <x v="65"/>
    <x v="2"/>
    <n v="0"/>
    <n v="0"/>
    <s v=""/>
    <s v=""/>
    <s v=""/>
    <s v=""/>
  </r>
  <r>
    <x v="253"/>
    <x v="252"/>
    <x v="3"/>
    <n v="0"/>
    <n v="0"/>
    <s v=""/>
    <s v=""/>
    <s v=""/>
    <s v=""/>
  </r>
  <r>
    <x v="254"/>
    <x v="253"/>
    <x v="0"/>
    <n v="0"/>
    <n v="0"/>
    <s v=""/>
    <s v=""/>
    <s v=""/>
    <n v="3"/>
  </r>
  <r>
    <x v="255"/>
    <x v="254"/>
    <x v="3"/>
    <n v="0"/>
    <n v="0"/>
    <s v=""/>
    <s v=""/>
    <s v=""/>
    <s v=""/>
  </r>
  <r>
    <x v="71"/>
    <x v="71"/>
    <x v="1"/>
    <n v="0"/>
    <n v="0"/>
    <s v=""/>
    <s v=""/>
    <s v=""/>
    <s v=""/>
  </r>
  <r>
    <x v="5"/>
    <x v="5"/>
    <x v="3"/>
    <n v="0"/>
    <n v="0"/>
    <s v=""/>
    <s v=""/>
    <s v=""/>
    <s v=""/>
  </r>
  <r>
    <x v="193"/>
    <x v="193"/>
    <x v="3"/>
    <n v="0"/>
    <n v="0"/>
    <s v=""/>
    <s v=""/>
    <s v=""/>
    <n v="1"/>
  </r>
  <r>
    <x v="256"/>
    <x v="255"/>
    <x v="0"/>
    <n v="0"/>
    <n v="0"/>
    <s v=""/>
    <s v=""/>
    <s v=""/>
    <s v=""/>
  </r>
  <r>
    <x v="221"/>
    <x v="220"/>
    <x v="0"/>
    <n v="0"/>
    <n v="0"/>
    <s v=""/>
    <s v=""/>
    <s v=""/>
    <s v=""/>
  </r>
  <r>
    <x v="257"/>
    <x v="256"/>
    <x v="0"/>
    <n v="0"/>
    <n v="0"/>
    <s v=""/>
    <s v=""/>
    <s v=""/>
    <s v=""/>
  </r>
  <r>
    <x v="258"/>
    <x v="257"/>
    <x v="1"/>
    <n v="0"/>
    <n v="0"/>
    <s v=""/>
    <s v=""/>
    <s v=""/>
    <n v="36"/>
  </r>
  <r>
    <x v="114"/>
    <x v="114"/>
    <x v="3"/>
    <n v="0"/>
    <n v="0"/>
    <s v=""/>
    <s v=""/>
    <s v=""/>
    <s v=""/>
  </r>
  <r>
    <x v="208"/>
    <x v="208"/>
    <x v="2"/>
    <n v="0"/>
    <n v="0"/>
    <n v="24.92"/>
    <n v="20.25"/>
    <n v="1"/>
    <n v="1"/>
  </r>
  <r>
    <x v="121"/>
    <x v="121"/>
    <x v="6"/>
    <n v="0"/>
    <n v="0"/>
    <s v=""/>
    <s v=""/>
    <s v=""/>
    <n v="1"/>
  </r>
  <r>
    <x v="258"/>
    <x v="257"/>
    <x v="2"/>
    <n v="0"/>
    <n v="0"/>
    <s v=""/>
    <s v=""/>
    <s v=""/>
    <n v="19"/>
  </r>
  <r>
    <x v="186"/>
    <x v="186"/>
    <x v="2"/>
    <n v="0"/>
    <n v="0"/>
    <s v=""/>
    <s v=""/>
    <s v=""/>
    <n v="2"/>
  </r>
  <r>
    <x v="36"/>
    <x v="36"/>
    <x v="4"/>
    <n v="0"/>
    <n v="0"/>
    <s v=""/>
    <s v=""/>
    <s v=""/>
    <n v="1"/>
  </r>
  <r>
    <x v="259"/>
    <x v="258"/>
    <x v="5"/>
    <n v="0"/>
    <n v="0"/>
    <s v=""/>
    <s v=""/>
    <s v=""/>
    <n v="1"/>
  </r>
  <r>
    <x v="199"/>
    <x v="199"/>
    <x v="2"/>
    <n v="0"/>
    <n v="0"/>
    <s v=""/>
    <s v=""/>
    <s v=""/>
    <n v="1"/>
  </r>
  <r>
    <x v="236"/>
    <x v="235"/>
    <x v="4"/>
    <n v="0"/>
    <n v="0"/>
    <s v=""/>
    <s v=""/>
    <s v=""/>
    <s v=""/>
  </r>
  <r>
    <x v="241"/>
    <x v="240"/>
    <x v="1"/>
    <n v="0"/>
    <n v="0"/>
    <s v=""/>
    <s v=""/>
    <s v=""/>
    <n v="1"/>
  </r>
  <r>
    <x v="168"/>
    <x v="168"/>
    <x v="3"/>
    <n v="0"/>
    <n v="0"/>
    <s v=""/>
    <s v=""/>
    <s v=""/>
    <s v=""/>
  </r>
  <r>
    <x v="260"/>
    <x v="259"/>
    <x v="0"/>
    <n v="0"/>
    <n v="0"/>
    <s v=""/>
    <s v=""/>
    <s v=""/>
    <s v=""/>
  </r>
  <r>
    <x v="261"/>
    <x v="260"/>
    <x v="0"/>
    <n v="0"/>
    <n v="0"/>
    <s v=""/>
    <s v=""/>
    <s v=""/>
    <n v="3"/>
  </r>
  <r>
    <x v="218"/>
    <x v="217"/>
    <x v="1"/>
    <n v="0"/>
    <n v="313"/>
    <n v="0"/>
    <n v="4695"/>
    <n v="313"/>
    <s v=""/>
  </r>
  <r>
    <x v="262"/>
    <x v="261"/>
    <x v="1"/>
    <n v="0"/>
    <n v="0"/>
    <s v=""/>
    <s v=""/>
    <s v=""/>
    <s v=""/>
  </r>
  <r>
    <x v="263"/>
    <x v="262"/>
    <x v="2"/>
    <n v="0"/>
    <n v="0"/>
    <s v=""/>
    <s v=""/>
    <s v=""/>
    <n v="1"/>
  </r>
  <r>
    <x v="112"/>
    <x v="112"/>
    <x v="2"/>
    <n v="0"/>
    <n v="0"/>
    <s v=""/>
    <s v=""/>
    <s v=""/>
    <n v="1"/>
  </r>
  <r>
    <x v="207"/>
    <x v="207"/>
    <x v="1"/>
    <n v="0"/>
    <n v="0"/>
    <n v="12.52"/>
    <n v="6.16"/>
    <n v="1"/>
    <s v=""/>
  </r>
  <r>
    <x v="257"/>
    <x v="256"/>
    <x v="3"/>
    <n v="0"/>
    <n v="0"/>
    <s v=""/>
    <s v=""/>
    <s v=""/>
    <s v=""/>
  </r>
  <r>
    <x v="244"/>
    <x v="243"/>
    <x v="1"/>
    <n v="0"/>
    <n v="20"/>
    <n v="0"/>
    <n v="40"/>
    <n v="20"/>
    <s v=""/>
  </r>
  <r>
    <x v="264"/>
    <x v="263"/>
    <x v="1"/>
    <n v="0"/>
    <n v="0"/>
    <s v=""/>
    <s v=""/>
    <s v=""/>
    <s v=""/>
  </r>
  <r>
    <x v="217"/>
    <x v="216"/>
    <x v="3"/>
    <n v="0"/>
    <n v="0"/>
    <s v=""/>
    <s v=""/>
    <s v=""/>
    <s v=""/>
  </r>
  <r>
    <x v="61"/>
    <x v="61"/>
    <x v="5"/>
    <n v="0"/>
    <n v="0"/>
    <s v=""/>
    <s v=""/>
    <s v=""/>
    <s v=""/>
  </r>
  <r>
    <x v="212"/>
    <x v="66"/>
    <x v="1"/>
    <n v="0"/>
    <n v="0"/>
    <s v=""/>
    <s v=""/>
    <s v=""/>
    <s v=""/>
  </r>
  <r>
    <x v="151"/>
    <x v="151"/>
    <x v="2"/>
    <n v="0"/>
    <n v="0"/>
    <s v=""/>
    <s v=""/>
    <s v=""/>
    <s v=""/>
  </r>
  <r>
    <x v="88"/>
    <x v="88"/>
    <x v="2"/>
    <n v="0"/>
    <n v="0"/>
    <s v=""/>
    <s v=""/>
    <s v=""/>
    <s v=""/>
  </r>
  <r>
    <x v="54"/>
    <x v="54"/>
    <x v="1"/>
    <n v="0"/>
    <n v="0"/>
    <s v=""/>
    <s v=""/>
    <s v=""/>
    <s v=""/>
  </r>
  <r>
    <x v="212"/>
    <x v="66"/>
    <x v="2"/>
    <n v="0"/>
    <n v="0"/>
    <s v=""/>
    <s v=""/>
    <s v=""/>
    <n v="3"/>
  </r>
  <r>
    <x v="27"/>
    <x v="27"/>
    <x v="6"/>
    <n v="0"/>
    <n v="0"/>
    <s v=""/>
    <s v=""/>
    <s v=""/>
    <n v="1"/>
  </r>
  <r>
    <x v="64"/>
    <x v="64"/>
    <x v="6"/>
    <n v="0"/>
    <n v="0"/>
    <s v=""/>
    <s v=""/>
    <s v=""/>
    <n v="1"/>
  </r>
  <r>
    <x v="99"/>
    <x v="99"/>
    <x v="2"/>
    <n v="0"/>
    <n v="0"/>
    <s v=""/>
    <s v=""/>
    <s v=""/>
    <n v="1"/>
  </r>
  <r>
    <x v="254"/>
    <x v="253"/>
    <x v="2"/>
    <n v="0"/>
    <n v="0"/>
    <s v=""/>
    <s v=""/>
    <s v=""/>
    <n v="1"/>
  </r>
  <r>
    <x v="265"/>
    <x v="264"/>
    <x v="1"/>
    <n v="0"/>
    <n v="0"/>
    <s v=""/>
    <s v=""/>
    <s v=""/>
    <n v="1"/>
  </r>
  <r>
    <x v="266"/>
    <x v="265"/>
    <x v="4"/>
    <n v="0"/>
    <n v="0"/>
    <s v=""/>
    <s v=""/>
    <s v=""/>
    <s v=""/>
  </r>
  <r>
    <x v="232"/>
    <x v="231"/>
    <x v="2"/>
    <n v="0"/>
    <n v="0"/>
    <s v=""/>
    <s v=""/>
    <s v=""/>
    <n v="1"/>
  </r>
  <r>
    <x v="22"/>
    <x v="22"/>
    <x v="5"/>
    <n v="0"/>
    <n v="0"/>
    <s v=""/>
    <s v=""/>
    <s v=""/>
    <n v="1"/>
  </r>
  <r>
    <x v="267"/>
    <x v="266"/>
    <x v="0"/>
    <n v="0"/>
    <n v="0"/>
    <s v=""/>
    <s v=""/>
    <s v=""/>
    <s v=""/>
  </r>
  <r>
    <x v="41"/>
    <x v="41"/>
    <x v="3"/>
    <n v="0"/>
    <n v="0"/>
    <s v=""/>
    <s v=""/>
    <s v=""/>
    <n v="1"/>
  </r>
  <r>
    <x v="41"/>
    <x v="41"/>
    <x v="2"/>
    <n v="0"/>
    <n v="0"/>
    <s v=""/>
    <s v=""/>
    <s v=""/>
    <n v="2"/>
  </r>
  <r>
    <x v="39"/>
    <x v="39"/>
    <x v="5"/>
    <n v="0"/>
    <n v="0"/>
    <s v=""/>
    <s v=""/>
    <s v=""/>
    <s v=""/>
  </r>
  <r>
    <x v="259"/>
    <x v="258"/>
    <x v="2"/>
    <n v="0"/>
    <n v="0"/>
    <s v=""/>
    <s v=""/>
    <s v=""/>
    <n v="1"/>
  </r>
  <r>
    <x v="20"/>
    <x v="20"/>
    <x v="1"/>
    <n v="0"/>
    <n v="0"/>
    <s v=""/>
    <s v=""/>
    <s v=""/>
    <n v="3"/>
  </r>
  <r>
    <x v="186"/>
    <x v="186"/>
    <x v="0"/>
    <n v="0"/>
    <n v="0"/>
    <s v=""/>
    <s v=""/>
    <s v=""/>
    <n v="4"/>
  </r>
  <r>
    <x v="138"/>
    <x v="138"/>
    <x v="1"/>
    <n v="0"/>
    <n v="0"/>
    <s v=""/>
    <s v=""/>
    <s v=""/>
    <s v=""/>
  </r>
  <r>
    <x v="268"/>
    <x v="267"/>
    <x v="2"/>
    <n v="0"/>
    <n v="0"/>
    <s v=""/>
    <s v=""/>
    <s v=""/>
    <s v=""/>
  </r>
  <r>
    <x v="111"/>
    <x v="111"/>
    <x v="1"/>
    <n v="0"/>
    <n v="0"/>
    <s v=""/>
    <s v=""/>
    <s v=""/>
    <n v="1"/>
  </r>
  <r>
    <x v="258"/>
    <x v="257"/>
    <x v="6"/>
    <n v="0"/>
    <n v="0"/>
    <s v=""/>
    <s v=""/>
    <s v=""/>
    <n v="3"/>
  </r>
  <r>
    <x v="45"/>
    <x v="45"/>
    <x v="3"/>
    <n v="0"/>
    <n v="0"/>
    <s v=""/>
    <s v=""/>
    <s v=""/>
    <n v="1"/>
  </r>
  <r>
    <x v="161"/>
    <x v="161"/>
    <x v="0"/>
    <n v="0"/>
    <n v="0"/>
    <s v=""/>
    <s v=""/>
    <s v=""/>
    <n v="3"/>
  </r>
  <r>
    <x v="269"/>
    <x v="268"/>
    <x v="0"/>
    <n v="0"/>
    <n v="0"/>
    <s v=""/>
    <s v=""/>
    <s v=""/>
    <s v=""/>
  </r>
  <r>
    <x v="25"/>
    <x v="25"/>
    <x v="5"/>
    <n v="0"/>
    <n v="0"/>
    <s v=""/>
    <s v=""/>
    <s v=""/>
    <n v="1"/>
  </r>
  <r>
    <x v="76"/>
    <x v="76"/>
    <x v="4"/>
    <n v="0"/>
    <n v="0"/>
    <s v=""/>
    <s v=""/>
    <s v=""/>
    <s v=""/>
  </r>
  <r>
    <x v="258"/>
    <x v="257"/>
    <x v="0"/>
    <n v="0"/>
    <n v="0"/>
    <s v=""/>
    <s v=""/>
    <s v=""/>
    <n v="54"/>
  </r>
  <r>
    <x v="249"/>
    <x v="248"/>
    <x v="1"/>
    <n v="0"/>
    <n v="0"/>
    <s v=""/>
    <s v=""/>
    <s v=""/>
    <n v="3"/>
  </r>
  <r>
    <x v="136"/>
    <x v="136"/>
    <x v="0"/>
    <n v="0"/>
    <n v="0"/>
    <s v=""/>
    <s v=""/>
    <s v=""/>
    <n v="1"/>
  </r>
  <r>
    <x v="259"/>
    <x v="258"/>
    <x v="6"/>
    <n v="0"/>
    <n v="0"/>
    <s v=""/>
    <s v=""/>
    <s v=""/>
    <n v="3"/>
  </r>
  <r>
    <x v="159"/>
    <x v="159"/>
    <x v="0"/>
    <n v="0"/>
    <n v="0"/>
    <n v="32.700000000000003"/>
    <n v="23.85"/>
    <n v="1"/>
    <s v=""/>
  </r>
  <r>
    <x v="270"/>
    <x v="269"/>
    <x v="0"/>
    <n v="0"/>
    <n v="0"/>
    <s v=""/>
    <s v=""/>
    <s v=""/>
    <n v="1"/>
  </r>
  <r>
    <x v="271"/>
    <x v="270"/>
    <x v="5"/>
    <n v="0"/>
    <n v="0"/>
    <s v=""/>
    <s v=""/>
    <s v=""/>
    <s v=""/>
  </r>
  <r>
    <x v="97"/>
    <x v="97"/>
    <x v="6"/>
    <n v="0"/>
    <n v="0"/>
    <s v=""/>
    <s v=""/>
    <s v=""/>
    <s v=""/>
  </r>
  <r>
    <x v="272"/>
    <x v="271"/>
    <x v="2"/>
    <n v="0"/>
    <n v="0"/>
    <s v=""/>
    <s v=""/>
    <s v=""/>
    <s v=""/>
  </r>
  <r>
    <x v="199"/>
    <x v="199"/>
    <x v="1"/>
    <n v="0"/>
    <n v="0"/>
    <s v=""/>
    <s v=""/>
    <s v=""/>
    <n v="1"/>
  </r>
  <r>
    <x v="212"/>
    <x v="66"/>
    <x v="3"/>
    <n v="0"/>
    <n v="0"/>
    <s v=""/>
    <s v=""/>
    <s v=""/>
    <n v="1"/>
  </r>
  <r>
    <x v="235"/>
    <x v="234"/>
    <x v="3"/>
    <n v="0"/>
    <n v="0"/>
    <s v=""/>
    <s v=""/>
    <s v=""/>
    <n v="1"/>
  </r>
  <r>
    <x v="255"/>
    <x v="254"/>
    <x v="1"/>
    <n v="0"/>
    <n v="0"/>
    <s v=""/>
    <s v=""/>
    <s v=""/>
    <n v="1"/>
  </r>
  <r>
    <x v="101"/>
    <x v="101"/>
    <x v="3"/>
    <n v="0"/>
    <n v="0"/>
    <n v="22.23"/>
    <n v="13.94"/>
    <n v="1"/>
    <s v=""/>
  </r>
  <r>
    <x v="208"/>
    <x v="208"/>
    <x v="3"/>
    <n v="0"/>
    <n v="0"/>
    <s v=""/>
    <s v=""/>
    <s v=""/>
    <n v="1"/>
  </r>
  <r>
    <x v="206"/>
    <x v="206"/>
    <x v="5"/>
    <n v="0"/>
    <n v="0"/>
    <s v=""/>
    <s v=""/>
    <s v=""/>
    <s v=""/>
  </r>
  <r>
    <x v="62"/>
    <x v="62"/>
    <x v="3"/>
    <n v="0"/>
    <n v="0"/>
    <s v=""/>
    <s v=""/>
    <s v=""/>
    <n v="1"/>
  </r>
  <r>
    <x v="243"/>
    <x v="242"/>
    <x v="0"/>
    <n v="0"/>
    <n v="0"/>
    <s v=""/>
    <s v=""/>
    <s v=""/>
    <n v="1"/>
  </r>
  <r>
    <x v="203"/>
    <x v="203"/>
    <x v="4"/>
    <n v="0"/>
    <n v="0"/>
    <s v=""/>
    <s v=""/>
    <s v=""/>
    <n v="2"/>
  </r>
  <r>
    <x v="141"/>
    <x v="141"/>
    <x v="3"/>
    <n v="0"/>
    <n v="0"/>
    <s v=""/>
    <s v=""/>
    <s v=""/>
    <n v="1"/>
  </r>
  <r>
    <x v="235"/>
    <x v="234"/>
    <x v="2"/>
    <n v="0"/>
    <n v="0"/>
    <s v=""/>
    <s v=""/>
    <s v=""/>
    <n v="1"/>
  </r>
  <r>
    <x v="112"/>
    <x v="112"/>
    <x v="6"/>
    <n v="0"/>
    <n v="0"/>
    <s v=""/>
    <s v=""/>
    <s v=""/>
    <n v="1"/>
  </r>
  <r>
    <x v="273"/>
    <x v="272"/>
    <x v="2"/>
    <n v="0"/>
    <n v="0"/>
    <s v=""/>
    <s v=""/>
    <s v=""/>
    <n v="1"/>
  </r>
  <r>
    <x v="102"/>
    <x v="102"/>
    <x v="6"/>
    <n v="0"/>
    <n v="0"/>
    <s v=""/>
    <s v=""/>
    <s v=""/>
    <n v="1"/>
  </r>
  <r>
    <x v="274"/>
    <x v="273"/>
    <x v="0"/>
    <n v="0"/>
    <n v="0"/>
    <s v=""/>
    <s v=""/>
    <s v=""/>
    <n v="1"/>
  </r>
  <r>
    <x v="275"/>
    <x v="274"/>
    <x v="0"/>
    <n v="0"/>
    <n v="0"/>
    <s v=""/>
    <s v=""/>
    <s v=""/>
    <s v=""/>
  </r>
  <r>
    <x v="152"/>
    <x v="152"/>
    <x v="0"/>
    <n v="0"/>
    <n v="0"/>
    <s v=""/>
    <s v=""/>
    <s v=""/>
    <s v=""/>
  </r>
  <r>
    <x v="276"/>
    <x v="275"/>
    <x v="0"/>
    <n v="0"/>
    <n v="0"/>
    <s v=""/>
    <s v=""/>
    <s v=""/>
    <s v=""/>
  </r>
  <r>
    <x v="30"/>
    <x v="30"/>
    <x v="6"/>
    <n v="0"/>
    <n v="0"/>
    <s v=""/>
    <s v=""/>
    <s v=""/>
    <n v="1"/>
  </r>
  <r>
    <x v="277"/>
    <x v="276"/>
    <x v="0"/>
    <n v="0"/>
    <n v="0"/>
    <s v=""/>
    <s v=""/>
    <s v=""/>
    <s v=""/>
  </r>
  <r>
    <x v="119"/>
    <x v="119"/>
    <x v="0"/>
    <n v="0"/>
    <n v="0"/>
    <s v=""/>
    <s v=""/>
    <s v=""/>
    <s v=""/>
  </r>
  <r>
    <x v="278"/>
    <x v="277"/>
    <x v="3"/>
    <n v="0"/>
    <n v="0"/>
    <s v=""/>
    <s v=""/>
    <s v=""/>
    <s v=""/>
  </r>
  <r>
    <x v="156"/>
    <x v="156"/>
    <x v="4"/>
    <n v="0"/>
    <n v="0"/>
    <s v=""/>
    <s v=""/>
    <s v=""/>
    <n v="1"/>
  </r>
  <r>
    <x v="209"/>
    <x v="209"/>
    <x v="2"/>
    <n v="0"/>
    <n v="0"/>
    <s v=""/>
    <s v=""/>
    <s v=""/>
    <n v="1"/>
  </r>
  <r>
    <x v="252"/>
    <x v="251"/>
    <x v="5"/>
    <n v="0"/>
    <n v="0"/>
    <s v=""/>
    <s v=""/>
    <s v=""/>
    <n v="1"/>
  </r>
  <r>
    <x v="214"/>
    <x v="213"/>
    <x v="4"/>
    <n v="0"/>
    <n v="0"/>
    <s v=""/>
    <s v=""/>
    <s v=""/>
    <s v=""/>
  </r>
  <r>
    <x v="279"/>
    <x v="278"/>
    <x v="3"/>
    <n v="0"/>
    <n v="0"/>
    <s v=""/>
    <s v=""/>
    <s v=""/>
    <s v=""/>
  </r>
  <r>
    <x v="248"/>
    <x v="247"/>
    <x v="2"/>
    <n v="0"/>
    <n v="0"/>
    <s v=""/>
    <s v=""/>
    <s v=""/>
    <n v="1"/>
  </r>
  <r>
    <x v="280"/>
    <x v="279"/>
    <x v="0"/>
    <n v="-5.12"/>
    <n v="-1"/>
    <s v=""/>
    <s v=""/>
    <s v=""/>
    <s v=""/>
  </r>
  <r>
    <x v="20"/>
    <x v="20"/>
    <x v="4"/>
    <n v="-19.12"/>
    <n v="-1"/>
    <s v=""/>
    <s v=""/>
    <s v=""/>
    <s v=""/>
  </r>
  <r>
    <x v="251"/>
    <x v="250"/>
    <x v="0"/>
    <n v="-230.16"/>
    <n v="-4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3">
  <r>
    <s v="405-3843267-7979508"/>
    <s v="405-3843267-7979508"/>
    <s v="2024-01-31T22:55:05+00:00"/>
    <s v="2024-02-02T12:04:06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"/>
    <m/>
    <m/>
    <m/>
    <m/>
    <n v="1"/>
    <s v="clermont ferrand"/>
    <m/>
    <n v="63000"/>
    <s v="FR"/>
    <s v="Free Shipping 2017/10/17 17-17-37-677"/>
    <m/>
    <m/>
    <m/>
    <m/>
    <m/>
    <m/>
  </r>
  <r>
    <s v="402-3695688-5468327"/>
    <s v="402-3695688-5468327"/>
    <s v="2024-01-31T22:02:27+00:00"/>
    <s v="2024-01-31T22:11:42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Bavilliers"/>
    <m/>
    <n v="90800"/>
    <s v="FR"/>
    <m/>
    <m/>
    <m/>
    <m/>
    <m/>
    <m/>
    <m/>
  </r>
  <r>
    <s v="406-8285919-0021116"/>
    <s v="406-8285919-0021116"/>
    <s v="2024-01-31T21:34:06+00:00"/>
    <s v="2024-02-01T15:25:59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teauneuf Les Martigues"/>
    <m/>
    <n v="13220"/>
    <s v="FR"/>
    <m/>
    <m/>
    <m/>
    <m/>
    <m/>
    <m/>
    <m/>
  </r>
  <r>
    <s v="408-3299766-2272353"/>
    <s v="408-3299766-2272353"/>
    <s v="2024-01-31T20:39:21+00:00"/>
    <s v="2024-02-03T00:44:5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anteuil Le Haudouin"/>
    <m/>
    <n v="60440"/>
    <s v="FR"/>
    <m/>
    <m/>
    <m/>
    <m/>
    <m/>
    <m/>
    <m/>
  </r>
  <r>
    <s v="406-4914578-1861133"/>
    <s v="406-4914578-1861133"/>
    <s v="2024-01-31T20:17:37+00:00"/>
    <s v="2024-02-02T09:38:3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ruxelles Uccle"/>
    <m/>
    <n v="1180"/>
    <s v="BE"/>
    <m/>
    <m/>
    <m/>
    <m/>
    <m/>
    <m/>
    <m/>
  </r>
  <r>
    <s v="407-3888737-4981165"/>
    <s v="407-3888737-4981165"/>
    <s v="2024-01-31T20:03:34+00:00"/>
    <s v="2024-02-01T15:44:2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er"/>
    <m/>
    <n v="41500"/>
    <s v="FR"/>
    <m/>
    <m/>
    <m/>
    <m/>
    <m/>
    <m/>
    <m/>
  </r>
  <r>
    <s v="408-9077802-2293965"/>
    <s v="408-9077802-2293965"/>
    <s v="2024-01-31T19:52:59+00:00"/>
    <s v="2024-02-01T00:25:13+00:00"/>
    <s v="Shipped"/>
    <x v="0"/>
    <x v="0"/>
    <m/>
    <m/>
    <s v="Expedited"/>
    <s v="BEPER 40.405 Seche Cheveux de Voyage Pliable - Mini Seche Cheveux Silencieux, 2 Températures et 2 Vitesses"/>
    <s v="40.405_FBA"/>
    <x v="1"/>
    <s v="Shipped"/>
    <n v="1"/>
    <s v="EUR"/>
    <n v="19.899999999999999"/>
    <m/>
    <m/>
    <m/>
    <m/>
    <m/>
    <m/>
    <m/>
    <s v="BELLE ISLE EN TERRE"/>
    <m/>
    <n v="22810"/>
    <s v="FR"/>
    <m/>
    <m/>
    <m/>
    <m/>
    <m/>
    <m/>
    <m/>
  </r>
  <r>
    <s v="405-9171375-5879521"/>
    <s v="405-9171375-5879521"/>
    <s v="2024-01-31T17:48:58+00:00"/>
    <s v="2024-02-01T00:32:5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izieres"/>
    <m/>
    <n v="14190"/>
    <s v="FR"/>
    <m/>
    <m/>
    <m/>
    <m/>
    <m/>
    <m/>
    <m/>
  </r>
  <r>
    <s v="404-2179655-8359551"/>
    <s v="404-2179655-8359551"/>
    <s v="2024-01-31T17:21:55+00:00"/>
    <s v="2024-01-31T17:50:06+00:00"/>
    <s v="Cancelled"/>
    <x v="0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Nogent sur Oise"/>
    <m/>
    <n v="60180"/>
    <s v="FR"/>
    <m/>
    <m/>
    <m/>
    <m/>
    <m/>
    <m/>
    <m/>
  </r>
  <r>
    <s v="406-3733820-1731557"/>
    <s v="406-3733820-1731557"/>
    <s v="2024-01-31T16:02:50+00:00"/>
    <s v="2024-01-31T21:02:0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aris"/>
    <m/>
    <n v="75013"/>
    <s v="FR"/>
    <m/>
    <m/>
    <m/>
    <m/>
    <m/>
    <m/>
    <m/>
  </r>
  <r>
    <s v="408-9259204-7038733"/>
    <s v="408-9259204-7038733"/>
    <s v="2024-01-31T15:54:11+00:00"/>
    <s v="2024-02-01T00:33:1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n v="2.99"/>
    <m/>
    <m/>
    <m/>
    <m/>
    <m/>
    <s v="Liège"/>
    <m/>
    <n v="4460"/>
    <s v="BE"/>
    <m/>
    <m/>
    <m/>
    <m/>
    <m/>
    <m/>
    <m/>
  </r>
  <r>
    <s v="402-3114700-4349104"/>
    <s v="402-3114700-4349104"/>
    <s v="2024-01-31T13:39:35+00:00"/>
    <s v="2024-01-31T16:38:2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astelnaudary"/>
    <m/>
    <n v="11400"/>
    <s v="FR"/>
    <m/>
    <m/>
    <m/>
    <m/>
    <m/>
    <m/>
    <m/>
  </r>
  <r>
    <s v="404-6584360-2083560"/>
    <s v="404-6584360-2083560"/>
    <s v="2024-01-31T13:36:10+00:00"/>
    <s v="2024-02-01T00:33:16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LAISIR"/>
    <m/>
    <n v="78370"/>
    <s v="FR"/>
    <m/>
    <m/>
    <m/>
    <m/>
    <m/>
    <m/>
    <m/>
  </r>
  <r>
    <s v="404-1194761-5069908"/>
    <s v="404-1194761-5069908"/>
    <s v="2024-01-31T12:03:55+00:00"/>
    <s v="2024-02-02T02:48:4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0.56999999999999995"/>
    <m/>
    <m/>
    <m/>
    <m/>
    <n v="0.56999999999999995"/>
    <s v="Nouilly"/>
    <m/>
    <n v="57645"/>
    <s v="FR"/>
    <s v="Free Shipping 2017/10/17 17-17-37-677"/>
    <m/>
    <m/>
    <m/>
    <m/>
    <m/>
    <m/>
  </r>
  <r>
    <s v="406-0575986-7234744"/>
    <s v="406-0575986-7234744"/>
    <s v="2024-01-31T09:45:23+00:00"/>
    <s v="2024-02-01T04:01:47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paris"/>
    <m/>
    <n v="75015"/>
    <s v="FR"/>
    <m/>
    <m/>
    <m/>
    <m/>
    <m/>
    <m/>
    <m/>
  </r>
  <r>
    <s v="407-3519396-5821109"/>
    <s v="407-3519396-5821109"/>
    <s v="2024-01-31T09:43:32+00:00"/>
    <s v="2024-01-31T12:17:13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mbly"/>
    <m/>
    <n v="60230"/>
    <s v="FR"/>
    <s v="Free Shipping 2017/10/17 17-17-37-677"/>
    <m/>
    <m/>
    <m/>
    <m/>
    <m/>
    <m/>
  </r>
  <r>
    <s v="402-5330354-4808345"/>
    <s v="402-5330354-4808345"/>
    <s v="2024-01-31T09:03:04+00:00"/>
    <s v="2024-02-01T01:00:4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huy"/>
    <m/>
    <n v="21121"/>
    <s v="FR"/>
    <m/>
    <m/>
    <m/>
    <m/>
    <m/>
    <m/>
    <m/>
  </r>
  <r>
    <s v="402-2429105-0390756"/>
    <s v="402-2429105-0390756"/>
    <s v="2024-01-31T08:14:18+00:00"/>
    <s v="2024-01-31T12:16:49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Benfeld"/>
    <m/>
    <n v="67230"/>
    <s v="FR"/>
    <s v="Free Shipping 2017/10/17 17-17-37-677"/>
    <m/>
    <m/>
    <m/>
    <m/>
    <m/>
    <m/>
  </r>
  <r>
    <s v="402-6106346-5753960"/>
    <s v="402-6106346-5753960"/>
    <s v="2024-01-30T22:25:58+00:00"/>
    <s v="2024-02-02T16:55:4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jarnac"/>
    <m/>
    <n v="16200"/>
    <s v="FR"/>
    <m/>
    <m/>
    <m/>
    <m/>
    <m/>
    <m/>
    <m/>
  </r>
  <r>
    <s v="402-2680769-0229941"/>
    <s v="402-2680769-0229941"/>
    <s v="2024-01-30T21:15:36+00:00"/>
    <s v="2024-01-31T04:58:38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ospel"/>
    <m/>
    <n v="6380"/>
    <s v="FR"/>
    <s v="Free Shipping 2017/10/17 17-17-37-677"/>
    <m/>
    <m/>
    <m/>
    <m/>
    <m/>
    <m/>
  </r>
  <r>
    <s v="407-2554927-9209102"/>
    <s v="407-2554927-9209102"/>
    <s v="2024-01-30T21:04:08+00:00"/>
    <s v="2024-01-31T12:21:41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pontcharra"/>
    <m/>
    <n v="38530"/>
    <s v="FR"/>
    <s v="Free Shipping 2017/10/17 17-17-37-677"/>
    <m/>
    <m/>
    <m/>
    <m/>
    <m/>
    <m/>
  </r>
  <r>
    <s v="408-5729419-0856354"/>
    <s v="408-5729419-0856354"/>
    <s v="2024-01-30T19:48:40+00:00"/>
    <s v="2024-01-31T15:53:1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aris"/>
    <m/>
    <n v="75011"/>
    <s v="FR"/>
    <m/>
    <m/>
    <m/>
    <m/>
    <m/>
    <m/>
    <m/>
  </r>
  <r>
    <s v="171-3066697-9063548"/>
    <s v="171-3066697-9063548"/>
    <s v="2024-01-30T18:52:31+00:00"/>
    <s v="2024-01-31T12:19:21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palud"/>
    <m/>
    <n v="84840"/>
    <s v="FR"/>
    <s v="Free Shipping 2017/10/17 17-17-37-677"/>
    <m/>
    <m/>
    <m/>
    <m/>
    <m/>
    <m/>
  </r>
  <r>
    <s v="402-2534146-1417125"/>
    <s v="402-2534146-1417125"/>
    <s v="2024-01-30T18:25:49+00:00"/>
    <s v="2024-02-07T02:20:35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paris"/>
    <m/>
    <n v="75014"/>
    <s v="FR"/>
    <s v="Free Shipping 2017/10/17 17-17-37-677"/>
    <m/>
    <m/>
    <m/>
    <m/>
    <m/>
    <m/>
  </r>
  <r>
    <s v="403-1560444-7321108"/>
    <s v="403-1560444-7321108"/>
    <s v="2024-01-30T18:00:18+00:00"/>
    <s v="2024-02-01T18:46:2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2"/>
    <m/>
    <m/>
    <m/>
    <m/>
    <n v="2"/>
    <s v="PIGNY"/>
    <s v="Centre"/>
    <n v="18110"/>
    <s v="FR"/>
    <s v="Free Shipping 2017/10/17 17-17-37-677"/>
    <m/>
    <m/>
    <m/>
    <m/>
    <m/>
    <m/>
  </r>
  <r>
    <s v="407-3854702-0293935"/>
    <s v="407-3854702-0293935"/>
    <s v="2024-01-30T17:43:32+00:00"/>
    <s v="2024-01-30T20:54:5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Soupplets"/>
    <m/>
    <n v="77165"/>
    <s v="FR"/>
    <m/>
    <m/>
    <m/>
    <m/>
    <m/>
    <m/>
    <m/>
  </r>
  <r>
    <s v="406-7573909-8095551"/>
    <s v="406-7573909-8095551"/>
    <s v="2024-01-30T17:42:03+00:00"/>
    <s v="2024-01-31T08:59:3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inte marie la mer"/>
    <m/>
    <n v="66470"/>
    <s v="FR"/>
    <m/>
    <m/>
    <m/>
    <m/>
    <m/>
    <m/>
    <m/>
  </r>
  <r>
    <s v="404-3092103-0753101"/>
    <s v="404-3092103-0753101"/>
    <s v="2024-01-30T17:26:39+00:00"/>
    <s v="2024-01-31T12:51:59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St Soupplets"/>
    <m/>
    <n v="77165"/>
    <s v="FR"/>
    <m/>
    <m/>
    <m/>
    <m/>
    <m/>
    <m/>
    <m/>
  </r>
  <r>
    <s v="405-0174707-0062737"/>
    <s v="405-0174707-0062737"/>
    <s v="2024-01-30T16:15:58+00:00"/>
    <s v="2024-01-30T20:55:26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e Cannet Rocheville"/>
    <s v="Sud"/>
    <n v="6110"/>
    <s v="FR"/>
    <s v="Free Shipping 2017/10/17 17-17-37-677"/>
    <m/>
    <m/>
    <m/>
    <m/>
    <m/>
    <m/>
  </r>
  <r>
    <s v="403-1958801-9690746"/>
    <s v="403-1958801-9690746"/>
    <s v="2024-01-30T15:10:38+00:00"/>
    <s v="2024-01-31T05:02:33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VERNOSE lacasse"/>
    <m/>
    <n v="31410"/>
    <s v="FR"/>
    <s v="Free Shipping 2017/10/17 17-17-37-677"/>
    <m/>
    <m/>
    <m/>
    <m/>
    <m/>
    <m/>
  </r>
  <r>
    <s v="405-3145505-5999559"/>
    <s v="405-3145505-5999559"/>
    <s v="2024-01-30T14:53:57+00:00"/>
    <s v="2024-01-31T00:33:1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ELLES"/>
    <m/>
    <n v="77500"/>
    <s v="FR"/>
    <m/>
    <m/>
    <m/>
    <m/>
    <m/>
    <m/>
    <m/>
  </r>
  <r>
    <s v="407-9216780-6296325"/>
    <s v="407-9216780-6296325"/>
    <s v="2024-01-30T14:39:19+00:00"/>
    <s v="2024-01-31T00:33:1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audebec Lès Elbeuf"/>
    <m/>
    <n v="76320"/>
    <s v="FR"/>
    <m/>
    <m/>
    <m/>
    <m/>
    <m/>
    <m/>
    <m/>
  </r>
  <r>
    <s v="406-8231380-3077109"/>
    <s v="406-8231380-3077109"/>
    <s v="2024-01-30T13:57:20+00:00"/>
    <s v="2024-01-31T01:47:16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ESTIGNE"/>
    <m/>
    <n v="37140"/>
    <s v="FR"/>
    <m/>
    <m/>
    <m/>
    <m/>
    <m/>
    <m/>
    <m/>
  </r>
  <r>
    <s v="406-1070790-2301149"/>
    <s v="406-1070790-2301149"/>
    <s v="2024-01-30T13:11:48+00:00"/>
    <s v="2024-01-31T00:33:1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inselles"/>
    <m/>
    <n v="59126"/>
    <s v="FR"/>
    <m/>
    <m/>
    <m/>
    <m/>
    <m/>
    <m/>
    <m/>
  </r>
  <r>
    <s v="402-8553313-3173166"/>
    <s v="402-8553313-3173166"/>
    <s v="2024-01-30T12:21:36+00:00"/>
    <s v="2024-02-12T08:04:09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2"/>
    <s v="EUR"/>
    <n v="89.8"/>
    <m/>
    <n v="3.99"/>
    <m/>
    <m/>
    <m/>
    <m/>
    <n v="3.99"/>
    <s v="St Pierre Montlimart"/>
    <m/>
    <n v="49110"/>
    <s v="FR"/>
    <s v="Free Shipping 2017/10/17 17-17-37-677"/>
    <m/>
    <m/>
    <m/>
    <m/>
    <m/>
    <m/>
  </r>
  <r>
    <s v="405-3363135-7459552"/>
    <s v="405-3363135-7459552"/>
    <s v="2024-01-30T12:18:04+00:00"/>
    <s v="2024-01-30T20:55:3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Draveil"/>
    <m/>
    <n v="91210"/>
    <s v="FR"/>
    <m/>
    <m/>
    <m/>
    <m/>
    <m/>
    <m/>
    <m/>
  </r>
  <r>
    <s v="405-7404889-1469149"/>
    <s v="405-7404889-1469149"/>
    <s v="2024-01-30T10:32:57+00:00"/>
    <s v="2024-02-01T15:07:39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Fos-sur-Mer"/>
    <m/>
    <n v="13270"/>
    <s v="FR"/>
    <m/>
    <m/>
    <m/>
    <m/>
    <m/>
    <m/>
    <m/>
  </r>
  <r>
    <s v="402-2190183-7726739"/>
    <s v="402-2190183-7726739"/>
    <s v="2024-01-30T10:15:59+00:00"/>
    <s v="2024-02-04T10:19:29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WALDOLWISHEIM"/>
    <m/>
    <n v="67700"/>
    <s v="FR"/>
    <m/>
    <m/>
    <m/>
    <m/>
    <m/>
    <m/>
    <m/>
  </r>
  <r>
    <s v="171-9571645-3937903"/>
    <s v="171-9571645-3937903"/>
    <s v="2024-01-30T09:42:23+00:00"/>
    <s v="2024-01-31T00:38:1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imbach pres masevaux"/>
    <m/>
    <n v="68290"/>
    <s v="FR"/>
    <m/>
    <m/>
    <m/>
    <m/>
    <m/>
    <m/>
    <m/>
  </r>
  <r>
    <s v="406-6833685-4361110"/>
    <s v="406-6833685-4361110"/>
    <s v="2024-01-30T09:14:53+00:00"/>
    <s v="2024-01-30T20:57:2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oaillac"/>
    <m/>
    <n v="33190"/>
    <s v="FR"/>
    <m/>
    <m/>
    <m/>
    <m/>
    <m/>
    <m/>
    <m/>
  </r>
  <r>
    <s v="408-3542924-7539510"/>
    <s v="408-3542924-7539510"/>
    <s v="2024-01-30T07:31:47+00:00"/>
    <s v="2024-01-31T04:58:44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Blagnac"/>
    <s v="Sud Ouest"/>
    <n v="31700"/>
    <s v="FR"/>
    <s v="Free Shipping 2017/10/17 17-17-37-677"/>
    <m/>
    <m/>
    <m/>
    <m/>
    <m/>
    <m/>
  </r>
  <r>
    <s v="402-0837085-9839568"/>
    <s v="402-0837085-9839568"/>
    <s v="2024-01-30T00:50:29+00:00"/>
    <s v="2024-01-30T12:06:59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Aubagne"/>
    <s v="Sud"/>
    <n v="13400"/>
    <s v="FR"/>
    <s v="Free Shipping 2017/10/17 17-17-37-677"/>
    <m/>
    <m/>
    <m/>
    <m/>
    <m/>
    <m/>
  </r>
  <r>
    <s v="408-2465957-3177117"/>
    <s v="408-2465957-3177117"/>
    <s v="2024-01-30T00:24:09+00:00"/>
    <s v="2024-01-30T16:35:5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oulouse"/>
    <m/>
    <n v="31200"/>
    <s v="FR"/>
    <m/>
    <m/>
    <m/>
    <m/>
    <m/>
    <m/>
    <m/>
  </r>
  <r>
    <s v="404-4967350-3455514"/>
    <s v="404-4967350-3455514"/>
    <s v="2024-01-30T00:13:21+00:00"/>
    <s v="2024-01-30T04:21:27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es Ponts-de-Cé"/>
    <m/>
    <n v="49130"/>
    <s v="FR"/>
    <m/>
    <m/>
    <m/>
    <m/>
    <m/>
    <m/>
    <m/>
  </r>
  <r>
    <s v="408-9181995-9055510"/>
    <s v="408-9181995-9055510"/>
    <s v="2024-01-29T21:43:40+00:00"/>
    <s v="2024-01-30T12:07:4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yon"/>
    <m/>
    <n v="69006"/>
    <s v="FR"/>
    <m/>
    <m/>
    <m/>
    <m/>
    <m/>
    <m/>
    <m/>
  </r>
  <r>
    <s v="408-9884586-8157912"/>
    <s v="408-9884586-8157912"/>
    <s v="2024-01-29T21:30:11+00:00"/>
    <s v="2024-01-31T02:34:5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ARSEILLE"/>
    <m/>
    <n v="13008"/>
    <s v="FR"/>
    <m/>
    <m/>
    <m/>
    <m/>
    <m/>
    <m/>
    <m/>
  </r>
  <r>
    <s v="402-7904381-9030763"/>
    <s v="402-7904381-9030763"/>
    <s v="2024-01-29T20:15:54+00:00"/>
    <s v="2024-01-30T00:35:1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rleville Mezieres"/>
    <m/>
    <n v="8000"/>
    <s v="FR"/>
    <m/>
    <m/>
    <m/>
    <m/>
    <m/>
    <m/>
    <m/>
  </r>
  <r>
    <s v="402-1582164-3300309"/>
    <s v="402-1582164-3300309"/>
    <s v="2024-01-29T19:55:24+00:00"/>
    <s v="2024-01-30T00:35:1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aen"/>
    <m/>
    <n v="14000"/>
    <s v="FR"/>
    <m/>
    <m/>
    <m/>
    <m/>
    <m/>
    <m/>
    <m/>
  </r>
  <r>
    <s v="408-2028799-3096326"/>
    <s v="408-2028799-3096326"/>
    <s v="2024-01-29T19:54:28+00:00"/>
    <s v="2024-01-30T12:07:4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GARDANNE"/>
    <m/>
    <n v="13120"/>
    <s v="FR"/>
    <s v="Free Shipping 2017/10/17 17-17-37-677"/>
    <m/>
    <m/>
    <m/>
    <m/>
    <m/>
    <m/>
  </r>
  <r>
    <s v="407-1957420-2940324"/>
    <s v="407-1957420-2940324"/>
    <s v="2024-01-29T19:35:03+00:00"/>
    <s v="2024-01-30T12:07:3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illaines les prevotes"/>
    <m/>
    <n v="21500"/>
    <s v="FR"/>
    <m/>
    <m/>
    <m/>
    <m/>
    <m/>
    <m/>
    <m/>
  </r>
  <r>
    <s v="402-9498380-7261919"/>
    <s v="402-9498380-7261919"/>
    <s v="2024-01-29T19:01:04+00:00"/>
    <s v="2024-01-30T12:17:06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ubigny Sur Nere"/>
    <m/>
    <n v="18700"/>
    <s v="FR"/>
    <s v="Free Shipping 2017/10/17 17-17-37-677"/>
    <m/>
    <m/>
    <m/>
    <m/>
    <m/>
    <m/>
  </r>
  <r>
    <s v="403-3783802-9499522"/>
    <s v="403-3783802-9499522"/>
    <s v="2024-01-29T17:40:14+00:00"/>
    <s v="2024-01-30T05:49:5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assin La Demi Lune"/>
    <m/>
    <n v="69160"/>
    <s v="FR"/>
    <m/>
    <m/>
    <m/>
    <m/>
    <m/>
    <m/>
    <m/>
  </r>
  <r>
    <s v="408-7736349-1761101"/>
    <s v="408-7736349-1761101"/>
    <s v="2024-01-29T16:58:31+00:00"/>
    <s v="2024-02-13T17:53:38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FEURS"/>
    <m/>
    <n v="42110"/>
    <s v="FR"/>
    <s v="Free Shipping 2017/10/17 17-17-37-677"/>
    <m/>
    <m/>
    <m/>
    <m/>
    <m/>
    <m/>
  </r>
  <r>
    <s v="403-8060264-5916303"/>
    <s v="403-8060264-5916303"/>
    <s v="2024-01-29T15:44:13+00:00"/>
    <s v="2024-01-30T00:47:24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hanteloup-Les-Vignes"/>
    <m/>
    <n v="78570"/>
    <s v="FR"/>
    <m/>
    <m/>
    <m/>
    <m/>
    <m/>
    <m/>
    <m/>
  </r>
  <r>
    <s v="406-9457504-3646728"/>
    <s v="406-9457504-3646728"/>
    <s v="2024-01-29T15:32:48+00:00"/>
    <s v="2024-01-29T21:05:35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rasbourg"/>
    <m/>
    <n v="67000"/>
    <s v="FR"/>
    <s v="Free Shipping 2017/10/17 17-17-37-677"/>
    <m/>
    <m/>
    <m/>
    <m/>
    <m/>
    <m/>
  </r>
  <r>
    <s v="402-8585425-2188343"/>
    <s v="402-8585425-2188343"/>
    <s v="2024-01-29T15:27:15+00:00"/>
    <s v="2024-01-30T00:39:19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Paris"/>
    <m/>
    <n v="75014"/>
    <s v="FR"/>
    <m/>
    <m/>
    <m/>
    <m/>
    <m/>
    <m/>
    <m/>
  </r>
  <r>
    <s v="405-8457661-8961954"/>
    <s v="405-8457661-8961954"/>
    <s v="2024-01-29T15:02:21+00:00"/>
    <s v="2024-01-30T22:24:21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0.6"/>
    <m/>
    <m/>
    <m/>
    <m/>
    <n v="0.6"/>
    <s v="Maurage"/>
    <m/>
    <n v="7110"/>
    <s v="BE"/>
    <s v="Free Shipping 2017/10/17 17-17-37-677"/>
    <m/>
    <m/>
    <m/>
    <m/>
    <m/>
    <m/>
  </r>
  <r>
    <s v="406-7484648-8952363"/>
    <s v="406-7484648-8952363"/>
    <s v="2024-01-29T14:21:26+00:00"/>
    <s v="2024-01-30T00:36:31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aris"/>
    <m/>
    <n v="75008"/>
    <s v="FR"/>
    <m/>
    <m/>
    <m/>
    <m/>
    <m/>
    <m/>
    <m/>
  </r>
  <r>
    <s v="405-2778255-3151560"/>
    <s v="405-2778255-3151560"/>
    <s v="2024-01-29T14:19:51+00:00"/>
    <s v="2024-01-29T21:07:01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lataverne"/>
    <m/>
    <n v="26780"/>
    <s v="FR"/>
    <s v="Free Shipping 2017/10/17 17-17-37-677"/>
    <m/>
    <m/>
    <m/>
    <m/>
    <m/>
    <m/>
  </r>
  <r>
    <s v="407-6614282-1973100"/>
    <s v="407-6614282-1973100"/>
    <s v="2024-01-29T13:53:56+00:00"/>
    <s v="2024-01-30T00:36:2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illiers sur marne"/>
    <m/>
    <n v="94350"/>
    <s v="FR"/>
    <m/>
    <m/>
    <m/>
    <m/>
    <m/>
    <m/>
    <m/>
  </r>
  <r>
    <s v="405-9776344-5603504"/>
    <s v="405-9776344-5603504"/>
    <s v="2024-01-29T13:37:47+00:00"/>
    <s v="2024-02-06T15:24:1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ollies Toucas"/>
    <m/>
    <n v="83210"/>
    <s v="FR"/>
    <m/>
    <m/>
    <m/>
    <m/>
    <m/>
    <m/>
    <m/>
  </r>
  <r>
    <s v="171-1700949-8625129"/>
    <s v="171-1700949-8625129"/>
    <s v="2024-01-29T13:30:24+00:00"/>
    <s v="2024-01-30T01:58:37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arseille"/>
    <m/>
    <n v="13011"/>
    <s v="FR"/>
    <m/>
    <m/>
    <m/>
    <m/>
    <m/>
    <m/>
    <m/>
  </r>
  <r>
    <s v="407-9083625-8677153"/>
    <s v="407-9083625-8677153"/>
    <s v="2024-01-29T13:11:27+00:00"/>
    <s v="2024-01-29T21:04:1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MANON"/>
    <m/>
    <n v="13113"/>
    <s v="FR"/>
    <m/>
    <m/>
    <m/>
    <m/>
    <m/>
    <m/>
    <m/>
  </r>
  <r>
    <s v="406-1728854-8564338"/>
    <s v="406-1728854-8564338"/>
    <s v="2024-01-29T12:14:20+00:00"/>
    <s v="2024-01-29T12:18:51+00:00"/>
    <s v="Cancelled"/>
    <x v="0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GOURNAY EN BRAY"/>
    <m/>
    <n v="76220"/>
    <s v="FR"/>
    <m/>
    <m/>
    <m/>
    <m/>
    <m/>
    <m/>
    <m/>
  </r>
  <r>
    <s v="408-7807528-2215511"/>
    <s v="408-7807528-2215511"/>
    <s v="2024-01-29T11:05:33+00:00"/>
    <s v="2024-01-29T21:07:0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yon"/>
    <m/>
    <n v="69004"/>
    <s v="FR"/>
    <m/>
    <m/>
    <m/>
    <m/>
    <m/>
    <m/>
    <m/>
  </r>
  <r>
    <s v="403-8110519-9474757"/>
    <s v="403-8110519-9474757"/>
    <s v="2024-01-29T10:20:19+00:00"/>
    <s v="2024-01-29T21:04:09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oquefort la Bedoule"/>
    <m/>
    <n v="13830"/>
    <s v="FR"/>
    <s v="Free Shipping 2017/10/17 17-17-37-677"/>
    <m/>
    <m/>
    <m/>
    <m/>
    <m/>
    <m/>
  </r>
  <r>
    <s v="403-6624575-4861131"/>
    <s v="403-6624575-4861131"/>
    <s v="2024-01-29T10:10:05+00:00"/>
    <s v="2024-01-29T22:44:01+00:00"/>
    <s v="Shipped"/>
    <x v="0"/>
    <x v="0"/>
    <m/>
    <m/>
    <s v="Expedited"/>
    <s v="Beper - Cuiseur à Vapeur Multicombustion de 5L, Économiseur d'Espace, Minuterie de 60 minutes, Cuisson à la Vapeur Saine, Puissance 400-500W - Arge"/>
    <s v="BC.261_FBA"/>
    <x v="3"/>
    <s v="Shipped"/>
    <n v="1"/>
    <s v="EUR"/>
    <n v="39.9"/>
    <m/>
    <m/>
    <m/>
    <m/>
    <m/>
    <m/>
    <m/>
    <s v="PARCIEUX"/>
    <m/>
    <n v="1600"/>
    <s v="FR"/>
    <m/>
    <m/>
    <m/>
    <m/>
    <m/>
    <m/>
    <m/>
  </r>
  <r>
    <s v="402-9902156-4904360"/>
    <s v="402-9902156-4904360"/>
    <s v="2024-01-29T10:03:40+00:00"/>
    <s v="2024-01-30T00:36:29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aris"/>
    <m/>
    <n v="75017"/>
    <s v="FR"/>
    <m/>
    <m/>
    <m/>
    <m/>
    <m/>
    <m/>
    <m/>
  </r>
  <r>
    <s v="405-3692450-1421158"/>
    <s v="405-3692450-1421158"/>
    <s v="2024-01-29T09:16:08+00:00"/>
    <s v="2024-03-01T10:40:19+00:00"/>
    <s v="Shipped"/>
    <x v="0"/>
    <x v="0"/>
    <m/>
    <m/>
    <s v="Standard"/>
    <s v="BEPER P102ROB001 Hachoir en verre, récipient en verre, corps Abs, double paire de lames en acier, 2 vitesses, base antidérapante, capacité 1,5 L, g"/>
    <s v="P102ROB001_FBA"/>
    <x v="4"/>
    <s v="Shipped"/>
    <n v="1"/>
    <s v="EUR"/>
    <n v="49.9"/>
    <m/>
    <n v="1.33"/>
    <m/>
    <m/>
    <m/>
    <m/>
    <n v="1.33"/>
    <s v="Luçon"/>
    <s v="France"/>
    <n v="85400"/>
    <s v="FR"/>
    <s v="Free Shipping 2017/10/17 17-17-37-677"/>
    <m/>
    <m/>
    <m/>
    <m/>
    <m/>
    <m/>
  </r>
  <r>
    <s v="408-9188321-0836360"/>
    <s v="408-9188321-0836360"/>
    <s v="2024-01-29T09:16:05+00:00"/>
    <s v="2024-01-29T12:21:1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moens"/>
    <m/>
    <n v="74340"/>
    <s v="FR"/>
    <m/>
    <m/>
    <m/>
    <m/>
    <m/>
    <m/>
    <m/>
  </r>
  <r>
    <s v="404-1648665-2689169"/>
    <s v="404-1648665-2689169"/>
    <s v="2024-01-29T07:42:57+00:00"/>
    <s v="2024-01-29T12:21:36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.99"/>
    <m/>
    <m/>
    <m/>
    <m/>
    <n v="2.99"/>
    <s v="capellen"/>
    <m/>
    <n v="8313"/>
    <s v="LU"/>
    <s v="Free Shipping 2017/10/17 17-17-37-677"/>
    <m/>
    <m/>
    <m/>
    <m/>
    <m/>
    <m/>
  </r>
  <r>
    <s v="406-0359279-6618700"/>
    <s v="406-0359279-6618700"/>
    <s v="2024-01-28T21:36:25+00:00"/>
    <s v="2024-01-29T04:32:40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St Maur Des Fosses"/>
    <m/>
    <n v="94210"/>
    <s v="FR"/>
    <s v="Free Shipping 2017/10/17 17-17-37-677"/>
    <m/>
    <m/>
    <m/>
    <m/>
    <m/>
    <m/>
  </r>
  <r>
    <s v="403-6154612-6626757"/>
    <s v="403-6154612-6626757"/>
    <s v="2024-01-28T20:18:39+00:00"/>
    <s v="2024-01-29T12:19:29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3.99"/>
    <m/>
    <m/>
    <m/>
    <m/>
    <n v="3.99"/>
    <s v="MARSANEIX"/>
    <m/>
    <n v="24750"/>
    <s v="FR"/>
    <s v="Free Shipping 2017/10/17 17-17-37-677"/>
    <m/>
    <m/>
    <m/>
    <m/>
    <m/>
    <m/>
  </r>
  <r>
    <s v="404-7721453-4273900"/>
    <s v="404-7721453-4273900"/>
    <s v="2024-01-28T20:06:45+00:00"/>
    <s v="2024-01-29T02:23:21+00:00"/>
    <s v="Shipped"/>
    <x v="0"/>
    <x v="0"/>
    <m/>
    <m/>
    <s v="Standard"/>
    <s v="BEPER BT.150Y Machine à Hot Dog, 750W, 5 levels de Cuissons, Design Vintage, Rouge"/>
    <s v="BT.150Y_FBA"/>
    <x v="5"/>
    <s v="Shipped"/>
    <n v="1"/>
    <s v="EUR"/>
    <n v="49.9"/>
    <m/>
    <m/>
    <m/>
    <n v="2.99"/>
    <m/>
    <m/>
    <m/>
    <s v="Brignais"/>
    <m/>
    <n v="69530"/>
    <s v="FR"/>
    <s v="Free Shipping 2017/10/17 17-17-37-677"/>
    <m/>
    <m/>
    <m/>
    <m/>
    <m/>
    <m/>
  </r>
  <r>
    <s v="405-5722633-9685956"/>
    <s v="405-5722633-9685956"/>
    <s v="2024-01-28T20:01:20+00:00"/>
    <s v="2024-01-30T02:35:26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"/>
    <m/>
    <m/>
    <m/>
    <m/>
    <n v="2"/>
    <s v="FAMECK"/>
    <m/>
    <n v="57290"/>
    <s v="FR"/>
    <s v="Free Shipping 2017/10/17 17-17-37-677"/>
    <m/>
    <m/>
    <m/>
    <m/>
    <m/>
    <m/>
  </r>
  <r>
    <s v="402-2794699-0975559"/>
    <s v="402-2794699-0975559"/>
    <s v="2024-01-28T19:46:34+00:00"/>
    <s v="2024-01-28T22:56:2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IDAUBAN"/>
    <m/>
    <n v="83550"/>
    <s v="FR"/>
    <s v="Free Shipping 2017/10/17 17-17-37-677"/>
    <m/>
    <m/>
    <m/>
    <m/>
    <m/>
    <m/>
  </r>
  <r>
    <s v="403-9336058-0719531"/>
    <s v="403-9336058-0719531"/>
    <s v="2024-01-28T19:09:30+00:00"/>
    <s v="2024-01-29T16:38:10+00:00"/>
    <s v="Shipped"/>
    <x v="0"/>
    <x v="0"/>
    <m/>
    <m/>
    <s v="Expedited"/>
    <s v="Beper BF.640 - Four ventilé multifonction 12L Anneau de rallonge pour capacité totale 18L Minuterie 60 minutes Température réglable jusqu'à 250°"/>
    <s v="BF.640_FBA"/>
    <x v="6"/>
    <s v="Shipped"/>
    <n v="1"/>
    <s v="EUR"/>
    <n v="99"/>
    <m/>
    <m/>
    <m/>
    <m/>
    <m/>
    <m/>
    <m/>
    <s v="Ste Alauzie"/>
    <s v="Castelnau montratier"/>
    <n v="46170"/>
    <s v="FR"/>
    <m/>
    <m/>
    <m/>
    <m/>
    <m/>
    <m/>
    <m/>
  </r>
  <r>
    <s v="405-4908837-3059524"/>
    <s v="405-4908837-3059524"/>
    <s v="2024-01-28T18:38:41+00:00"/>
    <s v="2024-01-29T04:33:53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Aix-en-Provence"/>
    <m/>
    <n v="13080"/>
    <s v="FR"/>
    <s v="Free Shipping 2017/10/17 17-17-37-677"/>
    <m/>
    <m/>
    <m/>
    <m/>
    <m/>
    <m/>
  </r>
  <r>
    <s v="405-7551949-6333926"/>
    <s v="405-7551949-6333926"/>
    <s v="2024-01-28T17:47:59+00:00"/>
    <s v="2024-01-29T12:25:43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oudun"/>
    <m/>
    <n v="60150"/>
    <s v="FR"/>
    <m/>
    <m/>
    <m/>
    <m/>
    <m/>
    <m/>
    <m/>
  </r>
  <r>
    <s v="406-7828393-6015543"/>
    <s v="406-7828393-6015543"/>
    <s v="2024-01-28T17:34:37+00:00"/>
    <s v="2024-01-29T04:35:26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rnant"/>
    <m/>
    <n v="69440"/>
    <s v="FR"/>
    <m/>
    <m/>
    <m/>
    <m/>
    <m/>
    <m/>
    <m/>
  </r>
  <r>
    <s v="171-4382994-1810756"/>
    <s v="171-4382994-1810756"/>
    <s v="2024-01-28T17:24:42+00:00"/>
    <s v="2024-01-29T05:03:59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NCAUT"/>
    <m/>
    <n v="47310"/>
    <s v="FR"/>
    <m/>
    <m/>
    <m/>
    <m/>
    <m/>
    <m/>
    <m/>
  </r>
  <r>
    <s v="405-0753049-2877900"/>
    <s v="405-0753049-2877900"/>
    <s v="2024-01-28T16:43:09+00:00"/>
    <s v="2024-01-29T00:32:5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ignieres"/>
    <s v="Yvelines"/>
    <n v="78310"/>
    <s v="FR"/>
    <m/>
    <m/>
    <m/>
    <m/>
    <m/>
    <m/>
    <m/>
  </r>
  <r>
    <s v="407-9231546-8774749"/>
    <s v="407-9231546-8774749"/>
    <s v="2024-01-28T16:01:21+00:00"/>
    <s v="2024-01-29T12:19:58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Olivet"/>
    <m/>
    <n v="45160"/>
    <s v="FR"/>
    <s v="Free Shipping 2017/10/17 17-17-37-677"/>
    <m/>
    <m/>
    <m/>
    <m/>
    <m/>
    <m/>
  </r>
  <r>
    <s v="406-7141477-0919520"/>
    <s v="406-7141477-0919520"/>
    <s v="2024-01-28T14:15:31+00:00"/>
    <s v="2024-01-28T22:54:4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horigny Sur Oreuse"/>
    <m/>
    <n v="89260"/>
    <s v="FR"/>
    <m/>
    <m/>
    <m/>
    <m/>
    <m/>
    <m/>
    <m/>
  </r>
  <r>
    <s v="402-8785122-7117929"/>
    <s v="402-8785122-7117929"/>
    <s v="2024-01-28T14:12:25+00:00"/>
    <s v="2024-01-28T22:56:2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aron"/>
    <m/>
    <n v="33750"/>
    <s v="FR"/>
    <m/>
    <m/>
    <m/>
    <m/>
    <m/>
    <m/>
    <m/>
  </r>
  <r>
    <s v="405-3271429-6253166"/>
    <s v="405-3271429-6253166"/>
    <s v="2024-01-28T14:11:28+00:00"/>
    <s v="2024-01-30T20:58:03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FRENEUSE"/>
    <m/>
    <n v="78840"/>
    <s v="FR"/>
    <s v="Free Shipping 2017/10/17 17-17-37-677"/>
    <m/>
    <m/>
    <m/>
    <m/>
    <m/>
    <m/>
  </r>
  <r>
    <s v="404-6442413-2764368"/>
    <s v="404-6442413-2764368"/>
    <s v="2024-01-28T13:57:02+00:00"/>
    <s v="2024-01-29T12:19:58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Mans"/>
    <m/>
    <n v="72000"/>
    <s v="FR"/>
    <s v="Free Shipping 2017/10/17 17-17-37-677"/>
    <m/>
    <m/>
    <m/>
    <m/>
    <m/>
    <m/>
  </r>
  <r>
    <s v="407-5249642-5201168"/>
    <s v="407-5249642-5201168"/>
    <s v="2024-01-28T12:17:57+00:00"/>
    <s v="2024-01-29T00:32:2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UME"/>
    <m/>
    <n v="57220"/>
    <s v="FR"/>
    <m/>
    <m/>
    <m/>
    <m/>
    <m/>
    <m/>
    <m/>
  </r>
  <r>
    <s v="403-8062366-8746710"/>
    <s v="403-8062366-8746710"/>
    <s v="2024-01-28T12:12:34+00:00"/>
    <s v="2024-01-29T09:30:4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T PIERRE D IRUBE"/>
    <m/>
    <n v="64990"/>
    <s v="FR"/>
    <m/>
    <m/>
    <m/>
    <m/>
    <m/>
    <m/>
    <m/>
  </r>
  <r>
    <s v="403-4838167-0769155"/>
    <s v="403-4838167-0769155"/>
    <s v="2024-01-28T12:05:58+00:00"/>
    <s v="2024-01-28T17:04:42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Nogent sur marne"/>
    <m/>
    <n v="94130"/>
    <s v="FR"/>
    <m/>
    <m/>
    <m/>
    <m/>
    <m/>
    <m/>
    <m/>
  </r>
  <r>
    <s v="171-4176070-2405914"/>
    <s v="171-4176070-2405914"/>
    <s v="2024-01-28T10:43:07+00:00"/>
    <s v="2024-01-29T00:34:30+00:00"/>
    <s v="Shipped"/>
    <x v="0"/>
    <x v="0"/>
    <m/>
    <m/>
    <s v="Expedited"/>
    <s v="Beper - Cuiseur à Vapeur Multicombustion de 5L, Économiseur d'Espace, Minuterie de 60 minutes, Cuisson à la Vapeur Saine, Puissance 400-500W - Arge"/>
    <s v="BC.261_FBA"/>
    <x v="3"/>
    <s v="Shipped"/>
    <n v="1"/>
    <s v="EUR"/>
    <n v="39.9"/>
    <m/>
    <m/>
    <m/>
    <m/>
    <m/>
    <m/>
    <m/>
    <s v="Vieux Conde"/>
    <m/>
    <n v="59690"/>
    <s v="FR"/>
    <m/>
    <m/>
    <m/>
    <m/>
    <m/>
    <m/>
    <m/>
  </r>
  <r>
    <s v="403-9827706-8451539"/>
    <s v="403-9827706-8451539"/>
    <s v="2024-01-28T10:16:12+00:00"/>
    <s v="2024-01-28T21:56:0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golin"/>
    <m/>
    <n v="83310"/>
    <s v="FR"/>
    <m/>
    <m/>
    <m/>
    <m/>
    <m/>
    <m/>
    <m/>
  </r>
  <r>
    <s v="404-9727000-2441923"/>
    <s v="404-9727000-2441923"/>
    <s v="2024-01-28T09:33:58+00:00"/>
    <s v="2024-01-29T00:36:3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Goussainville"/>
    <m/>
    <n v="95190"/>
    <s v="FR"/>
    <m/>
    <m/>
    <m/>
    <m/>
    <m/>
    <m/>
    <m/>
  </r>
  <r>
    <s v="408-9767081-4783515"/>
    <s v="408-9767081-4783515"/>
    <s v="2024-01-28T09:08:57+00:00"/>
    <s v="2024-01-29T12:20:0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ISLE"/>
    <m/>
    <n v="87170"/>
    <s v="FR"/>
    <m/>
    <m/>
    <m/>
    <m/>
    <m/>
    <m/>
    <m/>
  </r>
  <r>
    <s v="402-5714183-9694725"/>
    <s v="402-5714183-9694725"/>
    <s v="2024-01-28T08:15:08+00:00"/>
    <s v="2024-01-28T16:19:3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int lys"/>
    <m/>
    <n v="31470"/>
    <s v="FR"/>
    <m/>
    <m/>
    <m/>
    <m/>
    <m/>
    <m/>
    <m/>
  </r>
  <r>
    <s v="406-2852817-8193917"/>
    <s v="406-2852817-8193917"/>
    <s v="2024-01-27T22:41:53+00:00"/>
    <s v="2024-01-28T22:56:11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nsac"/>
    <s v="France"/>
    <n v="17150"/>
    <s v="FR"/>
    <m/>
    <m/>
    <m/>
    <m/>
    <m/>
    <m/>
    <m/>
  </r>
  <r>
    <s v="404-7281320-2313163"/>
    <s v="404-7281320-2313163"/>
    <s v="2024-01-27T22:37:31+00:00"/>
    <s v="2024-01-28T04:53:46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ezens"/>
    <s v="Occitanie"/>
    <n v="81800"/>
    <s v="FR"/>
    <s v="Free Shipping 2017/10/17 17-17-37-677"/>
    <m/>
    <m/>
    <m/>
    <m/>
    <m/>
    <m/>
  </r>
  <r>
    <s v="405-6521990-4162751"/>
    <s v="405-6521990-4162751"/>
    <s v="2024-01-27T22:25:52+00:00"/>
    <s v="2024-01-28T22:54:5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NDAUL"/>
    <m/>
    <n v="56690"/>
    <s v="FR"/>
    <m/>
    <m/>
    <m/>
    <m/>
    <m/>
    <m/>
    <m/>
  </r>
  <r>
    <s v="408-4010216-7086751"/>
    <s v="408-4010216-7086751"/>
    <s v="2024-01-27T20:56:49+00:00"/>
    <s v="2024-01-28T22:56:12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ssy"/>
    <s v="Essonne"/>
    <n v="91300"/>
    <s v="FR"/>
    <s v="Free Shipping 2017/10/17 17-17-37-677"/>
    <m/>
    <m/>
    <m/>
    <m/>
    <m/>
    <m/>
  </r>
  <r>
    <s v="402-3429567-1464324"/>
    <s v="402-3429567-1464324"/>
    <s v="2024-01-27T20:31:53+00:00"/>
    <s v="2024-01-28T22:57:31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Yonval"/>
    <m/>
    <n v="80132"/>
    <s v="FR"/>
    <s v="Free Shipping 2017/10/17 17-17-37-677"/>
    <m/>
    <m/>
    <m/>
    <m/>
    <m/>
    <m/>
  </r>
  <r>
    <s v="404-9841621-3432319"/>
    <s v="404-9841621-3432319"/>
    <s v="2024-01-27T19:02:42+00:00"/>
    <s v="2024-01-28T22:54:4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igues-Mortes"/>
    <m/>
    <n v="30220"/>
    <s v="FR"/>
    <m/>
    <m/>
    <m/>
    <m/>
    <m/>
    <m/>
    <m/>
  </r>
  <r>
    <s v="403-6116589-3189131"/>
    <s v="403-6116589-3189131"/>
    <s v="2024-01-27T18:59:53+00:00"/>
    <s v="2024-01-28T22:54:46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uleon Soule"/>
    <m/>
    <n v="64130"/>
    <s v="FR"/>
    <s v="Free Shipping 2017/10/17 17-17-37-677"/>
    <m/>
    <m/>
    <m/>
    <m/>
    <m/>
    <m/>
  </r>
  <r>
    <s v="406-6043227-9450755"/>
    <s v="406-6043227-9450755"/>
    <s v="2024-01-27T18:58:46+00:00"/>
    <s v="2024-01-28T04:54:03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IMIZAN"/>
    <m/>
    <n v="40200"/>
    <s v="FR"/>
    <s v="Free Shipping 2017/10/17 17-17-37-677"/>
    <m/>
    <m/>
    <m/>
    <m/>
    <m/>
    <m/>
  </r>
  <r>
    <s v="402-5798984-2662739"/>
    <s v="402-5798984-2662739"/>
    <s v="2024-01-27T17:41:13+00:00"/>
    <s v="2024-01-28T22:56:19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arberaz"/>
    <m/>
    <n v="73000"/>
    <s v="FR"/>
    <m/>
    <m/>
    <m/>
    <m/>
    <m/>
    <m/>
    <m/>
  </r>
  <r>
    <s v="402-3681018-3958720"/>
    <s v="402-3681018-3958720"/>
    <s v="2024-01-27T17:36:31+00:00"/>
    <s v="2024-01-29T04:44:3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Sixte"/>
    <m/>
    <n v="47220"/>
    <s v="FR"/>
    <m/>
    <m/>
    <m/>
    <m/>
    <m/>
    <m/>
    <m/>
  </r>
  <r>
    <s v="406-7725810-0088365"/>
    <s v="406-7725810-0088365"/>
    <s v="2024-01-27T16:50:15+00:00"/>
    <s v="2024-01-27T17:55:16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Consac"/>
    <s v="France"/>
    <n v="17150"/>
    <s v="FR"/>
    <m/>
    <m/>
    <m/>
    <m/>
    <m/>
    <m/>
    <m/>
  </r>
  <r>
    <s v="404-9128978-9341132"/>
    <s v="404-9128978-9341132"/>
    <s v="2024-01-27T15:54:59+00:00"/>
    <s v="2024-01-28T22:56:52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2"/>
    <m/>
    <m/>
    <m/>
    <m/>
    <n v="2"/>
    <s v="Strasbourg"/>
    <m/>
    <n v="67000"/>
    <s v="FR"/>
    <s v="Free Shipping 2017/10/17 17-17-37-677"/>
    <m/>
    <m/>
    <m/>
    <m/>
    <m/>
    <m/>
  </r>
  <r>
    <s v="171-7505920-9202739"/>
    <s v="171-7505920-9202739"/>
    <s v="2024-01-27T14:38:04+00:00"/>
    <s v="2024-01-29T00:47:41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Nice"/>
    <s v="France"/>
    <n v="6300"/>
    <s v="FR"/>
    <m/>
    <m/>
    <m/>
    <m/>
    <m/>
    <m/>
    <m/>
  </r>
  <r>
    <s v="405-9114045-1877926"/>
    <s v="405-9114045-1877926"/>
    <s v="2024-01-27T12:45:24+00:00"/>
    <s v="2024-01-29T15:28:5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Etriche"/>
    <m/>
    <n v="49330"/>
    <s v="FR"/>
    <m/>
    <m/>
    <m/>
    <m/>
    <m/>
    <m/>
    <m/>
  </r>
  <r>
    <s v="402-0368135-6193105"/>
    <s v="402-0368135-6193105"/>
    <s v="2024-01-27T10:27:28+00:00"/>
    <s v="2024-01-28T23:00:5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 coucourde"/>
    <m/>
    <n v="26740"/>
    <s v="FR"/>
    <m/>
    <m/>
    <m/>
    <m/>
    <m/>
    <m/>
    <m/>
  </r>
  <r>
    <s v="171-3880680-1409946"/>
    <s v="171-3880680-1409946"/>
    <s v="2024-01-27T10:00:52+00:00"/>
    <s v="2024-01-28T00:34:5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GAGNY"/>
    <m/>
    <n v="93220"/>
    <s v="FR"/>
    <m/>
    <m/>
    <m/>
    <m/>
    <m/>
    <m/>
    <m/>
  </r>
  <r>
    <s v="403-2195115-2729915"/>
    <s v="403-2195115-2729915"/>
    <s v="2024-01-27T08:53:58+00:00"/>
    <s v="2024-01-29T08:18:1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anterre"/>
    <m/>
    <n v="92000"/>
    <s v="FR"/>
    <m/>
    <m/>
    <m/>
    <m/>
    <m/>
    <m/>
    <m/>
  </r>
  <r>
    <s v="403-1471384-3928364"/>
    <s v="403-1471384-3928364"/>
    <s v="2024-01-27T08:33:59+00:00"/>
    <s v="2024-01-29T02:05:32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ORANGE"/>
    <m/>
    <n v="84100"/>
    <s v="FR"/>
    <s v="Free Shipping 2017/10/17 17-17-37-677"/>
    <m/>
    <m/>
    <m/>
    <m/>
    <m/>
    <m/>
  </r>
  <r>
    <s v="403-8169083-0680360"/>
    <s v="403-8169083-0680360"/>
    <s v="2024-01-27T08:23:18+00:00"/>
    <s v="2024-01-29T07:05:05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GIVRY"/>
    <m/>
    <n v="71640"/>
    <s v="FR"/>
    <s v="Free Shipping 2017/10/17 17-17-37-677"/>
    <m/>
    <m/>
    <m/>
    <m/>
    <m/>
    <m/>
  </r>
  <r>
    <s v="406-0229134-9702776"/>
    <s v="406-0229134-9702776"/>
    <s v="2024-01-27T07:57:30+00:00"/>
    <s v="2024-01-28T00:34:4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rques-la-Bataille"/>
    <m/>
    <n v="76880"/>
    <s v="FR"/>
    <m/>
    <m/>
    <m/>
    <m/>
    <m/>
    <m/>
    <m/>
  </r>
  <r>
    <s v="406-3747377-3904325"/>
    <s v="406-3747377-3904325"/>
    <s v="2024-01-27T06:22:27+00:00"/>
    <s v="2024-01-28T04:03:3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Bondoufle"/>
    <m/>
    <n v="91070"/>
    <s v="FR"/>
    <m/>
    <m/>
    <m/>
    <m/>
    <m/>
    <m/>
    <m/>
  </r>
  <r>
    <s v="171-4591661-3798751"/>
    <s v="171-4591661-3798751"/>
    <s v="2024-01-26T22:57:50+00:00"/>
    <s v="2024-01-27T10:26:3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2.700000000000003"/>
    <m/>
    <m/>
    <m/>
    <m/>
    <m/>
    <m/>
    <m/>
    <s v="Vieuvicq"/>
    <m/>
    <n v="28120"/>
    <s v="FR"/>
    <m/>
    <m/>
    <m/>
    <m/>
    <s v="FR09851472886"/>
    <s v="FR"/>
    <s v="VAT"/>
  </r>
  <r>
    <s v="403-0086581-8509161"/>
    <s v="403-0086581-8509161"/>
    <s v="2024-01-26T21:35:21+00:00"/>
    <s v="2024-01-27T04:45:1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rive la gaillarde"/>
    <m/>
    <n v="19100"/>
    <s v="FR"/>
    <m/>
    <m/>
    <m/>
    <m/>
    <m/>
    <m/>
    <m/>
  </r>
  <r>
    <s v="403-7432907-4982718"/>
    <s v="403-7432907-4982718"/>
    <s v="2024-01-26T18:06:51+00:00"/>
    <s v="2024-01-27T04:32:42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ugnaux"/>
    <m/>
    <n v="31270"/>
    <s v="FR"/>
    <s v="Free Shipping 2017/10/17 17-17-37-677"/>
    <m/>
    <m/>
    <m/>
    <m/>
    <m/>
    <m/>
  </r>
  <r>
    <s v="408-4854865-2409138"/>
    <s v="408-4854865-2409138"/>
    <s v="2024-01-26T17:54:26+00:00"/>
    <s v="2024-01-27T04:32:3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énissieux"/>
    <s v="Rhône"/>
    <n v="69200"/>
    <s v="FR"/>
    <m/>
    <m/>
    <m/>
    <m/>
    <m/>
    <m/>
    <m/>
  </r>
  <r>
    <s v="404-3781549-5697136"/>
    <s v="404-3781549-5697136"/>
    <s v="2024-01-26T17:33:16+00:00"/>
    <s v="2024-01-29T17:05:2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49"/>
    <m/>
    <m/>
    <m/>
    <m/>
    <n v="1.49"/>
    <s v="Gosselies"/>
    <m/>
    <n v="6041"/>
    <s v="BE"/>
    <s v="Free Shipping 2017/10/17 17-17-37-677"/>
    <m/>
    <m/>
    <m/>
    <m/>
    <m/>
    <m/>
  </r>
  <r>
    <s v="407-8406891-2572363"/>
    <s v="407-8406891-2572363"/>
    <s v="2024-01-26T16:31:55+00:00"/>
    <s v="2024-01-26T16:58:35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villaines les prevotes"/>
    <m/>
    <n v="21500"/>
    <s v="FR"/>
    <m/>
    <m/>
    <m/>
    <m/>
    <m/>
    <m/>
    <m/>
  </r>
  <r>
    <s v="402-1428920-8805951"/>
    <s v="402-1428920-8805951"/>
    <s v="2024-01-26T15:52:38+00:00"/>
    <s v="2024-01-28T00:00:59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Issy-les-Moulineaux"/>
    <m/>
    <n v="92130"/>
    <s v="FR"/>
    <m/>
    <m/>
    <m/>
    <m/>
    <m/>
    <m/>
    <m/>
  </r>
  <r>
    <s v="404-9377457-5397904"/>
    <s v="404-9377457-5397904"/>
    <s v="2024-01-26T14:41:17+00:00"/>
    <s v="2024-01-28T23:48:50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Cholet"/>
    <m/>
    <n v="49300"/>
    <s v="FR"/>
    <s v="Free Shipping 2017/10/17 17-17-37-677"/>
    <m/>
    <m/>
    <m/>
    <m/>
    <m/>
    <m/>
  </r>
  <r>
    <s v="407-1303949-8437932"/>
    <s v="407-1303949-8437932"/>
    <s v="2024-01-26T12:42:25+00:00"/>
    <s v="2024-01-27T02:41:30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arines"/>
    <m/>
    <n v="95640"/>
    <s v="FR"/>
    <m/>
    <m/>
    <m/>
    <m/>
    <m/>
    <m/>
    <m/>
  </r>
  <r>
    <s v="406-2620149-5874754"/>
    <s v="406-2620149-5874754"/>
    <s v="2024-01-25T23:51:42+00:00"/>
    <s v="2024-01-26T03:36:19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t Aubin Routot"/>
    <m/>
    <n v="76430"/>
    <s v="FR"/>
    <m/>
    <m/>
    <m/>
    <m/>
    <m/>
    <m/>
    <m/>
  </r>
  <r>
    <s v="406-8988970-6967550"/>
    <s v="406-8988970-6967550"/>
    <s v="2024-01-25T19:12:27+00:00"/>
    <s v="2024-03-25T08:48:02+00:00"/>
    <s v="Cancell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Tournai"/>
    <m/>
    <n v="7500"/>
    <s v="BE"/>
    <m/>
    <m/>
    <m/>
    <m/>
    <m/>
    <m/>
    <m/>
  </r>
  <r>
    <s v="171-5104365-4312311"/>
    <s v="171-5104365-4312311"/>
    <s v="2024-01-25T18:22:30+00:00"/>
    <s v="2024-01-26T02:28:44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3.99"/>
    <m/>
    <m/>
    <m/>
    <m/>
    <n v="3.99"/>
    <s v="LES EPESSES"/>
    <m/>
    <n v="85590"/>
    <s v="FR"/>
    <s v="Free Shipping 2017/10/17 17-17-37-677"/>
    <m/>
    <m/>
    <m/>
    <m/>
    <m/>
    <m/>
  </r>
  <r>
    <s v="403-1310866-6129933"/>
    <s v="403-1310866-6129933"/>
    <s v="2024-01-25T13:35:17+00:00"/>
    <s v="2024-01-26T01:48:02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ETRECHY"/>
    <m/>
    <n v="91580"/>
    <s v="FR"/>
    <s v="Free Shipping 2017/10/17 17-17-37-677"/>
    <m/>
    <m/>
    <m/>
    <m/>
    <m/>
    <m/>
  </r>
  <r>
    <s v="405-5025010-6280349"/>
    <s v="405-5025010-6280349"/>
    <s v="2024-01-25T13:18:16+00:00"/>
    <s v="2024-01-26T04:21:20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ARGENTEUIL"/>
    <m/>
    <n v="95100"/>
    <s v="FR"/>
    <m/>
    <m/>
    <m/>
    <m/>
    <m/>
    <m/>
    <m/>
  </r>
  <r>
    <s v="408-7089982-5529132"/>
    <s v="408-7089982-5529132"/>
    <s v="2024-01-24T21:31:55+00:00"/>
    <s v="2024-01-26T12:40:39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"/>
    <m/>
    <m/>
    <m/>
    <m/>
    <n v="1"/>
    <s v="Suresnes"/>
    <m/>
    <n v="92150"/>
    <s v="FR"/>
    <s v="Free Shipping 2017/10/17 17-17-37-677"/>
    <m/>
    <m/>
    <m/>
    <m/>
    <m/>
    <m/>
  </r>
  <r>
    <s v="405-6945219-8403544"/>
    <s v="405-6945219-8403544"/>
    <s v="2024-01-24T19:34:16+00:00"/>
    <s v="2024-01-25T12:10:29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rtigues"/>
    <m/>
    <n v="13500"/>
    <s v="FR"/>
    <m/>
    <m/>
    <m/>
    <m/>
    <m/>
    <m/>
    <m/>
  </r>
  <r>
    <s v="406-6542037-5439510"/>
    <s v="406-6542037-5439510"/>
    <s v="2024-01-24T18:01:28+00:00"/>
    <s v="2024-01-25T09:08:02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5.99"/>
    <m/>
    <m/>
    <m/>
    <m/>
    <n v="5.99"/>
    <s v="Weiler-la-tour"/>
    <m/>
    <n v="5772"/>
    <s v="LU"/>
    <s v="Free Shipping 2017/10/17 17-17-37-677"/>
    <m/>
    <m/>
    <m/>
    <m/>
    <m/>
    <m/>
  </r>
  <r>
    <s v="171-8581035-0004323"/>
    <s v="171-8581035-0004323"/>
    <s v="2024-01-24T17:52:34+00:00"/>
    <s v="2024-01-25T12:10:26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erac"/>
    <m/>
    <n v="47600"/>
    <s v="FR"/>
    <s v="Free Shipping 2017/10/17 17-17-37-677"/>
    <m/>
    <m/>
    <m/>
    <m/>
    <m/>
    <m/>
  </r>
  <r>
    <s v="405-8051107-5266727"/>
    <s v="405-8051107-5266727"/>
    <s v="2024-01-24T17:40:33+00:00"/>
    <s v="2024-01-25T01:03:37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OUGINS"/>
    <s v="BAT A. adagio"/>
    <n v="6250"/>
    <s v="FR"/>
    <m/>
    <m/>
    <m/>
    <m/>
    <m/>
    <m/>
    <m/>
  </r>
  <r>
    <s v="402-9013375-1494769"/>
    <s v="402-9013375-1494769"/>
    <s v="2024-01-24T14:48:17+00:00"/>
    <s v="2024-01-25T22:53:4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ougival"/>
    <m/>
    <n v="78380"/>
    <s v="FR"/>
    <m/>
    <m/>
    <m/>
    <m/>
    <m/>
    <m/>
    <m/>
  </r>
  <r>
    <s v="403-1053652-9309967"/>
    <s v="403-1053652-9309967"/>
    <s v="2024-01-24T12:19:47+00:00"/>
    <s v="2024-01-25T21:28:33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36.799999999999997"/>
    <m/>
    <n v="0.19"/>
    <m/>
    <m/>
    <m/>
    <m/>
    <n v="0.19"/>
    <s v="paimpol"/>
    <m/>
    <n v="22500"/>
    <s v="FR"/>
    <s v="Free Shipping 2017/10/17 17-17-37-677"/>
    <m/>
    <m/>
    <m/>
    <s v="FR32878448141"/>
    <s v="FR"/>
    <s v="VAT"/>
  </r>
  <r>
    <s v="403-8301852-6756363"/>
    <s v="403-8301852-6756363"/>
    <s v="2024-01-24T11:29:20+00:00"/>
    <s v="2024-01-25T18:32:43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99"/>
    <m/>
    <m/>
    <m/>
    <m/>
    <n v="1.99"/>
    <s v="Le Palais-sur-Vienne"/>
    <m/>
    <n v="87410"/>
    <s v="FR"/>
    <s v="Free Shipping 2017/10/17 17-17-37-677"/>
    <m/>
    <m/>
    <m/>
    <m/>
    <m/>
    <m/>
  </r>
  <r>
    <s v="405-9963960-1578722"/>
    <s v="405-9963960-1578722"/>
    <s v="2024-01-24T11:10:45+00:00"/>
    <s v="2024-01-25T03:44:34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3.49"/>
    <m/>
    <m/>
    <m/>
    <m/>
    <m/>
    <s v="Villebon sur Yvette"/>
    <m/>
    <n v="91140"/>
    <s v="FR"/>
    <m/>
    <m/>
    <m/>
    <m/>
    <m/>
    <m/>
    <m/>
  </r>
  <r>
    <s v="405-6704763-8013126"/>
    <s v="405-6704763-8013126"/>
    <s v="2024-01-24T11:00:13+00:00"/>
    <s v="2024-01-24T21:01:0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 Clisse"/>
    <m/>
    <n v="17600"/>
    <s v="FR"/>
    <m/>
    <m/>
    <m/>
    <m/>
    <m/>
    <m/>
    <m/>
  </r>
  <r>
    <s v="402-2678252-6133902"/>
    <s v="402-2678252-6133902"/>
    <s v="2024-01-24T10:49:43+00:00"/>
    <s v="2024-01-25T20:57:41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99"/>
    <m/>
    <m/>
    <m/>
    <m/>
    <n v="1.99"/>
    <s v="BIARRITZ"/>
    <m/>
    <n v="64200"/>
    <s v="FR"/>
    <s v="Free Shipping 2017/10/17 17-17-37-677"/>
    <m/>
    <m/>
    <m/>
    <m/>
    <m/>
    <m/>
  </r>
  <r>
    <s v="406-2632350-6225102"/>
    <s v="406-2632350-6225102"/>
    <s v="2024-01-24T09:50:04+00:00"/>
    <s v="2024-01-24T16:25:2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ntec"/>
    <m/>
    <n v="29250"/>
    <s v="FR"/>
    <m/>
    <m/>
    <m/>
    <m/>
    <m/>
    <m/>
    <m/>
  </r>
  <r>
    <s v="408-7691015-3066753"/>
    <s v="408-7691015-3066753"/>
    <s v="2024-01-24T09:05:20+00:00"/>
    <s v="2024-01-24T20:59:30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2"/>
    <m/>
    <m/>
    <m/>
    <m/>
    <n v="2"/>
    <s v="Suippes"/>
    <s v="Marne"/>
    <n v="51600"/>
    <s v="FR"/>
    <s v="Free Shipping 2017/10/17 17-17-37-677"/>
    <m/>
    <m/>
    <m/>
    <m/>
    <m/>
    <m/>
  </r>
  <r>
    <s v="404-9520431-0433913"/>
    <s v="404-9520431-0433913"/>
    <s v="2024-01-24T07:08:45+00:00"/>
    <s v="2024-01-24T12:17:2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rmeilles en parisis"/>
    <m/>
    <n v="95240"/>
    <s v="FR"/>
    <m/>
    <m/>
    <m/>
    <m/>
    <m/>
    <m/>
    <m/>
  </r>
  <r>
    <s v="402-2428319-3033901"/>
    <s v="402-2428319-3033901"/>
    <s v="2024-01-23T22:18:18+00:00"/>
    <s v="2024-01-29T03:23:09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0.8"/>
    <m/>
    <m/>
    <m/>
    <m/>
    <n v="0.8"/>
    <s v="DIEVAL"/>
    <m/>
    <n v="62460"/>
    <s v="FR"/>
    <s v="Free Shipping 2017/10/17 17-17-37-677"/>
    <m/>
    <m/>
    <m/>
    <m/>
    <m/>
    <m/>
  </r>
  <r>
    <s v="406-6349465-5226769"/>
    <s v="406-6349465-5226769"/>
    <s v="2024-01-23T19:45:48+00:00"/>
    <s v="2024-01-24T00:57:4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e soler"/>
    <m/>
    <n v="66270"/>
    <s v="FR"/>
    <m/>
    <m/>
    <m/>
    <m/>
    <m/>
    <m/>
    <m/>
  </r>
  <r>
    <s v="407-7810888-4278760"/>
    <s v="407-7810888-4278760"/>
    <s v="2024-01-23T18:45:04+00:00"/>
    <s v="2024-01-24T03:45:5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URBEVOIE"/>
    <m/>
    <n v="92400"/>
    <s v="FR"/>
    <m/>
    <m/>
    <m/>
    <m/>
    <m/>
    <m/>
    <m/>
  </r>
  <r>
    <s v="171-1301266-6250719"/>
    <s v="171-1301266-6250719"/>
    <s v="2024-01-23T17:23:24+00:00"/>
    <s v="2024-01-23T21:27:40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ombloux"/>
    <m/>
    <n v="74920"/>
    <s v="FR"/>
    <s v="Free Shipping 2017/10/17 17-17-37-677"/>
    <m/>
    <m/>
    <m/>
    <m/>
    <m/>
    <m/>
  </r>
  <r>
    <s v="171-5753760-7485940"/>
    <s v="171-5753760-7485940"/>
    <s v="2024-01-23T17:22:43+00:00"/>
    <s v="2024-01-23T17:45:39+00:00"/>
    <s v="Cancell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Combloux"/>
    <m/>
    <n v="74920"/>
    <s v="FR"/>
    <s v="Free Shipping 2017/10/17 17-17-37-677"/>
    <m/>
    <m/>
    <m/>
    <m/>
    <m/>
    <m/>
  </r>
  <r>
    <s v="408-2474313-4396365"/>
    <s v="408-2474313-4396365"/>
    <s v="2024-01-23T14:56:13+00:00"/>
    <s v="2024-01-24T02:26:08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ZOUAFQUES"/>
    <m/>
    <n v="62890"/>
    <s v="FR"/>
    <m/>
    <m/>
    <m/>
    <m/>
    <m/>
    <m/>
    <m/>
  </r>
  <r>
    <s v="403-1961718-6273121"/>
    <s v="403-1961718-6273121"/>
    <s v="2024-01-23T14:55:15+00:00"/>
    <s v="2024-01-24T03:44:1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36.799999999999997"/>
    <m/>
    <m/>
    <m/>
    <m/>
    <m/>
    <m/>
    <m/>
    <s v="Namêche"/>
    <m/>
    <n v="5300"/>
    <s v="BE"/>
    <m/>
    <m/>
    <m/>
    <m/>
    <s v="BE0650699259"/>
    <s v="BE"/>
    <s v="VAT"/>
  </r>
  <r>
    <s v="408-7001882-1409901"/>
    <s v="408-7001882-1409901"/>
    <s v="2024-01-23T14:53:33+00:00"/>
    <s v="2024-01-23T14:54:48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Zutkerque"/>
    <m/>
    <n v="62370"/>
    <s v="FR"/>
    <m/>
    <m/>
    <m/>
    <m/>
    <m/>
    <m/>
    <m/>
  </r>
  <r>
    <s v="406-7708742-9208309"/>
    <s v="406-7708742-9208309"/>
    <s v="2024-01-23T12:06:37+00:00"/>
    <s v="2024-01-24T05:32:46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uisant"/>
    <m/>
    <n v="28600"/>
    <s v="FR"/>
    <m/>
    <m/>
    <m/>
    <m/>
    <m/>
    <m/>
    <m/>
  </r>
  <r>
    <s v="406-6747128-4869144"/>
    <s v="406-6747128-4869144"/>
    <s v="2024-01-23T11:25:55+00:00"/>
    <s v="2024-01-24T00:27:09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ennegy"/>
    <m/>
    <n v="10190"/>
    <s v="FR"/>
    <m/>
    <m/>
    <m/>
    <m/>
    <m/>
    <m/>
    <m/>
  </r>
  <r>
    <s v="408-4795599-0910712"/>
    <s v="408-4795599-0910712"/>
    <s v="2024-01-23T09:53:43+00:00"/>
    <s v="2024-01-24T18:23:21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 Isle Adam"/>
    <m/>
    <n v="95290"/>
    <s v="FR"/>
    <m/>
    <m/>
    <m/>
    <m/>
    <m/>
    <m/>
    <m/>
  </r>
  <r>
    <s v="404-3469843-2697136"/>
    <s v="404-3469843-2697136"/>
    <s v="2024-01-23T08:49:42+00:00"/>
    <s v="2024-01-23T11:52:49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MARGNY LES COMPIEGNE"/>
    <m/>
    <n v="60280"/>
    <s v="FR"/>
    <m/>
    <m/>
    <m/>
    <m/>
    <m/>
    <m/>
    <m/>
  </r>
  <r>
    <s v="403-3551164-4985156"/>
    <s v="403-3551164-4985156"/>
    <s v="2024-01-23T08:48:54+00:00"/>
    <s v="2024-01-23T12:17:0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rgny les compiegne"/>
    <m/>
    <n v="60280"/>
    <s v="FR"/>
    <m/>
    <m/>
    <m/>
    <m/>
    <m/>
    <m/>
    <m/>
  </r>
  <r>
    <s v="403-7220857-0789905"/>
    <s v="403-7220857-0789905"/>
    <s v="2024-01-22T22:53:46+00:00"/>
    <s v="2024-01-23T05:21:0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 Courneuve"/>
    <m/>
    <n v="93120"/>
    <s v="FR"/>
    <s v="Free Shipping 2017/10/17 17-17-37-677"/>
    <m/>
    <m/>
    <m/>
    <m/>
    <m/>
    <m/>
  </r>
  <r>
    <s v="171-7696731-5874733"/>
    <s v="171-7696731-5874733"/>
    <s v="2024-01-22T22:50:53+00:00"/>
    <s v="2024-01-23T05:21:17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Dole"/>
    <m/>
    <n v="39100"/>
    <s v="FR"/>
    <m/>
    <m/>
    <m/>
    <m/>
    <m/>
    <m/>
    <m/>
  </r>
  <r>
    <s v="402-9578537-4659513"/>
    <s v="402-9578537-4659513"/>
    <s v="2024-01-22T21:13:35+00:00"/>
    <s v="2024-01-24T03:44:10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ardy"/>
    <s v="France"/>
    <n v="91510"/>
    <s v="FR"/>
    <m/>
    <m/>
    <m/>
    <m/>
    <m/>
    <m/>
    <m/>
  </r>
  <r>
    <s v="403-8618914-4435524"/>
    <s v="403-8618914-4435524"/>
    <s v="2024-01-22T19:37:51+00:00"/>
    <s v="2024-01-23T00:16:5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hem"/>
    <m/>
    <n v="59510"/>
    <s v="FR"/>
    <m/>
    <m/>
    <m/>
    <m/>
    <m/>
    <m/>
    <m/>
  </r>
  <r>
    <s v="402-1145985-4829966"/>
    <s v="402-1145985-4829966"/>
    <s v="2024-01-22T18:10:35+00:00"/>
    <s v="2024-01-23T12:15:5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Aubin De Medoc"/>
    <m/>
    <n v="33160"/>
    <s v="FR"/>
    <s v="Free Shipping 2017/10/17 17-17-37-677"/>
    <m/>
    <m/>
    <m/>
    <m/>
    <m/>
    <m/>
  </r>
  <r>
    <s v="402-2759529-2845967"/>
    <s v="402-2759529-2845967"/>
    <s v="2024-01-22T18:05:00+00:00"/>
    <s v="2024-01-23T21:28:4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Grenoble"/>
    <m/>
    <n v="38000"/>
    <s v="FR"/>
    <m/>
    <m/>
    <m/>
    <m/>
    <m/>
    <m/>
    <m/>
  </r>
  <r>
    <s v="403-6962537-3707513"/>
    <s v="403-6962537-3707513"/>
    <s v="2024-01-22T16:35:46+00:00"/>
    <s v="2024-01-22T20:42:45+00:00"/>
    <s v="Shipped"/>
    <x v="0"/>
    <x v="0"/>
    <m/>
    <m/>
    <s v="Expedited"/>
    <s v="BEPER BT.150Y Machine à Hot Dog, 750W, 5 levels de Cuissons, Design Vintage, Rouge"/>
    <s v="BT.150Y_FBA"/>
    <x v="5"/>
    <s v="Shipped"/>
    <n v="1"/>
    <s v="EUR"/>
    <n v="49.9"/>
    <m/>
    <m/>
    <m/>
    <m/>
    <m/>
    <m/>
    <m/>
    <s v="Saint Symphorien sur Coise"/>
    <m/>
    <n v="69590"/>
    <s v="FR"/>
    <m/>
    <m/>
    <m/>
    <m/>
    <m/>
    <m/>
    <m/>
  </r>
  <r>
    <s v="403-4925687-5284364"/>
    <s v="403-4925687-5284364"/>
    <s v="2024-01-22T16:34:27+00:00"/>
    <s v="2024-01-23T12:16:28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Authon"/>
    <m/>
    <n v="41310"/>
    <s v="FR"/>
    <s v="Free Shipping 2017/10/17 17-17-37-677"/>
    <m/>
    <m/>
    <m/>
    <m/>
    <m/>
    <m/>
  </r>
  <r>
    <s v="171-4562720-6764303"/>
    <s v="171-4562720-6764303"/>
    <s v="2024-01-22T15:54:27+00:00"/>
    <s v="2024-01-23T00:16:5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Orgères"/>
    <s v="bretagne"/>
    <n v="35230"/>
    <s v="FR"/>
    <m/>
    <m/>
    <m/>
    <m/>
    <m/>
    <m/>
    <m/>
  </r>
  <r>
    <s v="405-1082138-4841147"/>
    <s v="405-1082138-4841147"/>
    <s v="2024-01-22T14:31:49+00:00"/>
    <s v="2024-01-22T15:19:52+00:00"/>
    <s v="Cancelled"/>
    <x v="0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Thesee"/>
    <m/>
    <n v="41140"/>
    <s v="FR"/>
    <m/>
    <m/>
    <m/>
    <m/>
    <m/>
    <m/>
    <m/>
  </r>
  <r>
    <s v="404-2769610-0477928"/>
    <s v="404-2769610-0477928"/>
    <s v="2024-01-22T14:24:55+00:00"/>
    <s v="2024-01-23T05:20:38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2"/>
    <s v="EUR"/>
    <n v="79.8"/>
    <m/>
    <m/>
    <m/>
    <m/>
    <m/>
    <m/>
    <m/>
    <s v="Marseille"/>
    <m/>
    <n v="13012"/>
    <s v="FR"/>
    <s v="Free Shipping 2017/10/17 17-17-37-677"/>
    <m/>
    <m/>
    <m/>
    <m/>
    <m/>
    <m/>
  </r>
  <r>
    <s v="406-0376838-6956344"/>
    <s v="406-0376838-6956344"/>
    <s v="2024-01-21T20:42:50+00:00"/>
    <s v="2024-01-23T01:45:53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isieux"/>
    <m/>
    <n v="14100"/>
    <s v="FR"/>
    <m/>
    <m/>
    <m/>
    <m/>
    <m/>
    <m/>
    <m/>
  </r>
  <r>
    <s v="403-2915164-6092341"/>
    <s v="403-2915164-6092341"/>
    <s v="2024-01-21T19:37:07+00:00"/>
    <s v="2024-01-24T00:17:4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99"/>
    <m/>
    <m/>
    <m/>
    <m/>
    <n v="1.99"/>
    <s v="Paris"/>
    <m/>
    <n v="75016"/>
    <s v="FR"/>
    <s v="Free Shipping 2017/10/17 17-17-37-677"/>
    <m/>
    <m/>
    <m/>
    <m/>
    <m/>
    <m/>
  </r>
  <r>
    <s v="407-2804471-7422758"/>
    <s v="407-2804471-7422758"/>
    <s v="2024-01-21T19:10:25+00:00"/>
    <s v="2024-01-22T10:51:1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t Cloud"/>
    <m/>
    <n v="92210"/>
    <s v="FR"/>
    <m/>
    <m/>
    <m/>
    <m/>
    <m/>
    <m/>
    <m/>
  </r>
  <r>
    <s v="408-1647547-6033143"/>
    <s v="408-1647547-6033143"/>
    <s v="2024-01-21T18:32:58+00:00"/>
    <s v="2024-01-22T00:26:0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is orangis"/>
    <m/>
    <n v="91130"/>
    <s v="FR"/>
    <m/>
    <m/>
    <m/>
    <m/>
    <m/>
    <m/>
    <m/>
  </r>
  <r>
    <s v="402-5632726-5616316"/>
    <s v="402-5632726-5616316"/>
    <s v="2024-01-21T11:11:04+00:00"/>
    <s v="2024-01-23T04:28:05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Thiberville"/>
    <m/>
    <n v="27230"/>
    <s v="FR"/>
    <m/>
    <m/>
    <m/>
    <m/>
    <m/>
    <m/>
    <m/>
  </r>
  <r>
    <s v="171-0705593-0959561"/>
    <s v="171-0705593-0959561"/>
    <s v="2024-01-20T20:24:23+00:00"/>
    <s v="2024-01-24T15:52:01+00:00"/>
    <s v="Shipped"/>
    <x v="0"/>
    <x v="0"/>
    <m/>
    <m/>
    <s v="Standard"/>
    <s v="BEPER BT.651Y Machine à Popcorn, ABS, Rouge/doré"/>
    <s v="BT.651Y_FBA"/>
    <x v="7"/>
    <s v="Shipped"/>
    <n v="1"/>
    <s v="EUR"/>
    <n v="59.9"/>
    <m/>
    <n v="0.66"/>
    <m/>
    <m/>
    <m/>
    <m/>
    <n v="0.66"/>
    <s v="Avignon"/>
    <m/>
    <n v="84000"/>
    <s v="FR"/>
    <s v="Free Shipping 2017/10/17 17-17-37-677"/>
    <m/>
    <m/>
    <m/>
    <m/>
    <m/>
    <m/>
  </r>
  <r>
    <s v="405-6332223-7025162"/>
    <s v="405-6332223-7025162"/>
    <s v="2024-01-20T19:20:43+00:00"/>
    <s v="2024-01-20T19:30:43+00:00"/>
    <s v="Cancell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ARGENTEUIL"/>
    <m/>
    <n v="95100"/>
    <s v="FR"/>
    <s v="Free Shipping 2017/10/17 17-17-37-677"/>
    <m/>
    <m/>
    <m/>
    <m/>
    <m/>
    <m/>
  </r>
  <r>
    <s v="402-8634103-7205905"/>
    <s v="402-8634103-7205905"/>
    <s v="2024-01-20T16:40:33+00:00"/>
    <s v="2024-01-21T22:15:19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Entrelacs Albens"/>
    <m/>
    <n v="73410"/>
    <s v="FR"/>
    <m/>
    <m/>
    <m/>
    <m/>
    <m/>
    <m/>
    <m/>
  </r>
  <r>
    <s v="406-1226811-0965912"/>
    <s v="406-1226811-0965912"/>
    <s v="2024-01-20T15:10:56+00:00"/>
    <s v="2024-01-21T01:47:0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Issy-les-Moulineaux"/>
    <m/>
    <n v="92130"/>
    <s v="FR"/>
    <m/>
    <m/>
    <m/>
    <m/>
    <m/>
    <m/>
    <m/>
  </r>
  <r>
    <s v="408-8000510-0409912"/>
    <s v="408-8000510-0409912"/>
    <s v="2024-01-20T09:03:46+00:00"/>
    <s v="2024-01-21T22:15:32+00:00"/>
    <s v="Shipped"/>
    <x v="0"/>
    <x v="0"/>
    <m/>
    <m/>
    <s v="Standard"/>
    <s v="Beper - Masseur Anti-Cellulite pour Femme 4 en 1, Massage Infrarouge, Triple Action Circulaire, Tonifiant et Raffermissant, Puissance Réglable, Syst "/>
    <s v="40.500_FBA"/>
    <x v="8"/>
    <s v="Shipped"/>
    <n v="1"/>
    <s v="EUR"/>
    <n v="44.9"/>
    <m/>
    <n v="3.99"/>
    <m/>
    <m/>
    <m/>
    <m/>
    <n v="3.99"/>
    <s v="CHATUZANGE LE GOUBET"/>
    <m/>
    <n v="26300"/>
    <s v="FR"/>
    <s v="Free Shipping 2017/10/17 17-17-37-677"/>
    <m/>
    <m/>
    <m/>
    <m/>
    <m/>
    <m/>
  </r>
  <r>
    <s v="171-2114809-1189118"/>
    <s v="171-2114809-1189118"/>
    <s v="2024-01-19T22:38:27+00:00"/>
    <s v="2024-01-26T15:06:40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aint-Laurent-Chabreuges"/>
    <m/>
    <n v="43100"/>
    <s v="FR"/>
    <m/>
    <m/>
    <m/>
    <m/>
    <m/>
    <m/>
    <m/>
  </r>
  <r>
    <s v="403-7490201-0269153"/>
    <s v="403-7490201-0269153"/>
    <s v="2024-01-19T17:06:19+00:00"/>
    <s v="2024-01-20T01:36:4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Hagondange"/>
    <m/>
    <n v="57300"/>
    <s v="FR"/>
    <m/>
    <m/>
    <m/>
    <m/>
    <m/>
    <m/>
    <m/>
  </r>
  <r>
    <s v="403-5834366-4857943"/>
    <s v="403-5834366-4857943"/>
    <s v="2024-01-19T16:55:16+00:00"/>
    <s v="2024-01-24T17:32:49+00:00"/>
    <s v="Cancell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Hagondange"/>
    <m/>
    <n v="57300"/>
    <s v="FR"/>
    <m/>
    <m/>
    <m/>
    <m/>
    <m/>
    <m/>
    <m/>
  </r>
  <r>
    <s v="403-3440623-6826708"/>
    <s v="403-3440623-6826708"/>
    <s v="2024-01-19T16:12:42+00:00"/>
    <s v="2024-01-20T02:25:46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Paris"/>
    <m/>
    <n v="75008"/>
    <s v="FR"/>
    <m/>
    <m/>
    <m/>
    <m/>
    <m/>
    <m/>
    <m/>
  </r>
  <r>
    <s v="171-5091784-9753108"/>
    <s v="171-5091784-9753108"/>
    <s v="2024-01-19T13:07:14+00:00"/>
    <s v="2024-01-22T10:00:58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33"/>
    <m/>
    <m/>
    <m/>
    <m/>
    <n v="1.33"/>
    <s v="Brignoles"/>
    <m/>
    <n v="83170"/>
    <s v="FR"/>
    <s v="Free Shipping 2017/10/17 17-17-37-677"/>
    <m/>
    <m/>
    <m/>
    <m/>
    <m/>
    <m/>
  </r>
  <r>
    <s v="171-3710711-3234737"/>
    <s v="171-3710711-3234737"/>
    <s v="2024-01-19T12:59:31+00:00"/>
    <s v="2024-01-19T13:10:27+00:00"/>
    <s v="Cancelled"/>
    <x v="0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Brignoles"/>
    <m/>
    <n v="83170"/>
    <s v="FR"/>
    <s v="Free Shipping 2017/10/17 17-17-37-677"/>
    <m/>
    <m/>
    <m/>
    <m/>
    <m/>
    <m/>
  </r>
  <r>
    <s v="405-9559968-1296341"/>
    <s v="405-9559968-1296341"/>
    <s v="2024-01-19T12:39:01+00:00"/>
    <s v="2024-01-20T02:26:30+00:00"/>
    <s v="Shipped"/>
    <x v="0"/>
    <x v="0"/>
    <m/>
    <m/>
    <s v="Standard"/>
    <s v="BEPER BT.651Y Machine à Popcorn, ABS, Rouge/doré"/>
    <s v="BT.651Y_FBA"/>
    <x v="7"/>
    <s v="Shipped"/>
    <n v="1"/>
    <s v="EUR"/>
    <n v="59.9"/>
    <m/>
    <n v="3.99"/>
    <m/>
    <m/>
    <m/>
    <m/>
    <n v="3.99"/>
    <s v="paris"/>
    <m/>
    <n v="75009"/>
    <s v="FR"/>
    <s v="Free Shipping 2017/10/17 17-17-37-677"/>
    <m/>
    <m/>
    <m/>
    <m/>
    <m/>
    <m/>
  </r>
  <r>
    <s v="402-3856612-8043517"/>
    <s v="402-3856612-8043517"/>
    <s v="2024-01-19T11:03:51+00:00"/>
    <s v="2024-01-20T02:46:23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ASLIVES"/>
    <m/>
    <n v="41250"/>
    <s v="FR"/>
    <m/>
    <m/>
    <m/>
    <m/>
    <m/>
    <m/>
    <m/>
  </r>
  <r>
    <s v="405-0356331-9045115"/>
    <s v="405-0356331-9045115"/>
    <s v="2024-01-19T03:25:43+00:00"/>
    <s v="2024-01-22T07:11:07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olesmes"/>
    <m/>
    <n v="59730"/>
    <s v="FR"/>
    <m/>
    <m/>
    <m/>
    <m/>
    <m/>
    <m/>
    <m/>
  </r>
  <r>
    <s v="403-1863533-0389131"/>
    <s v="403-1863533-0389131"/>
    <s v="2024-01-18T21:05:49+00:00"/>
    <s v="2024-01-19T00:35:1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einbrunn le bas"/>
    <m/>
    <n v="68440"/>
    <s v="FR"/>
    <m/>
    <m/>
    <m/>
    <m/>
    <m/>
    <m/>
    <m/>
  </r>
  <r>
    <s v="403-0872918-5205115"/>
    <s v="403-0872918-5205115"/>
    <s v="2024-01-18T21:02:18+00:00"/>
    <s v="2024-01-18T21:04:12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Steinbrunn le bas"/>
    <m/>
    <n v="68440"/>
    <s v="FR"/>
    <m/>
    <m/>
    <m/>
    <m/>
    <m/>
    <m/>
    <m/>
  </r>
  <r>
    <s v="405-0453984-7421140"/>
    <s v="405-0453984-7421140"/>
    <s v="2024-01-18T18:35:12+00:00"/>
    <s v="2024-01-19T01:07:09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annes"/>
    <m/>
    <n v="6400"/>
    <s v="FR"/>
    <m/>
    <m/>
    <m/>
    <m/>
    <m/>
    <m/>
    <m/>
  </r>
  <r>
    <s v="407-4054259-5197942"/>
    <s v="407-4054259-5197942"/>
    <s v="2024-01-18T14:30:28+00:00"/>
    <s v="2024-01-19T08:52:07+00:00"/>
    <s v="Shipped"/>
    <x v="0"/>
    <x v="0"/>
    <m/>
    <m/>
    <s v="Expedited"/>
    <s v="BEPER BT.651Y Machine à Popcorn, ABS, Rouge/doré"/>
    <s v="BT.651Y_FBA"/>
    <x v="7"/>
    <s v="Shipped"/>
    <n v="1"/>
    <s v="EUR"/>
    <n v="59.9"/>
    <m/>
    <m/>
    <m/>
    <m/>
    <m/>
    <m/>
    <m/>
    <s v="Thionville"/>
    <m/>
    <n v="57100"/>
    <s v="FR"/>
    <m/>
    <m/>
    <m/>
    <m/>
    <m/>
    <m/>
    <m/>
  </r>
  <r>
    <s v="407-1772875-0417121"/>
    <s v="407-1772875-0417121"/>
    <s v="2024-01-18T13:02:04+00:00"/>
    <s v="2024-01-19T01:08:10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Beuste"/>
    <m/>
    <n v="64800"/>
    <s v="FR"/>
    <m/>
    <m/>
    <m/>
    <m/>
    <m/>
    <m/>
    <m/>
  </r>
  <r>
    <s v="408-3203507-0629962"/>
    <s v="408-3203507-0629962"/>
    <s v="2024-01-18T10:55:07+00:00"/>
    <s v="2024-01-18T21:16:15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rseille"/>
    <m/>
    <n v="13009"/>
    <s v="FR"/>
    <m/>
    <m/>
    <m/>
    <m/>
    <m/>
    <m/>
    <m/>
  </r>
  <r>
    <s v="405-3157075-2433107"/>
    <s v="405-3157075-2433107"/>
    <s v="2024-01-18T10:30:36+00:00"/>
    <s v="2024-01-22T11:15:31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1.99"/>
    <m/>
    <m/>
    <m/>
    <m/>
    <m/>
    <s v="THIERS SUR THEVE"/>
    <m/>
    <n v="60520"/>
    <s v="FR"/>
    <m/>
    <m/>
    <m/>
    <m/>
    <m/>
    <m/>
    <m/>
  </r>
  <r>
    <s v="408-7111488-5914733"/>
    <s v="408-7111488-5914733"/>
    <s v="2024-01-17T20:23:50+00:00"/>
    <s v="2024-01-18T12:19:30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INT PRIEST"/>
    <m/>
    <n v="69800"/>
    <s v="FR"/>
    <m/>
    <m/>
    <m/>
    <m/>
    <m/>
    <m/>
    <m/>
  </r>
  <r>
    <s v="407-1261563-5448322"/>
    <s v="407-1261563-5448322"/>
    <s v="2024-01-17T18:49:48+00:00"/>
    <s v="2024-01-18T01:28:16+00:00"/>
    <s v="Shipped"/>
    <x v="0"/>
    <x v="0"/>
    <m/>
    <m/>
    <s v="Standard"/>
    <s v="BEPER BT.150Y Machine à Hot Dog, 750W, 5 levels de Cuissons, Design Vintage, Rouge"/>
    <s v="BT.150Y_FBA"/>
    <x v="5"/>
    <s v="Shipped"/>
    <n v="1"/>
    <s v="EUR"/>
    <n v="49.9"/>
    <m/>
    <m/>
    <m/>
    <m/>
    <m/>
    <m/>
    <m/>
    <s v="Paris"/>
    <m/>
    <n v="75014"/>
    <s v="FR"/>
    <s v="Free Shipping 2017/10/17 17-17-37-677"/>
    <m/>
    <m/>
    <m/>
    <m/>
    <m/>
    <m/>
  </r>
  <r>
    <s v="405-7680070-4876320"/>
    <s v="405-7680070-4876320"/>
    <s v="2024-01-17T16:00:45+00:00"/>
    <s v="2024-01-17T16:11:05+00:00"/>
    <s v="Cancell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Bourg en Bresse"/>
    <m/>
    <n v="1000"/>
    <s v="FR"/>
    <m/>
    <m/>
    <m/>
    <m/>
    <m/>
    <m/>
    <m/>
  </r>
  <r>
    <s v="405-0215945-4441178"/>
    <s v="405-0215945-4441178"/>
    <s v="2024-01-17T15:37:19+00:00"/>
    <s v="2024-01-22T11:56:11+00:00"/>
    <s v="Shipped"/>
    <x v="0"/>
    <x v="0"/>
    <m/>
    <m/>
    <s v="Standard"/>
    <s v="Beper - Cuiseur à Vapeur Multicombustion de 5L, Économiseur d'Espace, Minuterie de 60 minutes, Cuisson à la Vapeur Saine, Puissance 400-500W - Arge"/>
    <s v="BC.261_FBA"/>
    <x v="3"/>
    <s v="Shipped"/>
    <n v="1"/>
    <s v="EUR"/>
    <n v="39.9"/>
    <m/>
    <m/>
    <m/>
    <m/>
    <m/>
    <m/>
    <m/>
    <s v="MARSEILLE 15"/>
    <m/>
    <n v="13015"/>
    <s v="FR"/>
    <s v="Free Shipping 2017/10/17 17-17-37-677"/>
    <m/>
    <m/>
    <m/>
    <m/>
    <m/>
    <m/>
  </r>
  <r>
    <s v="171-7794540-3610758"/>
    <s v="171-7794540-3610758"/>
    <s v="2024-01-17T14:38:04+00:00"/>
    <s v="2024-01-18T01:31:13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ougins"/>
    <m/>
    <n v="6250"/>
    <s v="FR"/>
    <m/>
    <m/>
    <m/>
    <m/>
    <m/>
    <m/>
    <m/>
  </r>
  <r>
    <s v="171-9921662-9314709"/>
    <s v="171-9921662-9314709"/>
    <s v="2024-01-17T13:08:23+00:00"/>
    <s v="2024-01-17T21:03:49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PARIS"/>
    <m/>
    <n v="75017"/>
    <s v="FR"/>
    <s v="Free Shipping 2017/10/17 17-17-37-677"/>
    <m/>
    <m/>
    <m/>
    <m/>
    <m/>
    <m/>
  </r>
  <r>
    <s v="406-4931645-4010766"/>
    <s v="406-4931645-4010766"/>
    <s v="2024-01-17T11:55:11+00:00"/>
    <s v="2024-01-18T10:19:04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Bouchain"/>
    <m/>
    <n v="59111"/>
    <s v="FR"/>
    <s v="Free Shipping 2017/10/17 17-17-37-677"/>
    <m/>
    <m/>
    <m/>
    <m/>
    <m/>
    <m/>
  </r>
  <r>
    <s v="402-6850000-4304348"/>
    <s v="402-6850000-4304348"/>
    <s v="2024-01-17T09:48:52+00:00"/>
    <s v="2024-01-19T02:32:1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eysses"/>
    <m/>
    <n v="31600"/>
    <s v="FR"/>
    <m/>
    <m/>
    <m/>
    <m/>
    <m/>
    <m/>
    <m/>
  </r>
  <r>
    <s v="402-8793859-8408356"/>
    <s v="402-8793859-8408356"/>
    <s v="2024-01-17T09:47:21+00:00"/>
    <s v="2024-01-17T12:20:5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TOURS"/>
    <m/>
    <n v="37000"/>
    <s v="FR"/>
    <m/>
    <m/>
    <m/>
    <m/>
    <m/>
    <m/>
    <m/>
  </r>
  <r>
    <s v="402-4033858-4644342"/>
    <s v="402-4033858-4644342"/>
    <s v="2024-01-16T20:37:20+00:00"/>
    <s v="2024-01-17T11:21:07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ucamville"/>
    <m/>
    <n v="31140"/>
    <s v="FR"/>
    <s v="Free Shipping 2017/10/17 17-17-37-677"/>
    <m/>
    <m/>
    <m/>
    <m/>
    <m/>
    <m/>
  </r>
  <r>
    <s v="407-8218080-4098754"/>
    <s v="407-8218080-4098754"/>
    <s v="2024-01-16T18:42:29+00:00"/>
    <s v="2024-01-17T11:21:06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naco"/>
    <m/>
    <n v="98000"/>
    <s v="MC"/>
    <s v="Free Shipping 2017/10/17 17-17-37-677"/>
    <m/>
    <m/>
    <m/>
    <m/>
    <m/>
    <m/>
  </r>
  <r>
    <s v="405-6036492-2146709"/>
    <s v="405-6036492-2146709"/>
    <s v="2024-01-16T17:20:45+00:00"/>
    <s v="2024-01-18T16:59:5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ntoir de bretagne"/>
    <s v="France"/>
    <n v="44550"/>
    <s v="FR"/>
    <m/>
    <m/>
    <m/>
    <m/>
    <m/>
    <m/>
    <m/>
  </r>
  <r>
    <s v="405-4662949-2036340"/>
    <s v="405-4662949-2036340"/>
    <s v="2024-01-16T16:35:09+00:00"/>
    <s v="2024-01-16T16:38:37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montoir de bretagne"/>
    <s v="France"/>
    <n v="44550"/>
    <s v="FR"/>
    <m/>
    <m/>
    <m/>
    <m/>
    <m/>
    <m/>
    <m/>
  </r>
  <r>
    <s v="402-0287355-9589167"/>
    <s v="402-0287355-9589167"/>
    <s v="2024-01-16T10:57:19+00:00"/>
    <s v="2024-01-17T00:38:31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oubaix"/>
    <m/>
    <n v="59100"/>
    <s v="FR"/>
    <m/>
    <m/>
    <m/>
    <m/>
    <m/>
    <m/>
    <m/>
  </r>
  <r>
    <s v="406-6021451-7592317"/>
    <s v="406-6021451-7592317"/>
    <s v="2024-01-15T19:34:45+00:00"/>
    <s v="2024-01-16T07:35:1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yon"/>
    <m/>
    <n v="69008"/>
    <s v="FR"/>
    <m/>
    <m/>
    <m/>
    <m/>
    <m/>
    <m/>
    <m/>
  </r>
  <r>
    <s v="405-9429076-5897128"/>
    <s v="405-9429076-5897128"/>
    <s v="2024-01-15T17:36:48+00:00"/>
    <s v="2024-01-16T12:24:29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Chalon-sur-Saône"/>
    <s v="Saône-et-Loire"/>
    <n v="71100"/>
    <s v="FR"/>
    <s v="Free Shipping 2017/10/17 17-17-37-677"/>
    <m/>
    <m/>
    <m/>
    <m/>
    <m/>
    <m/>
  </r>
  <r>
    <s v="171-4428742-9105969"/>
    <s v="171-4428742-9105969"/>
    <s v="2024-01-15T17:33:08+00:00"/>
    <s v="2024-01-17T09:12:08+00:00"/>
    <s v="Shipped"/>
    <x v="0"/>
    <x v="0"/>
    <m/>
    <m/>
    <s v="Expedited"/>
    <s v="Beper - Cuiseur à Vapeur Multicombustion de 5L, Économiseur d'Espace, Minuterie de 60 minutes, Cuisson à la Vapeur Saine, Puissance 400-500W - Arge"/>
    <s v="BC.261_FBA"/>
    <x v="3"/>
    <s v="Shipped"/>
    <n v="1"/>
    <s v="EUR"/>
    <n v="39.9"/>
    <m/>
    <m/>
    <m/>
    <m/>
    <m/>
    <m/>
    <m/>
    <s v="RAMATUELLE"/>
    <m/>
    <n v="83350"/>
    <s v="FR"/>
    <m/>
    <m/>
    <m/>
    <m/>
    <m/>
    <m/>
    <m/>
  </r>
  <r>
    <s v="405-5282291-8428317"/>
    <s v="405-5282291-8428317"/>
    <s v="2024-01-15T13:21:33+00:00"/>
    <s v="2024-01-16T02:22:3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ABRIES"/>
    <m/>
    <n v="13480"/>
    <s v="FR"/>
    <m/>
    <m/>
    <m/>
    <m/>
    <m/>
    <m/>
    <m/>
  </r>
  <r>
    <s v="403-7054950-9189907"/>
    <s v="403-7054950-9189907"/>
    <s v="2024-01-15T10:39:11+00:00"/>
    <s v="2024-01-16T07:35:00+00:00"/>
    <s v="Shipped"/>
    <x v="0"/>
    <x v="0"/>
    <m/>
    <m/>
    <s v="Standard"/>
    <s v="Beper - Cuiseur à Vapeur Multicombustion de 5L, Économiseur d'Espace, Minuterie de 60 minutes, Cuisson à la Vapeur Saine, Puissance 400-500W - Arge"/>
    <s v="BC.261_FBA"/>
    <x v="3"/>
    <s v="Shipped"/>
    <n v="1"/>
    <s v="EUR"/>
    <n v="39.9"/>
    <m/>
    <n v="3.99"/>
    <m/>
    <m/>
    <m/>
    <m/>
    <n v="3.99"/>
    <s v="St Porchaire"/>
    <m/>
    <n v="17250"/>
    <s v="FR"/>
    <s v="Free Shipping 2017/10/17 17-17-37-677"/>
    <m/>
    <m/>
    <m/>
    <m/>
    <m/>
    <m/>
  </r>
  <r>
    <s v="402-7507180-2669154"/>
    <s v="402-7507180-2669154"/>
    <s v="2024-01-15T08:31:09+00:00"/>
    <s v="2024-01-15T15:27:0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holet"/>
    <m/>
    <n v="49300"/>
    <s v="FR"/>
    <m/>
    <m/>
    <m/>
    <m/>
    <m/>
    <m/>
    <m/>
  </r>
  <r>
    <s v="408-6167614-6584351"/>
    <s v="408-6167614-6584351"/>
    <s v="2024-01-15T07:47:14+00:00"/>
    <s v="2024-01-15T21:05:42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ASTIA"/>
    <m/>
    <n v="20200"/>
    <s v="FR"/>
    <s v="Free Shipping 2017/10/17 17-17-37-677"/>
    <m/>
    <m/>
    <m/>
    <m/>
    <m/>
    <m/>
  </r>
  <r>
    <s v="407-0143455-8600344"/>
    <s v="407-0143455-8600344"/>
    <s v="2024-01-14T21:50:52+00:00"/>
    <s v="2024-01-15T04:06:27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IMOGES"/>
    <m/>
    <n v="87280"/>
    <s v="FR"/>
    <s v="Free Shipping 2017/10/17 17-17-37-677"/>
    <m/>
    <m/>
    <m/>
    <m/>
    <m/>
    <m/>
  </r>
  <r>
    <s v="403-5311605-8413906"/>
    <s v="403-5311605-8413906"/>
    <s v="2024-01-14T18:39:10+00:00"/>
    <s v="2024-01-15T22:33:48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hennevieres sur Marne"/>
    <m/>
    <n v="94430"/>
    <s v="FR"/>
    <m/>
    <m/>
    <m/>
    <m/>
    <m/>
    <m/>
    <m/>
  </r>
  <r>
    <s v="405-7677840-3060355"/>
    <s v="405-7677840-3060355"/>
    <s v="2024-01-14T14:22:23+00:00"/>
    <s v="2024-01-15T16:26:11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1.33"/>
    <m/>
    <m/>
    <m/>
    <m/>
    <n v="1.33"/>
    <s v="Etreaupont"/>
    <m/>
    <n v="2580"/>
    <s v="FR"/>
    <s v="Free Shipping 2017/10/17 17-17-37-677"/>
    <m/>
    <m/>
    <m/>
    <m/>
    <m/>
    <m/>
  </r>
  <r>
    <s v="403-6322500-6006733"/>
    <s v="403-6322500-6006733"/>
    <s v="2024-01-14T08:42:40+00:00"/>
    <s v="2024-01-15T16:20:07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havanod"/>
    <m/>
    <n v="74650"/>
    <s v="FR"/>
    <m/>
    <m/>
    <m/>
    <m/>
    <m/>
    <m/>
    <m/>
  </r>
  <r>
    <s v="407-5318566-7261114"/>
    <s v="407-5318566-7261114"/>
    <s v="2024-01-13T21:21:40+00:00"/>
    <s v="2024-01-15T02:19:27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GRAVELINES"/>
    <m/>
    <n v="59820"/>
    <s v="FR"/>
    <s v="Free Shipping 2017/10/17 17-17-37-677"/>
    <m/>
    <m/>
    <m/>
    <m/>
    <m/>
    <m/>
  </r>
  <r>
    <s v="406-8201008-0347515"/>
    <s v="406-8201008-0347515"/>
    <s v="2024-01-13T20:16:02+00:00"/>
    <s v="2024-01-14T22:22:11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Paris"/>
    <m/>
    <n v="75015"/>
    <s v="FR"/>
    <m/>
    <m/>
    <m/>
    <m/>
    <m/>
    <m/>
    <m/>
  </r>
  <r>
    <s v="407-6385948-7527528"/>
    <s v="407-6385948-7527528"/>
    <s v="2024-01-13T19:37:02+00:00"/>
    <s v="2024-01-15T02:19:29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THOMERY"/>
    <m/>
    <n v="77810"/>
    <s v="FR"/>
    <m/>
    <m/>
    <m/>
    <m/>
    <m/>
    <m/>
    <m/>
  </r>
  <r>
    <s v="404-1558082-7404343"/>
    <s v="404-1558082-7404343"/>
    <s v="2024-01-13T18:21:09+00:00"/>
    <s v="2024-01-15T17:27:41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biscarrosse"/>
    <m/>
    <n v="40600"/>
    <s v="FR"/>
    <m/>
    <m/>
    <m/>
    <m/>
    <m/>
    <m/>
    <m/>
  </r>
  <r>
    <s v="404-8790766-9240364"/>
    <s v="404-8790766-9240364"/>
    <s v="2024-01-13T16:49:16+00:00"/>
    <s v="2024-01-14T22:20:52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eillé"/>
    <m/>
    <n v="72160"/>
    <s v="FR"/>
    <m/>
    <m/>
    <m/>
    <m/>
    <m/>
    <m/>
    <m/>
  </r>
  <r>
    <s v="406-3588127-5143551"/>
    <s v="406-3588127-5143551"/>
    <s v="2024-01-13T16:10:27+00:00"/>
    <s v="2024-01-14T22:20:56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Ornex"/>
    <m/>
    <n v="1210"/>
    <s v="FR"/>
    <m/>
    <m/>
    <m/>
    <m/>
    <m/>
    <m/>
    <m/>
  </r>
  <r>
    <s v="171-3059365-9404348"/>
    <s v="171-3059365-9404348"/>
    <s v="2024-01-13T11:59:05+00:00"/>
    <s v="2024-01-15T04:02:24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3.99"/>
    <m/>
    <m/>
    <m/>
    <m/>
    <n v="3.99"/>
    <s v="THIONVILLE"/>
    <m/>
    <n v="57100"/>
    <s v="FR"/>
    <s v="Free Shipping 2017/10/17 17-17-37-677"/>
    <m/>
    <m/>
    <m/>
    <m/>
    <m/>
    <m/>
  </r>
  <r>
    <s v="405-9517755-7613162"/>
    <s v="405-9517755-7613162"/>
    <s v="2024-01-13T09:00:11+00:00"/>
    <s v="2024-01-15T10:33:24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.99"/>
    <m/>
    <m/>
    <m/>
    <m/>
    <n v="2.99"/>
    <s v="Luxembourg"/>
    <s v="Grand-Duché de Luxembourg"/>
    <n v="2625"/>
    <s v="LU"/>
    <s v="Free Shipping 2017/10/17 17-17-37-677"/>
    <m/>
    <m/>
    <m/>
    <m/>
    <m/>
    <m/>
  </r>
  <r>
    <s v="407-2068738-8006760"/>
    <s v="407-2068738-8006760"/>
    <s v="2024-01-12T20:57:50+00:00"/>
    <s v="2024-01-16T22:55:46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1"/>
    <m/>
    <m/>
    <m/>
    <m/>
    <n v="1"/>
    <s v="La Ciotat"/>
    <m/>
    <n v="13600"/>
    <s v="FR"/>
    <s v="Free Shipping 2017/10/17 17-17-37-677"/>
    <m/>
    <m/>
    <m/>
    <m/>
    <m/>
    <m/>
  </r>
  <r>
    <s v="405-8945389-7528315"/>
    <s v="405-8945389-7528315"/>
    <s v="2024-01-12T20:51:51+00:00"/>
    <s v="2024-01-14T22:56:56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3.99"/>
    <m/>
    <m/>
    <m/>
    <m/>
    <n v="3.99"/>
    <s v="Clermont l herault"/>
    <m/>
    <n v="34800"/>
    <s v="FR"/>
    <s v="Free Shipping 2017/10/17 17-17-37-677"/>
    <m/>
    <m/>
    <m/>
    <m/>
    <m/>
    <m/>
  </r>
  <r>
    <s v="402-4469659-0792366"/>
    <s v="402-4469659-0792366"/>
    <s v="2024-01-12T19:30:14+00:00"/>
    <s v="2024-01-14T21:35:00+00:00"/>
    <s v="Shipped"/>
    <x v="0"/>
    <x v="0"/>
    <m/>
    <m/>
    <s v="Standard"/>
    <s v="BEPER BT.150Y Machine à Hot Dog, 750W, 5 levels de Cuissons, Design Vintage, Rouge"/>
    <s v="BT.150Y_FBA"/>
    <x v="5"/>
    <s v="Shipped"/>
    <n v="1"/>
    <s v="EUR"/>
    <n v="49.9"/>
    <m/>
    <m/>
    <m/>
    <m/>
    <m/>
    <m/>
    <m/>
    <s v="VILLEURBANNE"/>
    <m/>
    <n v="69100"/>
    <s v="FR"/>
    <s v="Free Shipping 2017/10/17 17-17-37-677"/>
    <m/>
    <m/>
    <m/>
    <m/>
    <m/>
    <m/>
  </r>
  <r>
    <s v="404-9506470-9590743"/>
    <s v="404-9506470-9590743"/>
    <s v="2024-01-12T09:28:08+00:00"/>
    <s v="2024-01-16T07:35:17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"/>
    <m/>
    <m/>
    <m/>
    <m/>
    <n v="2"/>
    <s v="Lyon"/>
    <s v="Rhône alpes"/>
    <n v="69008"/>
    <s v="FR"/>
    <s v="Free Shipping 2017/10/17 17-17-37-677"/>
    <m/>
    <m/>
    <m/>
    <m/>
    <m/>
    <m/>
  </r>
  <r>
    <s v="402-0073392-3684348"/>
    <s v="402-0073392-3684348"/>
    <s v="2024-01-10T19:25:30+00:00"/>
    <s v="2024-01-12T20:51:00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5"/>
    <m/>
    <m/>
    <m/>
    <m/>
    <n v="3.5"/>
    <s v="crassier"/>
    <s v="vaud"/>
    <n v="1263"/>
    <s v="CH"/>
    <m/>
    <m/>
    <m/>
    <m/>
    <m/>
    <m/>
    <m/>
  </r>
  <r>
    <s v="407-0356534-3599559"/>
    <s v="407-0356534-3599559"/>
    <s v="2024-01-08T09:34:58+00:00"/>
    <s v="2024-01-09T02:30:16+00:00"/>
    <s v="Shipped"/>
    <x v="0"/>
    <x v="0"/>
    <m/>
    <m/>
    <s v="Expedited"/>
    <s v="BEPER BT.150Y Machine à Hot Dog, 750W, 5 levels de Cuissons, Design Vintage, Rouge"/>
    <s v="BT.150Y_FBA"/>
    <x v="5"/>
    <s v="Shipped"/>
    <n v="1"/>
    <s v="EUR"/>
    <n v="49.9"/>
    <m/>
    <m/>
    <m/>
    <m/>
    <m/>
    <m/>
    <m/>
    <s v="Mauves-sur-Huisne"/>
    <m/>
    <n v="61400"/>
    <s v="FR"/>
    <m/>
    <m/>
    <m/>
    <m/>
    <m/>
    <m/>
    <m/>
  </r>
  <r>
    <s v="404-2963725-7955532"/>
    <s v="404-2963725-7955532"/>
    <s v="2024-01-06T18:43:14+00:00"/>
    <s v="2024-01-08T02:00:56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ngeais"/>
    <m/>
    <n v="37130"/>
    <s v="FR"/>
    <m/>
    <m/>
    <m/>
    <m/>
    <m/>
    <m/>
    <m/>
  </r>
  <r>
    <s v="408-6549859-9950748"/>
    <s v="408-6549859-9950748"/>
    <s v="2024-01-06T14:44:01+00:00"/>
    <s v="2024-01-08T00:52:2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Grisolles"/>
    <m/>
    <n v="82170"/>
    <s v="FR"/>
    <m/>
    <m/>
    <m/>
    <m/>
    <m/>
    <m/>
    <m/>
  </r>
  <r>
    <s v="402-8485788-0169922"/>
    <s v="402-8485788-0169922"/>
    <s v="2024-01-06T12:24:53+00:00"/>
    <s v="2024-01-13T00:31:30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chiltigheim"/>
    <m/>
    <n v="67300"/>
    <s v="FR"/>
    <m/>
    <m/>
    <m/>
    <m/>
    <m/>
    <m/>
    <m/>
  </r>
  <r>
    <s v="404-1010919-1444320"/>
    <s v="404-1010919-1444320"/>
    <s v="2024-01-05T18:56:54+00:00"/>
    <s v="2024-01-08T01:08:43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HYERES"/>
    <m/>
    <n v="83400"/>
    <s v="FR"/>
    <m/>
    <m/>
    <m/>
    <m/>
    <m/>
    <m/>
    <m/>
  </r>
  <r>
    <s v="404-8305263-4265957"/>
    <s v="404-8305263-4265957"/>
    <s v="2024-01-05T18:52:22+00:00"/>
    <s v="2024-01-05T18:53:55+00:00"/>
    <s v="Cancelled"/>
    <x v="0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HYERES"/>
    <m/>
    <n v="83400"/>
    <s v="FR"/>
    <m/>
    <m/>
    <m/>
    <m/>
    <m/>
    <m/>
    <m/>
  </r>
  <r>
    <s v="171-8469754-6895549"/>
    <s v="171-8469754-6895549"/>
    <s v="2024-01-05T14:38:03+00:00"/>
    <s v="2024-01-13T00:32:01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yon"/>
    <m/>
    <n v="69006"/>
    <s v="FR"/>
    <m/>
    <m/>
    <m/>
    <m/>
    <m/>
    <m/>
    <m/>
  </r>
  <r>
    <s v="408-9731198-0635525"/>
    <s v="408-9731198-0635525"/>
    <s v="2024-01-05T13:14:15+00:00"/>
    <s v="2024-01-05T23:51:1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ramon"/>
    <m/>
    <n v="30390"/>
    <s v="FR"/>
    <m/>
    <m/>
    <m/>
    <m/>
    <m/>
    <m/>
    <m/>
  </r>
  <r>
    <s v="402-6680250-1714700"/>
    <s v="402-6680250-1714700"/>
    <s v="2024-01-04T18:03:35+00:00"/>
    <s v="2024-01-13T00:30:47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t Simeon De Bressieux"/>
    <m/>
    <n v="38870"/>
    <s v="FR"/>
    <m/>
    <m/>
    <m/>
    <m/>
    <m/>
    <m/>
    <m/>
  </r>
  <r>
    <s v="404-9189558-6677132"/>
    <s v="404-9189558-6677132"/>
    <s v="2024-01-04T16:59:46+00:00"/>
    <s v="2024-01-05T23:52:24+00:00"/>
    <s v="Shipped"/>
    <x v="0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Durtal"/>
    <m/>
    <n v="49430"/>
    <s v="FR"/>
    <m/>
    <m/>
    <m/>
    <m/>
    <m/>
    <m/>
    <m/>
  </r>
  <r>
    <s v="406-4967109-1835569"/>
    <s v="406-4967109-1835569"/>
    <s v="2024-01-04T11:16:52+00:00"/>
    <s v="2024-01-13T00:31:32+00:00"/>
    <s v="Shipp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ougon"/>
    <m/>
    <n v="79370"/>
    <s v="FR"/>
    <m/>
    <m/>
    <m/>
    <m/>
    <m/>
    <m/>
    <m/>
  </r>
  <r>
    <s v="408-5077346-6569942"/>
    <s v="408-5077346-6569942"/>
    <s v="2024-01-04T11:15:05+00:00"/>
    <s v="2024-01-07T22:44:45+00:00"/>
    <s v="Shipped"/>
    <x v="0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St Pierre D Irube"/>
    <m/>
    <n v="64990"/>
    <s v="FR"/>
    <s v="Free Shipping 2017/10/17 17-17-37-677"/>
    <m/>
    <m/>
    <m/>
    <m/>
    <m/>
    <m/>
  </r>
  <r>
    <s v="407-2661807-7082708"/>
    <s v="407-2661807-7082708"/>
    <s v="2024-01-03T20:06:38+00:00"/>
    <s v="2024-01-13T00:34:03+00:00"/>
    <s v="Shipped"/>
    <x v="0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"/>
    <m/>
    <m/>
    <m/>
    <m/>
    <n v="2"/>
    <s v="rognac"/>
    <m/>
    <n v="13340"/>
    <s v="FR"/>
    <s v="Free Shipping 2017/10/17 17-17-37-677"/>
    <m/>
    <m/>
    <m/>
    <m/>
    <m/>
    <m/>
  </r>
  <r>
    <s v="171-0052523-4004327"/>
    <s v="171-0052523-4004327"/>
    <s v="2024-01-03T16:38:31+00:00"/>
    <s v="2024-01-07T22:42:03+00:00"/>
    <s v="Shipped"/>
    <x v="0"/>
    <x v="0"/>
    <m/>
    <m/>
    <s v="Standard"/>
    <s v="BEPER BT.651Y Machine à Popcorn, ABS, Rouge/doré"/>
    <s v="BT.651Y_FBA"/>
    <x v="7"/>
    <s v="Shipped"/>
    <n v="1"/>
    <s v="EUR"/>
    <n v="59.9"/>
    <m/>
    <n v="3.99"/>
    <m/>
    <m/>
    <m/>
    <m/>
    <n v="3.99"/>
    <s v="Savigny Sur Orge"/>
    <m/>
    <n v="91600"/>
    <s v="FR"/>
    <s v="Free Shipping 2017/10/17 17-17-37-677"/>
    <m/>
    <m/>
    <m/>
    <m/>
    <m/>
    <m/>
  </r>
  <r>
    <s v="405-6078904-5449120"/>
    <s v="405-6078904-5449120"/>
    <s v="2024-01-03T14:28:15+00:00"/>
    <s v="2024-01-10T18:24:05+00:00"/>
    <s v="Cancelled"/>
    <x v="0"/>
    <x v="0"/>
    <m/>
    <m/>
    <s v="Expedite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Clermont Ferrand"/>
    <m/>
    <n v="63100"/>
    <s v="FR"/>
    <m/>
    <m/>
    <m/>
    <m/>
    <m/>
    <m/>
    <m/>
  </r>
  <r>
    <s v="403-4813580-3202768"/>
    <s v="403-4813580-3202768"/>
    <s v="2024-01-31T17:43:29+00:00"/>
    <s v="2024-02-01T00:25:47+00:00"/>
    <s v="Shipped"/>
    <x v="0"/>
    <x v="1"/>
    <m/>
    <m/>
    <s v="Expedited"/>
    <s v="Beper - Masajeador 4 en 1 anticelulítico para Mujer, Masaje Infrarrojo, Triple Acción Circular, Tonificación y Reafirmación, Potencia Ajustable"/>
    <s v="40.500_FBA"/>
    <x v="8"/>
    <s v="Shipped"/>
    <n v="1"/>
    <s v="EUR"/>
    <n v="44.9"/>
    <m/>
    <m/>
    <m/>
    <m/>
    <m/>
    <m/>
    <m/>
    <s v="Almazora"/>
    <s v="Castellon"/>
    <n v="12550"/>
    <s v="ES"/>
    <m/>
    <m/>
    <m/>
    <m/>
    <m/>
    <m/>
    <m/>
  </r>
  <r>
    <s v="405-1052686-2439518"/>
    <s v="405-1052686-2439518"/>
    <s v="2024-01-30T21:59:19+00:00"/>
    <s v="2024-01-31T00:47:37+00:00"/>
    <s v="Shipped"/>
    <x v="0"/>
    <x v="1"/>
    <m/>
    <m/>
    <s v="Expedited"/>
    <s v="BEPER 90.590 Pop Corn Retro Máquina para Hacer Palomitas, 630 W, 260 milliliters, Plastic, Blanco/Rojo"/>
    <s v="90.590Y_FBA"/>
    <x v="2"/>
    <s v="Shipped"/>
    <n v="1"/>
    <s v="EUR"/>
    <n v="44.9"/>
    <m/>
    <m/>
    <m/>
    <m/>
    <m/>
    <m/>
    <m/>
    <s v="Casa Groga"/>
    <s v="Alicante"/>
    <n v="3690"/>
    <s v="ES"/>
    <m/>
    <m/>
    <m/>
    <m/>
    <m/>
    <m/>
    <m/>
  </r>
  <r>
    <s v="406-0030194-8066713"/>
    <s v="406-0030194-8066713"/>
    <s v="2024-01-30T20:27:04+00:00"/>
    <s v="2024-02-01T08:22:19+00:00"/>
    <s v="Shipped"/>
    <x v="0"/>
    <x v="1"/>
    <m/>
    <m/>
    <s v="Expedited"/>
    <s v="BEPER BP.400 Rebanador de Verduras y Rallador Eléctrico de Acero, 3 Rodillos de Acero Intercambiables, Corte Juliana, Rodajas y Rejillas Fina, Multi-"/>
    <s v="BP.400_FBA"/>
    <x v="9"/>
    <s v="Shipped"/>
    <n v="1"/>
    <s v="EUR"/>
    <n v="64.900000000000006"/>
    <m/>
    <m/>
    <m/>
    <m/>
    <m/>
    <m/>
    <m/>
    <s v="Centre"/>
    <s v="Barcelona"/>
    <n v="8759"/>
    <s v="ES"/>
    <m/>
    <m/>
    <m/>
    <m/>
    <s v="J01852748"/>
    <s v="ES"/>
    <s v="BusinessReg"/>
  </r>
  <r>
    <s v="406-5334640-1804342"/>
    <s v="406-5334640-1804342"/>
    <s v="2024-01-29T19:04:14+00:00"/>
    <s v="2024-01-31T09:12:35+00:00"/>
    <s v="Shipped"/>
    <x v="0"/>
    <x v="1"/>
    <m/>
    <m/>
    <s v="Expedited"/>
    <s v="BEPER P102ROB050 Picadora recargable USB, Mini Robot de Cocina, Capacidad 250 ml, Potencia 3,7V,3 Cuchillas Acero Inoxidable, Batería recargable, Roj"/>
    <s v="P102ROB050 _FBA"/>
    <x v="10"/>
    <s v="Shipped"/>
    <n v="1"/>
    <s v="EUR"/>
    <n v="24.9"/>
    <m/>
    <n v="1.99"/>
    <m/>
    <m/>
    <m/>
    <m/>
    <m/>
    <s v="Ávila"/>
    <s v="avila"/>
    <n v="5003"/>
    <s v="ES"/>
    <m/>
    <m/>
    <m/>
    <m/>
    <m/>
    <m/>
    <m/>
  </r>
  <r>
    <s v="404-9957168-8929968"/>
    <s v="404-9957168-8929968"/>
    <s v="2024-01-28T22:31:34+00:00"/>
    <s v="2024-01-29T05:02:42+00:00"/>
    <s v="Shipped"/>
    <x v="0"/>
    <x v="1"/>
    <m/>
    <m/>
    <s v="Expedited"/>
    <s v="BEPER BP.400 Rebanador de Verduras y Rallador Eléctrico de Acero, 3 Rodillos de Acero Intercambiables, Corte Juliana, Rodajas y Rejillas Fina, Multi-"/>
    <s v="BP.400_FBA"/>
    <x v="9"/>
    <s v="Shipped"/>
    <n v="1"/>
    <s v="EUR"/>
    <n v="64.900000000000006"/>
    <m/>
    <m/>
    <m/>
    <m/>
    <m/>
    <m/>
    <m/>
    <s v="Torrejón de Ardoz"/>
    <s v="Madrid"/>
    <n v="28850"/>
    <s v="ES"/>
    <m/>
    <m/>
    <m/>
    <m/>
    <m/>
    <m/>
    <m/>
  </r>
  <r>
    <s v="402-9485218-2373915"/>
    <s v="402-9485218-2373915"/>
    <s v="2024-01-27T13:21:19+00:00"/>
    <s v="2024-01-28T21:54:57+00:00"/>
    <s v="Shipped"/>
    <x v="0"/>
    <x v="1"/>
    <m/>
    <m/>
    <s v="Expedited"/>
    <s v="BEPER BT.710Y Crepera eléctrica con mango, 800W, Placa antiadherente, Espátula de madera incluida, Rojo"/>
    <s v="BT.710Y_FBA"/>
    <x v="0"/>
    <s v="Shipped"/>
    <n v="1"/>
    <s v="EUR"/>
    <n v="39.9"/>
    <m/>
    <m/>
    <m/>
    <m/>
    <m/>
    <m/>
    <m/>
    <s v="Noia"/>
    <s v="A Coruña"/>
    <n v="15200"/>
    <s v="ES"/>
    <m/>
    <m/>
    <m/>
    <m/>
    <m/>
    <m/>
    <m/>
  </r>
  <r>
    <s v="408-9428575-5622725"/>
    <s v="408-9428575-5622725"/>
    <s v="2024-01-26T11:03:25+00:00"/>
    <s v="2024-01-28T21:55:01+00:00"/>
    <s v="Shipped"/>
    <x v="0"/>
    <x v="1"/>
    <m/>
    <m/>
    <s v="Expedited"/>
    <s v="BEPER BC.261 Vaporera de 5 Litros con Temporizador - Vaporera Cocinar Vapor Arroz, Pescado, Raviolis, Verduras y Carne, Sin BPA"/>
    <s v="BC.261_FBA"/>
    <x v="3"/>
    <s v="Shipped"/>
    <n v="1"/>
    <s v="EUR"/>
    <n v="32.700000000000003"/>
    <m/>
    <n v="3.99"/>
    <m/>
    <m/>
    <m/>
    <m/>
    <n v="3.99"/>
    <s v="PALMA DE MALLORCA (POLIGONO SON CASTELLO)"/>
    <s v="Balears"/>
    <n v="7009"/>
    <s v="ES"/>
    <m/>
    <m/>
    <m/>
    <m/>
    <s v="ESB57253841"/>
    <s v="ES"/>
    <s v="VAT"/>
  </r>
  <r>
    <s v="408-0325487-6200311"/>
    <s v="408-0325487-6200311"/>
    <s v="2024-01-26T09:17:10+00:00"/>
    <s v="2024-01-27T15:09:34+00:00"/>
    <s v="Shipped"/>
    <x v="0"/>
    <x v="1"/>
    <m/>
    <m/>
    <s v="Expedited"/>
    <s v="BEPER BF.640 Horno Halógeno, Capacidad Máxima 18L, Temporizador 60 Minutos, Blanco"/>
    <s v="BF.640_FBA"/>
    <x v="6"/>
    <s v="Shipped"/>
    <n v="1"/>
    <s v="EUR"/>
    <n v="99"/>
    <m/>
    <n v="3.99"/>
    <m/>
    <m/>
    <m/>
    <m/>
    <n v="3.99"/>
    <s v="Guadix"/>
    <s v="Granada"/>
    <n v="18500"/>
    <s v="ES"/>
    <m/>
    <m/>
    <m/>
    <m/>
    <m/>
    <m/>
    <m/>
  </r>
  <r>
    <s v="408-5165018-4554725"/>
    <s v="408-5165018-4554725"/>
    <s v="2024-01-23T20:46:18+00:00"/>
    <s v="2024-01-24T00:31:51+00:00"/>
    <s v="Shipped"/>
    <x v="0"/>
    <x v="1"/>
    <m/>
    <m/>
    <s v="Expedited"/>
    <s v="Beper Gofrera, Blanco"/>
    <s v="BT.602H_FBA"/>
    <x v="11"/>
    <s v="Shipped"/>
    <n v="1"/>
    <s v="EUR"/>
    <n v="34.9"/>
    <m/>
    <m/>
    <m/>
    <m/>
    <m/>
    <m/>
    <m/>
    <s v="Palma de Mallorca"/>
    <s v="Illes Balears"/>
    <n v="7009"/>
    <s v="ES"/>
    <m/>
    <m/>
    <m/>
    <m/>
    <m/>
    <m/>
    <m/>
  </r>
  <r>
    <s v="403-6392102-0715568"/>
    <s v="403-6392102-0715568"/>
    <s v="2024-01-18T20:50:03+00:00"/>
    <s v="2024-01-19T00:21:31+00:00"/>
    <s v="Shipped"/>
    <x v="0"/>
    <x v="1"/>
    <m/>
    <m/>
    <s v="Expedited"/>
    <s v="Beper - Masajeador 4 en 1 anticelulítico para Mujer, Masaje Infrarrojo, Triple Acción Circular, Tonificación y Reafirmación, Potencia Ajustable"/>
    <s v="40.500_FBA"/>
    <x v="8"/>
    <s v="Shipped"/>
    <n v="1"/>
    <s v="EUR"/>
    <n v="44.9"/>
    <m/>
    <m/>
    <m/>
    <m/>
    <m/>
    <m/>
    <m/>
    <s v="gerindote"/>
    <s v="toledo"/>
    <n v="45518"/>
    <s v="ES"/>
    <m/>
    <m/>
    <m/>
    <m/>
    <m/>
    <m/>
    <m/>
  </r>
  <r>
    <s v="402-0327058-5409155"/>
    <s v="402-0327058-5409155"/>
    <s v="2024-01-08T09:30:01+00:00"/>
    <s v="2024-01-12T12:10:49+00:00"/>
    <s v="Shipped"/>
    <x v="0"/>
    <x v="1"/>
    <m/>
    <m/>
    <s v="Expedited"/>
    <s v="BEPER 90.590 Pop Corn Retro Máquina para Hacer Palomitas, 630 W, 260 milliliters, Plastic, Blanco/Rojo"/>
    <s v="90.590Y_FBA"/>
    <x v="2"/>
    <s v="Shipped"/>
    <n v="1"/>
    <s v="EUR"/>
    <n v="44.9"/>
    <m/>
    <m/>
    <m/>
    <m/>
    <m/>
    <m/>
    <m/>
    <s v="El Prat de Ll."/>
    <s v="Barcelona"/>
    <n v="8820"/>
    <s v="ES"/>
    <m/>
    <m/>
    <m/>
    <m/>
    <m/>
    <m/>
    <m/>
  </r>
  <r>
    <s v="S02-0343205-8701960"/>
    <s v="ank8K964mf"/>
    <s v="2024-01-01T23:03:18+00:00"/>
    <s v="2024-01-05T07:37:23+00:00"/>
    <s v="Shipped"/>
    <x v="0"/>
    <x v="2"/>
    <m/>
    <m/>
    <s v="Standard"/>
    <s v="-"/>
    <s v="amzn.gr.90.550-zAu2_A5qsBzPE1JGuqiP-d-PO"/>
    <x v="12"/>
    <s v="Unshipped"/>
    <n v="1"/>
    <m/>
    <m/>
    <m/>
    <m/>
    <m/>
    <m/>
    <m/>
    <m/>
    <m/>
    <m/>
    <m/>
    <m/>
    <m/>
    <m/>
    <m/>
    <m/>
    <m/>
    <m/>
    <m/>
    <m/>
  </r>
  <r>
    <s v="171-2878765-5657151"/>
    <s v="171-2878765-5657151"/>
    <s v="2024-01-31T22:57:07+00:00"/>
    <s v="2024-02-02T09:28:0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eregnano"/>
    <s v="RO"/>
    <n v="45010"/>
    <s v="IT"/>
    <m/>
    <m/>
    <m/>
    <m/>
    <m/>
    <m/>
    <m/>
  </r>
  <r>
    <s v="403-1283942-9411560"/>
    <s v="403-1283942-9411560"/>
    <s v="2024-01-31T22:56:57+00:00"/>
    <s v="2024-02-01T20:26:46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Noverasco"/>
    <s v="MI"/>
    <n v="20073"/>
    <s v="IT"/>
    <m/>
    <m/>
    <m/>
    <m/>
    <m/>
    <m/>
    <m/>
  </r>
  <r>
    <s v="404-8551127-0665918"/>
    <s v="404-8551127-0665918"/>
    <s v="2024-01-31T22:56:21+00:00"/>
    <s v="2024-02-01T15:51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orgaro torinese"/>
    <s v="TO"/>
    <n v="10071"/>
    <s v="IT"/>
    <m/>
    <m/>
    <m/>
    <m/>
    <m/>
    <m/>
    <m/>
  </r>
  <r>
    <s v="404-2962422-4813142"/>
    <s v="404-2962422-4813142"/>
    <s v="2024-01-31T22:54:33+00:00"/>
    <s v="2024-02-01T01:29:2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RELLO"/>
    <s v="Milano"/>
    <n v="20011"/>
    <s v="IT"/>
    <m/>
    <m/>
    <m/>
    <m/>
    <m/>
    <m/>
    <m/>
  </r>
  <r>
    <s v="404-4603053-7737941"/>
    <s v="404-4603053-7737941"/>
    <s v="2024-01-31T22:54:19+00:00"/>
    <s v="2024-02-01T15:54:02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Modena"/>
    <s v="Modena"/>
    <n v="41125"/>
    <s v="IT"/>
    <m/>
    <m/>
    <m/>
    <m/>
    <m/>
    <m/>
    <m/>
  </r>
  <r>
    <s v="408-2225475-4641143"/>
    <m/>
    <s v="2024-01-31T22:45:24+00:00"/>
    <s v="2024-02-01T13:33:55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AN GIOVANNI IN PERSICETO"/>
    <s v="Bologna"/>
    <n v="40017"/>
    <s v="IT"/>
    <m/>
    <m/>
    <m/>
    <m/>
    <m/>
    <m/>
    <m/>
  </r>
  <r>
    <s v="408-7376819-0028360"/>
    <s v="408-7376819-0028360"/>
    <s v="2024-01-31T22:39:37+00:00"/>
    <s v="2024-02-01T15:50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llegno"/>
    <s v="Torino"/>
    <n v="10093"/>
    <s v="IT"/>
    <m/>
    <m/>
    <m/>
    <m/>
    <m/>
    <m/>
    <m/>
  </r>
  <r>
    <s v="408-7667375-9662738"/>
    <s v="408-7667375-9662738"/>
    <s v="2024-01-31T22:32:46+00:00"/>
    <s v="2024-02-01T15:50:1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 Goffredo"/>
    <s v="Mantova"/>
    <n v="46042"/>
    <s v="IT"/>
    <m/>
    <m/>
    <m/>
    <m/>
    <m/>
    <m/>
    <m/>
  </r>
  <r>
    <s v="171-6103857-0674714"/>
    <m/>
    <s v="2024-01-31T22:15:48+00:00"/>
    <s v="2024-02-02T10:35:03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4.9"/>
    <n v="2.69"/>
    <n v="3"/>
    <n v="0.54"/>
    <m/>
    <m/>
    <m/>
    <m/>
    <s v="Bolzano"/>
    <s v="Bolzano"/>
    <n v="39100"/>
    <s v="IT"/>
    <m/>
    <m/>
    <m/>
    <m/>
    <m/>
    <m/>
    <m/>
  </r>
  <r>
    <s v="171-6395204-3867503"/>
    <s v="171-6395204-3867503"/>
    <s v="2024-01-31T21:56:12+00:00"/>
    <s v="2024-02-01T02:28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Ottaviano"/>
    <s v="Napoli"/>
    <n v="80044"/>
    <s v="IT"/>
    <m/>
    <m/>
    <m/>
    <m/>
    <m/>
    <m/>
    <m/>
  </r>
  <r>
    <s v="404-8395699-8621944"/>
    <s v="404-8395699-8621944"/>
    <s v="2024-01-31T21:54:20+00:00"/>
    <s v="2024-02-01T02:26:5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illa Adriana"/>
    <s v="Roma"/>
    <n v="10"/>
    <s v="IT"/>
    <m/>
    <m/>
    <m/>
    <m/>
    <m/>
    <m/>
    <m/>
  </r>
  <r>
    <s v="404-2566455-2809917"/>
    <s v="404-2566455-2809917"/>
    <s v="2024-01-31T21:42:14+00:00"/>
    <s v="2024-02-01T17:53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2"/>
    <s v="IT"/>
    <m/>
    <m/>
    <m/>
    <m/>
    <m/>
    <m/>
    <m/>
  </r>
  <r>
    <s v="406-5962600-6558755"/>
    <s v="406-5962600-6558755"/>
    <s v="2024-01-31T21:33:40+00:00"/>
    <s v="2024-02-01T04:30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olpago del Montello"/>
    <s v="Treviso"/>
    <n v="31040"/>
    <s v="IT"/>
    <m/>
    <m/>
    <m/>
    <m/>
    <m/>
    <m/>
    <m/>
  </r>
  <r>
    <s v="404-2210429-0905106"/>
    <s v="404-2210429-0905106"/>
    <s v="2024-01-31T21:32:00+00:00"/>
    <s v="2024-02-01T12:13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43"/>
    <s v="IT"/>
    <m/>
    <m/>
    <m/>
    <m/>
    <m/>
    <m/>
    <m/>
  </r>
  <r>
    <s v="406-4974320-2109929"/>
    <s v="406-4974320-2109929"/>
    <s v="2024-01-31T21:31:37+00:00"/>
    <s v="2024-02-01T15:46:4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 Sant'Elia"/>
    <s v="VT"/>
    <n v="1030"/>
    <s v="IT"/>
    <m/>
    <m/>
    <m/>
    <m/>
    <m/>
    <m/>
    <m/>
  </r>
  <r>
    <s v="402-8043213-1229122"/>
    <s v="402-8043213-1229122"/>
    <s v="2024-01-31T21:30:17+00:00"/>
    <s v="2024-02-02T01:34:5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almine"/>
    <s v="Bergamo"/>
    <n v="24044"/>
    <s v="IT"/>
    <m/>
    <m/>
    <m/>
    <m/>
    <m/>
    <m/>
    <m/>
  </r>
  <r>
    <s v="405-4772692-3847550"/>
    <s v="405-4772692-3847550"/>
    <s v="2024-01-31T21:25:27+00:00"/>
    <s v="2024-02-05T09:29:4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orsara di puglia"/>
    <s v="foggia"/>
    <n v="71027"/>
    <s v="IT"/>
    <m/>
    <m/>
    <m/>
    <m/>
    <m/>
    <m/>
    <m/>
  </r>
  <r>
    <s v="403-5019633-5664336"/>
    <s v="403-5019633-5664336"/>
    <s v="2024-01-31T21:14:28+00:00"/>
    <s v="2024-02-01T02:24:5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Isernia"/>
    <s v="IS"/>
    <n v="86170"/>
    <s v="IT"/>
    <m/>
    <m/>
    <m/>
    <m/>
    <m/>
    <m/>
    <m/>
  </r>
  <r>
    <s v="407-9820252-0696335"/>
    <s v="407-9820252-0696335"/>
    <s v="2024-01-31T21:03:46+00:00"/>
    <s v="2024-02-02T17:46:0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bano terme"/>
    <s v="padova"/>
    <n v="35031"/>
    <s v="IT"/>
    <m/>
    <m/>
    <m/>
    <m/>
    <m/>
    <m/>
    <m/>
  </r>
  <r>
    <s v="403-4221570-3961118"/>
    <s v="403-4221570-3961118"/>
    <s v="2024-01-31T21:02:45+00:00"/>
    <s v="2024-02-01T02:33:3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74"/>
    <s v="IT"/>
    <m/>
    <m/>
    <m/>
    <m/>
    <m/>
    <m/>
    <m/>
  </r>
  <r>
    <s v="404-3571897-8575529"/>
    <s v="404-3571897-8575529"/>
    <s v="2024-01-31T20:58:11+00:00"/>
    <s v="2024-02-01T17:54:04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Milano"/>
    <s v="milano"/>
    <n v="20129"/>
    <s v="IT"/>
    <m/>
    <m/>
    <m/>
    <m/>
    <m/>
    <m/>
    <m/>
  </r>
  <r>
    <s v="407-9149085-5364326"/>
    <s v="407-9149085-5364326"/>
    <s v="2024-01-31T20:53:09+00:00"/>
    <s v="2024-02-01T01:35:5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nza"/>
    <s v="MI"/>
    <n v="20900"/>
    <s v="IT"/>
    <m/>
    <m/>
    <m/>
    <m/>
    <m/>
    <m/>
    <m/>
  </r>
  <r>
    <s v="403-5098240-8791518"/>
    <s v="403-5098240-8791518"/>
    <s v="2024-01-31T20:46:04+00:00"/>
    <s v="2024-02-01T02:30:2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tessa"/>
    <s v="Ch"/>
    <n v="66041"/>
    <s v="IT"/>
    <m/>
    <m/>
    <m/>
    <m/>
    <m/>
    <m/>
    <m/>
  </r>
  <r>
    <s v="402-1279812-6853956"/>
    <s v="402-1279812-6853956"/>
    <s v="2024-01-31T20:43:16+00:00"/>
    <s v="2024-02-01T16:36:0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Oyace"/>
    <s v="Italia"/>
    <n v="11010"/>
    <s v="IT"/>
    <m/>
    <m/>
    <m/>
    <m/>
    <m/>
    <m/>
    <m/>
  </r>
  <r>
    <s v="407-2981583-5195509"/>
    <s v="407-2981583-5195509"/>
    <s v="2024-01-31T20:43:11+00:00"/>
    <s v="2024-02-01T12:51:5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rigento"/>
    <s v="Agrigento"/>
    <n v="92100"/>
    <s v="IT"/>
    <m/>
    <m/>
    <m/>
    <m/>
    <m/>
    <m/>
    <m/>
  </r>
  <r>
    <s v="404-2164866-3605940"/>
    <s v="404-2164866-3605940"/>
    <s v="2024-01-31T20:35:14+00:00"/>
    <s v="2024-02-01T15:50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ge"/>
    <s v="cuneo"/>
    <n v="12032"/>
    <s v="IT"/>
    <m/>
    <m/>
    <m/>
    <m/>
    <m/>
    <m/>
    <m/>
  </r>
  <r>
    <s v="407-7636598-6717110"/>
    <s v="407-7636598-6717110"/>
    <s v="2024-01-31T20:29:38+00:00"/>
    <s v="2024-02-01T04:32:3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Fara vicentino"/>
    <s v="Vicenza"/>
    <n v="36030"/>
    <s v="IT"/>
    <m/>
    <m/>
    <m/>
    <m/>
    <m/>
    <m/>
    <m/>
  </r>
  <r>
    <s v="406-4702462-6821965"/>
    <s v="406-4702462-6821965"/>
    <s v="2024-01-31T20:29:13+00:00"/>
    <s v="2024-02-01T14:52:2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utri"/>
    <s v="VT"/>
    <n v="1015"/>
    <s v="IT"/>
    <m/>
    <m/>
    <m/>
    <m/>
    <m/>
    <m/>
    <m/>
  </r>
  <r>
    <s v="407-5192939-5793138"/>
    <s v="407-5192939-5793138"/>
    <s v="2024-01-31T20:18:46+00:00"/>
    <s v="2024-02-01T02:20:5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renze"/>
    <s v="Firenze"/>
    <n v="50142"/>
    <s v="IT"/>
    <m/>
    <m/>
    <m/>
    <m/>
    <m/>
    <m/>
    <m/>
  </r>
  <r>
    <s v="408-3006913-1221136"/>
    <s v="408-3006913-1221136"/>
    <s v="2024-01-31T20:05:14+00:00"/>
    <s v="2024-02-01T16:16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rsico"/>
    <s v="milano"/>
    <n v="20094"/>
    <s v="IT"/>
    <m/>
    <m/>
    <m/>
    <m/>
    <m/>
    <m/>
    <m/>
  </r>
  <r>
    <s v="406-7679794-4482734"/>
    <s v="406-7679794-4482734"/>
    <s v="2024-01-31T19:58:56+00:00"/>
    <s v="2024-02-01T02:28:4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cerra"/>
    <s v="Napoli"/>
    <n v="80011"/>
    <s v="IT"/>
    <m/>
    <m/>
    <m/>
    <m/>
    <m/>
    <m/>
    <m/>
  </r>
  <r>
    <s v="404-1558887-8730767"/>
    <s v="404-1558887-8730767"/>
    <s v="2024-01-31T19:55:56+00:00"/>
    <s v="2024-02-02T20:46:1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27"/>
    <m/>
    <m/>
    <m/>
    <m/>
    <n v="3.27"/>
    <s v="Giugliano in Campania"/>
    <s v="Napoli"/>
    <n v="80024"/>
    <s v="IT"/>
    <s v="PAWS-V2-24410021917-91-  DPWS"/>
    <m/>
    <m/>
    <m/>
    <m/>
    <m/>
    <m/>
  </r>
  <r>
    <s v="402-4033472-8186742"/>
    <s v="402-4033472-8186742"/>
    <s v="2024-01-31T19:50:10+00:00"/>
    <s v="2024-02-01T15:51:4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ggio Renatico"/>
    <s v="FE"/>
    <n v="44028"/>
    <s v="IT"/>
    <m/>
    <m/>
    <m/>
    <m/>
    <m/>
    <m/>
    <m/>
  </r>
  <r>
    <s v="406-5274031-1312355"/>
    <s v="406-5274031-1312355"/>
    <s v="2024-01-31T19:44:21+00:00"/>
    <s v="2024-02-01T16:11:4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forte"/>
    <s v="LT"/>
    <n v="4021"/>
    <s v="IT"/>
    <m/>
    <m/>
    <m/>
    <m/>
    <m/>
    <m/>
    <m/>
  </r>
  <r>
    <s v="404-2466010-8330726"/>
    <s v="404-2466010-8330726"/>
    <s v="2024-01-31T19:40:08+00:00"/>
    <s v="2024-02-01T02:28:5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Roccarainola"/>
    <s v="NA"/>
    <n v="80033"/>
    <s v="IT"/>
    <m/>
    <m/>
    <m/>
    <m/>
    <m/>
    <m/>
    <m/>
  </r>
  <r>
    <s v="405-4897983-0087533"/>
    <s v="405-4897983-0087533"/>
    <s v="2024-01-31T19:37:26+00:00"/>
    <s v="2024-02-01T02:33:3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TORO"/>
    <s v="Trento"/>
    <n v="38089"/>
    <s v="IT"/>
    <m/>
    <m/>
    <m/>
    <m/>
    <m/>
    <m/>
    <m/>
  </r>
  <r>
    <s v="402-9652322-5441939"/>
    <s v="402-9652322-5441939"/>
    <s v="2024-01-31T19:32:09+00:00"/>
    <s v="2024-02-01T01:32:2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sano maderno"/>
    <s v="mb"/>
    <n v="20811"/>
    <s v="IT"/>
    <m/>
    <m/>
    <m/>
    <m/>
    <m/>
    <m/>
    <m/>
  </r>
  <r>
    <s v="171-3402142-6049949"/>
    <s v="171-3402142-6049949"/>
    <s v="2024-01-31T19:30:30+00:00"/>
    <s v="2024-02-01T02:30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scufo"/>
    <s v="Pescara"/>
    <n v="65010"/>
    <s v="IT"/>
    <m/>
    <m/>
    <m/>
    <m/>
    <m/>
    <m/>
    <m/>
  </r>
  <r>
    <s v="406-9108792-3768358"/>
    <s v="406-9108792-3768358"/>
    <s v="2024-01-31T19:06:57+00:00"/>
    <s v="2024-02-01T12:53:15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SIDERNO"/>
    <s v="Reggio Calabria"/>
    <n v="89048"/>
    <s v="IT"/>
    <m/>
    <m/>
    <m/>
    <m/>
    <m/>
    <m/>
    <m/>
  </r>
  <r>
    <s v="404-6380656-5668362"/>
    <s v="404-6380656-5668362"/>
    <s v="2024-01-31T18:55:21+00:00"/>
    <s v="2024-02-01T13:18:5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ci catena"/>
    <s v="Catania"/>
    <n v="95022"/>
    <s v="IT"/>
    <m/>
    <m/>
    <m/>
    <m/>
    <m/>
    <m/>
    <m/>
  </r>
  <r>
    <s v="171-7131100-4663567"/>
    <s v="171-7131100-4663567"/>
    <s v="2024-01-31T18:51:54+00:00"/>
    <s v="2024-02-01T09:31:07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BARDOLINO"/>
    <s v="Verona"/>
    <n v="37011"/>
    <s v="IT"/>
    <m/>
    <m/>
    <m/>
    <m/>
    <m/>
    <m/>
    <m/>
  </r>
  <r>
    <s v="403-2802655-2212320"/>
    <s v="403-2802655-2212320"/>
    <s v="2024-01-31T18:50:27+00:00"/>
    <s v="2024-01-31T21:28:2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onte Nuova"/>
    <s v="Roma"/>
    <n v="13"/>
    <s v="IT"/>
    <m/>
    <m/>
    <m/>
    <m/>
    <m/>
    <m/>
    <m/>
  </r>
  <r>
    <s v="171-0247215-5719575"/>
    <s v="171-0247215-5719575"/>
    <s v="2024-01-31T18:40:35+00:00"/>
    <s v="2024-01-31T19:10:59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SEGGIANO"/>
    <s v="Milano"/>
    <n v="20096"/>
    <s v="IT"/>
    <m/>
    <m/>
    <m/>
    <m/>
    <m/>
    <m/>
    <m/>
  </r>
  <r>
    <s v="171-9859093-7825116"/>
    <s v="171-9859093-7825116"/>
    <s v="2024-01-31T18:39:07+00:00"/>
    <s v="2024-02-05T08:47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allipoli"/>
    <s v="LE"/>
    <n v="73014"/>
    <s v="IT"/>
    <m/>
    <m/>
    <m/>
    <m/>
    <m/>
    <m/>
    <m/>
  </r>
  <r>
    <s v="406-0249631-4760333"/>
    <s v="406-0249631-4760333"/>
    <s v="2024-01-31T18:34:43+00:00"/>
    <s v="2024-02-01T03:44:2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tesolaro"/>
    <s v="CO"/>
    <n v="22060"/>
    <s v="IT"/>
    <m/>
    <m/>
    <m/>
    <m/>
    <m/>
    <m/>
    <m/>
  </r>
  <r>
    <s v="402-5726996-5449922"/>
    <s v="402-5726996-5449922"/>
    <s v="2024-01-31T18:27:51+00:00"/>
    <s v="2024-02-03T00:02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QUINTO DI TREVISO"/>
    <s v="Treviso"/>
    <n v="31055"/>
    <s v="IT"/>
    <m/>
    <m/>
    <m/>
    <m/>
    <m/>
    <m/>
    <m/>
  </r>
  <r>
    <s v="405-2242828-4575521"/>
    <s v="405-2242828-4575521"/>
    <s v="2024-01-31T18:22:24+00:00"/>
    <s v="2024-02-01T07:45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Fratello"/>
    <s v="ME"/>
    <n v="98075"/>
    <s v="IT"/>
    <m/>
    <m/>
    <m/>
    <m/>
    <m/>
    <m/>
    <m/>
  </r>
  <r>
    <s v="405-5594544-2765131"/>
    <s v="405-5594544-2765131"/>
    <s v="2024-01-31T18:21:40+00:00"/>
    <s v="2024-02-01T07:46:0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Fratello"/>
    <s v="Messina"/>
    <n v="98075"/>
    <s v="IT"/>
    <m/>
    <m/>
    <m/>
    <m/>
    <m/>
    <m/>
    <m/>
  </r>
  <r>
    <s v="171-5777163-4908325"/>
    <s v="171-5777163-4908325"/>
    <s v="2024-01-31T18:21:31+00:00"/>
    <s v="2024-02-01T02:31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saloldo"/>
    <s v="Mn"/>
    <n v="46040"/>
    <s v="IT"/>
    <m/>
    <m/>
    <m/>
    <m/>
    <m/>
    <m/>
    <m/>
  </r>
  <r>
    <s v="405-0588538-2574749"/>
    <s v="405-0588538-2574749"/>
    <s v="2024-01-31T18:04:18+00:00"/>
    <s v="2024-02-01T12:51:5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Enna"/>
    <s v="Enna"/>
    <n v="94100"/>
    <s v="IT"/>
    <m/>
    <m/>
    <m/>
    <m/>
    <m/>
    <m/>
    <m/>
  </r>
  <r>
    <s v="406-3016286-2851512"/>
    <s v="406-3016286-2851512"/>
    <s v="2024-01-31T18:01:35+00:00"/>
    <s v="2024-02-02T20:57:3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Rimini"/>
    <s v="Rimini"/>
    <n v="47923"/>
    <s v="IT"/>
    <m/>
    <m/>
    <m/>
    <m/>
    <m/>
    <m/>
    <m/>
  </r>
  <r>
    <s v="405-7567493-4676356"/>
    <s v="405-7567493-4676356"/>
    <s v="2024-01-31T17:32:43+00:00"/>
    <s v="2024-02-01T12:24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Usini"/>
    <s v="SS"/>
    <n v="7049"/>
    <s v="IT"/>
    <m/>
    <m/>
    <m/>
    <m/>
    <m/>
    <m/>
    <m/>
  </r>
  <r>
    <s v="405-3955107-8194739"/>
    <s v="405-3955107-8194739"/>
    <s v="2024-01-31T17:32:16+00:00"/>
    <s v="2024-01-31T20:32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ibbiano"/>
    <s v="Reggio Emilia"/>
    <n v="42021"/>
    <s v="IT"/>
    <m/>
    <m/>
    <m/>
    <m/>
    <m/>
    <m/>
    <m/>
  </r>
  <r>
    <s v="404-4263086-9011516"/>
    <s v="404-4263086-9011516"/>
    <s v="2024-01-31T17:28:15+00:00"/>
    <s v="2024-01-31T20:24:4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Cantù"/>
    <s v="Como"/>
    <n v="22063"/>
    <s v="IT"/>
    <m/>
    <m/>
    <m/>
    <m/>
    <m/>
    <m/>
    <m/>
  </r>
  <r>
    <s v="408-5768367-8557950"/>
    <s v="408-5768367-8557950"/>
    <s v="2024-01-31T17:24:38+00:00"/>
    <s v="2024-01-31T21:22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almanova"/>
    <s v="UD"/>
    <n v="33057"/>
    <s v="IT"/>
    <m/>
    <m/>
    <m/>
    <m/>
    <m/>
    <m/>
    <m/>
  </r>
  <r>
    <s v="405-1242362-4085134"/>
    <s v="405-1242362-4085134"/>
    <s v="2024-01-31T17:24:17+00:00"/>
    <s v="2024-01-31T20:58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itulazio"/>
    <s v="Caserta"/>
    <n v="81041"/>
    <s v="IT"/>
    <m/>
    <m/>
    <m/>
    <m/>
    <m/>
    <m/>
    <m/>
  </r>
  <r>
    <s v="406-3145246-0937917"/>
    <s v="406-3145246-0937917"/>
    <s v="2024-01-31T17:21:52+00:00"/>
    <s v="2024-02-01T00:22:4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ufina"/>
    <s v="Firenze"/>
    <n v="50068"/>
    <s v="IT"/>
    <m/>
    <m/>
    <m/>
    <m/>
    <m/>
    <m/>
    <m/>
  </r>
  <r>
    <s v="405-0628111-3977104"/>
    <s v="405-0628111-3977104"/>
    <s v="2024-01-31T17:12:50+00:00"/>
    <s v="2024-02-01T02:26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39"/>
    <s v="IT"/>
    <m/>
    <m/>
    <m/>
    <m/>
    <m/>
    <m/>
    <m/>
  </r>
  <r>
    <s v="404-5239721-1327503"/>
    <s v="404-5239721-1327503"/>
    <s v="2024-01-31T17:00:14+00:00"/>
    <s v="2024-01-31T21:27:2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lestrina"/>
    <s v="Roma"/>
    <n v="36"/>
    <s v="IT"/>
    <m/>
    <m/>
    <m/>
    <m/>
    <m/>
    <m/>
    <m/>
  </r>
  <r>
    <s v="403-6167016-2289107"/>
    <s v="403-6167016-2289107"/>
    <s v="2024-01-31T16:31:33+00:00"/>
    <s v="2024-02-01T02:36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latri"/>
    <s v="Frosinone"/>
    <n v="3011"/>
    <s v="IT"/>
    <m/>
    <m/>
    <m/>
    <m/>
    <m/>
    <m/>
    <m/>
  </r>
  <r>
    <s v="406-6035281-5561934"/>
    <s v="406-6035281-5561934"/>
    <s v="2024-01-31T16:25:18+00:00"/>
    <s v="2024-02-01T01:29:5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enegono Inferiore"/>
    <s v="Italy"/>
    <n v="21040"/>
    <s v="IT"/>
    <m/>
    <m/>
    <m/>
    <m/>
    <m/>
    <m/>
    <m/>
  </r>
  <r>
    <s v="408-7880364-7619530"/>
    <s v="408-7880364-7619530"/>
    <s v="2024-01-31T16:21:14+00:00"/>
    <s v="2024-01-31T20:58:2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rbara"/>
    <s v="Salerno"/>
    <n v="84010"/>
    <s v="IT"/>
    <m/>
    <m/>
    <m/>
    <m/>
    <m/>
    <m/>
    <m/>
  </r>
  <r>
    <s v="171-4299325-8385149"/>
    <s v="171-4299325-8385149"/>
    <s v="2024-01-31T16:17:32+00:00"/>
    <s v="2024-02-01T15:52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orlago"/>
    <s v="BG"/>
    <n v="24060"/>
    <s v="IT"/>
    <m/>
    <m/>
    <m/>
    <m/>
    <m/>
    <m/>
    <m/>
  </r>
  <r>
    <s v="404-4317367-9285911"/>
    <s v="404-4317367-9285911"/>
    <s v="2024-01-31T15:59:59+00:00"/>
    <s v="2024-01-31T23:14:3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Bagni di Lucca"/>
    <s v="Lucca"/>
    <n v="55022"/>
    <s v="IT"/>
    <m/>
    <m/>
    <m/>
    <m/>
    <m/>
    <m/>
    <m/>
  </r>
  <r>
    <s v="403-5838385-0605134"/>
    <s v="403-5838385-0605134"/>
    <s v="2024-01-31T15:57:23+00:00"/>
    <s v="2024-01-31T21:34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64"/>
    <m/>
    <m/>
    <m/>
    <m/>
    <n v="1.64"/>
    <s v="Viareggio"/>
    <s v="LU"/>
    <n v="55049"/>
    <s v="IT"/>
    <m/>
    <m/>
    <m/>
    <m/>
    <m/>
    <m/>
    <m/>
  </r>
  <r>
    <s v="405-2027076-8357149"/>
    <s v="405-2027076-8357149"/>
    <s v="2024-01-31T15:49:21+00:00"/>
    <s v="2024-01-31T20:09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rtici"/>
    <s v="napoli"/>
    <n v="80055"/>
    <s v="IT"/>
    <m/>
    <m/>
    <m/>
    <m/>
    <m/>
    <m/>
    <m/>
  </r>
  <r>
    <s v="404-2941756-1917932"/>
    <s v="404-2941756-1917932"/>
    <s v="2024-01-31T15:43:58+00:00"/>
    <s v="2024-02-06T04:31:3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UGAGNANO VAL D'ARDA"/>
    <s v="PC"/>
    <n v="29018"/>
    <s v="IT"/>
    <m/>
    <m/>
    <m/>
    <m/>
    <m/>
    <m/>
    <m/>
  </r>
  <r>
    <s v="405-1172904-5912330"/>
    <s v="405-1172904-5912330"/>
    <s v="2024-01-31T15:21:10+00:00"/>
    <s v="2024-02-01T09:08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nziana"/>
    <s v="Roma"/>
    <n v="66"/>
    <s v="IT"/>
    <m/>
    <m/>
    <m/>
    <m/>
    <m/>
    <m/>
    <m/>
  </r>
  <r>
    <s v="402-8090883-7436363"/>
    <s v="402-8090883-7436363"/>
    <s v="2024-01-31T15:13:45+00:00"/>
    <s v="2024-02-01T07:36:40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Nereto"/>
    <s v="Teramo"/>
    <n v="64015"/>
    <s v="IT"/>
    <m/>
    <m/>
    <m/>
    <m/>
    <m/>
    <m/>
    <m/>
  </r>
  <r>
    <s v="407-5254690-0477944"/>
    <s v="407-5254690-0477944"/>
    <s v="2024-01-31T15:05:41+00:00"/>
    <s v="2024-02-01T01:33:5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ILLA D'ALME'"/>
    <s v="Bergamo"/>
    <n v="24018"/>
    <s v="IT"/>
    <m/>
    <m/>
    <m/>
    <m/>
    <m/>
    <m/>
    <m/>
  </r>
  <r>
    <s v="402-3763368-3766767"/>
    <s v="402-3763368-3766767"/>
    <s v="2024-01-31T15:04:03+00:00"/>
    <s v="2024-01-31T21:01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attipaglia"/>
    <s v="SA"/>
    <n v="84091"/>
    <s v="IT"/>
    <m/>
    <m/>
    <m/>
    <m/>
    <m/>
    <m/>
    <m/>
  </r>
  <r>
    <s v="402-5052309-5115554"/>
    <s v="402-5052309-5115554"/>
    <s v="2024-01-31T14:45:21+00:00"/>
    <s v="2024-01-31T18:09:3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CARPI"/>
    <s v="Modena"/>
    <n v="41012"/>
    <s v="IT"/>
    <m/>
    <m/>
    <m/>
    <m/>
    <m/>
    <m/>
    <m/>
  </r>
  <r>
    <s v="402-7932949-5119556"/>
    <s v="402-7932949-5119556"/>
    <s v="2024-01-31T14:44:47+00:00"/>
    <s v="2024-02-01T12:02:3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villette"/>
    <s v="Verbano Cusio Ossola"/>
    <n v="28856"/>
    <s v="IT"/>
    <m/>
    <m/>
    <m/>
    <m/>
    <m/>
    <m/>
    <m/>
  </r>
  <r>
    <s v="407-0335455-4281972"/>
    <m/>
    <s v="2024-01-31T14:43:34+00:00"/>
    <s v="2024-02-01T13:33:52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grottammare"/>
    <s v="AP"/>
    <n v="63066"/>
    <s v="IT"/>
    <m/>
    <m/>
    <m/>
    <m/>
    <m/>
    <m/>
    <m/>
  </r>
  <r>
    <s v="407-9257760-3900333"/>
    <s v="407-9257760-3900333"/>
    <s v="2024-01-31T14:42:02+00:00"/>
    <s v="2024-02-01T02:34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48"/>
    <s v="IT"/>
    <m/>
    <m/>
    <m/>
    <m/>
    <m/>
    <m/>
    <m/>
  </r>
  <r>
    <s v="404-5338854-6233919"/>
    <s v="404-5338854-6233919"/>
    <s v="2024-01-31T14:40:04+00:00"/>
    <s v="2024-01-31T18:23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irenze"/>
    <s v="FI"/>
    <n v="50126"/>
    <s v="IT"/>
    <m/>
    <m/>
    <m/>
    <m/>
    <m/>
    <m/>
    <m/>
  </r>
  <r>
    <s v="402-0011040-5805110"/>
    <s v="402-0011040-5805110"/>
    <s v="2024-01-31T14:38:28+00:00"/>
    <s v="2024-01-31T20:08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Napoli"/>
    <s v="Napoli"/>
    <n v="80129"/>
    <s v="IT"/>
    <m/>
    <m/>
    <m/>
    <m/>
    <m/>
    <m/>
    <m/>
  </r>
  <r>
    <s v="408-7686690-3792339"/>
    <s v="408-7686690-3792339"/>
    <s v="2024-01-31T14:35:26+00:00"/>
    <s v="2024-01-31T21:20:0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L'AQUILA"/>
    <s v="AQ"/>
    <n v="67100"/>
    <s v="IT"/>
    <m/>
    <m/>
    <m/>
    <m/>
    <m/>
    <m/>
    <m/>
  </r>
  <r>
    <s v="408-3019023-9214758"/>
    <s v="408-3019023-9214758"/>
    <s v="2024-01-31T14:29:25+00:00"/>
    <s v="2024-01-31T21:39:1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ELVE"/>
    <s v="Trento"/>
    <n v="38050"/>
    <s v="IT"/>
    <m/>
    <m/>
    <m/>
    <m/>
    <m/>
    <m/>
    <m/>
  </r>
  <r>
    <s v="402-9174144-5780319"/>
    <s v="402-9174144-5780319"/>
    <s v="2024-01-31T14:24:24+00:00"/>
    <s v="2024-01-31T18:11:4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ERRICCIOLO"/>
    <s v="Massa-Carrara"/>
    <n v="54011"/>
    <s v="IT"/>
    <m/>
    <m/>
    <m/>
    <m/>
    <m/>
    <m/>
    <m/>
  </r>
  <r>
    <s v="406-5644978-9399528"/>
    <s v="406-5644978-9399528"/>
    <s v="2024-01-31T14:22:46+00:00"/>
    <s v="2024-02-04T14:54:45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Mezzane di sotto"/>
    <s v="Verona"/>
    <n v="37030"/>
    <s v="IT"/>
    <m/>
    <m/>
    <m/>
    <m/>
    <m/>
    <m/>
    <m/>
  </r>
  <r>
    <s v="403-4282237-3542735"/>
    <s v="403-4282237-3542735"/>
    <s v="2024-01-31T14:08:29+00:00"/>
    <s v="2024-01-31T21:36:3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63"/>
    <m/>
    <m/>
    <m/>
    <m/>
    <n v="1.63"/>
    <s v="Prato"/>
    <s v="Prato"/>
    <n v="59100"/>
    <s v="IT"/>
    <m/>
    <m/>
    <m/>
    <m/>
    <m/>
    <m/>
    <m/>
  </r>
  <r>
    <s v="407-0636182-4468363"/>
    <m/>
    <s v="2024-01-31T13:53:53+00:00"/>
    <s v="2024-02-02T16:49:22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MARANO DI NAPOLI"/>
    <s v="Napoli"/>
    <n v="80016"/>
    <s v="IT"/>
    <m/>
    <m/>
    <m/>
    <m/>
    <m/>
    <m/>
    <m/>
  </r>
  <r>
    <s v="407-0077423-5576320"/>
    <s v="407-0077423-5576320"/>
    <s v="2024-01-31T13:53:53+00:00"/>
    <s v="2024-02-02T15:39:16+00:00"/>
    <s v="Shipped"/>
    <x v="0"/>
    <x v="3"/>
    <m/>
    <m/>
    <s v="Expedited"/>
    <s v="BEPER C206UTI002 Copriscarpe Monouso Set 100 Sacchetti - Copriscarpe da Casa o Lavoro"/>
    <s v="C206UTI002_FBA"/>
    <x v="18"/>
    <s v="Shipped"/>
    <n v="1"/>
    <s v="EUR"/>
    <n v="16.899999999999999"/>
    <n v="3.05"/>
    <n v="3.99"/>
    <n v="0.72"/>
    <m/>
    <m/>
    <m/>
    <m/>
    <s v="MARANO DI NAPOLI"/>
    <s v="Napoli"/>
    <n v="80016"/>
    <s v="IT"/>
    <m/>
    <m/>
    <m/>
    <m/>
    <m/>
    <m/>
    <m/>
  </r>
  <r>
    <s v="405-1769801-5796342"/>
    <s v="405-1769801-5796342"/>
    <s v="2024-01-31T13:49:39+00:00"/>
    <s v="2024-01-31T21:36:09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Bologna"/>
    <s v="BO"/>
    <n v="40139"/>
    <s v="IT"/>
    <m/>
    <m/>
    <m/>
    <m/>
    <m/>
    <m/>
    <m/>
  </r>
  <r>
    <s v="403-7627236-2685928"/>
    <s v="403-7627236-2685928"/>
    <s v="2024-01-31T13:46:22+00:00"/>
    <s v="2024-02-05T13:53:26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Prato"/>
    <s v="Prato"/>
    <n v="59100"/>
    <s v="IT"/>
    <m/>
    <m/>
    <m/>
    <m/>
    <m/>
    <m/>
    <m/>
  </r>
  <r>
    <s v="408-6220792-3074704"/>
    <s v="408-6220792-3074704"/>
    <s v="2024-01-31T13:41:52+00:00"/>
    <s v="2024-02-01T08:43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loretta di Zeri"/>
    <s v="Massa-Carrara"/>
    <n v="54029"/>
    <s v="IT"/>
    <m/>
    <m/>
    <m/>
    <m/>
    <m/>
    <m/>
    <m/>
  </r>
  <r>
    <s v="402-7850185-4596342"/>
    <s v="402-7850185-4596342"/>
    <s v="2024-01-31T13:36:14+00:00"/>
    <s v="2024-02-01T03:44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Elmas"/>
    <s v="ca"/>
    <n v="9030"/>
    <s v="IT"/>
    <m/>
    <m/>
    <m/>
    <m/>
    <m/>
    <m/>
    <m/>
  </r>
  <r>
    <s v="408-0213569-3218720"/>
    <s v="408-0213569-3218720"/>
    <s v="2024-01-31T13:30:38+00:00"/>
    <s v="2024-01-31T13:31:32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Legnago"/>
    <s v="Verona"/>
    <n v="37045"/>
    <s v="IT"/>
    <m/>
    <m/>
    <m/>
    <m/>
    <m/>
    <m/>
    <m/>
  </r>
  <r>
    <s v="402-5947319-1609114"/>
    <s v="402-5947319-1609114"/>
    <s v="2024-01-31T13:17:17+00:00"/>
    <s v="2024-02-03T00:28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dena"/>
    <s v="Italy"/>
    <n v="41122"/>
    <s v="IT"/>
    <m/>
    <m/>
    <m/>
    <m/>
    <m/>
    <m/>
    <m/>
  </r>
  <r>
    <s v="403-3341307-8487544"/>
    <s v="403-3341307-8487544"/>
    <s v="2024-01-31T13:13:53+00:00"/>
    <s v="2024-01-31T17:24:4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Ortelle"/>
    <s v="Lecce"/>
    <n v="73030"/>
    <s v="IT"/>
    <m/>
    <m/>
    <m/>
    <m/>
    <m/>
    <m/>
    <m/>
  </r>
  <r>
    <s v="407-0331588-2396357"/>
    <s v="407-0331588-2396357"/>
    <s v="2024-01-31T13:07:04+00:00"/>
    <s v="2024-01-31T18:23:0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olterra"/>
    <s v="Pisa"/>
    <n v="56048"/>
    <s v="IT"/>
    <m/>
    <m/>
    <m/>
    <m/>
    <m/>
    <m/>
    <m/>
  </r>
  <r>
    <s v="405-0138698-7426774"/>
    <s v="405-0138698-7426774"/>
    <s v="2024-01-31T12:53:17+00:00"/>
    <s v="2024-01-31T16:35:3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Buttigliera Alta"/>
    <s v="Torino"/>
    <n v="10090"/>
    <s v="IT"/>
    <m/>
    <m/>
    <m/>
    <m/>
    <m/>
    <m/>
    <m/>
  </r>
  <r>
    <s v="402-2478660-0847500"/>
    <s v="402-2478660-0847500"/>
    <s v="2024-01-31T12:48:46+00:00"/>
    <s v="2024-01-31T21:37:44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Ostiglia"/>
    <s v="Mantova"/>
    <n v="46035"/>
    <s v="IT"/>
    <m/>
    <m/>
    <m/>
    <m/>
    <m/>
    <m/>
    <m/>
  </r>
  <r>
    <s v="404-9947047-6128308"/>
    <s v="404-9947047-6128308"/>
    <s v="2024-01-31T12:44:33+00:00"/>
    <s v="2024-01-31T17:20:5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25"/>
    <s v="IT"/>
    <m/>
    <m/>
    <m/>
    <m/>
    <m/>
    <m/>
    <m/>
  </r>
  <r>
    <s v="406-6908357-5433151"/>
    <s v="406-6908357-5433151"/>
    <s v="2024-01-31T12:44:24+00:00"/>
    <s v="2024-01-31T20:09:04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apriglia Irpina"/>
    <s v="avellino"/>
    <n v="83010"/>
    <s v="IT"/>
    <m/>
    <m/>
    <m/>
    <m/>
    <m/>
    <m/>
    <m/>
  </r>
  <r>
    <s v="403-7838605-6731525"/>
    <s v="403-7838605-6731525"/>
    <s v="2024-01-31T12:35:25+00:00"/>
    <s v="2024-02-01T20:06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ttipaglia"/>
    <s v="Salerno"/>
    <n v="84091"/>
    <s v="IT"/>
    <m/>
    <m/>
    <m/>
    <m/>
    <m/>
    <m/>
    <m/>
  </r>
  <r>
    <s v="407-0848319-6351506"/>
    <s v="407-0848319-6351506"/>
    <s v="2024-01-31T12:31:50+00:00"/>
    <s v="2024-01-31T16:33:3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54"/>
    <s v="IT"/>
    <m/>
    <m/>
    <m/>
    <m/>
    <m/>
    <m/>
    <m/>
  </r>
  <r>
    <s v="405-6292179-2543528"/>
    <m/>
    <s v="2024-01-31T12:28:44+00:00"/>
    <s v="2024-02-01T13:33:51+00:00"/>
    <s v="Shipped"/>
    <x v="1"/>
    <x v="3"/>
    <s v="WebsiteOrderChannel"/>
    <m/>
    <s v="Standard"/>
    <s v="BEPER 40.405 Phon da Viaggio con Manico Pieghevole - Phon da Viaggio Piccolo e Leggero 1200W"/>
    <n v="40405"/>
    <x v="1"/>
    <s v="Shipped"/>
    <n v="3"/>
    <s v="EUR"/>
    <n v="44.7"/>
    <n v="8.07"/>
    <n v="9"/>
    <n v="1.62"/>
    <m/>
    <m/>
    <m/>
    <m/>
    <s v="Bologna"/>
    <s v="Bologna"/>
    <n v="40127"/>
    <s v="IT"/>
    <m/>
    <m/>
    <m/>
    <m/>
    <s v="IT03967611207"/>
    <s v="IT"/>
    <s v="VAT"/>
  </r>
  <r>
    <s v="406-5334232-6721118"/>
    <s v="406-5334232-6721118"/>
    <s v="2024-01-31T12:26:57+00:00"/>
    <s v="2024-02-02T20:26:34+00:00"/>
    <s v="Shipped"/>
    <x v="0"/>
    <x v="3"/>
    <m/>
    <m/>
    <s v="Expedited"/>
    <s v="BEPER BT.150Y Macchina per Hot Dog, 5 Livelli di Cottura, 750 Watt, Design Vintage, Rosso"/>
    <s v="BT.150Y_FBA"/>
    <x v="5"/>
    <s v="Shipped"/>
    <n v="1"/>
    <s v="EUR"/>
    <n v="39.9"/>
    <n v="7.2"/>
    <n v="1.95"/>
    <m/>
    <m/>
    <m/>
    <m/>
    <n v="1.95"/>
    <s v="Quinto vicentino"/>
    <s v="Italia/Vicenza"/>
    <n v="36050"/>
    <s v="IT"/>
    <m/>
    <m/>
    <m/>
    <m/>
    <m/>
    <m/>
    <m/>
  </r>
  <r>
    <s v="406-1078467-5250758"/>
    <s v="406-1078467-5250758"/>
    <s v="2024-01-31T12:17:27+00:00"/>
    <s v="2024-01-31T21:01:1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Valle di Casies"/>
    <s v="Bolzano"/>
    <n v="39030"/>
    <s v="IT"/>
    <m/>
    <m/>
    <m/>
    <m/>
    <m/>
    <m/>
    <m/>
  </r>
  <r>
    <s v="406-2351101-2769135"/>
    <s v="406-2351101-2769135"/>
    <s v="2024-01-31T12:13:20+00:00"/>
    <s v="2024-02-01T13:20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ALI' TERME"/>
    <s v="Messina"/>
    <n v="98021"/>
    <s v="IT"/>
    <m/>
    <m/>
    <m/>
    <m/>
    <m/>
    <m/>
    <m/>
  </r>
  <r>
    <s v="408-5151660-1952331"/>
    <s v="408-5151660-1952331"/>
    <s v="2024-01-31T11:57:36+00:00"/>
    <s v="2024-02-01T02:34:4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ROMA"/>
    <s v="LAZIO"/>
    <n v="176"/>
    <s v="IT"/>
    <m/>
    <m/>
    <m/>
    <m/>
    <m/>
    <m/>
    <m/>
  </r>
  <r>
    <s v="407-0189967-0141921"/>
    <s v="407-0189967-0141921"/>
    <s v="2024-01-31T11:53:04+00:00"/>
    <s v="2024-01-31T16:35:5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Dubino"/>
    <s v="Sondrio, Lombardia , Italia"/>
    <n v="23015"/>
    <s v="IT"/>
    <m/>
    <m/>
    <m/>
    <m/>
    <m/>
    <m/>
    <m/>
  </r>
  <r>
    <s v="171-4956131-6707529"/>
    <s v="171-4956131-6707529"/>
    <s v="2024-01-31T11:40:29+00:00"/>
    <s v="2024-02-01T11:16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alermo"/>
    <s v="PA"/>
    <n v="90138"/>
    <s v="IT"/>
    <m/>
    <m/>
    <m/>
    <m/>
    <m/>
    <m/>
    <m/>
  </r>
  <r>
    <s v="404-1331619-2202754"/>
    <s v="404-1331619-2202754"/>
    <s v="2024-01-31T11:38:24+00:00"/>
    <s v="2024-02-02T22:37:4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0.47"/>
    <m/>
    <m/>
    <m/>
    <m/>
    <n v="0.47"/>
    <s v="ROMA"/>
    <s v="ROMA"/>
    <n v="138"/>
    <s v="IT"/>
    <m/>
    <m/>
    <m/>
    <m/>
    <m/>
    <m/>
    <m/>
  </r>
  <r>
    <s v="408-2449391-6481948"/>
    <s v="408-2449391-6481948"/>
    <s v="2024-01-31T11:36:00+00:00"/>
    <s v="2024-01-31T17:25:5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sarano"/>
    <s v="Lecce"/>
    <n v="73042"/>
    <s v="IT"/>
    <m/>
    <m/>
    <m/>
    <m/>
    <m/>
    <m/>
    <m/>
  </r>
  <r>
    <s v="403-0837905-8817141"/>
    <s v="403-0837905-8817141"/>
    <s v="2024-01-31T11:19:18+00:00"/>
    <s v="2024-02-01T01:34:2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ergamo"/>
    <s v="Bergamo"/>
    <n v="24127"/>
    <s v="IT"/>
    <m/>
    <m/>
    <m/>
    <m/>
    <m/>
    <m/>
    <m/>
  </r>
  <r>
    <s v="403-4623255-1512311"/>
    <s v="403-4623255-1512311"/>
    <s v="2024-01-31T11:12:24+00:00"/>
    <s v="2024-01-31T18:03:18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inisello Balsamo"/>
    <s v="Milano"/>
    <n v="20092"/>
    <s v="IT"/>
    <m/>
    <m/>
    <m/>
    <m/>
    <m/>
    <m/>
    <m/>
  </r>
  <r>
    <s v="408-7240568-5778722"/>
    <s v="408-7240568-5778722"/>
    <s v="2024-01-31T11:10:14+00:00"/>
    <s v="2024-01-31T15:49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ale monferrato"/>
    <s v="Alessandria"/>
    <n v="15033"/>
    <s v="IT"/>
    <m/>
    <m/>
    <m/>
    <m/>
    <m/>
    <m/>
    <m/>
  </r>
  <r>
    <s v="407-5993760-2608325"/>
    <m/>
    <s v="2024-01-31T11:07:33+00:00"/>
    <s v="2024-02-02T12:14:21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Castel di Sangro"/>
    <s v="L'Aquila"/>
    <n v="67031"/>
    <s v="IT"/>
    <m/>
    <m/>
    <m/>
    <m/>
    <m/>
    <m/>
    <m/>
  </r>
  <r>
    <s v="402-5393435-6909137"/>
    <s v="402-5393435-6909137"/>
    <s v="2024-01-31T10:56:18+00:00"/>
    <s v="2024-01-31T13:26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erano"/>
    <s v="BOLZANO"/>
    <n v="39012"/>
    <s v="IT"/>
    <m/>
    <m/>
    <m/>
    <m/>
    <m/>
    <m/>
    <m/>
  </r>
  <r>
    <s v="404-8613961-7813940"/>
    <s v="404-8613961-7813940"/>
    <s v="2024-01-31T10:43:21+00:00"/>
    <s v="2024-01-31T21:32:1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ANO"/>
    <s v="PESARO E URBINO"/>
    <n v="61032"/>
    <s v="IT"/>
    <m/>
    <m/>
    <m/>
    <m/>
    <m/>
    <m/>
    <m/>
  </r>
  <r>
    <s v="405-5528553-5584350"/>
    <m/>
    <s v="2024-01-31T10:36:49+00:00"/>
    <s v="2024-02-01T14:42:58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4.9"/>
    <n v="2.69"/>
    <n v="3"/>
    <n v="0.54"/>
    <m/>
    <m/>
    <m/>
    <m/>
    <s v="Pontedera"/>
    <s v="Pisa"/>
    <n v="56025"/>
    <s v="IT"/>
    <m/>
    <m/>
    <m/>
    <m/>
    <m/>
    <m/>
    <m/>
  </r>
  <r>
    <s v="407-5083646-3557963"/>
    <s v="407-5083646-3557963"/>
    <s v="2024-01-31T10:20:46+00:00"/>
    <s v="2024-01-31T18:07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Lugo Di Romagna"/>
    <s v="RA"/>
    <n v="48022"/>
    <s v="IT"/>
    <m/>
    <m/>
    <m/>
    <m/>
    <m/>
    <m/>
    <m/>
  </r>
  <r>
    <s v="407-3507543-7122702"/>
    <s v="407-3507543-7122702"/>
    <s v="2024-01-31T10:12:07+00:00"/>
    <s v="2024-02-02T12:19:12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Assemini"/>
    <s v="CA"/>
    <n v="9032"/>
    <s v="IT"/>
    <m/>
    <m/>
    <m/>
    <m/>
    <m/>
    <m/>
    <m/>
  </r>
  <r>
    <s v="406-7038595-9553165"/>
    <s v="406-7038595-9553165"/>
    <s v="2024-01-31T10:03:07+00:00"/>
    <s v="2024-02-01T02:05:36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4.99"/>
    <n v="0.9"/>
    <m/>
    <m/>
    <m/>
    <m/>
    <s v="ZELO BUON PERSICO"/>
    <s v="Lodi"/>
    <n v="26839"/>
    <s v="IT"/>
    <m/>
    <m/>
    <m/>
    <m/>
    <m/>
    <m/>
    <m/>
  </r>
  <r>
    <s v="403-7089035-8056309"/>
    <s v="403-7089035-8056309"/>
    <s v="2024-01-31T09:59:54+00:00"/>
    <s v="2024-01-31T21:38:51+00:00"/>
    <s v="Shipped"/>
    <x v="0"/>
    <x v="3"/>
    <m/>
    <m/>
    <s v="Expedited"/>
    <s v="BEPER C206UTI002 Copriscarpe Monouso Set 100 Sacchetti - Copriscarpe da Casa o Lavoro"/>
    <s v="C206UTI002_FBA"/>
    <x v="18"/>
    <s v="Shipped"/>
    <n v="7"/>
    <s v="EUR"/>
    <n v="118.3"/>
    <n v="21.35"/>
    <m/>
    <m/>
    <m/>
    <m/>
    <m/>
    <m/>
    <s v="roma"/>
    <s v="RM"/>
    <n v="156"/>
    <s v="IT"/>
    <m/>
    <m/>
    <m/>
    <m/>
    <m/>
    <m/>
    <m/>
  </r>
  <r>
    <s v="407-8742952-2316348"/>
    <s v="407-8742952-2316348"/>
    <s v="2024-01-31T09:46:06+00:00"/>
    <s v="2024-01-31T16:37:1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36"/>
    <s v="IT"/>
    <m/>
    <m/>
    <m/>
    <m/>
    <m/>
    <m/>
    <m/>
  </r>
  <r>
    <s v="407-1927895-6176329"/>
    <s v="407-1927895-6176329"/>
    <s v="2024-01-31T09:22:00+00:00"/>
    <s v="2024-02-01T17:05:4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44"/>
    <s v="IT"/>
    <m/>
    <m/>
    <m/>
    <m/>
    <m/>
    <m/>
    <m/>
  </r>
  <r>
    <s v="406-3930227-5366733"/>
    <s v="406-3930227-5366733"/>
    <s v="2024-01-31T09:12:49+00:00"/>
    <s v="2024-01-31T12:16:52+00:00"/>
    <s v="Shipped"/>
    <x v="0"/>
    <x v="3"/>
    <m/>
    <m/>
    <s v="Standar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m/>
    <n v="7.85"/>
    <m/>
    <m/>
    <m/>
    <m/>
    <m/>
    <s v="Málaga"/>
    <s v="Andalusia"/>
    <n v="29012"/>
    <s v="ES"/>
    <m/>
    <m/>
    <m/>
    <m/>
    <m/>
    <m/>
    <m/>
  </r>
  <r>
    <s v="403-3108266-7575546"/>
    <s v="403-3108266-7575546"/>
    <s v="2024-01-31T09:10:05+00:00"/>
    <s v="2024-01-31T20:29:44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PERUGIA"/>
    <m/>
    <n v="6127"/>
    <s v="IT"/>
    <m/>
    <m/>
    <m/>
    <m/>
    <m/>
    <m/>
    <m/>
  </r>
  <r>
    <s v="403-0510457-5659542"/>
    <s v="403-0510457-5659542"/>
    <s v="2024-01-31T09:04:40+00:00"/>
    <s v="2024-01-31T20:08:21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NAPOLI"/>
    <s v="Napoli"/>
    <n v="80126"/>
    <s v="IT"/>
    <m/>
    <m/>
    <m/>
    <m/>
    <m/>
    <m/>
    <m/>
  </r>
  <r>
    <s v="406-4228405-2765112"/>
    <s v="406-4228405-2765112"/>
    <s v="2024-01-31T09:04:12+00:00"/>
    <s v="2024-01-31T23:13:03+00:00"/>
    <s v="Shipped"/>
    <x v="0"/>
    <x v="3"/>
    <m/>
    <m/>
    <s v="Expedited"/>
    <s v="Beper Friggitrice elettrica P101FRI100 1 L, 950 W, cestello in acciaio rimovibile, coperchio con oblò, filtro rimovibile lavabile, temperatura regola"/>
    <s v="P101FRI100_FBA"/>
    <x v="20"/>
    <s v="Shipped"/>
    <n v="1"/>
    <s v="EUR"/>
    <n v="32.9"/>
    <n v="5.93"/>
    <m/>
    <m/>
    <m/>
    <m/>
    <m/>
    <m/>
    <s v="Bologna"/>
    <s v="BO"/>
    <n v="40138"/>
    <s v="IT"/>
    <m/>
    <m/>
    <m/>
    <m/>
    <m/>
    <m/>
    <m/>
  </r>
  <r>
    <s v="405-8946935-4266733"/>
    <s v="405-8946935-4266733"/>
    <s v="2024-01-31T08:53:48+00:00"/>
    <s v="2024-02-01T17:09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ugnano di Napoli"/>
    <s v="NA"/>
    <n v="80018"/>
    <s v="IT"/>
    <m/>
    <m/>
    <m/>
    <m/>
    <m/>
    <m/>
    <m/>
  </r>
  <r>
    <s v="407-5818145-6400316"/>
    <s v="407-5818145-6400316"/>
    <s v="2024-01-31T08:41:47+00:00"/>
    <s v="2024-01-31T21:38:3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erona"/>
    <s v="VR"/>
    <n v="37138"/>
    <s v="IT"/>
    <m/>
    <m/>
    <m/>
    <m/>
    <m/>
    <m/>
    <m/>
  </r>
  <r>
    <s v="407-6133753-2337107"/>
    <s v="407-6133753-2337107"/>
    <s v="2024-01-31T08:39:38+00:00"/>
    <s v="2024-01-31T12:07:0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ianella"/>
    <s v="Province of Pescara"/>
    <n v="65019"/>
    <s v="IT"/>
    <m/>
    <m/>
    <m/>
    <m/>
    <m/>
    <m/>
    <m/>
  </r>
  <r>
    <s v="407-2338952-0774725"/>
    <s v="407-2338952-0774725"/>
    <s v="2024-01-31T08:35:42+00:00"/>
    <s v="2024-01-31T08:36:37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Pianella"/>
    <s v="Province of Pescara"/>
    <n v="65019"/>
    <s v="IT"/>
    <m/>
    <m/>
    <m/>
    <m/>
    <m/>
    <m/>
    <m/>
  </r>
  <r>
    <s v="408-8780908-4865168"/>
    <s v="408-8780908-4865168"/>
    <s v="2024-01-31T08:30:21+00:00"/>
    <s v="2024-01-31T13:24:5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erona"/>
    <s v="Verona"/>
    <n v="37121"/>
    <s v="IT"/>
    <m/>
    <m/>
    <m/>
    <m/>
    <m/>
    <m/>
    <m/>
  </r>
  <r>
    <s v="406-3166474-8102768"/>
    <s v="406-3166474-8102768"/>
    <s v="2024-01-31T08:22:57+00:00"/>
    <s v="2024-01-31T15:46:1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Sanremo"/>
    <s v="IM"/>
    <n v="18038"/>
    <s v="IT"/>
    <m/>
    <m/>
    <m/>
    <m/>
    <m/>
    <m/>
    <m/>
  </r>
  <r>
    <s v="404-9657420-3217107"/>
    <s v="404-9657420-3217107"/>
    <s v="2024-01-31T08:09:46+00:00"/>
    <s v="2024-01-31T12:39:39+00:00"/>
    <s v="Shipped"/>
    <x v="0"/>
    <x v="3"/>
    <m/>
    <m/>
    <s v="Expedited"/>
    <s v="BEPER C206UTI002 Copriscarpe Monouso Set 100 Sacchetti - Copriscarpe da Casa o Lavoro"/>
    <s v="C206UTI002_FBA"/>
    <x v="18"/>
    <s v="Shipped"/>
    <n v="1"/>
    <s v="EUR"/>
    <n v="16.899999999999999"/>
    <n v="3.05"/>
    <m/>
    <m/>
    <m/>
    <m/>
    <m/>
    <m/>
    <s v="SAN GIOVANNI ROTONDO"/>
    <s v="Foggia"/>
    <n v="71013"/>
    <s v="IT"/>
    <m/>
    <m/>
    <m/>
    <m/>
    <m/>
    <m/>
    <m/>
  </r>
  <r>
    <s v="407-5723114-5396340"/>
    <s v="407-5723114-5396340"/>
    <s v="2024-01-31T07:46:23+00:00"/>
    <s v="2024-01-31T15:59:0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TO"/>
    <n v="10135"/>
    <s v="IT"/>
    <m/>
    <m/>
    <m/>
    <m/>
    <s v="RMNFNC01S68L219O"/>
    <s v="IT"/>
    <s v="CitizenId"/>
  </r>
  <r>
    <s v="406-4803634-0802721"/>
    <s v="406-4803634-0802721"/>
    <s v="2024-01-31T07:44:09+00:00"/>
    <s v="2024-01-31T14:32:28+00:00"/>
    <s v="Cancelled"/>
    <x v="0"/>
    <x v="3"/>
    <m/>
    <m/>
    <s v="Expedited"/>
    <s v="BEPER 40.405 Phon da Viaggio con Manico Pieghevole - Phon da Viaggio Piccolo e Leggero 1200W"/>
    <s v="40.405_FBA"/>
    <x v="1"/>
    <s v="Cancelled"/>
    <n v="0"/>
    <m/>
    <m/>
    <m/>
    <m/>
    <m/>
    <m/>
    <m/>
    <m/>
    <m/>
    <s v="Perugia"/>
    <s v="PG"/>
    <n v="6125"/>
    <s v="IT"/>
    <m/>
    <m/>
    <m/>
    <m/>
    <m/>
    <m/>
    <m/>
  </r>
  <r>
    <s v="403-5482020-9641915"/>
    <s v="403-5482020-9641915"/>
    <s v="2024-01-31T07:31:29+00:00"/>
    <s v="2024-01-31T15:48:0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arzigliana"/>
    <s v="TO"/>
    <n v="10060"/>
    <s v="IT"/>
    <m/>
    <m/>
    <m/>
    <m/>
    <m/>
    <m/>
    <m/>
  </r>
  <r>
    <s v="171-9177828-3402725"/>
    <s v="171-9177828-3402725"/>
    <s v="2024-01-31T06:47:40+00:00"/>
    <s v="2024-01-31T17:26:10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CONVERSANO"/>
    <s v="BA"/>
    <n v="70014"/>
    <s v="IT"/>
    <m/>
    <m/>
    <m/>
    <m/>
    <m/>
    <m/>
    <m/>
  </r>
  <r>
    <s v="408-5588456-1649913"/>
    <s v="408-5588456-1649913"/>
    <s v="2024-01-31T03:51:29+00:00"/>
    <s v="2024-01-31T21:28:19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Montelibretti"/>
    <s v="RM"/>
    <n v="10"/>
    <s v="IT"/>
    <m/>
    <m/>
    <m/>
    <m/>
    <m/>
    <m/>
    <m/>
  </r>
  <r>
    <s v="408-8354053-4587520"/>
    <s v="408-8354053-4587520"/>
    <s v="2024-01-30T23:11:03+00:00"/>
    <s v="2024-02-04T23:14:15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Crotone"/>
    <s v="Crotone"/>
    <n v="88900"/>
    <s v="IT"/>
    <m/>
    <m/>
    <m/>
    <m/>
    <m/>
    <m/>
    <m/>
  </r>
  <r>
    <s v="403-7499859-6237138"/>
    <s v="403-7499859-6237138"/>
    <s v="2024-01-30T23:01:31+00:00"/>
    <s v="2024-01-31T20:48:3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cqualagna"/>
    <s v="PU"/>
    <n v="61041"/>
    <s v="IT"/>
    <m/>
    <m/>
    <m/>
    <m/>
    <m/>
    <m/>
    <m/>
  </r>
  <r>
    <s v="171-3323237-7550744"/>
    <s v="171-3323237-7550744"/>
    <s v="2024-01-30T22:58:30+00:00"/>
    <s v="2024-01-31T02:30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Napoli"/>
    <s v="Napoli"/>
    <n v="80128"/>
    <s v="IT"/>
    <m/>
    <m/>
    <m/>
    <m/>
    <m/>
    <m/>
    <m/>
  </r>
  <r>
    <s v="403-4495700-4054730"/>
    <s v="403-4495700-4054730"/>
    <s v="2024-01-30T22:57:34+00:00"/>
    <s v="2024-01-31T02:34:4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umenengo"/>
    <s v="Bergamo"/>
    <n v="24050"/>
    <s v="IT"/>
    <m/>
    <m/>
    <m/>
    <m/>
    <m/>
    <m/>
    <m/>
  </r>
  <r>
    <s v="403-3680307-6567508"/>
    <s v="403-3680307-6567508"/>
    <s v="2024-01-30T22:49:14+00:00"/>
    <s v="2024-01-31T02:02:2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6"/>
    <n v="0.3"/>
    <m/>
    <m/>
    <m/>
    <m/>
    <s v="Trieste"/>
    <s v="Ts"/>
    <n v="34011"/>
    <s v="IT"/>
    <m/>
    <m/>
    <m/>
    <m/>
    <m/>
    <m/>
    <m/>
  </r>
  <r>
    <s v="171-7517520-6274700"/>
    <s v="171-7517520-6274700"/>
    <s v="2024-01-30T22:44:59+00:00"/>
    <s v="2024-01-31T02:29:1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risighella"/>
    <s v="Ravenna"/>
    <n v="48013"/>
    <s v="IT"/>
    <m/>
    <m/>
    <m/>
    <m/>
    <m/>
    <m/>
    <m/>
  </r>
  <r>
    <s v="402-1002889-7101133"/>
    <s v="402-1002889-7101133"/>
    <s v="2024-01-30T22:07:33+00:00"/>
    <s v="2024-02-02T11:02:0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ORICO"/>
    <s v="CO"/>
    <n v="22010"/>
    <s v="IT"/>
    <m/>
    <m/>
    <m/>
    <m/>
    <m/>
    <m/>
    <m/>
  </r>
  <r>
    <s v="406-5408367-1569106"/>
    <s v="406-5408367-1569106"/>
    <s v="2024-01-30T22:03:11+00:00"/>
    <s v="2024-01-30T22:36:02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MONTEFORTINO"/>
    <s v="FM"/>
    <n v="63858"/>
    <s v="IT"/>
    <m/>
    <m/>
    <m/>
    <m/>
    <m/>
    <m/>
    <m/>
  </r>
  <r>
    <s v="402-3651289-2788369"/>
    <s v="402-3651289-2788369"/>
    <s v="2024-01-30T21:57:57+00:00"/>
    <s v="2024-01-31T02:29:5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Giugliano in Campania"/>
    <s v="Napoli"/>
    <n v="80014"/>
    <s v="IT"/>
    <m/>
    <m/>
    <m/>
    <m/>
    <m/>
    <m/>
    <m/>
  </r>
  <r>
    <s v="406-9848348-4300355"/>
    <s v="406-9848348-4300355"/>
    <s v="2024-01-30T21:54:41+00:00"/>
    <s v="2024-01-30T21:56:31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MONTEFORTINO"/>
    <s v="FM"/>
    <n v="63858"/>
    <s v="IT"/>
    <m/>
    <m/>
    <m/>
    <m/>
    <m/>
    <m/>
    <m/>
  </r>
  <r>
    <s v="402-2653917-4793929"/>
    <s v="402-2653917-4793929"/>
    <s v="2024-01-30T21:53:55+00:00"/>
    <s v="2024-01-31T12:49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erchiara di Calabria"/>
    <s v="Cosenza"/>
    <n v="87070"/>
    <s v="IT"/>
    <m/>
    <m/>
    <m/>
    <m/>
    <m/>
    <m/>
    <m/>
  </r>
  <r>
    <s v="408-0439770-0069164"/>
    <s v="408-0439770-0069164"/>
    <s v="2024-01-30T21:47:29+00:00"/>
    <s v="2024-01-31T18:14:5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agonegro"/>
    <s v="Potenza"/>
    <n v="85042"/>
    <s v="IT"/>
    <m/>
    <m/>
    <m/>
    <m/>
    <m/>
    <m/>
    <m/>
  </r>
  <r>
    <s v="405-8514559-7761162"/>
    <s v="405-8514559-7761162"/>
    <s v="2024-01-30T21:42:54+00:00"/>
    <s v="2024-01-31T09:25:1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Ospedaletto euganeo"/>
    <s v="Padova"/>
    <n v="35045"/>
    <s v="IT"/>
    <m/>
    <m/>
    <m/>
    <m/>
    <m/>
    <m/>
    <m/>
  </r>
  <r>
    <s v="406-6611538-3317904"/>
    <s v="406-6611538-3317904"/>
    <s v="2024-01-30T21:26:53+00:00"/>
    <s v="2024-01-31T18:27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Tarquinia"/>
    <s v="Viterbo"/>
    <n v="1016"/>
    <s v="IT"/>
    <m/>
    <m/>
    <m/>
    <m/>
    <m/>
    <m/>
    <m/>
  </r>
  <r>
    <s v="407-8241787-8630726"/>
    <s v="407-8241787-8630726"/>
    <s v="2024-01-30T21:14:40+00:00"/>
    <s v="2024-01-31T18:05:2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"/>
    <n v="20133"/>
    <s v="IT"/>
    <m/>
    <m/>
    <m/>
    <m/>
    <m/>
    <m/>
    <m/>
  </r>
  <r>
    <s v="403-6300830-0647555"/>
    <s v="403-6300830-0647555"/>
    <s v="2024-01-30T20:33:57+00:00"/>
    <s v="2024-01-31T15:49:52+00:00"/>
    <s v="Shipped"/>
    <x v="0"/>
    <x v="3"/>
    <m/>
    <m/>
    <s v="Expedited"/>
    <s v="BEPER C206UTI002 Copriscarpe Monouso Set 100 Sacchetti - Copriscarpe da Casa o Lavoro"/>
    <s v="C206UTI002_FBA"/>
    <x v="18"/>
    <s v="Shipped"/>
    <n v="2"/>
    <s v="EUR"/>
    <n v="33.799999999999997"/>
    <n v="6.1"/>
    <m/>
    <m/>
    <m/>
    <m/>
    <m/>
    <m/>
    <s v="Napoli"/>
    <s v="NA"/>
    <n v="80144"/>
    <s v="IT"/>
    <m/>
    <m/>
    <m/>
    <m/>
    <m/>
    <m/>
    <m/>
  </r>
  <r>
    <s v="404-9252686-7439549"/>
    <s v="404-9252686-7439549"/>
    <s v="2024-01-30T20:28:24+00:00"/>
    <s v="2024-01-30T22:59:1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55"/>
    <s v="IT"/>
    <m/>
    <m/>
    <m/>
    <m/>
    <m/>
    <m/>
    <m/>
  </r>
  <r>
    <s v="403-9329261-5997155"/>
    <s v="403-9329261-5997155"/>
    <s v="2024-01-30T20:22:24+00:00"/>
    <s v="2024-01-31T08:45:4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67"/>
    <n v="0.3"/>
    <m/>
    <m/>
    <m/>
    <m/>
    <s v="Santo Stefano al Mare  ( IM )"/>
    <s v="Italia"/>
    <n v="18010"/>
    <s v="IT"/>
    <m/>
    <m/>
    <m/>
    <m/>
    <m/>
    <m/>
    <m/>
  </r>
  <r>
    <s v="171-2953792-9358746"/>
    <s v="171-2953792-9358746"/>
    <s v="2024-01-30T20:11:54+00:00"/>
    <s v="2024-01-31T16:35:0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Ischitella"/>
    <s v="Foggia"/>
    <n v="71010"/>
    <s v="IT"/>
    <m/>
    <m/>
    <m/>
    <m/>
    <m/>
    <m/>
    <m/>
  </r>
  <r>
    <s v="403-9418509-3513958"/>
    <s v="403-9418509-3513958"/>
    <s v="2024-01-30T20:11:01+00:00"/>
    <s v="2024-02-04T21:59:28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Bojano"/>
    <s v="CB"/>
    <n v="86021"/>
    <s v="IT"/>
    <m/>
    <m/>
    <m/>
    <m/>
    <m/>
    <m/>
    <m/>
  </r>
  <r>
    <s v="408-5342556-3228309"/>
    <s v="408-5342556-3228309"/>
    <s v="2024-01-30T20:09:58+00:00"/>
    <s v="2024-01-31T02:30:4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Napoli"/>
    <s v="Napoli"/>
    <n v="80136"/>
    <s v="IT"/>
    <m/>
    <m/>
    <m/>
    <m/>
    <m/>
    <m/>
    <m/>
  </r>
  <r>
    <s v="171-5127084-0605928"/>
    <s v="171-5127084-0605928"/>
    <s v="2024-01-30T20:02:05+00:00"/>
    <s v="2024-01-31T02:39:2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esena"/>
    <s v="Province of Forlì-Cesena"/>
    <n v="47522"/>
    <s v="IT"/>
    <m/>
    <m/>
    <m/>
    <m/>
    <m/>
    <m/>
    <m/>
  </r>
  <r>
    <s v="171-2626979-8944348"/>
    <s v="171-2626979-8944348"/>
    <s v="2024-01-30T20:01:22+00:00"/>
    <s v="2024-01-30T22:59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39"/>
    <s v="IT"/>
    <m/>
    <m/>
    <m/>
    <m/>
    <m/>
    <m/>
    <m/>
  </r>
  <r>
    <s v="404-3302882-3933902"/>
    <s v="404-3302882-3933902"/>
    <s v="2024-01-30T19:56:14+00:00"/>
    <s v="2024-01-31T02:30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illaricca"/>
    <s v="NA"/>
    <n v="80010"/>
    <s v="IT"/>
    <m/>
    <m/>
    <m/>
    <m/>
    <m/>
    <m/>
    <m/>
  </r>
  <r>
    <s v="171-1320087-2971508"/>
    <s v="171-1320087-2971508"/>
    <s v="2024-01-30T19:54:08+00:00"/>
    <s v="2024-01-31T00:22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NTASSIEVE"/>
    <s v="FIRENZE"/>
    <n v="50065"/>
    <s v="IT"/>
    <m/>
    <m/>
    <m/>
    <m/>
    <m/>
    <m/>
    <m/>
  </r>
  <r>
    <s v="402-8454869-3286700"/>
    <s v="402-8454869-3286700"/>
    <s v="2024-01-30T19:51:11+00:00"/>
    <s v="2024-01-31T01:32:59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Aprilia"/>
    <s v="LT"/>
    <n v="4011"/>
    <s v="IT"/>
    <m/>
    <m/>
    <m/>
    <m/>
    <m/>
    <m/>
    <m/>
  </r>
  <r>
    <s v="171-1801601-0191503"/>
    <s v="171-1801601-0191503"/>
    <s v="2024-01-30T19:47:38+00:00"/>
    <s v="2024-01-31T00:22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NTASSIEVE"/>
    <s v="FIRENZE"/>
    <n v="50065"/>
    <s v="IT"/>
    <m/>
    <m/>
    <m/>
    <m/>
    <m/>
    <m/>
    <m/>
  </r>
  <r>
    <s v="407-0217660-6581163"/>
    <s v="407-0217660-6581163"/>
    <s v="2024-01-30T19:47:37+00:00"/>
    <s v="2024-01-31T02:31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MUGNANO DI NAPOLI"/>
    <s v="Napoli"/>
    <n v="80018"/>
    <s v="IT"/>
    <m/>
    <m/>
    <m/>
    <m/>
    <m/>
    <m/>
    <m/>
  </r>
  <r>
    <s v="408-9297047-2916337"/>
    <s v="408-9297047-2916337"/>
    <s v="2024-01-30T19:41:04+00:00"/>
    <s v="2024-01-31T09:13:24+00:00"/>
    <s v="Shipped"/>
    <x v="0"/>
    <x v="3"/>
    <m/>
    <m/>
    <s v="Expedited"/>
    <s v="BEPER C206UTI002 Copriscarpe Monouso Set 100 Sacchetti - Copriscarpe da Casa o Lavoro"/>
    <s v="C206UTI002_FBA"/>
    <x v="18"/>
    <s v="Shipped"/>
    <n v="2"/>
    <s v="EUR"/>
    <n v="33.799999999999997"/>
    <n v="6.1"/>
    <m/>
    <m/>
    <m/>
    <m/>
    <m/>
    <m/>
    <s v="Bitritto"/>
    <s v="Bari"/>
    <n v="70020"/>
    <s v="IT"/>
    <m/>
    <m/>
    <m/>
    <m/>
    <m/>
    <m/>
    <m/>
  </r>
  <r>
    <s v="404-4717658-4352310"/>
    <s v="404-4717658-4352310"/>
    <s v="2024-01-30T19:32:23+00:00"/>
    <s v="2024-01-30T19:45:58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genova"/>
    <s v="Genova"/>
    <n v="16166"/>
    <s v="IT"/>
    <m/>
    <m/>
    <m/>
    <m/>
    <m/>
    <m/>
    <m/>
  </r>
  <r>
    <s v="403-3046810-6767516"/>
    <s v="403-3046810-6767516"/>
    <s v="2024-01-30T19:25:58+00:00"/>
    <s v="2024-01-31T02:31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Roma"/>
    <s v="Roma"/>
    <n v="185"/>
    <s v="IT"/>
    <m/>
    <m/>
    <m/>
    <m/>
    <m/>
    <m/>
    <m/>
  </r>
  <r>
    <s v="408-1390838-0793906"/>
    <s v="408-1390838-0793906"/>
    <s v="2024-01-30T19:24:27+00:00"/>
    <s v="2024-01-31T16:21:59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milano"/>
    <s v="Milano"/>
    <n v="20148"/>
    <s v="IT"/>
    <m/>
    <m/>
    <m/>
    <m/>
    <m/>
    <m/>
    <m/>
  </r>
  <r>
    <s v="171-9815660-6958749"/>
    <s v="171-9815660-6958749"/>
    <s v="2024-01-30T19:09:30+00:00"/>
    <s v="2024-01-31T01:34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rato"/>
    <s v="Prato"/>
    <n v="59100"/>
    <s v="IT"/>
    <m/>
    <m/>
    <m/>
    <m/>
    <m/>
    <m/>
    <m/>
  </r>
  <r>
    <s v="408-8048111-5036350"/>
    <s v="408-8048111-5036350"/>
    <s v="2024-01-30T19:07:40+00:00"/>
    <s v="2024-01-31T18:15:2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Freienfeld"/>
    <s v="Bozen"/>
    <n v="39040"/>
    <s v="IT"/>
    <m/>
    <m/>
    <m/>
    <m/>
    <m/>
    <m/>
    <m/>
  </r>
  <r>
    <s v="404-7285098-4305116"/>
    <s v="404-7285098-4305116"/>
    <s v="2024-01-30T19:07:21+00:00"/>
    <s v="2024-01-31T01:20:1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ARESE"/>
    <s v="VA"/>
    <n v="21100"/>
    <s v="IT"/>
    <m/>
    <m/>
    <m/>
    <m/>
    <m/>
    <m/>
    <m/>
  </r>
  <r>
    <s v="403-0175636-0329166"/>
    <s v="403-0175636-0329166"/>
    <s v="2024-01-30T19:03:03+00:00"/>
    <s v="2024-01-30T23:49:1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istoia"/>
    <s v="PT"/>
    <n v="51100"/>
    <s v="IT"/>
    <m/>
    <m/>
    <m/>
    <m/>
    <m/>
    <m/>
    <m/>
  </r>
  <r>
    <s v="405-2315093-7951547"/>
    <s v="405-2315093-7951547"/>
    <s v="2024-01-30T18:49:58+00:00"/>
    <s v="2024-01-30T20:40:0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volenta"/>
    <s v="Padova"/>
    <n v="35024"/>
    <s v="IT"/>
    <m/>
    <m/>
    <m/>
    <m/>
    <m/>
    <m/>
    <m/>
  </r>
  <r>
    <s v="407-7012605-6959505"/>
    <s v="407-7012605-6959505"/>
    <s v="2024-01-30T18:46:02+00:00"/>
    <s v="2024-02-01T12:51:5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ttoria"/>
    <s v="Ragusa"/>
    <n v="97019"/>
    <s v="IT"/>
    <m/>
    <m/>
    <m/>
    <m/>
    <m/>
    <m/>
    <m/>
  </r>
  <r>
    <s v="171-2739289-6049114"/>
    <s v="171-2739289-6049114"/>
    <s v="2024-01-30T18:39:30+00:00"/>
    <s v="2024-01-31T13:25:3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zzo"/>
    <s v="Messina"/>
    <n v="98057"/>
    <s v="IT"/>
    <m/>
    <m/>
    <m/>
    <m/>
    <m/>
    <m/>
    <m/>
  </r>
  <r>
    <s v="406-5438242-0184332"/>
    <s v="406-5438242-0184332"/>
    <s v="2024-01-30T18:34:22+00:00"/>
    <s v="2024-01-30T23:25:2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ecina"/>
    <s v="Livorno"/>
    <n v="57023"/>
    <s v="IT"/>
    <m/>
    <m/>
    <m/>
    <m/>
    <m/>
    <m/>
    <m/>
  </r>
  <r>
    <s v="407-8588375-4617149"/>
    <s v="407-8588375-4617149"/>
    <s v="2024-01-30T18:23:31+00:00"/>
    <s v="2024-01-31T16:36:1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BAGNOLO SAN VITO"/>
    <s v="Mantova"/>
    <n v="46031"/>
    <s v="IT"/>
    <m/>
    <m/>
    <m/>
    <m/>
    <m/>
    <m/>
    <m/>
  </r>
  <r>
    <s v="171-0073596-7538708"/>
    <m/>
    <s v="2024-01-30T18:20:04+00:00"/>
    <s v="2024-01-31T16:54:13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Roma"/>
    <s v="Roma"/>
    <n v="141"/>
    <s v="IT"/>
    <m/>
    <m/>
    <m/>
    <m/>
    <m/>
    <m/>
    <m/>
  </r>
  <r>
    <s v="407-1746209-8355538"/>
    <s v="407-1746209-8355538"/>
    <s v="2024-01-30T18:18:52+00:00"/>
    <s v="2024-01-30T21:17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i"/>
    <s v="Bari"/>
    <n v="70124"/>
    <s v="IT"/>
    <m/>
    <m/>
    <m/>
    <m/>
    <m/>
    <m/>
    <m/>
  </r>
  <r>
    <s v="403-6785080-6704365"/>
    <s v="403-6785080-6704365"/>
    <s v="2024-01-30T18:08:34+00:00"/>
    <s v="2024-02-01T08:21:1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27"/>
    <m/>
    <m/>
    <m/>
    <m/>
    <n v="3.27"/>
    <s v="RUTIGLIANO"/>
    <s v="Bari"/>
    <n v="70018"/>
    <s v="IT"/>
    <s v="PAWS-V2-24410021917-91-  DPWS"/>
    <m/>
    <m/>
    <m/>
    <m/>
    <m/>
    <m/>
  </r>
  <r>
    <s v="406-9990317-1381927"/>
    <s v="406-9990317-1381927"/>
    <s v="2024-01-30T18:01:57+00:00"/>
    <s v="2024-01-31T21:43:0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Cesena"/>
    <s v="FC"/>
    <n v="47521"/>
    <s v="IT"/>
    <m/>
    <m/>
    <m/>
    <m/>
    <m/>
    <m/>
    <m/>
  </r>
  <r>
    <s v="405-2284211-2741964"/>
    <s v="405-2284211-2741964"/>
    <s v="2024-01-30T18:01:36+00:00"/>
    <s v="2024-01-31T09:25:39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n v="3.27"/>
    <m/>
    <m/>
    <m/>
    <m/>
    <n v="3.27"/>
    <s v="Casier"/>
    <s v="Treviso"/>
    <n v="31030"/>
    <s v="IT"/>
    <m/>
    <m/>
    <m/>
    <m/>
    <m/>
    <m/>
    <m/>
  </r>
  <r>
    <s v="405-7983017-0747500"/>
    <s v="405-7983017-0747500"/>
    <s v="2024-01-30T18:01:27+00:00"/>
    <s v="2024-01-31T04:21:01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Montesolaro"/>
    <s v="CO"/>
    <n v="22060"/>
    <s v="IT"/>
    <m/>
    <m/>
    <m/>
    <m/>
    <m/>
    <m/>
    <m/>
  </r>
  <r>
    <s v="407-0280401-2232375"/>
    <s v="407-0280401-2232375"/>
    <s v="2024-01-30T18:00:53+00:00"/>
    <s v="2024-01-30T20:22:3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n v="4.99"/>
    <n v="0.9"/>
    <m/>
    <m/>
    <m/>
    <m/>
    <s v="Lentate sul Seveso"/>
    <s v="Monza e Brianza"/>
    <n v="20823"/>
    <s v="IT"/>
    <m/>
    <m/>
    <m/>
    <m/>
    <m/>
    <m/>
    <m/>
  </r>
  <r>
    <s v="408-5690559-1193923"/>
    <s v="408-5690559-1193923"/>
    <s v="2024-01-30T17:41:28+00:00"/>
    <s v="2024-01-31T05:54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oci"/>
    <s v="Bari"/>
    <n v="70015"/>
    <s v="IT"/>
    <m/>
    <m/>
    <m/>
    <m/>
    <m/>
    <m/>
    <m/>
  </r>
  <r>
    <s v="408-9087299-3540359"/>
    <s v="408-9087299-3540359"/>
    <s v="2024-01-30T17:40:33+00:00"/>
    <s v="2024-01-31T12:08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irano"/>
    <s v="pavia"/>
    <n v="27030"/>
    <s v="IT"/>
    <m/>
    <m/>
    <m/>
    <m/>
    <m/>
    <m/>
    <m/>
  </r>
  <r>
    <s v="171-5078681-2345939"/>
    <s v="171-5078681-2345939"/>
    <s v="2024-01-30T17:38:15+00:00"/>
    <s v="2024-01-31T15:50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OMBARDORE"/>
    <s v="Torino"/>
    <n v="10040"/>
    <s v="IT"/>
    <m/>
    <m/>
    <m/>
    <m/>
    <m/>
    <m/>
    <m/>
  </r>
  <r>
    <s v="408-1012895-9082714"/>
    <s v="408-1012895-9082714"/>
    <s v="2024-01-30T17:36:33+00:00"/>
    <s v="2024-01-30T21:01:05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4-5292638-6878758"/>
    <s v="404-5292638-6878758"/>
    <s v="2024-01-30T17:34:10+00:00"/>
    <s v="2024-01-30T20:54:1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remo"/>
    <s v="Imperia"/>
    <n v="18038"/>
    <s v="IT"/>
    <m/>
    <m/>
    <m/>
    <m/>
    <m/>
    <m/>
    <m/>
  </r>
  <r>
    <s v="403-5343638-5504356"/>
    <s v="403-5343638-5504356"/>
    <s v="2024-01-30T17:31:20+00:00"/>
    <s v="2024-01-30T21:01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33"/>
    <s v="IT"/>
    <m/>
    <m/>
    <m/>
    <m/>
    <m/>
    <m/>
    <m/>
  </r>
  <r>
    <s v="406-3359637-4830720"/>
    <s v="406-3359637-4830720"/>
    <s v="2024-01-30T17:08:15+00:00"/>
    <s v="2024-01-31T09:17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errara"/>
    <s v="FE"/>
    <n v="44122"/>
    <s v="IT"/>
    <m/>
    <m/>
    <m/>
    <m/>
    <m/>
    <m/>
    <m/>
  </r>
  <r>
    <s v="405-7484802-7932323"/>
    <s v="405-7484802-7932323"/>
    <s v="2024-01-30T16:58:43+00:00"/>
    <s v="2024-01-31T02:29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atina scalo"/>
    <s v="LT"/>
    <n v="4100"/>
    <s v="IT"/>
    <m/>
    <m/>
    <m/>
    <m/>
    <m/>
    <m/>
    <m/>
  </r>
  <r>
    <s v="408-7859245-8682713"/>
    <s v="408-7859245-8682713"/>
    <s v="2024-01-30T16:49:48+00:00"/>
    <s v="2024-01-30T22:30:1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7-9486787-0572303"/>
    <m/>
    <s v="2024-01-30T16:43:56+00:00"/>
    <s v="2024-01-31T15:08:37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minori"/>
    <s v="Salerno"/>
    <n v="84010"/>
    <s v="IT"/>
    <m/>
    <m/>
    <m/>
    <m/>
    <m/>
    <m/>
    <m/>
  </r>
  <r>
    <s v="406-4498964-4324318"/>
    <s v="406-4498964-4324318"/>
    <s v="2024-01-30T16:35:39+00:00"/>
    <s v="2024-02-01T02:06:2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4"/>
    <m/>
    <m/>
    <m/>
    <m/>
    <n v="1.64"/>
    <s v="Pavia"/>
    <s v="Pv"/>
    <n v="27100"/>
    <s v="IT"/>
    <m/>
    <m/>
    <m/>
    <m/>
    <m/>
    <m/>
    <m/>
  </r>
  <r>
    <s v="408-5751631-0830762"/>
    <s v="408-5751631-0830762"/>
    <s v="2024-01-30T16:33:53+00:00"/>
    <s v="2024-01-31T02:37:38+00:00"/>
    <s v="Shipped"/>
    <x v="0"/>
    <x v="3"/>
    <m/>
    <s v="http://www.amazon.it"/>
    <s v="Expedited"/>
    <s v="Beper Friggitrice elettrica P101FRI100 1 L, 950 W, cestello in acciaio rimovibile, coperchio con oblò, filtro rimovibile lavabile, temperatura regola"/>
    <s v="P101FRI100_FBA"/>
    <x v="20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6-5933901-8129924"/>
    <s v="406-5933901-8129924"/>
    <s v="2024-01-30T16:29:58+00:00"/>
    <s v="2024-02-01T01:45:23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OLGINATE"/>
    <s v="LECCO"/>
    <n v="23854"/>
    <s v="IT"/>
    <m/>
    <m/>
    <m/>
    <m/>
    <m/>
    <m/>
    <m/>
  </r>
  <r>
    <s v="408-8939701-1093926"/>
    <s v="408-8939701-1093926"/>
    <s v="2024-01-30T16:29:35+00:00"/>
    <s v="2024-01-31T09:07:44+00:00"/>
    <s v="Shipped"/>
    <x v="0"/>
    <x v="3"/>
    <m/>
    <s v="http://www.amazon.it"/>
    <s v="Expedited"/>
    <s v="Beper Friggitrice elettrica P101FRI100 1 L, 950 W, cestello in acciaio rimovibile, coperchio con oblò, filtro rimovibile lavabile, temperatura regola"/>
    <s v="P101FRI100_FBA"/>
    <x v="20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5643096-8630719"/>
    <s v="408-5643096-8630719"/>
    <s v="2024-01-30T16:29:32+00:00"/>
    <s v="2024-01-30T22:31:56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5-6839260-8809105"/>
    <s v="405-6839260-8809105"/>
    <s v="2024-01-30T16:02:34+00:00"/>
    <s v="2024-01-30T23:50:1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rita di Siena"/>
    <s v="Italia, Siena, Toscana"/>
    <n v="53049"/>
    <s v="IT"/>
    <m/>
    <m/>
    <m/>
    <m/>
    <m/>
    <m/>
    <m/>
  </r>
  <r>
    <s v="403-9206112-6453156"/>
    <s v="403-9206112-6453156"/>
    <s v="2024-01-30T16:02:26+00:00"/>
    <s v="2024-01-31T16:22:0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51"/>
    <s v="IT"/>
    <m/>
    <m/>
    <m/>
    <m/>
    <m/>
    <m/>
    <m/>
  </r>
  <r>
    <s v="406-9960444-3461148"/>
    <s v="406-9960444-3461148"/>
    <s v="2024-01-30T15:58:17+00:00"/>
    <s v="2024-01-31T18:14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'AQUILA"/>
    <m/>
    <n v="67100"/>
    <s v="IT"/>
    <m/>
    <m/>
    <m/>
    <m/>
    <m/>
    <m/>
    <m/>
  </r>
  <r>
    <s v="406-7741727-2201162"/>
    <s v="406-7741727-2201162"/>
    <s v="2024-01-30T15:58:07+00:00"/>
    <s v="2024-01-31T01:36:4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alguidi"/>
    <s v="Pistoia"/>
    <n v="51034"/>
    <s v="IT"/>
    <m/>
    <m/>
    <m/>
    <m/>
    <m/>
    <m/>
    <m/>
  </r>
  <r>
    <s v="403-2054967-0218710"/>
    <s v="403-2054967-0218710"/>
    <s v="2024-01-30T15:57:52+00:00"/>
    <s v="2024-01-31T16:35:0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0900000000000001"/>
    <m/>
    <m/>
    <m/>
    <m/>
    <n v="1.0900000000000001"/>
    <s v="Nicosia"/>
    <s v="Enna"/>
    <n v="94014"/>
    <s v="IT"/>
    <m/>
    <m/>
    <m/>
    <m/>
    <m/>
    <m/>
    <m/>
  </r>
  <r>
    <s v="405-4475726-7611564"/>
    <s v="405-4475726-7611564"/>
    <s v="2024-01-30T15:35:01+00:00"/>
    <s v="2024-01-31T18:08:3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22"/>
    <s v="IT"/>
    <m/>
    <m/>
    <m/>
    <m/>
    <m/>
    <m/>
    <m/>
  </r>
  <r>
    <s v="404-6034622-7146742"/>
    <s v="404-6034622-7146742"/>
    <s v="2024-01-30T15:31:02+00:00"/>
    <s v="2024-01-30T17:23:2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ri"/>
    <s v="Bari"/>
    <n v="70126"/>
    <s v="IT"/>
    <m/>
    <m/>
    <m/>
    <m/>
    <m/>
    <m/>
    <m/>
  </r>
  <r>
    <s v="407-4191448-0255550"/>
    <s v="407-4191448-0255550"/>
    <s v="2024-01-30T15:28:52+00:00"/>
    <s v="2024-01-30T17:54:05+00:00"/>
    <s v="Shipped"/>
    <x v="0"/>
    <x v="3"/>
    <m/>
    <m/>
    <s v="Expedited"/>
    <s v="BEPER C206UTI002 Copriscarpe Monouso Set 100 Sacchetti - Copriscarpe da Casa o Lavoro"/>
    <s v="C206UTI002_FBA"/>
    <x v="18"/>
    <s v="Shipped"/>
    <n v="1"/>
    <s v="EUR"/>
    <n v="16.899999999999999"/>
    <n v="3.05"/>
    <m/>
    <m/>
    <m/>
    <m/>
    <m/>
    <m/>
    <s v="Frattaminore"/>
    <s v="Napoli"/>
    <n v="80020"/>
    <s v="IT"/>
    <m/>
    <m/>
    <m/>
    <m/>
    <s v="MCCFNC94S18F839B"/>
    <s v="IT"/>
    <s v="CitizenId"/>
  </r>
  <r>
    <s v="402-2071078-3245159"/>
    <s v="402-2071078-3245159"/>
    <s v="2024-01-30T15:28:24+00:00"/>
    <s v="2024-01-31T00:00:39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Pistoia"/>
    <s v="Pistoia"/>
    <n v="51100"/>
    <s v="IT"/>
    <m/>
    <m/>
    <m/>
    <m/>
    <m/>
    <m/>
    <m/>
  </r>
  <r>
    <s v="407-8007904-4337133"/>
    <s v="407-8007904-4337133"/>
    <s v="2024-01-30T15:24:26+00:00"/>
    <s v="2024-01-30T17:54:13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Frattaminore"/>
    <s v="Napoli"/>
    <n v="80020"/>
    <s v="IT"/>
    <m/>
    <m/>
    <m/>
    <m/>
    <s v="MCCFNC94S18F839B"/>
    <s v="IT"/>
    <s v="CitizenId"/>
  </r>
  <r>
    <s v="402-4069654-3934746"/>
    <s v="402-4069654-3934746"/>
    <s v="2024-01-30T15:21:54+00:00"/>
    <s v="2024-01-30T21:25:4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39"/>
    <s v="IT"/>
    <m/>
    <m/>
    <m/>
    <m/>
    <m/>
    <m/>
    <m/>
  </r>
  <r>
    <s v="404-8429657-7266737"/>
    <s v="404-8429657-7266737"/>
    <s v="2024-01-30T15:03:09+00:00"/>
    <s v="2024-01-30T21:25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RUGIA"/>
    <s v="Perugia"/>
    <n v="6134"/>
    <s v="IT"/>
    <m/>
    <m/>
    <m/>
    <m/>
    <m/>
    <m/>
    <m/>
  </r>
  <r>
    <s v="407-1988568-4587518"/>
    <s v="407-1988568-4587518"/>
    <s v="2024-01-30T14:57:03+00:00"/>
    <s v="2024-01-30T21:50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79"/>
    <s v="IT"/>
    <m/>
    <m/>
    <m/>
    <m/>
    <m/>
    <m/>
    <m/>
  </r>
  <r>
    <s v="408-6520113-9177916"/>
    <s v="408-6520113-9177916"/>
    <s v="2024-01-30T14:56:01+00:00"/>
    <s v="2024-02-01T17:23:12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2.21"/>
    <m/>
    <m/>
    <m/>
    <m/>
    <m/>
    <m/>
    <m/>
    <s v="Livigno"/>
    <s v="Sondrio"/>
    <n v="23041"/>
    <s v="IT"/>
    <m/>
    <m/>
    <m/>
    <m/>
    <m/>
    <m/>
    <m/>
  </r>
  <r>
    <s v="407-6861482-1040301"/>
    <s v="407-6861482-1040301"/>
    <s v="2024-01-30T14:55:23+00:00"/>
    <s v="2024-01-31T15:51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DELLO"/>
    <s v="BRESCIA"/>
    <n v="25020"/>
    <s v="IT"/>
    <m/>
    <m/>
    <m/>
    <m/>
    <m/>
    <m/>
    <m/>
  </r>
  <r>
    <s v="408-1444870-1058757"/>
    <s v="408-1444870-1058757"/>
    <s v="2024-01-30T14:54:53+00:00"/>
    <s v="2024-01-31T09:08:10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8545216-2544300"/>
    <s v="408-8545216-2544300"/>
    <s v="2024-01-30T14:54:35+00:00"/>
    <s v="2024-01-30T17:16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orghetto Lodigiano"/>
    <s v="Lodi"/>
    <n v="26812"/>
    <s v="IT"/>
    <m/>
    <m/>
    <m/>
    <m/>
    <m/>
    <m/>
    <m/>
  </r>
  <r>
    <s v="406-6005642-1596353"/>
    <s v="406-6005642-1596353"/>
    <s v="2024-01-30T14:42:13+00:00"/>
    <s v="2024-01-30T21:34:4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.Marco"/>
    <s v="Ravenna"/>
    <n v="48124"/>
    <s v="IT"/>
    <m/>
    <m/>
    <m/>
    <m/>
    <m/>
    <m/>
    <m/>
  </r>
  <r>
    <s v="404-1751770-4349157"/>
    <s v="404-1751770-4349157"/>
    <s v="2024-01-30T14:39:58+00:00"/>
    <s v="2024-01-30T21:28:00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Alba Adriatica"/>
    <s v="TE"/>
    <n v="64011"/>
    <s v="IT"/>
    <m/>
    <m/>
    <m/>
    <m/>
    <m/>
    <m/>
    <m/>
  </r>
  <r>
    <s v="404-6517249-0189116"/>
    <s v="404-6517249-0189116"/>
    <s v="2024-01-30T14:39:43+00:00"/>
    <s v="2024-02-05T02:52:44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CAVA DE' TIRRENI"/>
    <s v="SA"/>
    <n v="84013"/>
    <s v="IT"/>
    <m/>
    <m/>
    <m/>
    <m/>
    <s v="IT03951470651"/>
    <s v="IT"/>
    <s v="VAT"/>
  </r>
  <r>
    <s v="407-8866803-4069931"/>
    <s v="407-8866803-4069931"/>
    <s v="2024-01-30T14:37:29+00:00"/>
    <s v="2024-01-30T18:01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33"/>
    <s v="IT"/>
    <m/>
    <m/>
    <m/>
    <m/>
    <m/>
    <m/>
    <m/>
  </r>
  <r>
    <s v="407-5361519-1534769"/>
    <s v="407-5361519-1534769"/>
    <s v="2024-01-30T14:35:47+00:00"/>
    <s v="2024-01-31T09:12:4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tina Franca"/>
    <s v="Taranto"/>
    <n v="74015"/>
    <s v="IT"/>
    <m/>
    <m/>
    <m/>
    <m/>
    <m/>
    <m/>
    <m/>
  </r>
  <r>
    <s v="406-0643341-0340348"/>
    <s v="406-0643341-0340348"/>
    <s v="2024-01-30T14:34:38+00:00"/>
    <s v="2024-01-30T20:22:5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legnano"/>
    <s v="Milano"/>
    <n v="20025"/>
    <s v="IT"/>
    <m/>
    <m/>
    <m/>
    <m/>
    <m/>
    <m/>
    <m/>
  </r>
  <r>
    <s v="408-9729671-2025111"/>
    <s v="408-9729671-2025111"/>
    <s v="2024-01-30T14:30:51+00:00"/>
    <s v="2024-01-31T02:34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hedi"/>
    <s v="BS"/>
    <n v="25016"/>
    <s v="IT"/>
    <m/>
    <m/>
    <m/>
    <m/>
    <m/>
    <m/>
    <m/>
  </r>
  <r>
    <s v="403-6697794-4802762"/>
    <s v="403-6697794-4802762"/>
    <s v="2024-01-30T14:16:55+00:00"/>
    <s v="2024-01-31T05:48:1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istoia"/>
    <s v="PT"/>
    <n v="51100"/>
    <s v="IT"/>
    <m/>
    <m/>
    <m/>
    <m/>
    <m/>
    <m/>
    <m/>
  </r>
  <r>
    <s v="405-5790995-4353139"/>
    <s v="405-5790995-4353139"/>
    <s v="2024-01-30T14:03:10+00:00"/>
    <s v="2024-01-31T11:28:41+00:00"/>
    <s v="Shipped"/>
    <x v="0"/>
    <x v="3"/>
    <m/>
    <m/>
    <s v="Expedited"/>
    <s v="Beper Friggitrice elettrica P101FRI100 1 L, 950 W, cestello in acciaio rimovibile, coperchio con oblò, filtro rimovibile lavabile, temperatura regola"/>
    <s v="P101FRI100_FBA"/>
    <x v="20"/>
    <s v="Shipped"/>
    <n v="1"/>
    <s v="EUR"/>
    <n v="32.9"/>
    <n v="5.93"/>
    <m/>
    <m/>
    <m/>
    <m/>
    <m/>
    <m/>
    <s v="Palermo"/>
    <s v="PA"/>
    <n v="90145"/>
    <s v="IT"/>
    <m/>
    <m/>
    <m/>
    <m/>
    <m/>
    <m/>
    <m/>
  </r>
  <r>
    <s v="171-3716910-2567550"/>
    <s v="171-3716910-2567550"/>
    <s v="2024-01-30T14:01:35+00:00"/>
    <s v="2024-01-31T11:25:52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Avigliano Umbro"/>
    <s v="Terni"/>
    <n v="5020"/>
    <s v="IT"/>
    <m/>
    <m/>
    <m/>
    <m/>
    <m/>
    <m/>
    <m/>
  </r>
  <r>
    <s v="408-9224492-3915505"/>
    <s v="408-9224492-3915505"/>
    <s v="2024-01-30T13:54:00+00:00"/>
    <s v="2024-01-31T06:18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ermide"/>
    <s v="Mantova"/>
    <n v="46028"/>
    <s v="IT"/>
    <m/>
    <m/>
    <m/>
    <m/>
    <m/>
    <m/>
    <m/>
  </r>
  <r>
    <s v="171-7919533-5853911"/>
    <s v="171-7919533-5853911"/>
    <s v="2024-01-30T13:19:03+00:00"/>
    <s v="2024-01-30T15:46:5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Frosinone"/>
    <s v="FR"/>
    <n v="3100"/>
    <s v="IT"/>
    <m/>
    <m/>
    <m/>
    <m/>
    <m/>
    <m/>
    <m/>
  </r>
  <r>
    <s v="408-0645618-4163521"/>
    <s v="408-0645618-4163521"/>
    <s v="2024-01-30T13:12:37+00:00"/>
    <s v="2024-01-31T12:24:5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SAN MARZANO SUL SARNO"/>
    <s v="CAMPANIA"/>
    <n v="84010"/>
    <s v="IT"/>
    <m/>
    <m/>
    <m/>
    <m/>
    <m/>
    <m/>
    <m/>
  </r>
  <r>
    <s v="407-5036442-4265902"/>
    <s v="407-5036442-4265902"/>
    <s v="2024-01-30T13:10:50+00:00"/>
    <s v="2024-02-04T13:14:01+00:00"/>
    <s v="Cancelled"/>
    <x v="0"/>
    <x v="3"/>
    <m/>
    <m/>
    <s v="Expedited"/>
    <s v="BEPER 40.405 Phon da Viaggio con Manico Pieghevole - Phon da Viaggio Piccolo e Leggero 1200W"/>
    <s v="40.405_FBA"/>
    <x v="1"/>
    <s v="Cancelled"/>
    <n v="0"/>
    <m/>
    <m/>
    <m/>
    <m/>
    <m/>
    <m/>
    <m/>
    <m/>
    <m/>
    <s v="Pesaro"/>
    <s v="Pesaro e Urbino"/>
    <n v="61121"/>
    <s v="IT"/>
    <m/>
    <m/>
    <m/>
    <m/>
    <m/>
    <m/>
    <m/>
  </r>
  <r>
    <s v="404-9759699-4122711"/>
    <s v="404-9759699-4122711"/>
    <s v="2024-01-30T13:07:55+00:00"/>
    <s v="2024-01-30T18:29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Isola vicentina"/>
    <s v="VI"/>
    <n v="36033"/>
    <s v="IT"/>
    <m/>
    <m/>
    <m/>
    <m/>
    <m/>
    <m/>
    <m/>
  </r>
  <r>
    <s v="407-9784686-4026724"/>
    <s v="407-9784686-4026724"/>
    <s v="2024-01-30T13:03:09+00:00"/>
    <s v="2024-01-30T21:27:3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'AQUILA"/>
    <s v="L'Aquila"/>
    <n v="67100"/>
    <s v="IT"/>
    <m/>
    <m/>
    <m/>
    <m/>
    <m/>
    <m/>
    <m/>
  </r>
  <r>
    <s v="405-5991980-5417117"/>
    <s v="405-5991980-5417117"/>
    <s v="2024-01-30T13:01:03+00:00"/>
    <s v="2024-01-30T21:27:3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Madonna del Piano"/>
    <s v="Perugia"/>
    <n v="6126"/>
    <s v="IT"/>
    <m/>
    <m/>
    <m/>
    <m/>
    <m/>
    <m/>
    <m/>
  </r>
  <r>
    <s v="404-9688248-2837967"/>
    <s v="404-9688248-2837967"/>
    <s v="2024-01-30T12:55:21+00:00"/>
    <s v="2024-01-30T17:21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lfetta"/>
    <s v="BA"/>
    <n v="70056"/>
    <s v="IT"/>
    <m/>
    <m/>
    <m/>
    <m/>
    <m/>
    <m/>
    <m/>
  </r>
  <r>
    <s v="406-8749236-7609129"/>
    <s v="406-8749236-7609129"/>
    <s v="2024-01-30T12:50:26+00:00"/>
    <s v="2024-02-04T12:54:26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Sanremo"/>
    <s v="IM"/>
    <n v="18038"/>
    <s v="IT"/>
    <m/>
    <m/>
    <m/>
    <m/>
    <m/>
    <m/>
    <m/>
  </r>
  <r>
    <s v="171-0799732-5230748"/>
    <s v="171-0799732-5230748"/>
    <s v="2024-01-30T12:48:53+00:00"/>
    <s v="2024-01-30T15:45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Torino"/>
    <n v="10149"/>
    <s v="IT"/>
    <m/>
    <m/>
    <m/>
    <m/>
    <m/>
    <m/>
    <m/>
  </r>
  <r>
    <s v="171-5208845-3144364"/>
    <s v="171-5208845-3144364"/>
    <s v="2024-01-30T12:41:06+00:00"/>
    <s v="2024-01-30T19:24:2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tanaro"/>
    <s v="TO"/>
    <n v="10017"/>
    <s v="IT"/>
    <m/>
    <m/>
    <m/>
    <m/>
    <m/>
    <m/>
    <m/>
  </r>
  <r>
    <s v="171-3645511-5773947"/>
    <s v="171-3645511-5773947"/>
    <s v="2024-01-30T12:39:54+00:00"/>
    <s v="2024-01-30T17:42:4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ttipaglia"/>
    <s v="salerno"/>
    <n v="84091"/>
    <s v="IT"/>
    <m/>
    <m/>
    <m/>
    <m/>
    <m/>
    <m/>
    <m/>
  </r>
  <r>
    <s v="404-8736742-8943548"/>
    <m/>
    <s v="2024-01-30T12:26:24+00:00"/>
    <s v="2024-01-31T15:47:33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Genova"/>
    <s v="Genova"/>
    <n v="16121"/>
    <s v="IT"/>
    <m/>
    <m/>
    <m/>
    <m/>
    <m/>
    <m/>
    <m/>
  </r>
  <r>
    <s v="404-4865441-2737938"/>
    <s v="404-4865441-2737938"/>
    <s v="2024-01-30T12:23:24+00:00"/>
    <s v="2024-01-30T17:18:4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GIULIANO MILANESE"/>
    <s v="MI"/>
    <n v="20098"/>
    <s v="IT"/>
    <m/>
    <m/>
    <m/>
    <m/>
    <m/>
    <m/>
    <m/>
  </r>
  <r>
    <s v="171-9904654-5886737"/>
    <s v="171-9904654-5886737"/>
    <s v="2024-01-30T12:22:13+00:00"/>
    <s v="2024-01-30T17:42:32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Striano"/>
    <s v="NA"/>
    <n v="80040"/>
    <s v="IT"/>
    <m/>
    <m/>
    <m/>
    <m/>
    <m/>
    <m/>
    <m/>
  </r>
  <r>
    <s v="404-0735488-0215543"/>
    <s v="404-0735488-0215543"/>
    <s v="2024-01-30T12:16:50+00:00"/>
    <s v="2024-01-30T20:37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assino Torinese"/>
    <s v="Torino"/>
    <n v="10090"/>
    <s v="IT"/>
    <m/>
    <m/>
    <m/>
    <m/>
    <m/>
    <m/>
    <m/>
  </r>
  <r>
    <s v="404-9613526-7220301"/>
    <s v="404-9613526-7220301"/>
    <s v="2024-01-30T12:12:37+00:00"/>
    <s v="2024-01-31T01:29:2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ordenons"/>
    <s v="pn"/>
    <n v="33084"/>
    <s v="IT"/>
    <m/>
    <m/>
    <m/>
    <m/>
    <m/>
    <m/>
    <m/>
  </r>
  <r>
    <s v="408-2285748-9769931"/>
    <s v="408-2285748-9769931"/>
    <s v="2024-01-30T12:10:18+00:00"/>
    <s v="2024-01-31T09:51:3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5-8210853-2728321"/>
    <m/>
    <s v="2024-01-30T12:09:37+00:00"/>
    <s v="2024-01-31T15:08:34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MUGGIA"/>
    <s v="TS"/>
    <n v="34015"/>
    <s v="IT"/>
    <m/>
    <m/>
    <m/>
    <m/>
    <m/>
    <m/>
    <m/>
  </r>
  <r>
    <s v="408-7669528-3705963"/>
    <s v="408-7669528-3705963"/>
    <s v="2024-01-30T12:02:34+00:00"/>
    <s v="2024-01-30T21:26:11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Terni"/>
    <s v="TR"/>
    <n v="5100"/>
    <s v="IT"/>
    <m/>
    <m/>
    <m/>
    <m/>
    <m/>
    <m/>
    <m/>
  </r>
  <r>
    <s v="406-4617830-6149119"/>
    <s v="406-4617830-6149119"/>
    <s v="2024-01-30T11:40:09+00:00"/>
    <s v="2024-01-30T18:09:2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41"/>
    <s v="IT"/>
    <m/>
    <m/>
    <m/>
    <m/>
    <m/>
    <m/>
    <m/>
  </r>
  <r>
    <s v="406-6018014-5070756"/>
    <s v="406-6018014-5070756"/>
    <s v="2024-01-30T11:33:28+00:00"/>
    <s v="2024-01-31T18:11:2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IGNA"/>
    <m/>
    <n v="50058"/>
    <s v="IT"/>
    <m/>
    <m/>
    <m/>
    <m/>
    <m/>
    <m/>
    <m/>
  </r>
  <r>
    <s v="408-0408345-1967531"/>
    <s v="408-0408345-1967531"/>
    <s v="2024-01-30T11:26:48+00:00"/>
    <s v="2024-01-31T09:25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olzano"/>
    <s v="BZ"/>
    <n v="38060"/>
    <s v="IT"/>
    <m/>
    <m/>
    <m/>
    <m/>
    <m/>
    <m/>
    <m/>
  </r>
  <r>
    <s v="406-3966745-9371540"/>
    <s v="406-3966745-9371540"/>
    <s v="2024-01-30T11:17:09+00:00"/>
    <s v="2024-02-01T02:34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m/>
    <n v="176"/>
    <s v="IT"/>
    <m/>
    <m/>
    <m/>
    <m/>
    <m/>
    <m/>
    <m/>
  </r>
  <r>
    <s v="403-3894150-0247527"/>
    <s v="403-3894150-0247527"/>
    <s v="2024-01-30T11:15:39+00:00"/>
    <s v="2024-01-30T21:49:5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Roma"/>
    <s v="Roma"/>
    <n v="135"/>
    <s v="IT"/>
    <m/>
    <m/>
    <m/>
    <m/>
    <m/>
    <m/>
    <m/>
  </r>
  <r>
    <s v="408-3653573-5690709"/>
    <s v="408-3653573-5690709"/>
    <s v="2024-01-30T11:15:10+00:00"/>
    <s v="2024-02-01T07:13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0.66"/>
    <m/>
    <m/>
    <m/>
    <m/>
    <n v="0.66"/>
    <s v="sorisole"/>
    <s v="bergamo"/>
    <n v="24010"/>
    <s v="IT"/>
    <m/>
    <m/>
    <m/>
    <m/>
    <m/>
    <m/>
    <m/>
  </r>
  <r>
    <s v="403-3370164-6204362"/>
    <s v="403-3370164-6204362"/>
    <s v="2024-01-30T11:14:37+00:00"/>
    <s v="2024-01-31T00:31:4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Ercolano"/>
    <s v="Napoli"/>
    <n v="80056"/>
    <s v="IT"/>
    <m/>
    <m/>
    <m/>
    <m/>
    <m/>
    <m/>
    <m/>
  </r>
  <r>
    <s v="171-9535008-0125927"/>
    <s v="171-9535008-0125927"/>
    <s v="2024-01-30T11:00:21+00:00"/>
    <s v="2024-01-30T18:22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tecatini-Terme"/>
    <s v="PT"/>
    <n v="51016"/>
    <s v="IT"/>
    <m/>
    <m/>
    <m/>
    <m/>
    <m/>
    <m/>
    <m/>
  </r>
  <r>
    <s v="171-9382914-6241936"/>
    <s v="171-9382914-6241936"/>
    <s v="2024-01-30T10:58:39+00:00"/>
    <s v="2024-02-04T11:01:50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Montecatini-Terme"/>
    <s v="PT"/>
    <n v="51016"/>
    <s v="IT"/>
    <m/>
    <m/>
    <m/>
    <m/>
    <m/>
    <m/>
    <m/>
  </r>
  <r>
    <s v="403-7435167-2439527"/>
    <s v="403-7435167-2439527"/>
    <s v="2024-01-30T10:57:45+00:00"/>
    <s v="2024-01-31T09:12:4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delfia"/>
    <s v="Italia/Puglia/Bari"/>
    <n v="70010"/>
    <s v="IT"/>
    <m/>
    <m/>
    <m/>
    <m/>
    <m/>
    <m/>
    <m/>
  </r>
  <r>
    <s v="403-9898399-4884351"/>
    <s v="403-9898399-4884351"/>
    <s v="2024-01-30T10:53:46+00:00"/>
    <s v="2024-01-31T01:36:48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onte Lambro"/>
    <s v="Como"/>
    <n v="22037"/>
    <s v="IT"/>
    <m/>
    <m/>
    <m/>
    <m/>
    <m/>
    <m/>
    <m/>
  </r>
  <r>
    <s v="402-4658529-3333103"/>
    <s v="402-4658529-3333103"/>
    <s v="2024-01-30T10:48:44+00:00"/>
    <s v="2024-01-30T15:45:41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n v="3.27"/>
    <m/>
    <m/>
    <m/>
    <m/>
    <n v="3.27"/>
    <s v="perosa argentina"/>
    <s v="torino"/>
    <n v="10063"/>
    <s v="IT"/>
    <m/>
    <m/>
    <m/>
    <m/>
    <m/>
    <m/>
    <m/>
  </r>
  <r>
    <s v="405-6990636-5469966"/>
    <s v="405-6990636-5469966"/>
    <s v="2024-01-30T10:48:29+00:00"/>
    <s v="2024-01-30T20:29:4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almaggiore"/>
    <s v="Cremona"/>
    <n v="26041"/>
    <s v="IT"/>
    <m/>
    <m/>
    <m/>
    <m/>
    <m/>
    <m/>
    <m/>
  </r>
  <r>
    <s v="406-7244292-0565932"/>
    <s v="406-7244292-0565932"/>
    <s v="2024-01-30T10:41:05+00:00"/>
    <s v="2024-01-30T21:18:2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aranto"/>
    <s v="TA"/>
    <n v="74121"/>
    <s v="IT"/>
    <m/>
    <m/>
    <m/>
    <m/>
    <m/>
    <m/>
    <m/>
  </r>
  <r>
    <s v="402-8518379-3053945"/>
    <m/>
    <s v="2024-01-30T10:33:13+00:00"/>
    <s v="2024-01-31T15:08:30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bologna"/>
    <s v="bologna"/>
    <n v="40132"/>
    <s v="IT"/>
    <m/>
    <m/>
    <m/>
    <m/>
    <s v="GRNNTN53A23D005F"/>
    <s v="IT"/>
    <s v="CitizenId"/>
  </r>
  <r>
    <s v="404-7054410-5410762"/>
    <s v="404-7054410-5410762"/>
    <s v="2024-01-30T10:29:49+00:00"/>
    <s v="2024-01-30T17:30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ssago"/>
    <s v="MI"/>
    <n v="20057"/>
    <s v="IT"/>
    <m/>
    <m/>
    <m/>
    <m/>
    <m/>
    <m/>
    <m/>
  </r>
  <r>
    <s v="404-6066544-7609924"/>
    <s v="404-6066544-7609924"/>
    <s v="2024-01-30T10:22:14+00:00"/>
    <s v="2024-01-30T12:32:32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Camaiore"/>
    <s v="Lucca"/>
    <n v="55041"/>
    <s v="IT"/>
    <m/>
    <m/>
    <m/>
    <m/>
    <m/>
    <m/>
    <m/>
  </r>
  <r>
    <s v="407-5026362-8749162"/>
    <m/>
    <s v="2024-01-30T10:16:44+00:00"/>
    <s v="2024-01-31T14:38:2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Roma"/>
    <s v="Roma"/>
    <n v="197"/>
    <s v="IT"/>
    <m/>
    <m/>
    <m/>
    <m/>
    <n v="4818941215"/>
    <s v="IT"/>
    <s v="VAT"/>
  </r>
  <r>
    <s v="171-6090017-6430737"/>
    <m/>
    <s v="2024-01-30T10:15:28+00:00"/>
    <s v="2024-01-31T15:48:4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3"/>
    <s v="EUR"/>
    <n v="68.7"/>
    <n v="12.39"/>
    <n v="9"/>
    <n v="1.62"/>
    <m/>
    <m/>
    <m/>
    <m/>
    <s v="Villa Adriana"/>
    <s v="Roma"/>
    <n v="10"/>
    <s v="IT"/>
    <m/>
    <m/>
    <m/>
    <m/>
    <m/>
    <m/>
    <m/>
  </r>
  <r>
    <s v="406-4379207-3643542"/>
    <s v="406-4379207-3643542"/>
    <s v="2024-01-30T10:14:48+00:00"/>
    <s v="2024-02-01T08:21:2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rani"/>
    <s v="BAT"/>
    <n v="76125"/>
    <s v="IT"/>
    <m/>
    <m/>
    <m/>
    <m/>
    <m/>
    <m/>
    <m/>
  </r>
  <r>
    <s v="404-9748380-0512319"/>
    <s v="404-9748380-0512319"/>
    <s v="2024-01-30T10:12:06+00:00"/>
    <s v="2024-01-30T16:03:5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rascati"/>
    <s v="RM"/>
    <n v="44"/>
    <s v="IT"/>
    <m/>
    <m/>
    <m/>
    <m/>
    <m/>
    <m/>
    <m/>
  </r>
  <r>
    <s v="403-7054038-8091556"/>
    <s v="403-7054038-8091556"/>
    <s v="2024-01-30T10:03:41+00:00"/>
    <s v="2024-01-30T20:56:4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RIMINI"/>
    <s v="RN"/>
    <n v="47924"/>
    <s v="IT"/>
    <m/>
    <m/>
    <m/>
    <m/>
    <m/>
    <m/>
    <m/>
  </r>
  <r>
    <s v="403-3195645-8730730"/>
    <s v="403-3195645-8730730"/>
    <s v="2024-01-30T10:01:27+00:00"/>
    <s v="2024-01-30T15:44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uneo"/>
    <s v="CN"/>
    <n v="12100"/>
    <s v="IT"/>
    <m/>
    <m/>
    <m/>
    <m/>
    <m/>
    <m/>
    <m/>
  </r>
  <r>
    <s v="406-0331946-0689127"/>
    <s v="406-0331946-0689127"/>
    <s v="2024-01-30T09:56:25+00:00"/>
    <s v="2024-01-30T12:48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atera"/>
    <s v="Matera"/>
    <n v="75100"/>
    <s v="IT"/>
    <m/>
    <m/>
    <m/>
    <m/>
    <m/>
    <m/>
    <m/>
  </r>
  <r>
    <s v="408-9026642-3724359"/>
    <s v="408-9026642-3724359"/>
    <s v="2024-01-30T09:44:25+00:00"/>
    <s v="2024-01-30T18:35:27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4-7514346-9201938"/>
    <s v="404-7514346-9201938"/>
    <s v="2024-01-30T09:44:11+00:00"/>
    <s v="2024-01-30T23:15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enova"/>
    <s v="GE"/>
    <n v="16127"/>
    <s v="IT"/>
    <m/>
    <m/>
    <m/>
    <m/>
    <m/>
    <m/>
    <m/>
  </r>
  <r>
    <s v="403-0126447-0191513"/>
    <s v="403-0126447-0191513"/>
    <s v="2024-01-30T09:37:38+00:00"/>
    <s v="2024-01-30T16:28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lano"/>
    <n v="20151"/>
    <s v="IT"/>
    <m/>
    <m/>
    <m/>
    <m/>
    <m/>
    <m/>
    <m/>
  </r>
  <r>
    <s v="408-2782826-1441161"/>
    <s v="408-2782826-1441161"/>
    <s v="2024-01-30T09:16:36+00:00"/>
    <s v="2024-01-30T17:17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39"/>
    <s v="IT"/>
    <m/>
    <m/>
    <m/>
    <m/>
    <m/>
    <m/>
    <m/>
  </r>
  <r>
    <s v="408-5314769-6613938"/>
    <s v="408-5314769-6613938"/>
    <s v="2024-01-30T09:15:33+00:00"/>
    <s v="2024-01-30T11:34:0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61"/>
    <s v="IT"/>
    <m/>
    <m/>
    <m/>
    <m/>
    <m/>
    <m/>
    <m/>
  </r>
  <r>
    <s v="405-3695836-8583566"/>
    <s v="405-3695836-8583566"/>
    <s v="2024-01-30T09:01:50+00:00"/>
    <s v="2024-01-30T12:14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lbino"/>
    <s v="bergamo"/>
    <n v="24021"/>
    <s v="IT"/>
    <m/>
    <m/>
    <m/>
    <m/>
    <m/>
    <m/>
    <m/>
  </r>
  <r>
    <s v="405-7462754-0793166"/>
    <m/>
    <s v="2024-01-30T08:57:37+00:00"/>
    <s v="2024-01-31T15:47:36+00:00"/>
    <s v="Shipped"/>
    <x v="1"/>
    <x v="3"/>
    <s v="WebsiteOrderChannel"/>
    <m/>
    <s v="Standard"/>
    <s v="BEPER 90.825 Fornello Elettrico in Acciaio Inossidabile con 5 Livelli di Potenza - Fornello Elettrico 2 Piastre"/>
    <n v="90825"/>
    <x v="23"/>
    <s v="Shipped"/>
    <n v="1"/>
    <s v="EUR"/>
    <n v="46.9"/>
    <n v="8.4600000000000009"/>
    <n v="3"/>
    <n v="0.54"/>
    <m/>
    <m/>
    <m/>
    <m/>
    <s v="ALESSANDRIA"/>
    <s v="Alessandria"/>
    <n v="15121"/>
    <s v="IT"/>
    <m/>
    <m/>
    <m/>
    <m/>
    <m/>
    <m/>
    <m/>
  </r>
  <r>
    <s v="407-6536289-3933903"/>
    <s v="407-6536289-3933903"/>
    <s v="2024-01-30T08:47:47+00:00"/>
    <s v="2024-01-30T20:54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enova"/>
    <s v="Genova"/>
    <n v="16139"/>
    <s v="IT"/>
    <m/>
    <m/>
    <m/>
    <m/>
    <m/>
    <m/>
    <m/>
  </r>
  <r>
    <s v="407-7838753-5314744"/>
    <s v="407-7838753-5314744"/>
    <s v="2024-01-30T08:43:37+00:00"/>
    <s v="2024-01-30T12:37:5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ccavaldina"/>
    <s v="Messina"/>
    <n v="98040"/>
    <s v="IT"/>
    <m/>
    <m/>
    <m/>
    <m/>
    <m/>
    <m/>
    <m/>
  </r>
  <r>
    <s v="405-5795881-0465909"/>
    <s v="405-5795881-0465909"/>
    <s v="2024-01-30T08:35:19+00:00"/>
    <s v="2024-01-31T02:25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62"/>
    <s v="IT"/>
    <m/>
    <m/>
    <m/>
    <m/>
    <m/>
    <m/>
    <m/>
  </r>
  <r>
    <s v="405-0530153-1005914"/>
    <s v="405-0530153-1005914"/>
    <s v="2024-01-30T08:22:15+00:00"/>
    <s v="2024-01-30T16:28:2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lano"/>
    <n v="20123"/>
    <s v="IT"/>
    <m/>
    <m/>
    <m/>
    <m/>
    <m/>
    <m/>
    <m/>
  </r>
  <r>
    <s v="403-1863277-2320310"/>
    <s v="403-1863277-2320310"/>
    <s v="2024-01-30T08:21:33+00:00"/>
    <s v="2024-02-01T11:24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25"/>
    <s v="IT"/>
    <m/>
    <m/>
    <m/>
    <m/>
    <m/>
    <m/>
    <m/>
  </r>
  <r>
    <s v="403-9255558-6240359"/>
    <s v="403-9255558-6240359"/>
    <s v="2024-01-30T08:13:12+00:00"/>
    <s v="2024-01-30T21:23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temurlo"/>
    <s v="Prato"/>
    <n v="59013"/>
    <s v="IT"/>
    <m/>
    <m/>
    <m/>
    <m/>
    <m/>
    <m/>
    <m/>
  </r>
  <r>
    <s v="403-2290472-3429169"/>
    <s v="403-2290472-3429169"/>
    <s v="2024-01-30T08:06:37+00:00"/>
    <s v="2024-01-30T08:08:50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Roma"/>
    <s v="RM"/>
    <n v="125"/>
    <s v="IT"/>
    <m/>
    <m/>
    <m/>
    <m/>
    <m/>
    <m/>
    <m/>
  </r>
  <r>
    <s v="404-0422777-0187534"/>
    <s v="404-0422777-0187534"/>
    <s v="2024-01-30T07:58:24+00:00"/>
    <s v="2024-01-30T16:50:3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usto arsizio"/>
    <s v="varese"/>
    <n v="21052"/>
    <s v="IT"/>
    <m/>
    <m/>
    <m/>
    <m/>
    <m/>
    <m/>
    <m/>
  </r>
  <r>
    <s v="407-9433484-5011513"/>
    <s v="407-9433484-5011513"/>
    <s v="2024-01-30T07:56:41+00:00"/>
    <s v="2024-01-30T20:57:2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Riccione"/>
    <s v="Rimini"/>
    <n v="47838"/>
    <s v="IT"/>
    <m/>
    <m/>
    <m/>
    <m/>
    <m/>
    <m/>
    <m/>
  </r>
  <r>
    <s v="402-6209936-0001906"/>
    <s v="402-6209936-0001906"/>
    <s v="2024-01-30T07:54:55+00:00"/>
    <s v="2024-01-30T13:30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BEGANO"/>
    <s v="Venezia"/>
    <n v="30030"/>
    <s v="IT"/>
    <m/>
    <m/>
    <m/>
    <m/>
    <m/>
    <m/>
    <m/>
  </r>
  <r>
    <s v="171-1362765-3229147"/>
    <s v="171-1362765-3229147"/>
    <s v="2024-01-30T07:50:48+00:00"/>
    <s v="2024-01-31T10:53:00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Valvori"/>
    <s v="Frosinone"/>
    <n v="3040"/>
    <s v="IT"/>
    <m/>
    <m/>
    <m/>
    <m/>
    <m/>
    <m/>
    <m/>
  </r>
  <r>
    <s v="408-1825280-3792322"/>
    <s v="408-1825280-3792322"/>
    <s v="2024-01-30T07:49:19+00:00"/>
    <s v="2024-01-30T15:44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Quinzano d'Oglio"/>
    <s v="Brescia"/>
    <n v="25027"/>
    <s v="IT"/>
    <m/>
    <m/>
    <m/>
    <m/>
    <m/>
    <m/>
    <m/>
  </r>
  <r>
    <s v="407-7015591-5245924"/>
    <s v="407-7015591-5245924"/>
    <s v="2024-01-30T07:49:05+00:00"/>
    <s v="2024-01-31T09:16:35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Policoro"/>
    <s v="Matera"/>
    <n v="75025"/>
    <s v="IT"/>
    <m/>
    <m/>
    <m/>
    <m/>
    <m/>
    <m/>
    <m/>
  </r>
  <r>
    <s v="171-4604306-4669963"/>
    <s v="171-4604306-4669963"/>
    <s v="2024-01-30T07:42:32+00:00"/>
    <s v="2024-01-31T12:48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QUARTU SANT'ELENA"/>
    <m/>
    <n v="9045"/>
    <s v="IT"/>
    <m/>
    <m/>
    <m/>
    <m/>
    <m/>
    <m/>
    <m/>
  </r>
  <r>
    <s v="405-3515995-7273963"/>
    <s v="405-3515995-7273963"/>
    <s v="2024-01-30T07:19:44+00:00"/>
    <s v="2024-02-01T21:04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orgonzola"/>
    <s v="Milano"/>
    <n v="20064"/>
    <s v="IT"/>
    <m/>
    <m/>
    <m/>
    <m/>
    <m/>
    <m/>
    <m/>
  </r>
  <r>
    <s v="403-4825877-5461103"/>
    <s v="403-4825877-5461103"/>
    <s v="2024-01-30T07:03:16+00:00"/>
    <s v="2024-01-31T01:23:5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cerata"/>
    <s v="MC"/>
    <n v="62100"/>
    <s v="IT"/>
    <m/>
    <m/>
    <m/>
    <m/>
    <m/>
    <m/>
    <m/>
  </r>
  <r>
    <s v="407-9169109-8078702"/>
    <s v="407-9169109-8078702"/>
    <s v="2024-01-30T07:02:50+00:00"/>
    <s v="2024-01-30T15:43:4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irano"/>
    <s v="Italy"/>
    <n v="23037"/>
    <s v="IT"/>
    <m/>
    <m/>
    <m/>
    <m/>
    <m/>
    <m/>
    <m/>
  </r>
  <r>
    <s v="407-1110723-7432321"/>
    <s v="407-1110723-7432321"/>
    <s v="2024-01-30T06:57:38+00:00"/>
    <s v="2024-01-30T17:41:2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3"/>
    <s v="EUR"/>
    <n v="59.7"/>
    <n v="10.77"/>
    <m/>
    <m/>
    <m/>
    <m/>
    <m/>
    <m/>
    <s v="Napoli"/>
    <s v="Na"/>
    <n v="80137"/>
    <s v="IT"/>
    <m/>
    <m/>
    <m/>
    <m/>
    <m/>
    <m/>
    <m/>
  </r>
  <r>
    <s v="405-1909638-5323542"/>
    <s v="405-1909638-5323542"/>
    <s v="2024-01-30T06:23:57+00:00"/>
    <s v="2024-01-30T23:51:4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candicci"/>
    <s v="FI"/>
    <n v="50018"/>
    <s v="IT"/>
    <m/>
    <m/>
    <m/>
    <m/>
    <m/>
    <m/>
    <m/>
  </r>
  <r>
    <s v="408-8534513-7001946"/>
    <s v="408-8534513-7001946"/>
    <s v="2024-01-30T05:45:11+00:00"/>
    <s v="2024-01-30T12:52:3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ristano"/>
    <s v="Oristano"/>
    <n v="9170"/>
    <s v="IT"/>
    <m/>
    <m/>
    <m/>
    <m/>
    <m/>
    <m/>
    <m/>
  </r>
  <r>
    <s v="402-7133195-3263539"/>
    <s v="402-7133195-3263539"/>
    <s v="2024-01-30T05:26:45+00:00"/>
    <s v="2024-01-30T17:59:1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issone"/>
    <s v="MB"/>
    <n v="20851"/>
    <s v="IT"/>
    <m/>
    <m/>
    <m/>
    <m/>
    <m/>
    <m/>
    <m/>
  </r>
  <r>
    <s v="402-1022083-8364327"/>
    <s v="402-1022083-8364327"/>
    <s v="2024-01-30T05:22:33+00:00"/>
    <s v="2024-01-31T16:34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anaunella"/>
    <s v="Sassari"/>
    <n v="7051"/>
    <s v="IT"/>
    <m/>
    <m/>
    <m/>
    <m/>
    <m/>
    <m/>
    <m/>
  </r>
  <r>
    <s v="408-3243808-7221960"/>
    <s v="408-3243808-7221960"/>
    <s v="2024-01-30T02:45:58+00:00"/>
    <s v="2024-01-30T12:37:37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8-0700748-6368308"/>
    <s v="408-0700748-6368308"/>
    <s v="2024-01-30T00:08:50+00:00"/>
    <s v="2024-01-30T05:06:2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vendemiano"/>
    <s v="Treviso"/>
    <n v="31020"/>
    <s v="IT"/>
    <m/>
    <m/>
    <m/>
    <m/>
    <m/>
    <m/>
    <m/>
  </r>
  <r>
    <s v="408-7003534-3912318"/>
    <s v="408-7003534-3912318"/>
    <s v="2024-01-29T22:54:56+00:00"/>
    <s v="2024-01-30T04:02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zzolo di Villaga"/>
    <s v="Vicenza"/>
    <n v="36021"/>
    <s v="IT"/>
    <m/>
    <m/>
    <m/>
    <m/>
    <m/>
    <m/>
    <m/>
  </r>
  <r>
    <s v="407-9992322-0255528"/>
    <s v="407-9992322-0255528"/>
    <s v="2024-01-29T22:42:42+00:00"/>
    <s v="2024-01-30T23:49:02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bagno a ripoli"/>
    <s v="firenze"/>
    <n v="50012"/>
    <s v="IT"/>
    <m/>
    <m/>
    <m/>
    <m/>
    <s v="IT03700680485"/>
    <s v="IT"/>
    <s v="VAT"/>
  </r>
  <r>
    <s v="407-7906168-6852366"/>
    <s v="407-7906168-6852366"/>
    <s v="2024-01-29T22:30:57+00:00"/>
    <s v="2024-02-03T22:34:07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Francavilla al mare"/>
    <s v="Chieti"/>
    <n v="66023"/>
    <s v="IT"/>
    <m/>
    <m/>
    <m/>
    <m/>
    <m/>
    <m/>
    <m/>
  </r>
  <r>
    <s v="171-1981759-0741140"/>
    <s v="171-1981759-0741140"/>
    <s v="2024-01-29T22:15:00+00:00"/>
    <s v="2024-01-30T17:27:4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erignano"/>
    <s v="Pisa"/>
    <n v="56035"/>
    <s v="IT"/>
    <m/>
    <m/>
    <m/>
    <m/>
    <m/>
    <m/>
    <m/>
  </r>
  <r>
    <s v="408-4622812-7461946"/>
    <s v="408-4622812-7461946"/>
    <s v="2024-01-29T22:04:33+00:00"/>
    <s v="2024-02-01T05:27:41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4-4330214-5742704"/>
    <s v="404-4330214-5742704"/>
    <s v="2024-01-29T22:04:16+00:00"/>
    <s v="2024-01-30T03:46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irenze"/>
    <s v="Firenze"/>
    <n v="50131"/>
    <s v="IT"/>
    <m/>
    <m/>
    <m/>
    <m/>
    <m/>
    <m/>
    <m/>
  </r>
  <r>
    <s v="407-1791897-4797923"/>
    <s v="407-1791897-4797923"/>
    <s v="2024-01-29T21:57:51+00:00"/>
    <s v="2024-01-30T23:08:13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Nogara"/>
    <s v="Verona"/>
    <n v="37054"/>
    <s v="IT"/>
    <m/>
    <m/>
    <m/>
    <m/>
    <m/>
    <m/>
    <m/>
  </r>
  <r>
    <s v="406-9161149-2028308"/>
    <s v="406-9161149-2028308"/>
    <s v="2024-01-29T21:49:22+00:00"/>
    <s v="2024-01-30T21:28:4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Sassari"/>
    <s v="Sassari"/>
    <n v="7100"/>
    <s v="IT"/>
    <m/>
    <m/>
    <m/>
    <m/>
    <m/>
    <m/>
    <m/>
  </r>
  <r>
    <s v="405-1143702-5586766"/>
    <s v="405-1143702-5586766"/>
    <s v="2024-01-29T21:47:24+00:00"/>
    <s v="2024-01-30T01:06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PANNORI"/>
    <s v="lucca"/>
    <n v="55012"/>
    <s v="IT"/>
    <m/>
    <m/>
    <m/>
    <m/>
    <m/>
    <m/>
    <m/>
  </r>
  <r>
    <s v="402-7263684-1345137"/>
    <s v="402-7263684-1345137"/>
    <s v="2024-01-29T21:26:05+00:00"/>
    <s v="2024-01-30T08:38:53+00:00"/>
    <s v="Shipped"/>
    <x v="0"/>
    <x v="3"/>
    <m/>
    <m/>
    <s v="Expedited"/>
    <s v="BEPER C206UTI002 Copriscarpe Monouso Set 100 Sacchetti - Copriscarpe da Casa o Lavoro"/>
    <s v="C206UTI002_FBA"/>
    <x v="18"/>
    <s v="Shipped"/>
    <n v="1"/>
    <s v="EUR"/>
    <n v="16.899999999999999"/>
    <n v="3.05"/>
    <m/>
    <m/>
    <m/>
    <m/>
    <m/>
    <m/>
    <s v="Melilli"/>
    <s v="Siracusa"/>
    <n v="96010"/>
    <s v="IT"/>
    <m/>
    <m/>
    <m/>
    <m/>
    <m/>
    <m/>
    <m/>
  </r>
  <r>
    <s v="402-7021905-0440322"/>
    <s v="402-7021905-0440322"/>
    <s v="2024-01-29T21:20:00+00:00"/>
    <s v="2024-01-30T21:18:5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ontanafredda"/>
    <s v="Pordenone"/>
    <n v="33074"/>
    <s v="IT"/>
    <m/>
    <m/>
    <m/>
    <m/>
    <m/>
    <m/>
    <m/>
  </r>
  <r>
    <s v="407-5675068-2757101"/>
    <s v="407-5675068-2757101"/>
    <s v="2024-01-29T20:55:23+00:00"/>
    <s v="2024-01-30T05:06:5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franco Veneto"/>
    <s v="TV"/>
    <n v="31033"/>
    <s v="IT"/>
    <m/>
    <m/>
    <m/>
    <m/>
    <m/>
    <m/>
    <m/>
  </r>
  <r>
    <s v="402-6542513-8951541"/>
    <s v="402-6542513-8951541"/>
    <s v="2024-01-29T20:54:48+00:00"/>
    <s v="2024-01-31T02:26:0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99"/>
    <n v="0.36"/>
    <m/>
    <m/>
    <m/>
    <m/>
    <s v="FROSINONE"/>
    <s v="Frosinone"/>
    <n v="3100"/>
    <s v="IT"/>
    <m/>
    <m/>
    <m/>
    <m/>
    <m/>
    <m/>
    <m/>
  </r>
  <r>
    <s v="408-2175076-0586714"/>
    <s v="408-2175076-0586714"/>
    <s v="2024-01-29T20:34:31+00:00"/>
    <s v="2024-01-30T04:54:51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Como"/>
    <s v="Como"/>
    <n v="22100"/>
    <s v="IT"/>
    <m/>
    <m/>
    <m/>
    <m/>
    <m/>
    <m/>
    <m/>
  </r>
  <r>
    <s v="171-0145650-2305122"/>
    <s v="171-0145650-2305122"/>
    <s v="2024-01-29T20:29:59+00:00"/>
    <s v="2024-01-30T12:13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UGGIO'"/>
    <s v="Monza e Brianza"/>
    <n v="20835"/>
    <s v="IT"/>
    <m/>
    <m/>
    <m/>
    <m/>
    <m/>
    <m/>
    <m/>
  </r>
  <r>
    <s v="406-4288361-9237949"/>
    <s v="406-4288361-9237949"/>
    <s v="2024-01-29T20:18:36+00:00"/>
    <s v="2024-01-30T01:38:1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33"/>
    <s v="IT"/>
    <m/>
    <m/>
    <m/>
    <m/>
    <m/>
    <m/>
    <m/>
  </r>
  <r>
    <s v="406-5797937-1621104"/>
    <s v="406-5797937-1621104"/>
    <s v="2024-01-29T20:14:38+00:00"/>
    <s v="2024-02-01T13:07:3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0.66"/>
    <m/>
    <m/>
    <m/>
    <m/>
    <n v="0.66"/>
    <s v="Guastalla"/>
    <s v="Reggio Emilia"/>
    <n v="42016"/>
    <s v="IT"/>
    <m/>
    <m/>
    <m/>
    <m/>
    <m/>
    <m/>
    <m/>
  </r>
  <r>
    <s v="402-0869802-2709131"/>
    <s v="402-0869802-2709131"/>
    <s v="2024-01-29T20:13:11+00:00"/>
    <s v="2024-01-30T01:59:04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roma"/>
    <s v="rm"/>
    <n v="131"/>
    <s v="IT"/>
    <m/>
    <m/>
    <m/>
    <m/>
    <m/>
    <m/>
    <m/>
  </r>
  <r>
    <s v="402-1870604-9723523"/>
    <s v="402-1870604-9723523"/>
    <s v="2024-01-29T20:12:15+00:00"/>
    <s v="2024-01-30T15:47:1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erolengo"/>
    <s v="Torino"/>
    <n v="10038"/>
    <s v="IT"/>
    <m/>
    <m/>
    <m/>
    <m/>
    <m/>
    <m/>
    <m/>
  </r>
  <r>
    <s v="406-8156468-3644338"/>
    <s v="406-8156468-3644338"/>
    <s v="2024-01-29T20:11:49+00:00"/>
    <s v="2024-01-30T02:30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rattamaggiore"/>
    <s v="Napoli"/>
    <n v="80027"/>
    <s v="IT"/>
    <m/>
    <m/>
    <m/>
    <m/>
    <m/>
    <m/>
    <m/>
  </r>
  <r>
    <s v="407-3607558-7377924"/>
    <s v="407-3607558-7377924"/>
    <s v="2024-01-29T20:04:14+00:00"/>
    <s v="2024-01-30T23:05:57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n v="3.27"/>
    <m/>
    <m/>
    <m/>
    <m/>
    <n v="3.27"/>
    <s v="Caprino veronese"/>
    <s v="Verona"/>
    <n v="37013"/>
    <s v="IT"/>
    <m/>
    <m/>
    <m/>
    <m/>
    <m/>
    <m/>
    <m/>
  </r>
  <r>
    <s v="404-9378617-2590715"/>
    <s v="404-9378617-2590715"/>
    <s v="2024-01-29T19:58:29+00:00"/>
    <s v="2024-01-30T19:06:19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VARESE"/>
    <s v="VA"/>
    <n v="21100"/>
    <s v="IT"/>
    <m/>
    <m/>
    <m/>
    <m/>
    <m/>
    <m/>
    <m/>
  </r>
  <r>
    <s v="171-8403766-5181947"/>
    <s v="171-8403766-5181947"/>
    <s v="2024-01-29T19:56:10+00:00"/>
    <s v="2024-01-31T21:28:2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evello"/>
    <s v="Cuneo"/>
    <n v="12036"/>
    <s v="IT"/>
    <m/>
    <m/>
    <m/>
    <m/>
    <m/>
    <m/>
    <m/>
  </r>
  <r>
    <s v="406-3539261-9161166"/>
    <m/>
    <s v="2024-01-29T19:49:35+00:00"/>
    <s v="2024-01-30T10:57:3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PINETO"/>
    <s v="Teramo"/>
    <n v="64025"/>
    <s v="IT"/>
    <m/>
    <m/>
    <m/>
    <m/>
    <m/>
    <m/>
    <m/>
  </r>
  <r>
    <s v="402-4058390-1573116"/>
    <s v="402-4058390-1573116"/>
    <s v="2024-01-29T19:49:22+00:00"/>
    <s v="2024-01-30T17:16:41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Nova Milanese"/>
    <s v="Monza e Brianza"/>
    <n v="20834"/>
    <s v="IT"/>
    <m/>
    <m/>
    <m/>
    <m/>
    <m/>
    <m/>
    <m/>
  </r>
  <r>
    <s v="408-0632508-0931547"/>
    <s v="408-0632508-0931547"/>
    <s v="2024-01-29T19:46:41+00:00"/>
    <s v="2024-01-30T17:22:3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i"/>
    <m/>
    <n v="70123"/>
    <s v="IT"/>
    <m/>
    <m/>
    <m/>
    <m/>
    <m/>
    <m/>
    <m/>
  </r>
  <r>
    <s v="408-1268930-9589913"/>
    <m/>
    <s v="2024-01-29T19:46:39+00:00"/>
    <s v="2024-01-31T19:15:40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eveso"/>
    <s v="(MB)"/>
    <n v="20822"/>
    <s v="IT"/>
    <m/>
    <m/>
    <m/>
    <m/>
    <m/>
    <m/>
    <m/>
  </r>
  <r>
    <s v="402-2899419-0298722"/>
    <s v="402-2899419-0298722"/>
    <s v="2024-01-29T19:32:58+00:00"/>
    <s v="2024-01-30T17:16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UCCANA"/>
    <s v="MB"/>
    <n v="20822"/>
    <s v="IT"/>
    <m/>
    <m/>
    <m/>
    <m/>
    <m/>
    <m/>
    <m/>
  </r>
  <r>
    <s v="403-7228513-9545947"/>
    <s v="403-7228513-9545947"/>
    <s v="2024-01-29T19:32:57+00:00"/>
    <s v="2024-01-30T11:24:2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oito"/>
    <s v="Mantova"/>
    <n v="46044"/>
    <s v="IT"/>
    <m/>
    <m/>
    <m/>
    <m/>
    <m/>
    <m/>
    <m/>
  </r>
  <r>
    <s v="407-4345084-5684346"/>
    <s v="407-4345084-5684346"/>
    <s v="2024-01-29T19:31:28+00:00"/>
    <s v="2024-01-30T15:43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logno al serio"/>
    <n v="25055"/>
    <n v="24055"/>
    <s v="IT"/>
    <m/>
    <m/>
    <m/>
    <m/>
    <m/>
    <m/>
    <m/>
  </r>
  <r>
    <s v="408-9898466-7383541"/>
    <s v="408-9898466-7383541"/>
    <s v="2024-01-29T19:29:05+00:00"/>
    <s v="2024-01-30T09:47:50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8-7983446-1906757"/>
    <s v="408-7983446-1906757"/>
    <s v="2024-01-29T19:19:36+00:00"/>
    <s v="2024-01-30T02:32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lla carcina"/>
    <s v="brescia"/>
    <n v="25069"/>
    <s v="IT"/>
    <m/>
    <m/>
    <m/>
    <m/>
    <m/>
    <m/>
    <m/>
  </r>
  <r>
    <s v="408-4894347-7302716"/>
    <s v="408-4894347-7302716"/>
    <s v="2024-01-29T19:10:24+00:00"/>
    <s v="2024-01-30T04:54:0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sate"/>
    <s v="Milano"/>
    <n v="20060"/>
    <s v="IT"/>
    <m/>
    <m/>
    <m/>
    <m/>
    <m/>
    <m/>
    <m/>
  </r>
  <r>
    <s v="403-4894346-1943538"/>
    <s v="403-4894346-1943538"/>
    <s v="2024-01-29T19:08:23+00:00"/>
    <s v="2024-01-31T12:08:50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n v="0.66"/>
    <m/>
    <m/>
    <m/>
    <m/>
    <n v="0.66"/>
    <s v="Manfredonia"/>
    <s v="Foggia"/>
    <n v="71043"/>
    <s v="IT"/>
    <m/>
    <m/>
    <m/>
    <m/>
    <m/>
    <m/>
    <m/>
  </r>
  <r>
    <s v="171-0806367-5201111"/>
    <s v="171-0806367-5201111"/>
    <s v="2024-01-29T19:08:21+00:00"/>
    <s v="2024-01-30T17:18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OPERA"/>
    <s v="MI"/>
    <n v="20073"/>
    <s v="IT"/>
    <m/>
    <m/>
    <m/>
    <m/>
    <m/>
    <m/>
    <m/>
  </r>
  <r>
    <s v="405-6233839-9509936"/>
    <s v="405-6233839-9509936"/>
    <s v="2024-01-29T19:08:19+00:00"/>
    <s v="2024-01-30T01:58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39"/>
    <s v="IT"/>
    <m/>
    <m/>
    <m/>
    <m/>
    <m/>
    <m/>
    <m/>
  </r>
  <r>
    <s v="406-5712965-8329901"/>
    <s v="406-5712965-8329901"/>
    <s v="2024-01-29T19:00:31+00:00"/>
    <s v="2024-01-30T04:02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Olginate"/>
    <s v="Lecco"/>
    <n v="23854"/>
    <s v="IT"/>
    <m/>
    <m/>
    <m/>
    <m/>
    <m/>
    <m/>
    <m/>
  </r>
  <r>
    <s v="404-3025520-3987536"/>
    <s v="404-3025520-3987536"/>
    <s v="2024-01-29T18:56:57+00:00"/>
    <s v="2024-01-30T15:43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ORLE"/>
    <s v="BG"/>
    <n v="24020"/>
    <s v="IT"/>
    <m/>
    <m/>
    <m/>
    <m/>
    <m/>
    <m/>
    <m/>
  </r>
  <r>
    <s v="406-4882475-9894766"/>
    <s v="406-4882475-9894766"/>
    <s v="2024-01-29T18:55:03+00:00"/>
    <s v="2024-01-29T21:27:3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hieti Scalo"/>
    <s v="CH"/>
    <n v="66100"/>
    <s v="IT"/>
    <m/>
    <m/>
    <m/>
    <m/>
    <m/>
    <m/>
    <m/>
  </r>
  <r>
    <s v="403-6790530-7029147"/>
    <s v="403-6790530-7029147"/>
    <s v="2024-01-29T18:41:20+00:00"/>
    <s v="2024-01-30T20:49:5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DOVA"/>
    <s v="PADOVA"/>
    <n v="35129"/>
    <s v="IT"/>
    <m/>
    <m/>
    <m/>
    <m/>
    <m/>
    <m/>
    <m/>
  </r>
  <r>
    <s v="408-0324723-4609168"/>
    <s v="408-0324723-4609168"/>
    <s v="2024-01-29T18:39:58+00:00"/>
    <s v="2024-01-30T14:21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ezzadio"/>
    <s v="AL"/>
    <n v="15079"/>
    <s v="IT"/>
    <m/>
    <m/>
    <m/>
    <m/>
    <m/>
    <m/>
    <m/>
  </r>
  <r>
    <s v="403-1239737-1634733"/>
    <s v="403-1239737-1634733"/>
    <s v="2024-01-29T18:32:46+00:00"/>
    <s v="2024-01-30T08:38:40+00:00"/>
    <s v="Shipped"/>
    <x v="0"/>
    <x v="3"/>
    <m/>
    <m/>
    <s v="Expedited"/>
    <s v="Beper Pulitore a Vapore Igenizzante, Caldaia in Alluminio da 350 Ml, Pulsante Vapore Continuo, Pressione 3.2 Bar, 30 G/Min, Cavo da 3 M Giallo/Nero"/>
    <s v="50.700_FBA"/>
    <x v="24"/>
    <s v="Shipped"/>
    <n v="1"/>
    <s v="EUR"/>
    <n v="44.9"/>
    <n v="8.1"/>
    <m/>
    <m/>
    <m/>
    <m/>
    <m/>
    <m/>
    <s v="ROMA"/>
    <m/>
    <n v="176"/>
    <s v="IT"/>
    <m/>
    <m/>
    <m/>
    <m/>
    <m/>
    <m/>
    <m/>
  </r>
  <r>
    <s v="407-5565787-5614747"/>
    <s v="407-5565787-5614747"/>
    <s v="2024-01-29T18:23:22+00:00"/>
    <s v="2024-01-29T20:47:0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auro"/>
    <s v="Salerno"/>
    <n v="84096"/>
    <s v="IT"/>
    <m/>
    <m/>
    <m/>
    <m/>
    <m/>
    <m/>
    <m/>
  </r>
  <r>
    <s v="407-1444506-8579524"/>
    <s v="407-1444506-8579524"/>
    <s v="2024-01-29T18:20:46+00:00"/>
    <s v="2024-01-30T16:28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Inveruno"/>
    <s v="MI"/>
    <n v="20001"/>
    <s v="IT"/>
    <m/>
    <m/>
    <m/>
    <m/>
    <m/>
    <m/>
    <m/>
  </r>
  <r>
    <s v="408-2655220-7096353"/>
    <s v="408-2655220-7096353"/>
    <s v="2024-01-29T18:19:37+00:00"/>
    <s v="2024-01-29T22:29:22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8-2701204-8181146"/>
    <s v="408-2701204-8181146"/>
    <s v="2024-01-29T18:14:53+00:00"/>
    <s v="2024-01-30T03:17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ecanati"/>
    <s v="MC"/>
    <n v="62019"/>
    <s v="IT"/>
    <m/>
    <m/>
    <m/>
    <m/>
    <m/>
    <m/>
    <m/>
  </r>
  <r>
    <s v="406-3941853-1029164"/>
    <s v="406-3941853-1029164"/>
    <s v="2024-01-29T18:04:57+00:00"/>
    <s v="2024-01-29T23:55:52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Pistoia"/>
    <s v="pistoia"/>
    <n v="51100"/>
    <s v="IT"/>
    <m/>
    <m/>
    <m/>
    <m/>
    <m/>
    <m/>
    <m/>
  </r>
  <r>
    <s v="171-2661054-5854701"/>
    <s v="171-2661054-5854701"/>
    <s v="2024-01-29T18:02:14+00:00"/>
    <s v="2024-01-30T11:34:4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ranova Fiumicino"/>
    <s v="Roma"/>
    <n v="54"/>
    <s v="IT"/>
    <m/>
    <m/>
    <m/>
    <m/>
    <m/>
    <m/>
    <m/>
  </r>
  <r>
    <s v="408-6017949-2051554"/>
    <s v="408-6017949-2051554"/>
    <s v="2024-01-29T18:01:51+00:00"/>
    <s v="2024-01-30T07:52:3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rbonia"/>
    <s v="SU"/>
    <n v="9013"/>
    <s v="IT"/>
    <m/>
    <m/>
    <m/>
    <m/>
    <m/>
    <m/>
    <m/>
  </r>
  <r>
    <s v="408-8244799-6556329"/>
    <s v="408-8244799-6556329"/>
    <s v="2024-01-29T18:01:41+00:00"/>
    <s v="2024-01-29T20:45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riano Irpino"/>
    <m/>
    <n v="83031"/>
    <s v="IT"/>
    <m/>
    <m/>
    <m/>
    <m/>
    <m/>
    <m/>
    <m/>
  </r>
  <r>
    <s v="405-6357093-9567516"/>
    <s v="405-6357093-9567516"/>
    <s v="2024-01-29T17:44:29+00:00"/>
    <s v="2024-01-30T18:20:3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Giovanni Rotondo"/>
    <s v="Fg"/>
    <n v="71013"/>
    <s v="IT"/>
    <m/>
    <m/>
    <m/>
    <m/>
    <m/>
    <m/>
    <m/>
  </r>
  <r>
    <s v="405-0726604-6761909"/>
    <s v="405-0726604-6761909"/>
    <s v="2024-01-29T17:30:43+00:00"/>
    <s v="2024-01-29T21:18:46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San Vito Chietino"/>
    <s v="Chieti"/>
    <n v="66038"/>
    <s v="IT"/>
    <m/>
    <m/>
    <m/>
    <m/>
    <m/>
    <m/>
    <m/>
  </r>
  <r>
    <s v="408-2258693-3700336"/>
    <s v="408-2258693-3700336"/>
    <s v="2024-01-29T17:25:53+00:00"/>
    <s v="2024-01-29T21:32:40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7-5399441-0499523"/>
    <s v="407-5399441-0499523"/>
    <s v="2024-01-29T17:21:44+00:00"/>
    <s v="2024-01-29T20:46:1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re del Greco"/>
    <s v="NAPOLI"/>
    <n v="80059"/>
    <s v="IT"/>
    <m/>
    <m/>
    <m/>
    <m/>
    <m/>
    <m/>
    <m/>
  </r>
  <r>
    <s v="407-4272090-0473128"/>
    <m/>
    <s v="2024-01-29T17:20:57+00:00"/>
    <s v="2024-01-30T11:36:39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2"/>
    <s v="EUR"/>
    <n v="59.8"/>
    <n v="10.78"/>
    <n v="6"/>
    <n v="1.08"/>
    <m/>
    <m/>
    <m/>
    <m/>
    <s v="Catanzaro"/>
    <s v="Catanzaro"/>
    <n v="88100"/>
    <s v="IT"/>
    <m/>
    <m/>
    <m/>
    <m/>
    <m/>
    <m/>
    <m/>
  </r>
  <r>
    <s v="408-9937001-3659535"/>
    <s v="408-9937001-3659535"/>
    <s v="2024-01-29T17:17:53+00:00"/>
    <s v="2024-01-29T20:19:05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San Michele Salentino"/>
    <s v="Brindisi"/>
    <n v="72018"/>
    <s v="IT"/>
    <m/>
    <m/>
    <m/>
    <m/>
    <m/>
    <m/>
    <m/>
  </r>
  <r>
    <s v="403-5474663-0321963"/>
    <s v="403-5474663-0321963"/>
    <s v="2024-01-29T17:12:31+00:00"/>
    <s v="2024-01-30T16:33:5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a Thuile"/>
    <s v="Aosta"/>
    <n v="11016"/>
    <s v="IT"/>
    <m/>
    <m/>
    <m/>
    <m/>
    <m/>
    <m/>
    <m/>
  </r>
  <r>
    <s v="171-9785272-2507565"/>
    <s v="171-9785272-2507565"/>
    <s v="2024-01-29T17:09:23+00:00"/>
    <s v="2024-01-30T01:30:1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Milano"/>
    <m/>
    <n v="20142"/>
    <s v="IT"/>
    <m/>
    <m/>
    <m/>
    <m/>
    <m/>
    <m/>
    <m/>
  </r>
  <r>
    <s v="171-4952186-6951557"/>
    <s v="171-4952186-6951557"/>
    <s v="2024-01-29T16:42:52+00:00"/>
    <s v="2024-01-30T15:52:4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TO"/>
    <n v="10151"/>
    <s v="IT"/>
    <m/>
    <m/>
    <m/>
    <m/>
    <m/>
    <m/>
    <m/>
  </r>
  <r>
    <s v="403-8182626-6679542"/>
    <s v="403-8182626-6679542"/>
    <s v="2024-01-29T16:40:54+00:00"/>
    <s v="2024-01-30T01:30:1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orate Sempione"/>
    <s v="VA"/>
    <n v="21011"/>
    <s v="IT"/>
    <m/>
    <m/>
    <m/>
    <m/>
    <m/>
    <m/>
    <m/>
  </r>
  <r>
    <s v="408-5541428-1633117"/>
    <s v="408-5541428-1633117"/>
    <s v="2024-01-29T16:20:26+00:00"/>
    <s v="2024-01-30T01:36:2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prato"/>
    <s v="po"/>
    <n v="59100"/>
    <s v="IT"/>
    <m/>
    <m/>
    <m/>
    <m/>
    <m/>
    <m/>
    <m/>
  </r>
  <r>
    <s v="406-6733560-2848336"/>
    <s v="406-6733560-2848336"/>
    <s v="2024-01-29T16:20:22+00:00"/>
    <s v="2024-01-30T18:28:5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ESCARA"/>
    <m/>
    <n v="65124"/>
    <s v="IT"/>
    <m/>
    <m/>
    <m/>
    <m/>
    <m/>
    <m/>
    <m/>
  </r>
  <r>
    <s v="408-9465586-8363502"/>
    <s v="408-9465586-8363502"/>
    <s v="2024-01-29T16:19:47+00:00"/>
    <s v="2024-01-30T09:48:05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5-9846663-4384331"/>
    <m/>
    <s v="2024-01-29T16:09:42+00:00"/>
    <s v="2024-01-30T11:36:40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Roma"/>
    <s v="Rm"/>
    <n v="155"/>
    <s v="IT"/>
    <m/>
    <m/>
    <m/>
    <m/>
    <m/>
    <m/>
    <m/>
  </r>
  <r>
    <s v="407-6180332-8688301"/>
    <s v="407-6180332-8688301"/>
    <s v="2024-01-29T15:52:10+00:00"/>
    <s v="2024-01-29T20:57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0.86"/>
    <n v="0.16"/>
    <m/>
    <m/>
    <m/>
    <m/>
    <s v="Montoro"/>
    <s v="Avellino"/>
    <n v="83026"/>
    <s v="IT"/>
    <m/>
    <m/>
    <m/>
    <m/>
    <m/>
    <m/>
    <m/>
  </r>
  <r>
    <s v="402-3254080-4341164"/>
    <s v="402-3254080-4341164"/>
    <s v="2024-01-29T15:44:29+00:00"/>
    <s v="2024-01-30T01:34:3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REMBATE DI SOPRA"/>
    <s v="Bergamo"/>
    <n v="24030"/>
    <s v="IT"/>
    <m/>
    <m/>
    <m/>
    <m/>
    <m/>
    <m/>
    <m/>
  </r>
  <r>
    <s v="405-4771182-4620306"/>
    <s v="405-4771182-4620306"/>
    <s v="2024-01-29T15:42:25+00:00"/>
    <s v="2024-01-30T12:46:41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Vittoria"/>
    <s v="Ragusa"/>
    <n v="97019"/>
    <s v="IT"/>
    <m/>
    <m/>
    <m/>
    <m/>
    <m/>
    <m/>
    <m/>
  </r>
  <r>
    <s v="402-7540406-0708317"/>
    <s v="402-7540406-0708317"/>
    <s v="2024-01-29T15:37:38+00:00"/>
    <s v="2024-01-30T09:23:36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BREMBATE DI SOPRA"/>
    <s v="Bergamo"/>
    <n v="24030"/>
    <s v="IT"/>
    <m/>
    <m/>
    <m/>
    <m/>
    <m/>
    <m/>
    <m/>
  </r>
  <r>
    <s v="404-5061913-3157960"/>
    <s v="404-5061913-3157960"/>
    <s v="2024-01-29T15:34:40+00:00"/>
    <s v="2024-01-30T04:18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Poggio Miterto"/>
    <s v="Rietie"/>
    <n v="2047"/>
    <s v="IT"/>
    <m/>
    <m/>
    <m/>
    <m/>
    <m/>
    <m/>
    <m/>
  </r>
  <r>
    <s v="402-0190618-4489966"/>
    <s v="402-0190618-4489966"/>
    <s v="2024-01-29T15:32:20+00:00"/>
    <s v="2024-01-29T20:46:3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re del greco"/>
    <s v="napoli"/>
    <n v="80059"/>
    <s v="IT"/>
    <m/>
    <m/>
    <m/>
    <m/>
    <m/>
    <m/>
    <m/>
  </r>
  <r>
    <s v="403-1351001-2261126"/>
    <s v="403-1351001-2261126"/>
    <s v="2024-01-29T15:24:01+00:00"/>
    <s v="2024-01-30T07:06:1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ula"/>
    <s v="cagliari"/>
    <n v="9050"/>
    <s v="IT"/>
    <m/>
    <m/>
    <m/>
    <m/>
    <m/>
    <m/>
    <m/>
  </r>
  <r>
    <s v="407-3518276-7565913"/>
    <s v="407-3518276-7565913"/>
    <s v="2024-01-29T15:20:31+00:00"/>
    <s v="2024-01-30T09:19:46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PALO DEL COLLE"/>
    <s v="BA"/>
    <n v="70027"/>
    <s v="IT"/>
    <m/>
    <m/>
    <m/>
    <m/>
    <m/>
    <m/>
    <m/>
  </r>
  <r>
    <s v="405-3962295-1481963"/>
    <m/>
    <s v="2024-01-29T15:05:13+00:00"/>
    <s v="2024-01-30T11:00:08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Bologna"/>
    <s v="Bologna"/>
    <n v="40125"/>
    <s v="IT"/>
    <m/>
    <m/>
    <m/>
    <m/>
    <m/>
    <m/>
    <m/>
  </r>
  <r>
    <s v="402-0771014-2702716"/>
    <s v="402-0771014-2702716"/>
    <s v="2024-01-29T15:04:18+00:00"/>
    <s v="2024-01-29T21:28:0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scara"/>
    <s v="Pescara"/>
    <n v="65122"/>
    <s v="IT"/>
    <m/>
    <m/>
    <m/>
    <m/>
    <m/>
    <m/>
    <m/>
  </r>
  <r>
    <s v="405-8045273-8217131"/>
    <s v="405-8045273-8217131"/>
    <s v="2024-01-29T15:03:13+00:00"/>
    <s v="2024-01-30T01:37:0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ONTE GIURINO"/>
    <s v="BG"/>
    <n v="24030"/>
    <s v="IT"/>
    <m/>
    <m/>
    <m/>
    <m/>
    <m/>
    <m/>
    <m/>
  </r>
  <r>
    <s v="402-5896193-8692330"/>
    <s v="402-5896193-8692330"/>
    <s v="2024-01-29T14:58:23+00:00"/>
    <s v="2024-01-30T15:20:4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i"/>
    <s v="Bari"/>
    <n v="70132"/>
    <s v="IT"/>
    <m/>
    <m/>
    <m/>
    <m/>
    <m/>
    <m/>
    <m/>
  </r>
  <r>
    <s v="171-4745610-3518716"/>
    <s v="171-4745610-3518716"/>
    <s v="2024-01-29T14:51:45+00:00"/>
    <s v="2024-01-30T17:00:5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llegno"/>
    <s v="Torino"/>
    <n v="10093"/>
    <s v="IT"/>
    <m/>
    <m/>
    <m/>
    <m/>
    <m/>
    <m/>
    <m/>
  </r>
  <r>
    <s v="404-6873460-9606751"/>
    <s v="404-6873460-9606751"/>
    <s v="2024-01-29T14:50:39+00:00"/>
    <s v="2024-01-30T02:34:20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pietro al natisone"/>
    <s v="Udine"/>
    <n v="33049"/>
    <s v="IT"/>
    <m/>
    <m/>
    <m/>
    <m/>
    <m/>
    <m/>
    <m/>
  </r>
  <r>
    <s v="405-6076596-8088302"/>
    <s v="405-6076596-8088302"/>
    <s v="2024-01-29T14:31:08+00:00"/>
    <s v="2024-01-30T12:37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ltagirone"/>
    <s v="Catania"/>
    <n v="95041"/>
    <s v="IT"/>
    <m/>
    <m/>
    <m/>
    <m/>
    <m/>
    <m/>
    <m/>
  </r>
  <r>
    <s v="407-4170461-0918766"/>
    <s v="407-4170461-0918766"/>
    <s v="2024-01-29T14:15:46+00:00"/>
    <s v="2024-01-30T15:47:0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ecetto Torinese"/>
    <s v="Torino"/>
    <n v="10020"/>
    <s v="IT"/>
    <m/>
    <m/>
    <m/>
    <m/>
    <m/>
    <m/>
    <m/>
  </r>
  <r>
    <s v="405-5399797-9855561"/>
    <s v="405-5399797-9855561"/>
    <s v="2024-01-29T14:11:52+00:00"/>
    <s v="2024-01-30T15:46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ivorno Ferraris"/>
    <s v="Vercelli"/>
    <n v="13046"/>
    <s v="IT"/>
    <m/>
    <m/>
    <m/>
    <m/>
    <m/>
    <m/>
    <m/>
  </r>
  <r>
    <s v="404-6113214-1757919"/>
    <s v="404-6113214-1757919"/>
    <s v="2024-01-29T14:09:56+00:00"/>
    <s v="2024-01-29T17:21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ieve emanuele"/>
    <s v="Milano"/>
    <n v="20121"/>
    <s v="IT"/>
    <m/>
    <m/>
    <m/>
    <m/>
    <m/>
    <m/>
    <m/>
  </r>
  <r>
    <s v="405-8997359-6298765"/>
    <s v="405-8997359-6298765"/>
    <s v="2024-01-29T14:07:33+00:00"/>
    <s v="2024-01-30T01:36:3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rembate di Sopra"/>
    <s v="BG"/>
    <n v="24030"/>
    <s v="IT"/>
    <m/>
    <m/>
    <m/>
    <m/>
    <m/>
    <m/>
    <m/>
  </r>
  <r>
    <s v="405-0949977-1443521"/>
    <s v="405-0949977-1443521"/>
    <s v="2024-01-29T14:04:12+00:00"/>
    <s v="2024-01-29T20:45:5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Ercolano"/>
    <s v="NA"/>
    <n v="80056"/>
    <s v="IT"/>
    <m/>
    <m/>
    <m/>
    <m/>
    <m/>
    <m/>
    <m/>
  </r>
  <r>
    <s v="403-0145747-8964321"/>
    <m/>
    <s v="2024-01-29T14:00:44+00:00"/>
    <s v="2024-01-30T10:57:4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an Nicolò"/>
    <s v="Piacenza"/>
    <n v="29010"/>
    <s v="IT"/>
    <m/>
    <m/>
    <m/>
    <m/>
    <m/>
    <m/>
    <m/>
  </r>
  <r>
    <s v="408-1352643-1126731"/>
    <s v="408-1352643-1126731"/>
    <s v="2024-01-29T13:54:08+00:00"/>
    <s v="2024-01-30T09:47:17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6-9500043-0352356"/>
    <s v="406-9500043-0352356"/>
    <s v="2024-01-29T13:47:33+00:00"/>
    <s v="2024-01-29T16:34:26+00:00"/>
    <s v="Shipped"/>
    <x v="0"/>
    <x v="3"/>
    <m/>
    <m/>
    <s v="Expedited"/>
    <s v="BEPER C206UTI002 Copriscarpe Monouso Set 100 Sacchetti - Copriscarpe da Casa o Lavoro"/>
    <s v="C206UTI002_FBA"/>
    <x v="18"/>
    <s v="Shipped"/>
    <n v="4"/>
    <s v="EUR"/>
    <n v="67.599999999999994"/>
    <n v="12.2"/>
    <m/>
    <m/>
    <m/>
    <m/>
    <m/>
    <m/>
    <s v="Roma"/>
    <s v="Roma"/>
    <n v="198"/>
    <s v="IT"/>
    <m/>
    <m/>
    <m/>
    <m/>
    <n v="1781930795"/>
    <s v="IT"/>
    <s v="VAT"/>
  </r>
  <r>
    <s v="408-2502803-6524342"/>
    <s v="408-2502803-6524342"/>
    <s v="2024-01-29T13:17:08+00:00"/>
    <s v="2024-01-29T17:32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UTIGNANO"/>
    <s v="BA"/>
    <n v="70017"/>
    <s v="IT"/>
    <m/>
    <m/>
    <m/>
    <m/>
    <m/>
    <m/>
    <m/>
  </r>
  <r>
    <s v="406-0061632-2845923"/>
    <s v="406-0061632-2845923"/>
    <s v="2024-01-29T13:13:22+00:00"/>
    <s v="2024-01-30T02:22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atina"/>
    <s v="LT"/>
    <n v="4100"/>
    <s v="IT"/>
    <m/>
    <m/>
    <m/>
    <m/>
    <m/>
    <m/>
    <m/>
  </r>
  <r>
    <s v="403-5730992-2875521"/>
    <s v="403-5730992-2875521"/>
    <s v="2024-01-29T13:10:42+00:00"/>
    <s v="2024-01-29T16:25:3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ermoneta"/>
    <s v="Latina"/>
    <n v="4013"/>
    <s v="IT"/>
    <m/>
    <m/>
    <m/>
    <m/>
    <m/>
    <m/>
    <m/>
  </r>
  <r>
    <s v="171-9042936-7176335"/>
    <s v="171-9042936-7176335"/>
    <s v="2024-01-29T13:05:45+00:00"/>
    <s v="2024-01-29T16:38:4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Aprilia"/>
    <s v="Latina"/>
    <n v="4011"/>
    <s v="IT"/>
    <m/>
    <m/>
    <m/>
    <m/>
    <m/>
    <m/>
    <m/>
  </r>
  <r>
    <s v="406-1488635-3596322"/>
    <s v="406-1488635-3596322"/>
    <s v="2024-01-29T13:04:16+00:00"/>
    <s v="2024-01-31T07:51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lmezzo"/>
    <s v="UD"/>
    <n v="33028"/>
    <s v="IT"/>
    <m/>
    <m/>
    <m/>
    <m/>
    <m/>
    <m/>
    <m/>
  </r>
  <r>
    <s v="404-8604920-3461954"/>
    <s v="404-8604920-3461954"/>
    <s v="2024-01-29T13:02:37+00:00"/>
    <s v="2024-01-29T18:55:13+00:00"/>
    <s v="Shipped"/>
    <x v="0"/>
    <x v="3"/>
    <m/>
    <m/>
    <s v="Expedited"/>
    <s v="BEPER BT.150Y Macchina per Hot Dog, 5 Livelli di Cottura, 750 Watt, Design Vintage, Rosso"/>
    <s v="BT.150Y_FBA"/>
    <x v="5"/>
    <s v="Shipped"/>
    <n v="1"/>
    <s v="EUR"/>
    <n v="39.9"/>
    <n v="7.2"/>
    <m/>
    <m/>
    <m/>
    <m/>
    <m/>
    <m/>
    <s v="CALALZO DI CADORE"/>
    <s v="Belluno"/>
    <n v="32042"/>
    <s v="IT"/>
    <m/>
    <m/>
    <m/>
    <m/>
    <m/>
    <m/>
    <m/>
  </r>
  <r>
    <s v="406-3595750-5011510"/>
    <s v="406-3595750-5011510"/>
    <s v="2024-01-29T12:59:24+00:00"/>
    <s v="2024-01-29T16:34:1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tania"/>
    <s v="Catania"/>
    <n v="95129"/>
    <s v="IT"/>
    <m/>
    <m/>
    <m/>
    <m/>
    <m/>
    <m/>
    <m/>
  </r>
  <r>
    <s v="407-8953928-1261910"/>
    <s v="407-8953928-1261910"/>
    <s v="2024-01-29T12:58:57+00:00"/>
    <s v="2024-01-30T01:45:39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Valbrembo"/>
    <s v="Bergamo"/>
    <n v="24030"/>
    <s v="IT"/>
    <m/>
    <m/>
    <m/>
    <m/>
    <m/>
    <m/>
    <m/>
  </r>
  <r>
    <s v="405-1628408-3905151"/>
    <s v="405-1628408-3905151"/>
    <s v="2024-01-29T12:55:47+00:00"/>
    <s v="2024-01-29T15:50:49+00:00"/>
    <s v="Shipped"/>
    <x v="0"/>
    <x v="3"/>
    <m/>
    <m/>
    <s v="Expedited"/>
    <s v="BEPER C206UTI002 Copriscarpe Monouso Set 100 Sacchetti - Copriscarpe da Casa o Lavoro"/>
    <s v="C206UTI002_FBA"/>
    <x v="18"/>
    <s v="Shipped"/>
    <n v="1"/>
    <s v="EUR"/>
    <n v="16.899999999999999"/>
    <n v="3.05"/>
    <m/>
    <m/>
    <m/>
    <m/>
    <m/>
    <m/>
    <s v="napoli"/>
    <s v="napoli"/>
    <n v="80123"/>
    <s v="IT"/>
    <m/>
    <m/>
    <m/>
    <m/>
    <m/>
    <m/>
    <m/>
  </r>
  <r>
    <s v="171-6043162-6717956"/>
    <s v="171-6043162-6717956"/>
    <s v="2024-01-29T12:51:40+00:00"/>
    <s v="2024-01-29T15:58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ssazza"/>
    <s v="Biella"/>
    <n v="13873"/>
    <s v="IT"/>
    <m/>
    <m/>
    <m/>
    <m/>
    <m/>
    <m/>
    <m/>
  </r>
  <r>
    <s v="404-8524853-4965913"/>
    <s v="404-8524853-4965913"/>
    <s v="2024-01-29T12:49:05+00:00"/>
    <s v="2024-01-29T21:38:1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ianella"/>
    <s v="Pescara"/>
    <n v="65019"/>
    <s v="IT"/>
    <m/>
    <m/>
    <m/>
    <m/>
    <m/>
    <m/>
    <m/>
  </r>
  <r>
    <s v="406-7462178-9852338"/>
    <s v="406-7462178-9852338"/>
    <s v="2024-01-29T12:36:59+00:00"/>
    <s v="2024-01-29T17:24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22"/>
    <s v="IT"/>
    <m/>
    <m/>
    <m/>
    <m/>
    <m/>
    <m/>
    <m/>
  </r>
  <r>
    <s v="408-1047651-7065136"/>
    <s v="408-1047651-7065136"/>
    <s v="2024-01-29T12:20:09+00:00"/>
    <s v="2024-01-30T08:56:0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4-7220330-2785966"/>
    <s v="404-7220330-2785966"/>
    <s v="2024-01-29T12:14:31+00:00"/>
    <s v="2024-01-31T15:48:2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ORMELLO"/>
    <s v="LAZIO"/>
    <n v="60"/>
    <s v="IT"/>
    <m/>
    <m/>
    <m/>
    <m/>
    <m/>
    <m/>
    <m/>
  </r>
  <r>
    <s v="402-9146561-8237943"/>
    <s v="402-9146561-8237943"/>
    <s v="2024-01-29T12:09:01+00:00"/>
    <s v="2024-01-30T02:03:02+00:00"/>
    <s v="Shipped"/>
    <x v="0"/>
    <x v="3"/>
    <m/>
    <m/>
    <s v="Expedited"/>
    <s v="Beper Pulitore a Vapore Igenizzante, Caldaia in Alluminio da 350 Ml, Pulsante Vapore Continuo, Pressione 3.2 Bar, 30 G/Min, Cavo da 3 M Giallo/Nero"/>
    <s v="50.700_FBA"/>
    <x v="24"/>
    <s v="Shipped"/>
    <n v="1"/>
    <s v="EUR"/>
    <n v="44.9"/>
    <n v="8.1"/>
    <m/>
    <m/>
    <m/>
    <m/>
    <m/>
    <m/>
    <s v="San Giuliano Milanese"/>
    <s v="Italia"/>
    <n v="20098"/>
    <s v="IT"/>
    <m/>
    <m/>
    <m/>
    <m/>
    <m/>
    <m/>
    <m/>
  </r>
  <r>
    <s v="408-9890180-7197953"/>
    <s v="408-9890180-7197953"/>
    <s v="2024-01-29T11:56:12+00:00"/>
    <s v="2024-01-29T20:54:09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4-9500946-6819527"/>
    <s v="404-9500946-6819527"/>
    <s v="2024-01-29T11:53:39+00:00"/>
    <s v="2024-01-29T15:40:0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ntalupo in Sabina"/>
    <s v="RIETI"/>
    <n v="2040"/>
    <s v="IT"/>
    <m/>
    <m/>
    <m/>
    <m/>
    <m/>
    <m/>
    <m/>
  </r>
  <r>
    <s v="408-9946051-6029918"/>
    <s v="408-9946051-6029918"/>
    <s v="2024-01-29T11:49:12+00:00"/>
    <s v="2024-01-30T03:06:59+00:00"/>
    <s v="Shipped"/>
    <x v="0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5-2277972-8481103"/>
    <s v="405-2277972-8481103"/>
    <s v="2024-01-29T11:43:29+00:00"/>
    <s v="2024-01-30T10:17:18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Reggio Calabria"/>
    <s v="RC"/>
    <n v="89122"/>
    <s v="IT"/>
    <m/>
    <m/>
    <m/>
    <m/>
    <m/>
    <m/>
    <m/>
  </r>
  <r>
    <s v="406-7244992-7353139"/>
    <s v="406-7244992-7353139"/>
    <s v="2024-01-29T11:41:15+00:00"/>
    <s v="2024-01-30T09:20:01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monteiasi"/>
    <s v="TA"/>
    <n v="74020"/>
    <s v="IT"/>
    <m/>
    <m/>
    <m/>
    <m/>
    <m/>
    <m/>
    <m/>
  </r>
  <r>
    <s v="406-3593467-5052343"/>
    <s v="406-3593467-5052343"/>
    <s v="2024-01-29T11:38:39+00:00"/>
    <s v="2024-01-30T15:55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SCOLANO-MADERNO"/>
    <s v="Brescia"/>
    <n v="25088"/>
    <s v="IT"/>
    <m/>
    <m/>
    <m/>
    <m/>
    <s v="IT00087390985"/>
    <s v="IT"/>
    <s v="VAT"/>
  </r>
  <r>
    <s v="404-2109750-6571512"/>
    <s v="404-2109750-6571512"/>
    <s v="2024-01-29T11:38:35+00:00"/>
    <s v="2024-01-30T02:23:0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elletri"/>
    <s v="Roma"/>
    <n v="49"/>
    <s v="IT"/>
    <m/>
    <m/>
    <m/>
    <m/>
    <m/>
    <m/>
    <m/>
  </r>
  <r>
    <s v="404-7917365-7697145"/>
    <s v="404-7917365-7697145"/>
    <s v="2024-01-29T11:38:27+00:00"/>
    <s v="2024-01-29T17:03:3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rgomanero"/>
    <s v="Novara"/>
    <n v="28021"/>
    <s v="IT"/>
    <m/>
    <m/>
    <m/>
    <m/>
    <m/>
    <m/>
    <m/>
  </r>
  <r>
    <s v="408-4700133-0584322"/>
    <s v="408-4700133-0584322"/>
    <s v="2024-01-29T11:35:04+00:00"/>
    <s v="2024-01-30T10:35:01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omo"/>
    <s v="Como"/>
    <n v="22100"/>
    <s v="IT"/>
    <m/>
    <m/>
    <m/>
    <m/>
    <m/>
    <m/>
    <m/>
  </r>
  <r>
    <s v="404-8447207-6537122"/>
    <s v="404-8447207-6537122"/>
    <s v="2024-01-29T11:32:03+00:00"/>
    <s v="2024-01-29T20:18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Donato"/>
    <s v="Italia taranto puglia"/>
    <n v="74122"/>
    <s v="IT"/>
    <m/>
    <m/>
    <m/>
    <m/>
    <m/>
    <m/>
    <m/>
  </r>
  <r>
    <s v="407-0866809-1728331"/>
    <s v="407-0866809-1728331"/>
    <s v="2024-01-29T11:31:18+00:00"/>
    <s v="2024-01-30T01:31:5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Filottrano"/>
    <s v="ancona"/>
    <n v="60024"/>
    <s v="IT"/>
    <m/>
    <m/>
    <m/>
    <m/>
    <m/>
    <m/>
    <m/>
  </r>
  <r>
    <s v="405-9703611-2824356"/>
    <s v="405-9703611-2824356"/>
    <s v="2024-01-29T11:28:45+00:00"/>
    <s v="2024-01-29T23:49:4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rato"/>
    <s v="Po"/>
    <n v="59100"/>
    <s v="IT"/>
    <m/>
    <m/>
    <m/>
    <m/>
    <m/>
    <m/>
    <m/>
  </r>
  <r>
    <s v="407-4038439-2123567"/>
    <s v="407-4038439-2123567"/>
    <s v="2024-01-29T11:22:53+00:00"/>
    <s v="2024-01-29T20:18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Latiano"/>
    <s v="Brindisi"/>
    <n v="72022"/>
    <s v="IT"/>
    <m/>
    <m/>
    <m/>
    <m/>
    <m/>
    <m/>
    <m/>
  </r>
  <r>
    <s v="407-2291951-4309938"/>
    <m/>
    <s v="2024-01-29T11:19:08+00:00"/>
    <s v="2024-01-30T11:36:4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Lallio"/>
    <s v="Bg"/>
    <n v="24040"/>
    <s v="IT"/>
    <m/>
    <m/>
    <m/>
    <m/>
    <m/>
    <m/>
    <m/>
  </r>
  <r>
    <s v="405-6560127-4620309"/>
    <s v="405-6560127-4620309"/>
    <s v="2024-01-29T11:06:09+00:00"/>
    <s v="2024-02-03T11:08:06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gavirate"/>
    <s v="Varese"/>
    <n v="21026"/>
    <s v="IT"/>
    <m/>
    <m/>
    <m/>
    <m/>
    <m/>
    <m/>
    <m/>
  </r>
  <r>
    <s v="405-5974860-8013919"/>
    <s v="405-5974860-8013919"/>
    <s v="2024-01-29T11:00:11+00:00"/>
    <s v="2024-01-29T21:32:5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59"/>
    <s v="IT"/>
    <m/>
    <m/>
    <m/>
    <m/>
    <m/>
    <m/>
    <m/>
  </r>
  <r>
    <s v="407-6737166-6886724"/>
    <s v="407-6737166-6886724"/>
    <s v="2024-01-29T10:54:59+00:00"/>
    <s v="2024-01-29T16:00:4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RRU'"/>
    <s v="Cuneo"/>
    <n v="12061"/>
    <s v="IT"/>
    <m/>
    <m/>
    <m/>
    <m/>
    <m/>
    <m/>
    <m/>
  </r>
  <r>
    <s v="408-4357523-0918706"/>
    <s v="408-4357523-0918706"/>
    <s v="2024-01-29T10:46:46+00:00"/>
    <s v="2024-01-29T21:17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'Aquila"/>
    <s v="AQ"/>
    <n v="67100"/>
    <s v="IT"/>
    <m/>
    <m/>
    <m/>
    <m/>
    <m/>
    <m/>
    <m/>
  </r>
  <r>
    <s v="404-5186204-7807513"/>
    <s v="404-5186204-7807513"/>
    <s v="2024-01-29T10:34:41+00:00"/>
    <s v="2024-01-30T18:08:0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ssa"/>
    <s v="Massa-Carrara"/>
    <n v="54100"/>
    <s v="IT"/>
    <m/>
    <m/>
    <m/>
    <m/>
    <m/>
    <m/>
    <m/>
  </r>
  <r>
    <s v="408-4927889-7352350"/>
    <s v="408-4927889-7352350"/>
    <s v="2024-01-29T10:19:50+00:00"/>
    <s v="2024-01-29T18:16:54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ASTEL SAN PIETRO TERME"/>
    <s v="Bologna"/>
    <n v="40024"/>
    <s v="IT"/>
    <m/>
    <m/>
    <m/>
    <m/>
    <m/>
    <m/>
    <m/>
  </r>
  <r>
    <s v="402-1826813-5198745"/>
    <m/>
    <s v="2024-01-29T10:15:07+00:00"/>
    <s v="2024-01-30T10:57:3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Vecchiano"/>
    <s v="Pisa"/>
    <n v="56019"/>
    <s v="IT"/>
    <m/>
    <m/>
    <m/>
    <m/>
    <m/>
    <m/>
    <m/>
  </r>
  <r>
    <s v="405-1342908-9471550"/>
    <s v="405-1342908-9471550"/>
    <s v="2024-01-29T10:01:57+00:00"/>
    <s v="2024-01-29T18:52:1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prilia"/>
    <s v="LT"/>
    <n v="4011"/>
    <s v="IT"/>
    <m/>
    <m/>
    <m/>
    <m/>
    <s v="IT02917980597"/>
    <s v="IT"/>
    <s v="VAT"/>
  </r>
  <r>
    <s v="408-9989165-7292367"/>
    <s v="408-9989165-7292367"/>
    <s v="2024-01-29T09:55:26+00:00"/>
    <s v="2024-01-29T16:45:5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malfi"/>
    <s v="Salerno"/>
    <n v="84011"/>
    <s v="IT"/>
    <m/>
    <m/>
    <m/>
    <m/>
    <m/>
    <m/>
    <m/>
  </r>
  <r>
    <s v="404-7448408-8498735"/>
    <s v="404-7448408-8498735"/>
    <s v="2024-01-29T09:51:52+00:00"/>
    <s v="2024-01-29T23:12:44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Roma"/>
    <s v="Roma"/>
    <n v="125"/>
    <s v="IT"/>
    <m/>
    <m/>
    <m/>
    <m/>
    <m/>
    <m/>
    <m/>
  </r>
  <r>
    <s v="406-1387376-1760356"/>
    <s v="406-1387376-1760356"/>
    <s v="2024-01-29T09:40:16+00:00"/>
    <s v="2024-01-29T13:20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adova"/>
    <s v="PD"/>
    <n v="35020"/>
    <s v="IT"/>
    <m/>
    <m/>
    <m/>
    <m/>
    <m/>
    <m/>
    <m/>
  </r>
  <r>
    <s v="407-1098102-4480320"/>
    <s v="407-1098102-4480320"/>
    <s v="2024-01-29T09:27:18+00:00"/>
    <s v="2024-01-30T01:33:2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gliari"/>
    <s v="Cagliari"/>
    <n v="9124"/>
    <s v="IT"/>
    <m/>
    <m/>
    <m/>
    <m/>
    <m/>
    <m/>
    <m/>
  </r>
  <r>
    <s v="404-9148307-4638727"/>
    <s v="404-9148307-4638727"/>
    <s v="2024-01-29T09:22:15+00:00"/>
    <s v="2024-01-29T17:32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i"/>
    <m/>
    <n v="70122"/>
    <s v="IT"/>
    <m/>
    <m/>
    <m/>
    <m/>
    <m/>
    <m/>
    <m/>
  </r>
  <r>
    <s v="403-6303909-5235510"/>
    <s v="403-6303909-5235510"/>
    <s v="2024-01-29T09:15:36+00:00"/>
    <s v="2024-01-30T15:44:5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Puianello"/>
    <s v="Reggio Emilia"/>
    <n v="42020"/>
    <s v="IT"/>
    <m/>
    <m/>
    <m/>
    <m/>
    <m/>
    <m/>
    <m/>
  </r>
  <r>
    <s v="171-1051999-3396336"/>
    <s v="171-1051999-3396336"/>
    <s v="2024-01-29T08:56:09+00:00"/>
    <s v="2024-01-30T05:09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erona"/>
    <s v="VR"/>
    <n v="37138"/>
    <s v="IT"/>
    <m/>
    <m/>
    <m/>
    <m/>
    <m/>
    <m/>
    <m/>
  </r>
  <r>
    <s v="408-6870571-5581157"/>
    <s v="408-6870571-5581157"/>
    <s v="2024-01-29T08:54:30+00:00"/>
    <s v="2024-01-29T21:18:1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Ortona"/>
    <s v="CHIETI"/>
    <n v="66026"/>
    <s v="IT"/>
    <m/>
    <m/>
    <m/>
    <m/>
    <m/>
    <m/>
    <m/>
  </r>
  <r>
    <s v="406-1664313-4268312"/>
    <s v="406-1664313-4268312"/>
    <s v="2024-01-29T08:48:15+00:00"/>
    <s v="2024-01-29T08:54:52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Cento"/>
    <s v="Ferrara"/>
    <n v="44042"/>
    <s v="IT"/>
    <m/>
    <m/>
    <m/>
    <m/>
    <m/>
    <m/>
    <m/>
  </r>
  <r>
    <s v="406-4873129-5756320"/>
    <s v="406-4873129-5756320"/>
    <s v="2024-01-29T08:45:01+00:00"/>
    <s v="2024-01-31T02:36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Cazzago San Martino"/>
    <s v="Brescia"/>
    <n v="25046"/>
    <s v="IT"/>
    <m/>
    <m/>
    <m/>
    <m/>
    <m/>
    <m/>
    <m/>
  </r>
  <r>
    <s v="403-7383074-2726755"/>
    <s v="403-7383074-2726755"/>
    <s v="2024-01-29T08:44:13+00:00"/>
    <s v="2024-01-30T00:34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iove di Sacco"/>
    <s v="PD"/>
    <n v="35028"/>
    <s v="IT"/>
    <m/>
    <m/>
    <m/>
    <m/>
    <m/>
    <m/>
    <m/>
  </r>
  <r>
    <s v="403-3390846-7147512"/>
    <s v="403-3390846-7147512"/>
    <s v="2024-01-29T07:57:07+00:00"/>
    <s v="2024-01-29T12:02:5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nzo"/>
    <s v="Como"/>
    <n v="22035"/>
    <s v="IT"/>
    <m/>
    <m/>
    <m/>
    <m/>
    <m/>
    <m/>
    <m/>
  </r>
  <r>
    <s v="406-7736608-9610751"/>
    <s v="406-7736608-9610751"/>
    <s v="2024-01-29T07:54:54+00:00"/>
    <s v="2024-01-29T15:38:59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versa"/>
    <s v="CE"/>
    <n v="81031"/>
    <s v="IT"/>
    <m/>
    <m/>
    <m/>
    <m/>
    <m/>
    <m/>
    <m/>
  </r>
  <r>
    <s v="404-5783964-2193923"/>
    <s v="404-5783964-2193923"/>
    <s v="2024-01-29T07:42:44+00:00"/>
    <s v="2024-01-29T15:50:5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Maurizio Canavese"/>
    <s v="Torino"/>
    <n v="10077"/>
    <s v="IT"/>
    <m/>
    <m/>
    <m/>
    <m/>
    <m/>
    <m/>
    <m/>
  </r>
  <r>
    <s v="402-6969655-8417168"/>
    <s v="402-6969655-8417168"/>
    <s v="2024-01-29T07:40:31+00:00"/>
    <s v="2024-01-30T18:01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APOLI"/>
    <m/>
    <n v="80124"/>
    <s v="IT"/>
    <m/>
    <m/>
    <m/>
    <m/>
    <m/>
    <m/>
    <m/>
  </r>
  <r>
    <s v="403-2056126-9120306"/>
    <s v="403-2056126-9120306"/>
    <s v="2024-01-29T07:26:15+00:00"/>
    <s v="2024-01-29T18:15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ranello "/>
    <s v="MO"/>
    <n v="41053"/>
    <s v="IT"/>
    <m/>
    <m/>
    <m/>
    <m/>
    <m/>
    <m/>
    <m/>
  </r>
  <r>
    <s v="403-2115162-3106741"/>
    <s v="403-2115162-3106741"/>
    <s v="2024-01-29T07:08:21+00:00"/>
    <s v="2024-01-29T17:10:2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PACCIO PAESTUM"/>
    <s v="CAMPANIA"/>
    <n v="84047"/>
    <s v="IT"/>
    <m/>
    <m/>
    <m/>
    <m/>
    <m/>
    <m/>
    <m/>
  </r>
  <r>
    <s v="171-0831709-6653101"/>
    <m/>
    <s v="2024-01-29T06:17:05+00:00"/>
    <s v="2024-01-29T14:23:0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Roma"/>
    <m/>
    <n v="139"/>
    <s v="IT"/>
    <m/>
    <m/>
    <m/>
    <m/>
    <m/>
    <m/>
    <m/>
  </r>
  <r>
    <s v="402-7625491-4837949"/>
    <s v="402-7625491-4837949"/>
    <s v="2024-01-29T06:06:18+00:00"/>
    <s v="2024-01-31T01:36:5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ERDELLINO"/>
    <s v="BG"/>
    <n v="24040"/>
    <s v="IT"/>
    <m/>
    <m/>
    <m/>
    <m/>
    <m/>
    <m/>
    <m/>
  </r>
  <r>
    <s v="406-7495825-8864316"/>
    <s v="406-7495825-8864316"/>
    <s v="2024-01-29T05:54:09+00:00"/>
    <s v="2024-01-29T06:15:39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Verona"/>
    <s v="VR"/>
    <n v="37138"/>
    <s v="IT"/>
    <m/>
    <m/>
    <m/>
    <m/>
    <m/>
    <m/>
    <m/>
  </r>
  <r>
    <s v="171-5643055-8241155"/>
    <s v="171-5643055-8241155"/>
    <s v="2024-01-29T05:08:46+00:00"/>
    <s v="2024-01-29T16:38:08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n v="1.63"/>
    <m/>
    <m/>
    <m/>
    <m/>
    <n v="1.63"/>
    <s v="Gonnosfanadiga"/>
    <s v="VS"/>
    <n v="9035"/>
    <s v="IT"/>
    <m/>
    <m/>
    <m/>
    <m/>
    <m/>
    <m/>
    <m/>
  </r>
  <r>
    <s v="404-5293101-4818700"/>
    <s v="404-5293101-4818700"/>
    <s v="2024-01-29T05:03:12+00:00"/>
    <s v="2024-01-30T01:37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79"/>
    <s v="IT"/>
    <m/>
    <m/>
    <m/>
    <m/>
    <m/>
    <m/>
    <m/>
  </r>
  <r>
    <s v="408-7771037-7726700"/>
    <s v="408-7771037-7726700"/>
    <s v="2024-01-29T04:54:48+00:00"/>
    <s v="2024-01-29T08:23:19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8-9836736-8247501"/>
    <s v="408-9836736-8247501"/>
    <s v="2024-01-29T00:08:42+00:00"/>
    <s v="2024-01-29T08:26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selice"/>
    <s v="Padova"/>
    <n v="35043"/>
    <s v="IT"/>
    <m/>
    <m/>
    <m/>
    <m/>
    <m/>
    <m/>
    <m/>
  </r>
  <r>
    <s v="408-7602918-8437946"/>
    <s v="408-7602918-8437946"/>
    <s v="2024-01-28T23:25:21+00:00"/>
    <s v="2024-01-29T20:36:16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Nogara"/>
    <s v="Verona"/>
    <n v="37054"/>
    <s v="IT"/>
    <m/>
    <m/>
    <m/>
    <m/>
    <m/>
    <m/>
    <m/>
  </r>
  <r>
    <s v="408-6437616-2289947"/>
    <s v="408-6437616-2289947"/>
    <s v="2024-01-28T22:28:05+00:00"/>
    <s v="2024-01-31T18:29:41+00:00"/>
    <s v="Shipped"/>
    <x v="0"/>
    <x v="3"/>
    <m/>
    <m/>
    <s v="Standard"/>
    <s v="BEPER BT.150Y Macchina per Hot Dog, 5 Livelli di Cottura, 750 Watt, Design Vintage, Rosso"/>
    <s v="BT.150Y_FBA"/>
    <x v="5"/>
    <s v="Shipped"/>
    <n v="1"/>
    <s v="EUR"/>
    <n v="32.700000000000003"/>
    <m/>
    <n v="0.87"/>
    <m/>
    <m/>
    <m/>
    <m/>
    <n v="0.87"/>
    <s v="Massagno"/>
    <s v="Ticino"/>
    <n v="6900"/>
    <s v="CH"/>
    <m/>
    <m/>
    <m/>
    <m/>
    <m/>
    <m/>
    <m/>
  </r>
  <r>
    <s v="403-2086341-0226754"/>
    <s v="403-2086341-0226754"/>
    <s v="2024-01-28T22:03:39+00:00"/>
    <s v="2024-01-29T00:28:0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logna"/>
    <s v="Bologna"/>
    <n v="40129"/>
    <s v="IT"/>
    <m/>
    <m/>
    <m/>
    <m/>
    <m/>
    <m/>
    <m/>
  </r>
  <r>
    <s v="407-2782174-4633132"/>
    <m/>
    <s v="2024-01-28T21:47:51+00:00"/>
    <s v="2024-01-29T15:29:59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grosseto"/>
    <s v="grosseto"/>
    <n v="58100"/>
    <s v="IT"/>
    <m/>
    <m/>
    <m/>
    <m/>
    <m/>
    <m/>
    <m/>
  </r>
  <r>
    <s v="405-0639964-5365108"/>
    <s v="405-0639964-5365108"/>
    <s v="2024-01-28T21:40:29+00:00"/>
    <s v="2024-01-30T00:16:3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lla Cortese"/>
    <s v="Milano"/>
    <n v="20020"/>
    <s v="IT"/>
    <m/>
    <m/>
    <m/>
    <m/>
    <m/>
    <m/>
    <m/>
  </r>
  <r>
    <s v="404-9981078-0300326"/>
    <s v="404-9981078-0300326"/>
    <s v="2024-01-28T21:40:17+00:00"/>
    <s v="2024-01-29T01:55:5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2"/>
    <s v="EUR"/>
    <n v="65.8"/>
    <n v="11.86"/>
    <n v="4.99"/>
    <n v="0.9"/>
    <m/>
    <m/>
    <m/>
    <m/>
    <s v="Tivoli"/>
    <s v="Roma"/>
    <n v="19"/>
    <s v="IT"/>
    <m/>
    <m/>
    <m/>
    <m/>
    <m/>
    <m/>
    <m/>
  </r>
  <r>
    <s v="406-7511675-9308336"/>
    <s v="406-7511675-9308336"/>
    <s v="2024-01-28T21:34:24+00:00"/>
    <s v="2024-01-29T01:56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ROCIELO"/>
    <s v="Frosinone"/>
    <n v="3030"/>
    <s v="IT"/>
    <m/>
    <m/>
    <m/>
    <m/>
    <m/>
    <m/>
    <m/>
  </r>
  <r>
    <s v="406-4829952-1158738"/>
    <s v="406-4829952-1158738"/>
    <s v="2024-01-28T21:31:11+00:00"/>
    <s v="2024-01-29T19:02:5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2"/>
    <s v="EUR"/>
    <n v="69.8"/>
    <n v="12.58"/>
    <m/>
    <m/>
    <m/>
    <m/>
    <m/>
    <m/>
    <s v="Roma"/>
    <s v="Roma"/>
    <n v="148"/>
    <s v="IT"/>
    <m/>
    <m/>
    <m/>
    <m/>
    <m/>
    <m/>
    <m/>
  </r>
  <r>
    <s v="408-7488455-3249963"/>
    <s v="408-7488455-3249963"/>
    <s v="2024-01-28T21:20:42+00:00"/>
    <s v="2024-01-29T11:27:5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PRANICA"/>
    <s v="VT"/>
    <n v="1012"/>
    <s v="IT"/>
    <m/>
    <m/>
    <m/>
    <m/>
    <m/>
    <m/>
    <m/>
  </r>
  <r>
    <s v="407-5959091-3585115"/>
    <s v="407-5959091-3585115"/>
    <s v="2024-01-28T21:17:35+00:00"/>
    <s v="2024-01-29T21:20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55"/>
    <s v="IT"/>
    <m/>
    <m/>
    <m/>
    <m/>
    <m/>
    <m/>
    <m/>
  </r>
  <r>
    <s v="402-4906818-8204330"/>
    <s v="402-4906818-8204330"/>
    <s v="2024-01-28T21:15:30+00:00"/>
    <s v="2024-01-30T16:35:3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0900000000000001"/>
    <m/>
    <m/>
    <m/>
    <m/>
    <n v="1.0900000000000001"/>
    <s v="Ispica"/>
    <s v="Ragusa"/>
    <n v="97014"/>
    <s v="IT"/>
    <m/>
    <m/>
    <m/>
    <m/>
    <m/>
    <m/>
    <m/>
  </r>
  <r>
    <s v="171-5311901-0611552"/>
    <s v="171-5311901-0611552"/>
    <s v="2024-01-28T21:14:38+00:00"/>
    <s v="2024-01-29T01:22:4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esto Fiorentino"/>
    <s v="FI"/>
    <n v="50019"/>
    <s v="IT"/>
    <m/>
    <m/>
    <m/>
    <m/>
    <m/>
    <m/>
    <m/>
  </r>
  <r>
    <s v="408-6397985-3395527"/>
    <s v="408-6397985-3395527"/>
    <s v="2024-01-28T21:03:01+00:00"/>
    <s v="2024-01-29T02:33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ucca"/>
    <s v="Lucca"/>
    <n v="55100"/>
    <s v="IT"/>
    <m/>
    <m/>
    <m/>
    <m/>
    <m/>
    <m/>
    <m/>
  </r>
  <r>
    <s v="171-4928287-0357936"/>
    <s v="171-4928287-0357936"/>
    <s v="2024-01-28T21:01:43+00:00"/>
    <s v="2024-01-29T15:55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iaveno"/>
    <s v="Torino"/>
    <n v="10094"/>
    <s v="IT"/>
    <m/>
    <m/>
    <m/>
    <m/>
    <m/>
    <m/>
    <m/>
  </r>
  <r>
    <s v="171-4178580-3522751"/>
    <s v="171-4178580-3522751"/>
    <s v="2024-01-28T21:00:28+00:00"/>
    <s v="2024-01-29T01:57:4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99"/>
    <s v="IT"/>
    <m/>
    <m/>
    <m/>
    <m/>
    <m/>
    <m/>
    <m/>
  </r>
  <r>
    <s v="171-8734399-3297908"/>
    <s v="171-8734399-3297908"/>
    <s v="2024-01-28T20:54:50+00:00"/>
    <s v="2024-01-29T00:44:13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Calvizzano"/>
    <s v="NA"/>
    <n v="80012"/>
    <s v="IT"/>
    <m/>
    <m/>
    <m/>
    <m/>
    <m/>
    <m/>
    <m/>
  </r>
  <r>
    <s v="408-1360849-5673903"/>
    <s v="408-1360849-5673903"/>
    <s v="2024-01-28T20:37:12+00:00"/>
    <s v="2024-02-22T21:27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46"/>
    <s v="IT"/>
    <m/>
    <m/>
    <m/>
    <m/>
    <m/>
    <m/>
    <m/>
  </r>
  <r>
    <s v="408-1312044-9794750"/>
    <s v="408-1312044-9794750"/>
    <s v="2024-01-28T20:36:23+00:00"/>
    <s v="2024-02-01T01:02:4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n v="2.1800000000000002"/>
    <m/>
    <m/>
    <m/>
    <m/>
    <n v="2.1800000000000002"/>
    <s v="Calcinate"/>
    <s v="Bergamo"/>
    <n v="24050"/>
    <s v="IT"/>
    <m/>
    <m/>
    <m/>
    <m/>
    <m/>
    <m/>
    <m/>
  </r>
  <r>
    <s v="403-3084280-7637139"/>
    <m/>
    <s v="2024-01-28T20:33:39+00:00"/>
    <s v="2024-01-29T14:49:47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Milano"/>
    <s v="Milano"/>
    <n v="20143"/>
    <s v="IT"/>
    <m/>
    <m/>
    <m/>
    <m/>
    <m/>
    <m/>
    <m/>
  </r>
  <r>
    <s v="403-7041922-0996344"/>
    <s v="403-7041922-0996344"/>
    <s v="2024-01-28T20:31:03+00:00"/>
    <s v="2024-01-28T23:06:5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nsacco"/>
    <s v="Pisa"/>
    <n v="56038"/>
    <s v="IT"/>
    <m/>
    <m/>
    <m/>
    <m/>
    <m/>
    <m/>
    <m/>
  </r>
  <r>
    <s v="408-0776007-3372325"/>
    <m/>
    <s v="2024-01-28T20:27:41+00:00"/>
    <s v="2024-01-29T15:28:49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n v="3"/>
    <n v="0.54"/>
    <m/>
    <m/>
    <m/>
    <m/>
    <s v="PALERMO"/>
    <s v="PA"/>
    <n v="90135"/>
    <s v="IT"/>
    <m/>
    <m/>
    <m/>
    <m/>
    <m/>
    <m/>
    <m/>
  </r>
  <r>
    <s v="408-9935124-9444351"/>
    <s v="408-9935124-9444351"/>
    <s v="2024-01-28T20:21:29+00:00"/>
    <s v="2024-01-29T20:49:56+00:00"/>
    <s v="Shipped"/>
    <x v="0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an Bellino (Rovigo)"/>
    <s v="Italy"/>
    <n v="45020"/>
    <s v="IT"/>
    <m/>
    <m/>
    <m/>
    <m/>
    <m/>
    <m/>
    <m/>
  </r>
  <r>
    <s v="403-8954612-0050717"/>
    <s v="403-8954612-0050717"/>
    <s v="2024-01-28T20:12:42+00:00"/>
    <s v="2024-01-28T20:27:42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Ponsacco"/>
    <s v="Pisa"/>
    <n v="56038"/>
    <s v="IT"/>
    <m/>
    <m/>
    <m/>
    <m/>
    <m/>
    <m/>
    <m/>
  </r>
  <r>
    <s v="171-0206191-8476338"/>
    <s v="171-0206191-8476338"/>
    <s v="2024-01-28T20:09:47+00:00"/>
    <s v="2024-01-29T22:04:0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zevio"/>
    <s v="verona"/>
    <n v="37059"/>
    <s v="IT"/>
    <m/>
    <m/>
    <m/>
    <m/>
    <m/>
    <m/>
    <m/>
  </r>
  <r>
    <s v="408-9547311-4229910"/>
    <s v="408-9547311-4229910"/>
    <s v="2024-01-28T20:06:19+00:00"/>
    <s v="2024-01-29T03:32:57+00:00"/>
    <s v="Shipped"/>
    <x v="0"/>
    <x v="3"/>
    <m/>
    <s v="http://www.amazon.it"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9107661-8753917"/>
    <s v="171-9107661-8753917"/>
    <s v="2024-01-28T20:01:52+00:00"/>
    <s v="2024-01-29T02:34:0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RAVAGLIATO"/>
    <s v="Brescia"/>
    <n v="25039"/>
    <s v="IT"/>
    <m/>
    <m/>
    <m/>
    <m/>
    <m/>
    <m/>
    <m/>
  </r>
  <r>
    <s v="406-9388391-2712356"/>
    <s v="406-9388391-2712356"/>
    <s v="2024-01-28T19:59:43+00:00"/>
    <s v="2024-01-28T23:43:3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erona"/>
    <s v="VR"/>
    <n v="37138"/>
    <s v="IT"/>
    <m/>
    <m/>
    <m/>
    <m/>
    <m/>
    <m/>
    <m/>
  </r>
  <r>
    <s v="407-5446933-9261126"/>
    <s v="407-5446933-9261126"/>
    <s v="2024-01-28T19:56:25+00:00"/>
    <s v="2024-01-29T16:08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Chieri"/>
    <s v="Torino"/>
    <n v="10023"/>
    <s v="IT"/>
    <m/>
    <m/>
    <m/>
    <m/>
    <m/>
    <m/>
    <m/>
  </r>
  <r>
    <s v="408-8525203-1121108"/>
    <s v="408-8525203-1121108"/>
    <s v="2024-01-28T19:54:33+00:00"/>
    <s v="2024-01-29T08:13:2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7-6316693-3026739"/>
    <s v="407-6316693-3026739"/>
    <s v="2024-01-28T19:51:09+00:00"/>
    <s v="2024-01-29T03:14:3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Dairago"/>
    <s v="Milano"/>
    <n v="20036"/>
    <s v="IT"/>
    <m/>
    <m/>
    <m/>
    <m/>
    <m/>
    <m/>
    <m/>
  </r>
  <r>
    <s v="408-5354018-0837945"/>
    <s v="408-5354018-0837945"/>
    <s v="2024-01-28T19:49:33+00:00"/>
    <s v="2024-01-29T09:00:00+00:00"/>
    <s v="Shipped"/>
    <x v="0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2-8267678-5684310"/>
    <s v="402-8267678-5684310"/>
    <s v="2024-01-28T19:02:57+00:00"/>
    <s v="2024-01-29T04:55:5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albiate"/>
    <s v="Lecco"/>
    <n v="23851"/>
    <s v="IT"/>
    <m/>
    <m/>
    <m/>
    <m/>
    <m/>
    <m/>
    <m/>
  </r>
  <r>
    <s v="407-7800393-0814725"/>
    <s v="407-7800393-0814725"/>
    <s v="2024-01-28T18:57:37+00:00"/>
    <s v="2024-01-29T20:44:4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enova"/>
    <s v="GE"/>
    <n v="16163"/>
    <s v="IT"/>
    <m/>
    <m/>
    <m/>
    <m/>
    <m/>
    <m/>
    <m/>
  </r>
  <r>
    <s v="408-4988923-9502706"/>
    <s v="408-4988923-9502706"/>
    <s v="2024-01-28T18:55:06+00:00"/>
    <s v="2024-02-01T01:12:00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Orta di Atella"/>
    <s v="Caserta"/>
    <n v="81030"/>
    <s v="IT"/>
    <m/>
    <m/>
    <m/>
    <m/>
    <m/>
    <m/>
    <m/>
  </r>
  <r>
    <s v="406-3319352-3586765"/>
    <m/>
    <s v="2024-01-28T18:39:55+00:00"/>
    <s v="2024-01-29T14:49:55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Alessandria"/>
    <s v="AL"/>
    <n v="15121"/>
    <s v="IT"/>
    <m/>
    <m/>
    <m/>
    <m/>
    <m/>
    <m/>
    <m/>
  </r>
  <r>
    <s v="408-6759386-0917131"/>
    <s v="408-6759386-0917131"/>
    <s v="2024-01-28T18:23:49+00:00"/>
    <s v="2024-01-29T08:09:52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8-5670807-6007508"/>
    <s v="408-5670807-6007508"/>
    <s v="2024-01-28T18:06:06+00:00"/>
    <s v="2024-01-28T20:46:4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rbetello"/>
    <s v="Grosseto"/>
    <n v="58015"/>
    <s v="IT"/>
    <m/>
    <m/>
    <m/>
    <m/>
    <m/>
    <m/>
    <m/>
  </r>
  <r>
    <s v="407-8511877-3553902"/>
    <s v="407-8511877-3553902"/>
    <s v="2024-01-28T18:04:06+00:00"/>
    <s v="2024-01-29T15:49:5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Raffaele Cimena"/>
    <s v="Torino"/>
    <n v="10090"/>
    <s v="IT"/>
    <m/>
    <m/>
    <m/>
    <m/>
    <m/>
    <m/>
    <m/>
  </r>
  <r>
    <s v="403-7104449-6582721"/>
    <m/>
    <s v="2024-01-28T18:03:16+00:00"/>
    <s v="2024-01-29T14:49:45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Salandra"/>
    <s v="MT"/>
    <n v="75017"/>
    <s v="IT"/>
    <m/>
    <m/>
    <m/>
    <m/>
    <m/>
    <m/>
    <m/>
  </r>
  <r>
    <s v="404-1053950-2112328"/>
    <s v="404-1053950-2112328"/>
    <s v="2024-01-28T17:41:55+00:00"/>
    <s v="2024-01-29T02:33:1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vorno"/>
    <s v="LI"/>
    <n v="57127"/>
    <s v="IT"/>
    <m/>
    <m/>
    <m/>
    <m/>
    <m/>
    <m/>
    <m/>
  </r>
  <r>
    <s v="171-9076461-9885149"/>
    <s v="171-9076461-9885149"/>
    <s v="2024-01-28T17:39:58+00:00"/>
    <s v="2024-01-29T01:19:4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sano maderno"/>
    <s v="Monza e Brianza"/>
    <n v="20811"/>
    <s v="IT"/>
    <m/>
    <m/>
    <m/>
    <m/>
    <m/>
    <m/>
    <m/>
  </r>
  <r>
    <s v="402-7110089-4088348"/>
    <s v="402-7110089-4088348"/>
    <s v="2024-01-28T17:39:50+00:00"/>
    <s v="2024-01-30T20:56:3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3"/>
    <m/>
    <m/>
    <m/>
    <m/>
    <n v="1.63"/>
    <s v="TAVULLIA"/>
    <s v="PU"/>
    <n v="61010"/>
    <s v="IT"/>
    <m/>
    <m/>
    <m/>
    <m/>
    <m/>
    <m/>
    <m/>
  </r>
  <r>
    <s v="407-0905912-1581941"/>
    <s v="407-0905912-1581941"/>
    <s v="2024-01-28T17:31:58+00:00"/>
    <s v="2024-01-30T12:21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66"/>
    <n v="0.3"/>
    <m/>
    <m/>
    <m/>
    <m/>
    <s v="Palermo"/>
    <s v="Pa"/>
    <n v="90144"/>
    <s v="IT"/>
    <m/>
    <m/>
    <m/>
    <m/>
    <m/>
    <m/>
    <m/>
  </r>
  <r>
    <s v="402-1964083-3079549"/>
    <s v="402-1964083-3079549"/>
    <s v="2024-01-28T17:29:52+00:00"/>
    <s v="2024-01-29T01:23:0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IRENZE"/>
    <s v="Firenze"/>
    <n v="50145"/>
    <s v="IT"/>
    <m/>
    <m/>
    <m/>
    <m/>
    <m/>
    <m/>
    <m/>
  </r>
  <r>
    <s v="408-0062363-3909950"/>
    <m/>
    <s v="2024-01-28T17:28:42+00:00"/>
    <s v="2024-01-29T15:28:51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Vieste"/>
    <s v="Foggia"/>
    <n v="71019"/>
    <s v="IT"/>
    <m/>
    <m/>
    <m/>
    <m/>
    <m/>
    <m/>
    <m/>
  </r>
  <r>
    <s v="404-8165403-6941968"/>
    <s v="404-8165403-6941968"/>
    <s v="2024-01-28T17:18:42+00:00"/>
    <s v="2024-01-28T22:16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entana"/>
    <s v="Roma"/>
    <n v="13"/>
    <s v="IT"/>
    <m/>
    <m/>
    <m/>
    <m/>
    <m/>
    <m/>
    <m/>
  </r>
  <r>
    <s v="407-8240617-8790765"/>
    <s v="407-8240617-8790765"/>
    <s v="2024-01-28T17:07:28+00:00"/>
    <s v="2024-01-28T20:18:2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avenna"/>
    <s v="RA"/>
    <n v="48121"/>
    <s v="IT"/>
    <m/>
    <m/>
    <m/>
    <m/>
    <m/>
    <m/>
    <m/>
  </r>
  <r>
    <s v="171-9751028-5001951"/>
    <s v="171-9751028-5001951"/>
    <s v="2024-01-28T17:03:50+00:00"/>
    <s v="2024-01-28T20:23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Dalmine"/>
    <s v="Bergamo"/>
    <n v="24044"/>
    <s v="IT"/>
    <m/>
    <m/>
    <m/>
    <m/>
    <m/>
    <m/>
    <m/>
  </r>
  <r>
    <s v="406-6740519-6675549"/>
    <m/>
    <s v="2024-01-28T16:59:28+00:00"/>
    <s v="2024-01-29T14:49:53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Frosinone"/>
    <s v="FR"/>
    <n v="3100"/>
    <s v="IT"/>
    <m/>
    <m/>
    <m/>
    <m/>
    <s v="GRNFNC90C07D810Q"/>
    <s v="IT"/>
    <s v="CitizenId"/>
  </r>
  <r>
    <s v="405-8545701-1997943"/>
    <s v="405-8545701-1997943"/>
    <s v="2024-01-28T16:51:11+00:00"/>
    <s v="2024-01-29T01:20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igna"/>
    <s v="Firenze"/>
    <n v="50058"/>
    <s v="IT"/>
    <m/>
    <m/>
    <m/>
    <m/>
    <m/>
    <m/>
    <m/>
  </r>
  <r>
    <s v="404-7340968-4679563"/>
    <s v="404-7340968-4679563"/>
    <s v="2024-01-28T16:48:33+00:00"/>
    <s v="2024-01-29T18:45:4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remeno"/>
    <s v="LC"/>
    <n v="23814"/>
    <s v="IT"/>
    <m/>
    <m/>
    <m/>
    <m/>
    <m/>
    <m/>
    <m/>
  </r>
  <r>
    <s v="403-9345591-4099521"/>
    <m/>
    <s v="2024-01-28T16:24:59+00:00"/>
    <s v="2024-01-29T14:49:52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Milano"/>
    <s v="Milano"/>
    <n v="20156"/>
    <s v="IT"/>
    <m/>
    <m/>
    <m/>
    <m/>
    <m/>
    <m/>
    <m/>
  </r>
  <r>
    <s v="403-2942585-1518701"/>
    <s v="403-2942585-1518701"/>
    <s v="2024-01-28T16:16:56+00:00"/>
    <s v="2024-01-29T15:42:1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ara novarese"/>
    <s v="no"/>
    <n v="28073"/>
    <s v="IT"/>
    <m/>
    <m/>
    <m/>
    <m/>
    <m/>
    <m/>
    <m/>
  </r>
  <r>
    <s v="402-0728375-2649954"/>
    <s v="402-0728375-2649954"/>
    <s v="2024-01-28T16:11:08+00:00"/>
    <s v="2024-01-30T20:56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0900000000000001"/>
    <m/>
    <m/>
    <m/>
    <m/>
    <n v="1.0900000000000001"/>
    <s v="Sant'Elpidio A Mare"/>
    <s v="FM"/>
    <n v="63811"/>
    <s v="IT"/>
    <m/>
    <m/>
    <m/>
    <m/>
    <m/>
    <m/>
    <m/>
  </r>
  <r>
    <s v="407-7122909-3272310"/>
    <s v="407-7122909-3272310"/>
    <s v="2024-01-28T15:59:32+00:00"/>
    <s v="2024-01-30T12:12:39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Rionero in Vulture"/>
    <s v="Potenza"/>
    <n v="85028"/>
    <s v="IT"/>
    <m/>
    <m/>
    <m/>
    <m/>
    <m/>
    <m/>
    <m/>
  </r>
  <r>
    <s v="405-8643220-1039553"/>
    <m/>
    <s v="2024-01-28T15:56:16+00:00"/>
    <s v="2024-01-30T18:30:06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Tremestierietneo"/>
    <s v="Catania"/>
    <n v="95030"/>
    <s v="IT"/>
    <m/>
    <m/>
    <m/>
    <m/>
    <s v="IT05818020876"/>
    <s v="IT"/>
    <s v="VAT"/>
  </r>
  <r>
    <s v="405-6784337-7327526"/>
    <s v="405-6784337-7327526"/>
    <s v="2024-01-28T15:56:16+00:00"/>
    <s v="2024-01-30T18:31:10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Tremestierietneo"/>
    <s v="Catania"/>
    <n v="95030"/>
    <s v="IT"/>
    <m/>
    <m/>
    <m/>
    <m/>
    <s v="IT05818020876"/>
    <s v="IT"/>
    <s v="VAT"/>
  </r>
  <r>
    <s v="406-1985610-7125146"/>
    <m/>
    <s v="2024-01-28T15:42:54+00:00"/>
    <s v="2024-01-29T15:29:48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Brembate"/>
    <s v="Bergamo"/>
    <n v="24041"/>
    <s v="IT"/>
    <m/>
    <m/>
    <m/>
    <m/>
    <m/>
    <m/>
    <m/>
  </r>
  <r>
    <s v="406-2170785-9912337"/>
    <s v="406-2170785-9912337"/>
    <s v="2024-01-28T15:38:02+00:00"/>
    <s v="2024-01-29T20:54:48+00:00"/>
    <s v="Shipped"/>
    <x v="0"/>
    <x v="3"/>
    <m/>
    <m/>
    <s v="Standard"/>
    <s v="Beper BC.261 Vaporiera da 5 litri - Vaporiera Elettrica Con Timer per Cottura al Vapore di Riso, Pesce, Ravioli, Verdure, Carne - BFA Free"/>
    <s v="BC.261_FBA"/>
    <x v="3"/>
    <s v="Shipped"/>
    <n v="1"/>
    <s v="EUR"/>
    <n v="24.51"/>
    <m/>
    <n v="2.33"/>
    <m/>
    <m/>
    <m/>
    <m/>
    <n v="2.33"/>
    <s v="Rivera"/>
    <s v="Canton Ticino"/>
    <n v="6802"/>
    <s v="CH"/>
    <m/>
    <m/>
    <m/>
    <m/>
    <m/>
    <m/>
    <m/>
  </r>
  <r>
    <s v="406-5690761-9256355"/>
    <s v="406-5690761-9256355"/>
    <s v="2024-01-28T15:31:53+00:00"/>
    <s v="2024-01-28T21:42:23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Verona"/>
    <s v="Verona"/>
    <n v="37134"/>
    <s v="IT"/>
    <m/>
    <m/>
    <m/>
    <m/>
    <m/>
    <m/>
    <m/>
  </r>
  <r>
    <s v="406-1052687-7940344"/>
    <s v="406-1052687-7940344"/>
    <s v="2024-01-28T15:22:07+00:00"/>
    <s v="2024-01-29T04:30:13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Cittadella"/>
    <s v="PD"/>
    <n v="35013"/>
    <s v="IT"/>
    <m/>
    <m/>
    <m/>
    <m/>
    <m/>
    <m/>
    <m/>
  </r>
  <r>
    <s v="406-5954551-5743551"/>
    <m/>
    <s v="2024-01-28T15:16:03+00:00"/>
    <s v="2024-01-28T15:28:50+00:00"/>
    <s v="Cancelled"/>
    <x v="1"/>
    <x v="3"/>
    <s v="WebsiteOrderChannel"/>
    <m/>
    <s v="Standard"/>
    <s v="BEPER P201UTP100 Lampada di Sale con Intensità di Luce Regolabile - Lampada Unica, Intagliata a Mano con Base in Legno"/>
    <s v="P201UTP100"/>
    <x v="27"/>
    <m/>
    <n v="0"/>
    <m/>
    <m/>
    <m/>
    <m/>
    <m/>
    <m/>
    <m/>
    <m/>
    <m/>
    <s v="CORIGLIANO D'OTRANTO"/>
    <s v="Lecce"/>
    <n v="73022"/>
    <s v="IT"/>
    <m/>
    <m/>
    <m/>
    <m/>
    <m/>
    <m/>
    <m/>
  </r>
  <r>
    <s v="403-4922695-6433132"/>
    <s v="403-4922695-6433132"/>
    <s v="2024-01-28T15:01:44+00:00"/>
    <s v="2024-01-28T17:30:3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sera"/>
    <s v="VB"/>
    <n v="28855"/>
    <s v="IT"/>
    <m/>
    <m/>
    <m/>
    <m/>
    <m/>
    <m/>
    <m/>
  </r>
  <r>
    <s v="403-8554605-3833101"/>
    <m/>
    <s v="2024-01-28T14:58:45+00:00"/>
    <s v="2024-01-28T15:09:18+00:00"/>
    <s v="Cancell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m/>
    <n v="0"/>
    <m/>
    <m/>
    <m/>
    <m/>
    <m/>
    <m/>
    <m/>
    <m/>
    <m/>
    <s v="Milano"/>
    <s v="Lombardia, milano"/>
    <n v="20156"/>
    <s v="IT"/>
    <m/>
    <m/>
    <m/>
    <m/>
    <m/>
    <m/>
    <m/>
  </r>
  <r>
    <s v="171-8857273-8579562"/>
    <s v="171-8857273-8579562"/>
    <s v="2024-01-28T14:49:55+00:00"/>
    <s v="2024-01-28T20:54:1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ragnano"/>
    <s v="Napoli"/>
    <n v="80054"/>
    <s v="IT"/>
    <m/>
    <m/>
    <m/>
    <m/>
    <m/>
    <m/>
    <m/>
  </r>
  <r>
    <s v="405-9926770-5111526"/>
    <s v="405-9926770-5111526"/>
    <s v="2024-01-28T14:49:50+00:00"/>
    <s v="2024-01-29T03:14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richiana"/>
    <s v="Belluno"/>
    <n v="32028"/>
    <s v="IT"/>
    <m/>
    <m/>
    <m/>
    <m/>
    <m/>
    <m/>
    <m/>
  </r>
  <r>
    <s v="408-4792116-4259522"/>
    <s v="408-4792116-4259522"/>
    <s v="2024-01-28T14:47:32+00:00"/>
    <s v="2024-01-29T08:09:58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4-1255839-5779528"/>
    <m/>
    <s v="2024-01-28T14:47:19+00:00"/>
    <s v="2024-01-29T15:02:51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San marzano sul sarno"/>
    <s v="Salerno"/>
    <n v="84010"/>
    <s v="IT"/>
    <m/>
    <m/>
    <m/>
    <m/>
    <m/>
    <m/>
    <m/>
  </r>
  <r>
    <s v="402-2480250-5937918"/>
    <s v="402-2480250-5937918"/>
    <s v="2024-01-28T14:09:53+00:00"/>
    <s v="2024-01-28T17:31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m/>
    <n v="136"/>
    <s v="IT"/>
    <m/>
    <m/>
    <m/>
    <m/>
    <m/>
    <m/>
    <m/>
  </r>
  <r>
    <s v="171-6754649-3988357"/>
    <s v="171-6754649-3988357"/>
    <s v="2024-01-28T13:54:51+00:00"/>
    <s v="2024-01-28T22:22:4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oville ernica"/>
    <s v="Frosinone"/>
    <n v="3022"/>
    <s v="IT"/>
    <m/>
    <m/>
    <m/>
    <m/>
    <m/>
    <m/>
    <m/>
  </r>
  <r>
    <s v="408-6434277-2849952"/>
    <s v="408-6434277-2849952"/>
    <s v="2024-01-28T13:40:51+00:00"/>
    <s v="2024-01-28T21:41:09+00:00"/>
    <s v="Shipped"/>
    <x v="0"/>
    <x v="3"/>
    <m/>
    <m/>
    <s v="Expedited"/>
    <s v="BEPER C206UTI002 Copriscarpe Monouso Set 100 Sacchetti - Copriscarpe da Casa o Lavoro"/>
    <s v="C206UTI002_FBA"/>
    <x v="18"/>
    <s v="Shipped"/>
    <n v="1"/>
    <s v="EUR"/>
    <n v="16.899999999999999"/>
    <n v="3.05"/>
    <m/>
    <m/>
    <m/>
    <m/>
    <m/>
    <m/>
    <s v="COLOMBARE DI SIRMIONE"/>
    <s v="BS"/>
    <n v="25019"/>
    <s v="IT"/>
    <m/>
    <m/>
    <m/>
    <m/>
    <s v="BTAFNC99B02D284D"/>
    <s v="IT"/>
    <s v="CitizenId"/>
  </r>
  <r>
    <s v="404-1497281-6801141"/>
    <s v="404-1497281-6801141"/>
    <s v="2024-01-28T13:33:03+00:00"/>
    <s v="2024-01-28T20:55:0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Afragola"/>
    <s v="Napoli"/>
    <n v="80021"/>
    <s v="IT"/>
    <m/>
    <m/>
    <m/>
    <m/>
    <m/>
    <m/>
    <m/>
  </r>
  <r>
    <s v="405-3133535-1513109"/>
    <s v="405-3133535-1513109"/>
    <s v="2024-01-28T13:28:27+00:00"/>
    <s v="2024-01-29T13:18:5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cireale"/>
    <s v="Catania"/>
    <n v="95024"/>
    <s v="IT"/>
    <m/>
    <m/>
    <m/>
    <m/>
    <m/>
    <m/>
    <m/>
  </r>
  <r>
    <s v="407-9991936-9029912"/>
    <s v="407-9991936-9029912"/>
    <s v="2024-01-28T13:01:14+00:00"/>
    <s v="2024-01-29T12:38:2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ISOLA DI CAPO RIZZUTO"/>
    <m/>
    <n v="88841"/>
    <s v="IT"/>
    <m/>
    <m/>
    <m/>
    <m/>
    <m/>
    <m/>
    <m/>
  </r>
  <r>
    <s v="407-5270440-9410761"/>
    <s v="407-5270440-9410761"/>
    <s v="2024-01-28T12:49:00+00:00"/>
    <s v="2024-01-30T01:32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massi"/>
    <s v="VS"/>
    <n v="9030"/>
    <s v="IT"/>
    <m/>
    <m/>
    <m/>
    <m/>
    <m/>
    <m/>
    <m/>
  </r>
  <r>
    <s v="408-0400929-1803549"/>
    <s v="408-0400929-1803549"/>
    <s v="2024-01-28T12:48:49+00:00"/>
    <s v="2024-01-29T08:52:36+00:00"/>
    <s v="Shipped"/>
    <x v="0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6-8918172-6714769"/>
    <s v="406-8918172-6714769"/>
    <s v="2024-01-28T12:27:21+00:00"/>
    <s v="2024-01-29T07:50:4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erramanna"/>
    <s v="SU"/>
    <n v="9038"/>
    <s v="IT"/>
    <m/>
    <m/>
    <m/>
    <m/>
    <m/>
    <m/>
    <m/>
  </r>
  <r>
    <s v="408-0297135-4660354"/>
    <s v="408-0297135-4660354"/>
    <s v="2024-01-28T12:27:12+00:00"/>
    <s v="2024-01-28T21:25:2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39"/>
    <s v="IT"/>
    <m/>
    <m/>
    <m/>
    <m/>
    <m/>
    <m/>
    <m/>
  </r>
  <r>
    <s v="171-2905021-5293954"/>
    <s v="171-2905021-5293954"/>
    <s v="2024-01-28T12:26:18+00:00"/>
    <s v="2024-01-28T22:45:4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pilamberto"/>
    <s v="Modena"/>
    <n v="41057"/>
    <s v="IT"/>
    <m/>
    <m/>
    <m/>
    <m/>
    <m/>
    <m/>
    <m/>
  </r>
  <r>
    <s v="403-1684186-4955554"/>
    <s v="403-1684186-4955554"/>
    <s v="2024-01-28T12:19:11+00:00"/>
    <s v="2024-01-28T12:20:54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Bergamo"/>
    <s v="Bergamo"/>
    <n v="24127"/>
    <s v="IT"/>
    <m/>
    <m/>
    <m/>
    <m/>
    <m/>
    <m/>
    <m/>
  </r>
  <r>
    <s v="408-5416463-0007535"/>
    <s v="408-5416463-0007535"/>
    <s v="2024-01-28T12:06:57+00:00"/>
    <s v="2024-01-28T17:26:0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maiore"/>
    <s v="Lucca"/>
    <n v="55041"/>
    <s v="IT"/>
    <m/>
    <m/>
    <m/>
    <m/>
    <m/>
    <m/>
    <m/>
  </r>
  <r>
    <s v="407-0736085-2497935"/>
    <s v="407-0736085-2497935"/>
    <s v="2024-01-28T12:04:34+00:00"/>
    <s v="2024-01-29T23:38:4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33"/>
    <s v="IT"/>
    <m/>
    <m/>
    <m/>
    <m/>
    <m/>
    <m/>
    <m/>
  </r>
  <r>
    <s v="402-4290574-8009902"/>
    <s v="402-4290574-8009902"/>
    <s v="2024-01-28T11:51:57+00:00"/>
    <s v="2024-01-29T12:54:4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37"/>
    <s v="IT"/>
    <m/>
    <m/>
    <m/>
    <m/>
    <m/>
    <m/>
    <m/>
  </r>
  <r>
    <s v="404-0278132-2276328"/>
    <s v="404-0278132-2276328"/>
    <s v="2024-01-28T11:43:44+00:00"/>
    <s v="2024-01-29T10:36:2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udiano"/>
    <s v="BS"/>
    <n v="25030"/>
    <s v="IT"/>
    <m/>
    <m/>
    <m/>
    <m/>
    <m/>
    <m/>
    <m/>
  </r>
  <r>
    <s v="406-3856041-2993115"/>
    <s v="406-3856041-2993115"/>
    <s v="2024-01-28T11:41:15+00:00"/>
    <s v="2024-01-28T19:18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oglianise"/>
    <s v="Benevento"/>
    <n v="82030"/>
    <s v="IT"/>
    <m/>
    <m/>
    <m/>
    <m/>
    <m/>
    <m/>
    <m/>
  </r>
  <r>
    <s v="408-8677410-7028327"/>
    <s v="408-8677410-7028327"/>
    <s v="2024-01-28T11:27:08+00:00"/>
    <s v="2024-01-29T08:57:4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2-5604314-8080325"/>
    <s v="402-5604314-8080325"/>
    <s v="2024-01-28T11:26:15+00:00"/>
    <s v="2024-01-28T11:27:11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Porto san Giorgio"/>
    <s v="Fermo"/>
    <n v="63822"/>
    <s v="IT"/>
    <m/>
    <m/>
    <m/>
    <m/>
    <m/>
    <m/>
    <m/>
  </r>
  <r>
    <s v="408-0695671-1065106"/>
    <s v="408-0695671-1065106"/>
    <s v="2024-01-28T11:25:55+00:00"/>
    <s v="2024-01-29T08:22:20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7-7572282-4603549"/>
    <s v="407-7572282-4603549"/>
    <s v="2024-01-28T11:14:06+00:00"/>
    <s v="2024-01-28T23:03:2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iampino"/>
    <s v="Roma"/>
    <n v="43"/>
    <s v="IT"/>
    <m/>
    <m/>
    <m/>
    <m/>
    <m/>
    <m/>
    <m/>
  </r>
  <r>
    <s v="405-7954936-0698727"/>
    <s v="405-7954936-0698727"/>
    <s v="2024-01-28T11:06:34+00:00"/>
    <s v="2024-01-30T18:22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eleto Cavriglia"/>
    <s v="Arezzo"/>
    <n v="52022"/>
    <s v="IT"/>
    <m/>
    <m/>
    <m/>
    <m/>
    <m/>
    <m/>
    <m/>
  </r>
  <r>
    <s v="406-5703217-3744317"/>
    <s v="406-5703217-3744317"/>
    <s v="2024-01-28T10:49:27+00:00"/>
    <s v="2024-01-28T21:27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GIOVANNI TEATINO"/>
    <s v="CHIETI"/>
    <n v="66020"/>
    <s v="IT"/>
    <m/>
    <m/>
    <m/>
    <m/>
    <m/>
    <m/>
    <m/>
  </r>
  <r>
    <s v="403-6632187-9732305"/>
    <m/>
    <s v="2024-01-28T10:49:05+00:00"/>
    <s v="2024-01-29T14:30:13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4.9"/>
    <n v="2.69"/>
    <n v="3"/>
    <n v="0.54"/>
    <m/>
    <m/>
    <m/>
    <m/>
    <s v="GRANAROLO DELL'EMILIA"/>
    <s v="Bologna"/>
    <n v="40057"/>
    <s v="IT"/>
    <m/>
    <m/>
    <m/>
    <m/>
    <m/>
    <m/>
    <m/>
  </r>
  <r>
    <s v="404-8920571-7421105"/>
    <s v="404-8920571-7421105"/>
    <s v="2024-01-28T10:48:21+00:00"/>
    <s v="2024-01-28T15:35:33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Cassino"/>
    <s v="Frosinone"/>
    <n v="3043"/>
    <s v="IT"/>
    <m/>
    <m/>
    <m/>
    <m/>
    <m/>
    <m/>
    <m/>
  </r>
  <r>
    <s v="408-0907656-4893922"/>
    <s v="408-0907656-4893922"/>
    <s v="2024-01-28T10:33:22+00:00"/>
    <s v="2024-01-29T17:10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PIEMONTE"/>
    <n v="10149"/>
    <s v="IT"/>
    <m/>
    <m/>
    <m/>
    <m/>
    <m/>
    <m/>
    <m/>
  </r>
  <r>
    <s v="403-0609438-8253904"/>
    <s v="403-0609438-8253904"/>
    <s v="2024-01-28T10:18:23+00:00"/>
    <s v="2024-01-28T17:27:57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Pieve emanuele"/>
    <s v="Milano"/>
    <n v="20090"/>
    <s v="IT"/>
    <m/>
    <m/>
    <m/>
    <m/>
    <m/>
    <m/>
    <m/>
  </r>
  <r>
    <s v="404-3688155-4712347"/>
    <s v="404-3688155-4712347"/>
    <s v="2024-01-28T10:13:41+00:00"/>
    <s v="2024-01-28T15:48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TO"/>
    <n v="10152"/>
    <s v="IT"/>
    <m/>
    <m/>
    <m/>
    <m/>
    <m/>
    <m/>
    <m/>
  </r>
  <r>
    <s v="405-3980405-7375558"/>
    <s v="405-3980405-7375558"/>
    <s v="2024-01-28T09:33:05+00:00"/>
    <s v="2024-01-28T18:11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to Stefano al Mare"/>
    <s v="IM"/>
    <n v="18010"/>
    <s v="IT"/>
    <m/>
    <m/>
    <m/>
    <m/>
    <m/>
    <m/>
    <m/>
  </r>
  <r>
    <s v="408-2430860-5407505"/>
    <s v="408-2430860-5407505"/>
    <s v="2024-01-28T09:21:40+00:00"/>
    <s v="2024-01-28T12:33:55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Almese"/>
    <s v="Torino"/>
    <n v="10040"/>
    <s v="IT"/>
    <m/>
    <m/>
    <m/>
    <m/>
    <m/>
    <m/>
    <m/>
  </r>
  <r>
    <s v="405-1196160-2307504"/>
    <m/>
    <s v="2024-01-28T09:15:59+00:00"/>
    <s v="2024-01-29T14:49:42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n v="3"/>
    <n v="0.54"/>
    <m/>
    <m/>
    <m/>
    <m/>
    <s v="morciano di romagna"/>
    <s v="rimini"/>
    <n v="47833"/>
    <s v="IT"/>
    <m/>
    <m/>
    <m/>
    <m/>
    <m/>
    <m/>
    <m/>
  </r>
  <r>
    <s v="403-3223219-7094706"/>
    <s v="403-3223219-7094706"/>
    <s v="2024-01-28T09:10:38+00:00"/>
    <s v="2024-01-30T12:24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TO"/>
    <n v="10151"/>
    <s v="IT"/>
    <m/>
    <m/>
    <m/>
    <m/>
    <m/>
    <m/>
    <m/>
  </r>
  <r>
    <s v="404-4965523-5153148"/>
    <m/>
    <s v="2024-01-28T09:04:40+00:00"/>
    <s v="2024-01-30T14:38:29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3"/>
    <s v="EUR"/>
    <n v="212.7"/>
    <n v="38.369999999999997"/>
    <n v="9"/>
    <n v="1.62"/>
    <m/>
    <m/>
    <m/>
    <m/>
    <s v="Verona"/>
    <s v="VR"/>
    <n v="37138"/>
    <s v="IT"/>
    <m/>
    <m/>
    <m/>
    <m/>
    <s v="IT02178220238"/>
    <s v="IT"/>
    <s v="VAT"/>
  </r>
  <r>
    <s v="405-5167033-5729945"/>
    <s v="405-5167033-5729945"/>
    <s v="2024-01-28T09:03:47+00:00"/>
    <s v="2024-01-28T21:42:2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olta Mantovana"/>
    <s v="Mantova"/>
    <n v="46049"/>
    <s v="IT"/>
    <m/>
    <m/>
    <m/>
    <m/>
    <m/>
    <m/>
    <m/>
  </r>
  <r>
    <s v="405-0072877-4625137"/>
    <s v="405-0072877-4625137"/>
    <s v="2024-01-28T08:55:15+00:00"/>
    <s v="2024-01-28T20:55:0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Napoli"/>
    <s v="Napoli"/>
    <n v="80142"/>
    <s v="IT"/>
    <m/>
    <m/>
    <m/>
    <m/>
    <m/>
    <m/>
    <m/>
  </r>
  <r>
    <s v="407-3324244-1457918"/>
    <s v="407-3324244-1457918"/>
    <s v="2024-01-28T08:43:49+00:00"/>
    <s v="2024-01-29T17:21:5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38"/>
    <s v="IT"/>
    <m/>
    <m/>
    <m/>
    <m/>
    <m/>
    <m/>
    <m/>
  </r>
  <r>
    <s v="403-8086151-9306738"/>
    <m/>
    <s v="2024-01-28T08:27:56+00:00"/>
    <s v="2024-01-29T15:28:5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ezzane di Sotto"/>
    <s v="Verona"/>
    <n v="37030"/>
    <s v="IT"/>
    <m/>
    <m/>
    <m/>
    <m/>
    <m/>
    <m/>
    <m/>
  </r>
  <r>
    <s v="405-3356038-8617918"/>
    <s v="405-3356038-8617918"/>
    <s v="2024-01-28T08:20:58+00:00"/>
    <s v="2024-01-29T17:36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i"/>
    <s v="BA"/>
    <n v="70124"/>
    <s v="IT"/>
    <m/>
    <m/>
    <m/>
    <m/>
    <m/>
    <m/>
    <m/>
  </r>
  <r>
    <s v="407-6005615-1556327"/>
    <s v="407-6005615-1556327"/>
    <s v="2024-01-28T08:06:14+00:00"/>
    <s v="2024-01-28T16:47:0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uccinasco"/>
    <s v="Milano"/>
    <n v="20090"/>
    <s v="IT"/>
    <m/>
    <m/>
    <m/>
    <m/>
    <m/>
    <m/>
    <m/>
  </r>
  <r>
    <s v="406-4564412-8829902"/>
    <m/>
    <s v="2024-01-28T07:50:51+00:00"/>
    <s v="2024-01-29T15:28:5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Padova"/>
    <s v="Padova"/>
    <n v="35126"/>
    <s v="IT"/>
    <m/>
    <m/>
    <m/>
    <m/>
    <m/>
    <m/>
    <m/>
  </r>
  <r>
    <s v="403-0715989-6371562"/>
    <s v="403-0715989-6371562"/>
    <s v="2024-01-28T07:46:19+00:00"/>
    <s v="2024-01-28T20:55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ORLI'"/>
    <s v="FC"/>
    <n v="47122"/>
    <s v="IT"/>
    <m/>
    <m/>
    <m/>
    <m/>
    <m/>
    <m/>
    <m/>
  </r>
  <r>
    <s v="408-1840888-1459525"/>
    <s v="408-1840888-1459525"/>
    <s v="2024-01-28T07:29:13+00:00"/>
    <s v="2024-01-28T11:21:5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ISOLA SACRA"/>
    <s v="Roma"/>
    <n v="54"/>
    <s v="IT"/>
    <m/>
    <m/>
    <m/>
    <m/>
    <m/>
    <m/>
    <m/>
  </r>
  <r>
    <s v="407-0683691-9352345"/>
    <m/>
    <s v="2024-01-28T06:50:52+00:00"/>
    <s v="2024-01-29T14:19:5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Genova"/>
    <s v="GE"/>
    <n v="16145"/>
    <s v="IT"/>
    <m/>
    <m/>
    <m/>
    <m/>
    <m/>
    <m/>
    <m/>
  </r>
  <r>
    <s v="403-0421693-5101924"/>
    <s v="403-0421693-5101924"/>
    <s v="2024-01-28T01:10:40+00:00"/>
    <s v="2024-01-28T17:23:2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s v="Bologna"/>
    <n v="40124"/>
    <s v="IT"/>
    <m/>
    <m/>
    <m/>
    <m/>
    <m/>
    <m/>
    <m/>
  </r>
  <r>
    <s v="403-4222714-8466750"/>
    <s v="403-4222714-8466750"/>
    <s v="2024-01-27T22:35:56+00:00"/>
    <s v="2024-02-01T22:43:13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Padova"/>
    <s v="Italia"/>
    <n v="35010"/>
    <s v="IT"/>
    <m/>
    <m/>
    <m/>
    <m/>
    <m/>
    <m/>
    <m/>
  </r>
  <r>
    <s v="404-0015551-5535541"/>
    <s v="404-0015551-5535541"/>
    <s v="2024-01-27T22:13:56+00:00"/>
    <s v="2024-01-28T14:26:1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eltre"/>
    <s v="Belluno"/>
    <n v="32032"/>
    <s v="IT"/>
    <m/>
    <m/>
    <m/>
    <m/>
    <m/>
    <m/>
    <m/>
  </r>
  <r>
    <s v="408-6716760-3764368"/>
    <s v="408-6716760-3764368"/>
    <s v="2024-01-27T21:36:21+00:00"/>
    <s v="2024-01-28T02:22:5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Varcaturo"/>
    <s v="Napoli"/>
    <n v="80014"/>
    <s v="IT"/>
    <m/>
    <m/>
    <m/>
    <m/>
    <m/>
    <m/>
    <m/>
  </r>
  <r>
    <s v="403-4300096-8658701"/>
    <s v="403-4300096-8658701"/>
    <s v="2024-01-27T21:31:41+00:00"/>
    <s v="2024-01-29T17:23:4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Crema"/>
    <s v="Cremona"/>
    <n v="26013"/>
    <s v="IT"/>
    <m/>
    <m/>
    <m/>
    <m/>
    <m/>
    <m/>
    <m/>
  </r>
  <r>
    <s v="402-9813455-5765105"/>
    <s v="402-9813455-5765105"/>
    <s v="2024-01-27T21:04:31+00:00"/>
    <s v="2024-01-29T02:35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rescia"/>
    <s v="Bs"/>
    <n v="25125"/>
    <s v="IT"/>
    <m/>
    <m/>
    <m/>
    <m/>
    <m/>
    <m/>
    <m/>
  </r>
  <r>
    <s v="171-2393206-1753926"/>
    <s v="171-2393206-1753926"/>
    <s v="2024-01-27T20:52:29+00:00"/>
    <s v="2024-01-28T08:56:53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Bolzano"/>
    <s v="Italy"/>
    <n v="39100"/>
    <s v="IT"/>
    <m/>
    <m/>
    <m/>
    <m/>
    <m/>
    <m/>
    <m/>
  </r>
  <r>
    <s v="408-6632211-8714730"/>
    <s v="408-6632211-8714730"/>
    <s v="2024-01-27T20:45:43+00:00"/>
    <s v="2024-01-28T15:56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arma"/>
    <s v="Parma"/>
    <n v="43123"/>
    <s v="IT"/>
    <m/>
    <m/>
    <m/>
    <m/>
    <m/>
    <m/>
    <m/>
  </r>
  <r>
    <s v="171-3073592-2763539"/>
    <s v="171-3073592-2763539"/>
    <s v="2024-01-27T20:43:05+00:00"/>
    <s v="2024-01-30T21:27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ieti"/>
    <s v="Ri"/>
    <n v="2100"/>
    <s v="IT"/>
    <m/>
    <m/>
    <m/>
    <m/>
    <n v="1128070578"/>
    <s v="IT"/>
    <s v="VAT"/>
  </r>
  <r>
    <s v="406-4296046-3432361"/>
    <s v="406-4296046-3432361"/>
    <s v="2024-01-27T20:00:50+00:00"/>
    <s v="2024-01-28T02:34:2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GOLLO DEL CENGIO"/>
    <s v="VICENZA"/>
    <n v="36010"/>
    <s v="IT"/>
    <m/>
    <m/>
    <m/>
    <m/>
    <m/>
    <m/>
    <m/>
  </r>
  <r>
    <s v="171-5148286-1325108"/>
    <s v="171-5148286-1325108"/>
    <s v="2024-01-27T19:52:30+00:00"/>
    <s v="2024-01-28T01:06:1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assa finalese"/>
    <s v="Modena"/>
    <n v="41035"/>
    <s v="IT"/>
    <m/>
    <m/>
    <m/>
    <m/>
    <m/>
    <m/>
    <m/>
  </r>
  <r>
    <s v="404-3167701-2669146"/>
    <s v="404-3167701-2669146"/>
    <s v="2024-01-27T19:33:18+00:00"/>
    <s v="2024-01-28T00:28:1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oale"/>
    <s v="ve"/>
    <n v="30033"/>
    <s v="IT"/>
    <m/>
    <m/>
    <m/>
    <m/>
    <m/>
    <m/>
    <m/>
  </r>
  <r>
    <s v="408-4585025-4441113"/>
    <s v="408-4585025-4441113"/>
    <s v="2024-01-27T19:23:41+00:00"/>
    <s v="2024-01-29T22:30:5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rancavilla al Mare"/>
    <s v="Chieti"/>
    <n v="66023"/>
    <s v="IT"/>
    <m/>
    <m/>
    <m/>
    <m/>
    <m/>
    <m/>
    <m/>
  </r>
  <r>
    <s v="402-0172164-3153936"/>
    <s v="402-0172164-3153936"/>
    <s v="2024-01-27T19:19:52+00:00"/>
    <s v="2024-01-28T15:35:3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POLO DEI CAVALIERI"/>
    <s v="Roma"/>
    <n v="10"/>
    <s v="IT"/>
    <m/>
    <m/>
    <m/>
    <m/>
    <m/>
    <m/>
    <m/>
  </r>
  <r>
    <s v="403-0955532-9387564"/>
    <s v="403-0955532-9387564"/>
    <s v="2024-01-27T19:10:07+00:00"/>
    <s v="2024-01-28T20:47:10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Riccione"/>
    <s v="Rimini"/>
    <n v="47838"/>
    <s v="IT"/>
    <m/>
    <m/>
    <m/>
    <m/>
    <m/>
    <m/>
    <m/>
  </r>
  <r>
    <s v="404-6774282-2249943"/>
    <s v="404-6774282-2249943"/>
    <s v="2024-01-27T18:56:29+00:00"/>
    <s v="2024-01-28T04:56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mbia"/>
    <s v="novara"/>
    <n v="28050"/>
    <s v="IT"/>
    <m/>
    <m/>
    <m/>
    <m/>
    <m/>
    <m/>
    <m/>
  </r>
  <r>
    <s v="408-7759884-7666731"/>
    <s v="408-7759884-7666731"/>
    <s v="2024-01-27T18:46:42+00:00"/>
    <s v="2024-01-29T08:09:53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4-4442929-7297906"/>
    <s v="404-4442929-7297906"/>
    <s v="2024-01-27T18:28:53+00:00"/>
    <s v="2024-01-27T21:16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MELITO DI NAPOLI"/>
    <s v="NA"/>
    <n v="80017"/>
    <s v="IT"/>
    <m/>
    <m/>
    <m/>
    <m/>
    <m/>
    <m/>
    <m/>
  </r>
  <r>
    <s v="402-5023837-9980337"/>
    <s v="402-5023837-9980337"/>
    <s v="2024-01-27T18:22:44+00:00"/>
    <s v="2024-01-28T13:23:3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llacidro"/>
    <s v="Sud Sardegna"/>
    <n v="9039"/>
    <s v="IT"/>
    <m/>
    <m/>
    <m/>
    <m/>
    <m/>
    <m/>
    <m/>
  </r>
  <r>
    <s v="406-4442835-0969100"/>
    <m/>
    <s v="2024-01-27T17:54:32+00:00"/>
    <s v="2024-01-29T15:28:5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oscufo"/>
    <s v="Pescara"/>
    <n v="65010"/>
    <s v="IT"/>
    <m/>
    <m/>
    <m/>
    <m/>
    <m/>
    <m/>
    <m/>
  </r>
  <r>
    <s v="403-4894361-8248313"/>
    <s v="403-4894361-8248313"/>
    <s v="2024-01-27T17:46:40+00:00"/>
    <s v="2024-01-28T15:33:50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Acerra"/>
    <s v="Napoli"/>
    <n v="80011"/>
    <s v="IT"/>
    <m/>
    <m/>
    <m/>
    <m/>
    <m/>
    <m/>
    <m/>
  </r>
  <r>
    <s v="406-8441185-2048334"/>
    <s v="406-8441185-2048334"/>
    <s v="2024-01-27T17:45:47+00:00"/>
    <s v="2024-01-28T19:15:25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Napoli"/>
    <s v="Na"/>
    <n v="80126"/>
    <s v="IT"/>
    <m/>
    <m/>
    <m/>
    <m/>
    <m/>
    <m/>
    <m/>
  </r>
  <r>
    <s v="408-6094438-2181905"/>
    <s v="408-6094438-2181905"/>
    <s v="2024-01-27T17:42:25+00:00"/>
    <s v="2024-01-29T09:00:02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6-0900270-1041165"/>
    <s v="406-0900270-1041165"/>
    <s v="2024-01-27T17:34:22+00:00"/>
    <s v="2024-01-28T10:44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essina"/>
    <s v="MESSINA"/>
    <n v="98122"/>
    <s v="IT"/>
    <m/>
    <m/>
    <m/>
    <m/>
    <m/>
    <m/>
    <m/>
  </r>
  <r>
    <s v="403-9909318-1364339"/>
    <s v="403-9909318-1364339"/>
    <s v="2024-01-27T17:21:37+00:00"/>
    <s v="2024-01-27T23:46:15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Desenzano del Garda"/>
    <s v="BS"/>
    <n v="25015"/>
    <s v="IT"/>
    <m/>
    <m/>
    <m/>
    <m/>
    <m/>
    <m/>
    <m/>
  </r>
  <r>
    <s v="171-6871204-5385938"/>
    <s v="171-6871204-5385938"/>
    <s v="2024-01-27T17:18:19+00:00"/>
    <s v="2024-01-28T01:04:07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Cento"/>
    <s v="FE"/>
    <n v="44042"/>
    <s v="IT"/>
    <m/>
    <m/>
    <m/>
    <m/>
    <m/>
    <m/>
    <m/>
  </r>
  <r>
    <s v="405-7311249-8656326"/>
    <m/>
    <s v="2024-01-27T17:00:11+00:00"/>
    <s v="2024-01-30T08:33:31+00:00"/>
    <s v="Cancelled"/>
    <x v="1"/>
    <x v="3"/>
    <s v="WebsiteOrderChannel"/>
    <m/>
    <s v="Standard"/>
    <s v="BEPER 90.825 Fornello Elettrico in Acciaio Inossidabile con 5 Livelli di Potenza - Fornello Elettrico 2 Piastre"/>
    <n v="90825"/>
    <x v="23"/>
    <m/>
    <n v="0"/>
    <m/>
    <m/>
    <m/>
    <m/>
    <m/>
    <m/>
    <m/>
    <m/>
    <m/>
    <s v="ALESSANDRIA"/>
    <s v="Alessandria"/>
    <n v="15121"/>
    <s v="IT"/>
    <m/>
    <m/>
    <m/>
    <m/>
    <m/>
    <m/>
    <m/>
  </r>
  <r>
    <s v="406-1520808-7532328"/>
    <s v="406-1520808-7532328"/>
    <s v="2024-01-27T16:45:47+00:00"/>
    <s v="2024-01-27T21:19:0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ri"/>
    <s v="BA"/>
    <n v="70121"/>
    <s v="IT"/>
    <m/>
    <m/>
    <m/>
    <m/>
    <m/>
    <m/>
    <m/>
  </r>
  <r>
    <s v="171-9126289-1780323"/>
    <s v="171-9126289-1780323"/>
    <s v="2024-01-27T16:26:12+00:00"/>
    <s v="2024-01-28T11:21:44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Roma"/>
    <s v="RM"/>
    <n v="197"/>
    <s v="IT"/>
    <m/>
    <m/>
    <m/>
    <m/>
    <m/>
    <m/>
    <m/>
  </r>
  <r>
    <s v="405-4020895-9965114"/>
    <s v="405-4020895-9965114"/>
    <s v="2024-01-27T16:25:12+00:00"/>
    <s v="2024-01-28T21:42:1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AVIS"/>
    <s v="Trento"/>
    <n v="38015"/>
    <s v="IT"/>
    <m/>
    <m/>
    <m/>
    <m/>
    <m/>
    <m/>
    <m/>
  </r>
  <r>
    <s v="403-0507729-8216317"/>
    <s v="403-0507729-8216317"/>
    <s v="2024-01-27T16:20:36+00:00"/>
    <s v="2024-01-27T21:16:2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andrino"/>
    <s v="NA"/>
    <n v="80025"/>
    <s v="IT"/>
    <m/>
    <m/>
    <m/>
    <m/>
    <m/>
    <m/>
    <m/>
  </r>
  <r>
    <s v="404-8545763-7382760"/>
    <s v="404-8545763-7382760"/>
    <s v="2024-01-27T16:08:23+00:00"/>
    <s v="2024-01-28T01:34:5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edico"/>
    <s v="BL"/>
    <n v="32036"/>
    <s v="IT"/>
    <m/>
    <m/>
    <m/>
    <m/>
    <m/>
    <m/>
    <m/>
  </r>
  <r>
    <s v="405-7279033-5917119"/>
    <s v="405-7279033-5917119"/>
    <s v="2024-01-27T16:03:43+00:00"/>
    <s v="2024-01-27T16:38:52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Villa Cortese"/>
    <s v="Milano"/>
    <n v="20020"/>
    <s v="IT"/>
    <m/>
    <m/>
    <m/>
    <m/>
    <m/>
    <m/>
    <m/>
  </r>
  <r>
    <s v="404-3403217-5948332"/>
    <s v="404-3403217-5948332"/>
    <s v="2024-01-27T16:01:42+00:00"/>
    <s v="2024-02-01T17:02:44+00:00"/>
    <s v="Cancell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Cancelled"/>
    <n v="0"/>
    <m/>
    <m/>
    <m/>
    <m/>
    <m/>
    <m/>
    <m/>
    <m/>
    <m/>
    <s v="Napoli"/>
    <s v="NA"/>
    <n v="80126"/>
    <s v="IT"/>
    <m/>
    <m/>
    <m/>
    <m/>
    <m/>
    <m/>
    <m/>
  </r>
  <r>
    <s v="404-8856618-3115510"/>
    <s v="404-8856618-3115510"/>
    <s v="2024-01-27T15:59:43+00:00"/>
    <s v="2024-01-28T15:35:5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37"/>
    <s v="IT"/>
    <m/>
    <m/>
    <m/>
    <m/>
    <m/>
    <m/>
    <m/>
  </r>
  <r>
    <s v="404-9472968-6479511"/>
    <s v="404-9472968-6479511"/>
    <s v="2024-01-27T15:26:46+00:00"/>
    <s v="2024-01-29T22:46:2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rancavilla al mare"/>
    <s v="Chieti"/>
    <n v="66023"/>
    <s v="IT"/>
    <m/>
    <m/>
    <m/>
    <m/>
    <m/>
    <m/>
    <m/>
  </r>
  <r>
    <s v="404-3955691-9618729"/>
    <s v="404-3955691-9618729"/>
    <s v="2024-01-27T15:22:35+00:00"/>
    <s v="2024-01-27T18:09:3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rpi"/>
    <s v="MO"/>
    <n v="41012"/>
    <s v="IT"/>
    <m/>
    <m/>
    <m/>
    <m/>
    <m/>
    <m/>
    <m/>
  </r>
  <r>
    <s v="403-6045414-0535511"/>
    <s v="403-6045414-0535511"/>
    <s v="2024-01-27T15:15:47+00:00"/>
    <s v="2024-01-30T21:49:5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43"/>
    <s v="IT"/>
    <m/>
    <m/>
    <m/>
    <m/>
    <m/>
    <m/>
    <m/>
  </r>
  <r>
    <s v="405-0478629-2372355"/>
    <s v="405-0478629-2372355"/>
    <s v="2024-01-27T14:55:45+00:00"/>
    <s v="2024-01-29T00:40:03+00:00"/>
    <s v="Shipped"/>
    <x v="0"/>
    <x v="3"/>
    <m/>
    <m/>
    <s v="Expedited"/>
    <s v="BEPER C206UTI002 Copriscarpe Monouso Set 100 Sacchetti - Copriscarpe da Casa o Lavoro"/>
    <s v="C206UTI002_FBA"/>
    <x v="18"/>
    <s v="Shipped"/>
    <n v="2"/>
    <s v="EUR"/>
    <n v="33.799999999999997"/>
    <n v="6.1"/>
    <m/>
    <m/>
    <m/>
    <m/>
    <m/>
    <m/>
    <s v="Selvazzano dentro"/>
    <s v="Padova"/>
    <n v="35030"/>
    <s v="IT"/>
    <m/>
    <m/>
    <m/>
    <m/>
    <m/>
    <m/>
    <m/>
  </r>
  <r>
    <s v="402-2775484-3365165"/>
    <s v="402-2775484-3365165"/>
    <s v="2024-01-27T14:46:56+00:00"/>
    <s v="2024-01-28T21:24:3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imini"/>
    <s v="Rimini"/>
    <n v="47924"/>
    <s v="IT"/>
    <m/>
    <m/>
    <m/>
    <m/>
    <m/>
    <m/>
    <m/>
  </r>
  <r>
    <s v="402-2379058-5493948"/>
    <s v="402-2379058-5493948"/>
    <s v="2024-01-27T14:45:34+00:00"/>
    <s v="2024-02-01T14:48:44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Rimini"/>
    <s v="Rimini"/>
    <n v="47924"/>
    <s v="IT"/>
    <m/>
    <m/>
    <m/>
    <m/>
    <m/>
    <m/>
    <m/>
  </r>
  <r>
    <s v="404-6964483-1503569"/>
    <s v="404-6964483-1503569"/>
    <s v="2024-01-27T14:45:23+00:00"/>
    <s v="2024-01-27T22:31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Isernia"/>
    <s v="Isernia"/>
    <n v="86170"/>
    <s v="IT"/>
    <m/>
    <m/>
    <m/>
    <m/>
    <m/>
    <m/>
    <m/>
  </r>
  <r>
    <s v="171-8343585-3519564"/>
    <s v="171-8343585-3519564"/>
    <s v="2024-01-27T14:43:05+00:00"/>
    <s v="2024-01-28T04:53:4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Uta"/>
    <s v="CA"/>
    <n v="9010"/>
    <s v="IT"/>
    <m/>
    <m/>
    <m/>
    <m/>
    <m/>
    <m/>
    <m/>
  </r>
  <r>
    <s v="403-2585130-5614754"/>
    <s v="403-2585130-5614754"/>
    <s v="2024-01-27T14:40:56+00:00"/>
    <s v="2024-01-28T16:46:0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42"/>
    <s v="IT"/>
    <m/>
    <m/>
    <m/>
    <m/>
    <m/>
    <m/>
    <m/>
  </r>
  <r>
    <s v="408-9153542-1636335"/>
    <s v="408-9153542-1636335"/>
    <s v="2024-01-27T14:39:13+00:00"/>
    <s v="2024-01-28T12:06:1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Scilla"/>
    <s v="Reggio Calabria"/>
    <n v="89058"/>
    <s v="IT"/>
    <m/>
    <m/>
    <m/>
    <m/>
    <m/>
    <m/>
    <m/>
  </r>
  <r>
    <s v="404-8910087-6655529"/>
    <s v="404-8910087-6655529"/>
    <s v="2024-01-27T14:37:15+00:00"/>
    <s v="2024-02-01T14:51:48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Campegine"/>
    <s v="Reggio Emilia"/>
    <n v="42040"/>
    <s v="IT"/>
    <m/>
    <m/>
    <m/>
    <m/>
    <m/>
    <m/>
    <m/>
  </r>
  <r>
    <s v="404-9939004-6289147"/>
    <s v="404-9939004-6289147"/>
    <s v="2024-01-27T14:20:32+00:00"/>
    <s v="2024-01-27T17:30:46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oma"/>
    <s v="RM"/>
    <n v="159"/>
    <s v="IT"/>
    <m/>
    <m/>
    <m/>
    <m/>
    <m/>
    <m/>
    <m/>
  </r>
  <r>
    <s v="405-9274286-8775551"/>
    <s v="405-9274286-8775551"/>
    <s v="2024-01-27T14:20:17+00:00"/>
    <s v="2024-01-28T02:37:01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Milano"/>
    <s v="Italy"/>
    <n v="20128"/>
    <s v="IT"/>
    <m/>
    <m/>
    <m/>
    <m/>
    <m/>
    <m/>
    <m/>
  </r>
  <r>
    <s v="402-3518939-5509109"/>
    <m/>
    <s v="2024-01-27T14:19:00+00:00"/>
    <s v="2024-01-29T15:30:04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SELVA DI VAL GARDENA"/>
    <s v="BZ"/>
    <n v="39048"/>
    <s v="IT"/>
    <m/>
    <m/>
    <m/>
    <m/>
    <m/>
    <m/>
    <m/>
  </r>
  <r>
    <s v="407-5475353-1522739"/>
    <s v="407-5475353-1522739"/>
    <s v="2024-01-27T13:52:20+00:00"/>
    <s v="2024-01-27T20:24:3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ssone"/>
    <s v="Monza e Brianza"/>
    <n v="20851"/>
    <s v="IT"/>
    <m/>
    <m/>
    <m/>
    <m/>
    <m/>
    <m/>
    <m/>
  </r>
  <r>
    <s v="408-4242470-2724312"/>
    <s v="408-4242470-2724312"/>
    <s v="2024-01-27T13:36:22+00:00"/>
    <s v="2024-01-28T12:22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ianezza"/>
    <s v="TO"/>
    <n v="10044"/>
    <s v="IT"/>
    <m/>
    <m/>
    <m/>
    <m/>
    <m/>
    <m/>
    <m/>
  </r>
  <r>
    <s v="406-3905505-4980310"/>
    <s v="406-3905505-4980310"/>
    <s v="2024-01-27T13:28:07+00:00"/>
    <s v="2024-01-28T01:52:1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ELZO"/>
    <s v="Milano"/>
    <n v="20066"/>
    <s v="IT"/>
    <m/>
    <m/>
    <m/>
    <m/>
    <m/>
    <m/>
    <m/>
  </r>
  <r>
    <s v="406-8082596-5949124"/>
    <s v="406-8082596-5949124"/>
    <s v="2024-01-27T13:12:10+00:00"/>
    <s v="2024-01-28T16:18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Novara"/>
    <s v="Novara"/>
    <n v="28100"/>
    <s v="IT"/>
    <m/>
    <m/>
    <m/>
    <m/>
    <m/>
    <m/>
    <m/>
  </r>
  <r>
    <s v="404-0376403-8756365"/>
    <s v="404-0376403-8756365"/>
    <s v="2024-01-27T13:06:59+00:00"/>
    <s v="2024-01-28T02:22:5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83"/>
    <s v="IT"/>
    <m/>
    <m/>
    <m/>
    <m/>
    <m/>
    <m/>
    <m/>
  </r>
  <r>
    <s v="406-6856144-9974768"/>
    <s v="406-6856144-9974768"/>
    <s v="2024-01-27T13:04:21+00:00"/>
    <s v="2024-01-27T16:47:59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Pozzuoli"/>
    <s v="Napoli"/>
    <n v="80078"/>
    <s v="IT"/>
    <m/>
    <m/>
    <m/>
    <m/>
    <n v="4944341215"/>
    <s v="IT"/>
    <s v="VAT"/>
  </r>
  <r>
    <s v="408-8621013-8322714"/>
    <s v="408-8621013-8322714"/>
    <s v="2024-01-27T13:02:45+00:00"/>
    <s v="2024-01-29T09:00:0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4-5761267-1245944"/>
    <s v="404-5761267-1245944"/>
    <s v="2024-01-27T13:01:52+00:00"/>
    <s v="2024-01-27T17:20:3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ecce"/>
    <s v="Lecce"/>
    <n v="73100"/>
    <s v="IT"/>
    <m/>
    <m/>
    <m/>
    <m/>
    <m/>
    <m/>
    <m/>
  </r>
  <r>
    <s v="404-6572228-4485124"/>
    <s v="404-6572228-4485124"/>
    <s v="2024-01-27T12:43:21+00:00"/>
    <s v="2024-01-27T13:05:53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Roma"/>
    <s v="Rm"/>
    <n v="183"/>
    <s v="IT"/>
    <m/>
    <m/>
    <m/>
    <m/>
    <m/>
    <m/>
    <m/>
  </r>
  <r>
    <s v="404-3071677-6613160"/>
    <s v="404-3071677-6613160"/>
    <s v="2024-01-27T12:41:39+00:00"/>
    <s v="2024-01-28T19:13:4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oria"/>
    <s v="NA"/>
    <n v="80026"/>
    <s v="IT"/>
    <m/>
    <m/>
    <m/>
    <m/>
    <m/>
    <m/>
    <m/>
  </r>
  <r>
    <s v="405-9541847-1813139"/>
    <s v="405-9541847-1813139"/>
    <s v="2024-01-27T12:40:48+00:00"/>
    <s v="2024-01-28T09:50:2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ntova"/>
    <s v="MN"/>
    <n v="46100"/>
    <s v="IT"/>
    <m/>
    <m/>
    <m/>
    <m/>
    <m/>
    <m/>
    <m/>
  </r>
  <r>
    <s v="402-4927933-5201126"/>
    <m/>
    <s v="2024-01-27T12:31:24+00:00"/>
    <s v="2024-02-09T21:10:42+00:00"/>
    <s v="Cancell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m/>
    <n v="0"/>
    <m/>
    <m/>
    <m/>
    <m/>
    <m/>
    <m/>
    <m/>
    <m/>
    <m/>
    <s v="COLNAGO"/>
    <s v="Monza e Brianza"/>
    <n v="20872"/>
    <s v="IT"/>
    <m/>
    <m/>
    <m/>
    <m/>
    <m/>
    <m/>
    <m/>
  </r>
  <r>
    <s v="402-3491588-3672353"/>
    <s v="402-3491588-3672353"/>
    <s v="2024-01-27T12:31:24+00:00"/>
    <s v="2024-02-09T21:11:43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COLNAGO"/>
    <s v="Monza e Brianza"/>
    <n v="20872"/>
    <s v="IT"/>
    <m/>
    <m/>
    <m/>
    <m/>
    <m/>
    <m/>
    <m/>
  </r>
  <r>
    <s v="403-1998322-9042768"/>
    <s v="403-1998322-9042768"/>
    <s v="2024-01-27T12:25:55+00:00"/>
    <s v="2024-01-27T20:22:5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llecchio"/>
    <s v="Parma"/>
    <n v="43044"/>
    <s v="IT"/>
    <m/>
    <m/>
    <m/>
    <m/>
    <m/>
    <m/>
    <m/>
  </r>
  <r>
    <s v="407-1589479-9610747"/>
    <s v="407-1589479-9610747"/>
    <s v="2024-01-27T12:19:58+00:00"/>
    <s v="2024-01-27T18:10:23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Mirandola"/>
    <s v="Modena"/>
    <n v="41037"/>
    <s v="IT"/>
    <m/>
    <m/>
    <m/>
    <m/>
    <m/>
    <m/>
    <m/>
  </r>
  <r>
    <s v="405-0047033-8127517"/>
    <s v="405-0047033-8127517"/>
    <s v="2024-01-27T12:19:45+00:00"/>
    <s v="2024-01-29T12:25:28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rieti"/>
    <s v="Rieti"/>
    <n v="2100"/>
    <s v="IT"/>
    <m/>
    <m/>
    <m/>
    <m/>
    <m/>
    <m/>
    <m/>
  </r>
  <r>
    <s v="402-2736517-5519568"/>
    <s v="402-2736517-5519568"/>
    <s v="2024-01-27T12:18:29+00:00"/>
    <s v="2024-01-28T02:36:5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GRE' DI SCHIO"/>
    <s v="VI"/>
    <n v="36015"/>
    <s v="IT"/>
    <m/>
    <m/>
    <m/>
    <m/>
    <m/>
    <m/>
    <m/>
  </r>
  <r>
    <s v="404-9034378-3833911"/>
    <s v="404-9034378-3833911"/>
    <s v="2024-01-27T12:10:16+00:00"/>
    <s v="2024-01-29T15:50:5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uneo"/>
    <s v="Cuneo"/>
    <n v="12100"/>
    <s v="IT"/>
    <m/>
    <m/>
    <m/>
    <m/>
    <m/>
    <m/>
    <m/>
  </r>
  <r>
    <s v="407-5071802-9863522"/>
    <s v="407-5071802-9863522"/>
    <s v="2024-01-27T11:58:53+00:00"/>
    <s v="2024-01-28T04:53:54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Firenze"/>
    <s v="Firenze"/>
    <n v="50129"/>
    <s v="IT"/>
    <m/>
    <m/>
    <m/>
    <m/>
    <m/>
    <m/>
    <m/>
  </r>
  <r>
    <s v="406-0300696-6093945"/>
    <s v="406-0300696-6093945"/>
    <s v="2024-01-27T11:57:19+00:00"/>
    <s v="2024-01-27T21:16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tenza"/>
    <s v="Potenza"/>
    <n v="85100"/>
    <s v="IT"/>
    <m/>
    <m/>
    <m/>
    <m/>
    <m/>
    <m/>
    <m/>
  </r>
  <r>
    <s v="407-4926372-8235531"/>
    <s v="407-4926372-8235531"/>
    <s v="2024-01-27T11:54:32+00:00"/>
    <s v="2024-01-28T10:42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tania"/>
    <s v="CT"/>
    <n v="95127"/>
    <s v="IT"/>
    <m/>
    <m/>
    <m/>
    <m/>
    <m/>
    <m/>
    <m/>
  </r>
  <r>
    <s v="403-5104467-7415507"/>
    <s v="403-5104467-7415507"/>
    <s v="2024-01-27T11:33:14+00:00"/>
    <s v="2024-01-28T20:21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RASSO TELESINO"/>
    <s v="Benevento"/>
    <n v="82030"/>
    <s v="IT"/>
    <m/>
    <m/>
    <m/>
    <m/>
    <m/>
    <m/>
    <m/>
  </r>
  <r>
    <s v="406-6337387-3466756"/>
    <s v="406-6337387-3466756"/>
    <s v="2024-01-27T11:21:37+00:00"/>
    <s v="2024-01-27T23:46:10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Quistello"/>
    <s v="Mantova"/>
    <n v="46026"/>
    <s v="IT"/>
    <m/>
    <m/>
    <m/>
    <m/>
    <m/>
    <m/>
    <m/>
  </r>
  <r>
    <s v="406-3976155-0901967"/>
    <s v="406-3976155-0901967"/>
    <s v="2024-01-27T11:05:20+00:00"/>
    <s v="2024-01-27T21:16:3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Prata di Principato Ultra"/>
    <s v="Avellino"/>
    <n v="83030"/>
    <s v="IT"/>
    <m/>
    <m/>
    <m/>
    <m/>
    <m/>
    <m/>
    <m/>
  </r>
  <r>
    <s v="171-6749124-8537127"/>
    <s v="171-6749124-8537127"/>
    <s v="2024-01-27T11:04:39+00:00"/>
    <s v="2024-01-27T17:10:1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vittore olona"/>
    <s v="milano"/>
    <n v="20028"/>
    <s v="IT"/>
    <m/>
    <m/>
    <m/>
    <m/>
    <m/>
    <m/>
    <m/>
  </r>
  <r>
    <s v="405-3528983-0944359"/>
    <s v="405-3528983-0944359"/>
    <s v="2024-01-27T11:03:59+00:00"/>
    <s v="2024-01-27T21:16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orino"/>
    <s v="Avellino"/>
    <n v="83020"/>
    <s v="IT"/>
    <m/>
    <m/>
    <m/>
    <m/>
    <m/>
    <m/>
    <m/>
  </r>
  <r>
    <s v="402-3367012-6781117"/>
    <s v="402-3367012-6781117"/>
    <s v="2024-01-27T10:56:22+00:00"/>
    <s v="2024-01-27T18:11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irenze"/>
    <s v="Firenze"/>
    <n v="50121"/>
    <s v="IT"/>
    <m/>
    <m/>
    <m/>
    <m/>
    <m/>
    <m/>
    <m/>
  </r>
  <r>
    <s v="407-5720743-6990763"/>
    <s v="407-5720743-6990763"/>
    <s v="2024-01-27T10:54:43+00:00"/>
    <s v="2024-01-29T02:34:5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orizia"/>
    <s v="GO"/>
    <n v="34170"/>
    <s v="IT"/>
    <m/>
    <m/>
    <m/>
    <m/>
    <m/>
    <m/>
    <m/>
  </r>
  <r>
    <s v="408-3362233-0750710"/>
    <s v="408-3362233-0750710"/>
    <s v="2024-01-27T10:50:34+00:00"/>
    <s v="2024-01-27T21:20:1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rciano"/>
    <s v="perugia"/>
    <n v="6073"/>
    <s v="IT"/>
    <m/>
    <m/>
    <m/>
    <m/>
    <m/>
    <m/>
    <m/>
  </r>
  <r>
    <s v="171-4836806-2546735"/>
    <s v="171-4836806-2546735"/>
    <s v="2024-01-27T10:39:51+00:00"/>
    <s v="2024-01-27T18:10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 San Pietro Terme"/>
    <s v="Bologna"/>
    <n v="40024"/>
    <s v="IT"/>
    <m/>
    <m/>
    <m/>
    <m/>
    <m/>
    <m/>
    <m/>
  </r>
  <r>
    <s v="403-9015650-5937145"/>
    <s v="403-9015650-5937145"/>
    <s v="2024-01-27T10:37:21+00:00"/>
    <s v="2024-01-28T20:45:5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arcangelo di Romagna"/>
    <s v="Rimini"/>
    <n v="47822"/>
    <s v="IT"/>
    <m/>
    <m/>
    <m/>
    <m/>
    <m/>
    <m/>
    <m/>
  </r>
  <r>
    <s v="408-3743512-6329914"/>
    <s v="408-3743512-6329914"/>
    <s v="2024-01-27T10:33:07+00:00"/>
    <s v="2024-01-28T20:54:2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APOLI"/>
    <s v="CAMPANIA"/>
    <n v="80125"/>
    <s v="IT"/>
    <m/>
    <m/>
    <m/>
    <m/>
    <n v="7021311217"/>
    <s v="IT"/>
    <s v="VAT"/>
  </r>
  <r>
    <s v="408-2814705-3918736"/>
    <s v="408-2814705-3918736"/>
    <s v="2024-01-27T10:22:34+00:00"/>
    <s v="2024-01-29T09:28:0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0.47"/>
    <m/>
    <m/>
    <m/>
    <m/>
    <n v="0.47"/>
    <s v="GALDO"/>
    <s v="SA"/>
    <n v="84068"/>
    <s v="IT"/>
    <m/>
    <m/>
    <m/>
    <m/>
    <m/>
    <m/>
    <m/>
  </r>
  <r>
    <s v="407-6526994-7308317"/>
    <s v="407-6526994-7308317"/>
    <s v="2024-01-27T10:13:11+00:00"/>
    <s v="2024-01-28T01:48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rino"/>
    <s v="RM"/>
    <n v="47"/>
    <s v="IT"/>
    <m/>
    <m/>
    <m/>
    <m/>
    <m/>
    <m/>
    <m/>
  </r>
  <r>
    <s v="171-2828198-4441148"/>
    <s v="171-2828198-4441148"/>
    <s v="2024-01-27T10:11:22+00:00"/>
    <s v="2024-01-28T02:22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isterna di Latina"/>
    <s v="Latina"/>
    <n v="4012"/>
    <s v="IT"/>
    <m/>
    <m/>
    <m/>
    <m/>
    <m/>
    <m/>
    <m/>
  </r>
  <r>
    <s v="402-5943560-5067507"/>
    <s v="402-5943560-5067507"/>
    <s v="2024-01-27T09:41:57+00:00"/>
    <s v="2024-01-29T17:25:2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0.89"/>
    <m/>
    <m/>
    <m/>
    <m/>
    <n v="0.89"/>
    <s v="Alpignano"/>
    <s v="Torino"/>
    <n v="10091"/>
    <s v="IT"/>
    <m/>
    <m/>
    <m/>
    <m/>
    <m/>
    <m/>
    <m/>
  </r>
  <r>
    <s v="408-8748228-9719545"/>
    <s v="408-8748228-9719545"/>
    <s v="2024-01-27T09:32:43+00:00"/>
    <s v="2024-01-28T04:55:2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ordenons"/>
    <s v="PN"/>
    <n v="33084"/>
    <s v="IT"/>
    <m/>
    <m/>
    <m/>
    <m/>
    <m/>
    <m/>
    <m/>
  </r>
  <r>
    <s v="402-6841998-1818757"/>
    <m/>
    <s v="2024-01-27T09:27:48+00:00"/>
    <s v="2024-01-29T15:29:16+00:00"/>
    <s v="Shipped"/>
    <x v="1"/>
    <x v="3"/>
    <s v="WebsiteOrderChannel"/>
    <m/>
    <s v="Standard"/>
    <s v="Beper Macchina per la Pasta Fatta in casa, Acciaio Inossidabile"/>
    <s v="MD.500_ScatoleRotte_BuoneCondizioni"/>
    <x v="28"/>
    <s v="Shipped"/>
    <n v="1"/>
    <s v="EUR"/>
    <n v="15.9"/>
    <n v="2.87"/>
    <n v="3"/>
    <n v="0.54"/>
    <m/>
    <m/>
    <m/>
    <m/>
    <s v="Forino"/>
    <s v="Avellino"/>
    <n v="83020"/>
    <s v="IT"/>
    <m/>
    <m/>
    <m/>
    <m/>
    <m/>
    <m/>
    <m/>
  </r>
  <r>
    <s v="407-8308957-3741101"/>
    <s v="407-8308957-3741101"/>
    <s v="2024-01-27T09:27:10+00:00"/>
    <s v="2024-01-27T17:12:1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egnano"/>
    <s v="MI"/>
    <n v="20025"/>
    <s v="IT"/>
    <m/>
    <m/>
    <m/>
    <m/>
    <m/>
    <m/>
    <m/>
  </r>
  <r>
    <s v="404-1410300-5978724"/>
    <m/>
    <s v="2024-01-27T09:12:34+00:00"/>
    <s v="2024-01-29T14:20:56+00:00"/>
    <s v="Shipped"/>
    <x v="1"/>
    <x v="3"/>
    <s v="WebsiteOrderChannel"/>
    <m/>
    <s v="Standard"/>
    <s v="BEPER P101CUD100 Waffle Maker a Forma di Stecco - Piastra Waffle per 6 Mini Waffle in pochi Minuti"/>
    <s v="P101CUD100"/>
    <x v="29"/>
    <s v="Shipped"/>
    <n v="1"/>
    <s v="EUR"/>
    <n v="34.9"/>
    <n v="6.29"/>
    <n v="3"/>
    <n v="0.54"/>
    <m/>
    <m/>
    <m/>
    <m/>
    <s v="Roma"/>
    <s v="Roma"/>
    <n v="189"/>
    <s v="IT"/>
    <m/>
    <m/>
    <m/>
    <m/>
    <m/>
    <m/>
    <m/>
  </r>
  <r>
    <s v="408-3062623-6257134"/>
    <s v="408-3062623-6257134"/>
    <s v="2024-01-27T09:08:34+00:00"/>
    <s v="2024-01-29T21:36:59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Terni"/>
    <s v="Italia, Terni, Umbria"/>
    <n v="5100"/>
    <s v="IT"/>
    <m/>
    <m/>
    <m/>
    <m/>
    <m/>
    <m/>
    <m/>
  </r>
  <r>
    <s v="403-8865513-6749127"/>
    <s v="403-8865513-6749127"/>
    <s v="2024-01-27T09:04:20+00:00"/>
    <s v="2024-01-28T13:43:06+00:00"/>
    <s v="Shipped"/>
    <x v="0"/>
    <x v="3"/>
    <m/>
    <m/>
    <s v="Expedited"/>
    <s v="BEPER C206UTI002 Copriscarpe Monouso Set 100 Sacchetti - Copriscarpe da Casa o Lavoro"/>
    <s v="C206UTI002_FBA"/>
    <x v="18"/>
    <s v="Shipped"/>
    <n v="1"/>
    <s v="EUR"/>
    <n v="16.899999999999999"/>
    <n v="3.05"/>
    <m/>
    <m/>
    <m/>
    <m/>
    <m/>
    <m/>
    <s v="SGURGOLA"/>
    <s v="Frosinone"/>
    <n v="3010"/>
    <s v="IT"/>
    <m/>
    <m/>
    <m/>
    <m/>
    <m/>
    <m/>
    <m/>
  </r>
  <r>
    <s v="403-2510310-5248352"/>
    <s v="403-2510310-5248352"/>
    <s v="2024-01-27T09:03:53+00:00"/>
    <s v="2024-01-28T13:43:01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SGURGOLA"/>
    <s v="Frosinone"/>
    <n v="3010"/>
    <s v="IT"/>
    <m/>
    <m/>
    <m/>
    <m/>
    <m/>
    <m/>
    <m/>
  </r>
  <r>
    <s v="403-4163438-0987512"/>
    <s v="403-4163438-0987512"/>
    <s v="2024-01-27T08:57:50+00:00"/>
    <s v="2024-01-28T11:21:1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eggio Calabria"/>
    <s v="Calabria"/>
    <n v="89123"/>
    <s v="IT"/>
    <m/>
    <m/>
    <m/>
    <m/>
    <m/>
    <m/>
    <m/>
  </r>
  <r>
    <s v="407-5086224-5597936"/>
    <s v="407-5086224-5597936"/>
    <s v="2024-01-27T08:53:41+00:00"/>
    <s v="2024-01-29T08:40:47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Decimoputzu"/>
    <s v="SU"/>
    <n v="9010"/>
    <s v="IT"/>
    <m/>
    <m/>
    <m/>
    <m/>
    <m/>
    <m/>
    <m/>
  </r>
  <r>
    <s v="404-2517649-6319561"/>
    <s v="404-2517649-6319561"/>
    <s v="2024-01-27T08:44:58+00:00"/>
    <s v="2024-01-28T01:49:0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rdea"/>
    <s v="Roma"/>
    <n v="40"/>
    <s v="IT"/>
    <m/>
    <m/>
    <m/>
    <m/>
    <m/>
    <m/>
    <m/>
  </r>
  <r>
    <s v="402-8312203-3329920"/>
    <s v="402-8312203-3329920"/>
    <s v="2024-01-27T08:41:38+00:00"/>
    <s v="2024-01-27T17:20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Vito Dei Normanni"/>
    <s v="BR"/>
    <n v="72019"/>
    <s v="IT"/>
    <m/>
    <m/>
    <m/>
    <m/>
    <m/>
    <m/>
    <m/>
  </r>
  <r>
    <s v="171-6639101-3545135"/>
    <s v="171-6639101-3545135"/>
    <s v="2024-01-27T08:39:03+00:00"/>
    <s v="2024-01-28T00:30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rugo"/>
    <s v="Como"/>
    <n v="22060"/>
    <s v="IT"/>
    <m/>
    <m/>
    <m/>
    <m/>
    <m/>
    <m/>
    <m/>
  </r>
  <r>
    <s v="404-7397112-0210702"/>
    <s v="404-7397112-0210702"/>
    <s v="2024-01-27T08:27:55+00:00"/>
    <s v="2024-01-28T09:17:2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estre"/>
    <s v="Venezia"/>
    <n v="30174"/>
    <s v="IT"/>
    <m/>
    <m/>
    <m/>
    <m/>
    <m/>
    <m/>
    <m/>
  </r>
  <r>
    <s v="408-8549492-9642768"/>
    <s v="408-8549492-9642768"/>
    <s v="2024-01-27T08:16:21+00:00"/>
    <s v="2024-01-27T16:49:07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Angri"/>
    <s v="SA"/>
    <n v="84012"/>
    <s v="IT"/>
    <m/>
    <m/>
    <m/>
    <m/>
    <m/>
    <m/>
    <m/>
  </r>
  <r>
    <s v="408-6742071-2216340"/>
    <s v="408-6742071-2216340"/>
    <s v="2024-01-27T08:14:49+00:00"/>
    <s v="2024-01-28T20:49:5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nova"/>
    <s v="Genova"/>
    <n v="16128"/>
    <s v="IT"/>
    <m/>
    <m/>
    <m/>
    <m/>
    <m/>
    <m/>
    <m/>
  </r>
  <r>
    <s v="405-2727256-0962708"/>
    <s v="405-2727256-0962708"/>
    <s v="2024-01-27T08:06:45+00:00"/>
    <s v="2024-01-27T17:50:2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ESCANTINA"/>
    <s v="Verona"/>
    <n v="37026"/>
    <s v="IT"/>
    <m/>
    <m/>
    <m/>
    <m/>
    <m/>
    <m/>
    <m/>
  </r>
  <r>
    <s v="408-9064221-3745920"/>
    <s v="408-9064221-3745920"/>
    <s v="2024-01-27T08:06:07+00:00"/>
    <s v="2024-01-28T22:33:3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essina"/>
    <s v="ME"/>
    <n v="98158"/>
    <s v="IT"/>
    <m/>
    <m/>
    <m/>
    <m/>
    <m/>
    <m/>
    <m/>
  </r>
  <r>
    <s v="402-0555737-2267547"/>
    <m/>
    <s v="2024-01-27T08:01:13+00:00"/>
    <s v="2024-01-29T14:21:05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Solarolo"/>
    <s v="Ravenna"/>
    <n v="48027"/>
    <s v="IT"/>
    <m/>
    <m/>
    <m/>
    <m/>
    <n v="2537670396"/>
    <s v="IT"/>
    <s v="VAT"/>
  </r>
  <r>
    <s v="402-4181849-7606718"/>
    <s v="402-4181849-7606718"/>
    <s v="2024-01-27T07:45:46+00:00"/>
    <s v="2024-01-28T20:26:2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RENTO"/>
    <m/>
    <n v="38122"/>
    <s v="IT"/>
    <m/>
    <m/>
    <m/>
    <m/>
    <m/>
    <m/>
    <m/>
  </r>
  <r>
    <s v="407-2755113-8471555"/>
    <s v="407-2755113-8471555"/>
    <s v="2024-01-27T07:37:46+00:00"/>
    <s v="2024-01-27T23:42:4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ubbiano"/>
    <s v="Arezzo"/>
    <n v="52010"/>
    <s v="IT"/>
    <m/>
    <m/>
    <m/>
    <m/>
    <m/>
    <m/>
    <m/>
  </r>
  <r>
    <s v="171-1046753-0157111"/>
    <s v="171-1046753-0157111"/>
    <s v="2024-01-27T07:35:18+00:00"/>
    <s v="2024-01-28T02:34:02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Vicenza"/>
    <s v="Vicenza"/>
    <n v="36100"/>
    <s v="IT"/>
    <m/>
    <m/>
    <m/>
    <m/>
    <m/>
    <m/>
    <m/>
  </r>
  <r>
    <s v="403-6677030-6252343"/>
    <s v="403-6677030-6252343"/>
    <s v="2024-01-27T07:33:30+00:00"/>
    <s v="2024-01-28T01:51:3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MBIASCA"/>
    <s v="Verbania"/>
    <n v="28814"/>
    <s v="IT"/>
    <m/>
    <m/>
    <m/>
    <m/>
    <m/>
    <m/>
    <m/>
  </r>
  <r>
    <s v="171-3248911-6149146"/>
    <s v="171-3248911-6149146"/>
    <s v="2024-01-27T06:24:35+00:00"/>
    <s v="2024-01-28T01:04:2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s v="Bo"/>
    <n v="40134"/>
    <s v="IT"/>
    <m/>
    <m/>
    <m/>
    <m/>
    <m/>
    <m/>
    <m/>
  </r>
  <r>
    <s v="171-9394562-6447553"/>
    <m/>
    <s v="2024-01-27T06:19:36+00:00"/>
    <s v="2024-01-29T14:26:26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8"/>
    <s v="EUR"/>
    <n v="239.2"/>
    <n v="43.12"/>
    <n v="24"/>
    <n v="4.32"/>
    <m/>
    <m/>
    <m/>
    <m/>
    <s v="firenze"/>
    <s v="firenze"/>
    <n v="50123"/>
    <s v="IT"/>
    <m/>
    <m/>
    <m/>
    <m/>
    <s v="IT07224790480"/>
    <s v="IT"/>
    <s v="VAT"/>
  </r>
  <r>
    <s v="406-5356348-4667564"/>
    <s v="406-5356348-4667564"/>
    <s v="2024-01-27T05:50:46+00:00"/>
    <s v="2024-01-27T21:17:34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San Prisco"/>
    <s v="Italia/campania/caserta"/>
    <n v="81054"/>
    <s v="IT"/>
    <m/>
    <m/>
    <m/>
    <m/>
    <m/>
    <m/>
    <m/>
  </r>
  <r>
    <s v="406-3726641-4356362"/>
    <s v="406-3726641-4356362"/>
    <s v="2024-01-27T05:40:28+00:00"/>
    <s v="2024-01-28T02:14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OLARA"/>
    <s v="Modena"/>
    <n v="41030"/>
    <s v="IT"/>
    <m/>
    <m/>
    <m/>
    <m/>
    <m/>
    <m/>
    <m/>
  </r>
  <r>
    <s v="408-9954202-0273165"/>
    <s v="408-9954202-0273165"/>
    <s v="2024-01-27T05:26:08+00:00"/>
    <s v="2024-01-29T01:52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to Stefano di Magra"/>
    <s v="SP"/>
    <n v="19037"/>
    <s v="IT"/>
    <m/>
    <m/>
    <m/>
    <m/>
    <m/>
    <m/>
    <m/>
  </r>
  <r>
    <s v="408-1477112-9678721"/>
    <s v="408-1477112-9678721"/>
    <s v="2024-01-27T05:13:18+00:00"/>
    <s v="2024-01-29T17:23:46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MISANO DI GERA D'ADDA"/>
    <s v="BG"/>
    <n v="24040"/>
    <s v="IT"/>
    <m/>
    <m/>
    <m/>
    <m/>
    <m/>
    <m/>
    <m/>
  </r>
  <r>
    <s v="407-3042886-5006729"/>
    <s v="407-3042886-5006729"/>
    <s v="2024-01-27T02:04:31+00:00"/>
    <s v="2024-01-28T20:49:0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ENOVA"/>
    <s v="GE"/>
    <n v="16167"/>
    <s v="IT"/>
    <m/>
    <m/>
    <m/>
    <m/>
    <m/>
    <m/>
    <m/>
  </r>
  <r>
    <s v="404-0293770-9272334"/>
    <s v="404-0293770-9272334"/>
    <s v="2024-01-27T00:47:32+00:00"/>
    <s v="2024-01-28T15:22:3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ASCINA"/>
    <s v="Pisa"/>
    <n v="56021"/>
    <s v="IT"/>
    <m/>
    <m/>
    <m/>
    <m/>
    <m/>
    <m/>
    <m/>
  </r>
  <r>
    <s v="171-9442553-0701138"/>
    <s v="171-9442553-0701138"/>
    <s v="2024-01-26T23:49:44+00:00"/>
    <s v="2024-01-28T08:33:12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inerolo"/>
    <s v="Torino"/>
    <n v="10064"/>
    <s v="IT"/>
    <m/>
    <m/>
    <m/>
    <m/>
    <m/>
    <m/>
    <m/>
  </r>
  <r>
    <s v="404-7300320-5094762"/>
    <s v="404-7300320-5094762"/>
    <s v="2024-01-26T23:01:26+00:00"/>
    <s v="2024-01-28T12:47:4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Oristano"/>
    <s v="Or"/>
    <n v="9170"/>
    <s v="IT"/>
    <m/>
    <m/>
    <m/>
    <m/>
    <m/>
    <m/>
    <m/>
  </r>
  <r>
    <s v="171-9033857-1849111"/>
    <s v="171-9033857-1849111"/>
    <s v="2024-01-26T22:46:45+00:00"/>
    <s v="2024-01-28T12:50:4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ucera"/>
    <s v="Foggia"/>
    <n v="71036"/>
    <s v="IT"/>
    <m/>
    <m/>
    <m/>
    <m/>
    <m/>
    <m/>
    <m/>
  </r>
  <r>
    <s v="402-2029227-8774746"/>
    <s v="402-2029227-8774746"/>
    <s v="2024-01-26T22:19:30+00:00"/>
    <s v="2024-01-29T20:13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a villa"/>
    <s v="Bolzano"/>
    <n v="39036"/>
    <s v="IT"/>
    <m/>
    <m/>
    <m/>
    <m/>
    <m/>
    <m/>
    <m/>
  </r>
  <r>
    <s v="402-5130260-8237134"/>
    <s v="402-5130260-8237134"/>
    <s v="2024-01-26T22:07:38+00:00"/>
    <s v="2024-01-27T19:45:0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sano Magnago"/>
    <s v="Varese"/>
    <n v="21012"/>
    <s v="IT"/>
    <m/>
    <m/>
    <m/>
    <m/>
    <m/>
    <m/>
    <m/>
  </r>
  <r>
    <s v="407-1552290-6484317"/>
    <s v="407-1552290-6484317"/>
    <s v="2024-01-26T21:59:05+00:00"/>
    <s v="2024-01-29T16:19:5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rezzano sul naviglio"/>
    <s v="Milano"/>
    <n v="20090"/>
    <s v="IT"/>
    <m/>
    <m/>
    <m/>
    <m/>
    <m/>
    <m/>
    <m/>
  </r>
  <r>
    <s v="408-3506428-1305969"/>
    <s v="408-3506428-1305969"/>
    <s v="2024-01-26T21:56:59+00:00"/>
    <s v="2024-01-28T14:24:2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33"/>
    <s v="IT"/>
    <m/>
    <m/>
    <m/>
    <m/>
    <n v="9693360589"/>
    <s v="IT"/>
    <s v="VAT"/>
  </r>
  <r>
    <s v="171-2075999-3221156"/>
    <s v="171-2075999-3221156"/>
    <s v="2024-01-26T21:49:51+00:00"/>
    <s v="2024-01-27T02:31:3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72"/>
    <s v="IT"/>
    <m/>
    <m/>
    <m/>
    <m/>
    <m/>
    <m/>
    <m/>
  </r>
  <r>
    <s v="404-6075413-2561914"/>
    <s v="404-6075413-2561914"/>
    <s v="2024-01-26T21:39:50+00:00"/>
    <s v="2024-01-27T02:24:13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Villa San Sebastiano Nuova di Tagliacozzo"/>
    <s v="L'Aquila"/>
    <n v="67069"/>
    <s v="IT"/>
    <m/>
    <m/>
    <m/>
    <m/>
    <m/>
    <m/>
    <m/>
  </r>
  <r>
    <s v="408-5967477-6860348"/>
    <s v="408-5967477-6860348"/>
    <s v="2024-01-26T21:36:50+00:00"/>
    <s v="2024-01-27T18:19:49+00:00"/>
    <s v="Shipped"/>
    <x v="0"/>
    <x v="3"/>
    <m/>
    <m/>
    <s v="Expedited"/>
    <s v="Beper C206UTI001 Dispenser Casa e Ufficio, 100 Copriscarpe Monouso Inclusi C206UTI001-Distributore Automatico, ABS, Bianco, 42.5 x 22.5 x 13.5 cm"/>
    <s v="C206UTI001_FBA"/>
    <x v="17"/>
    <s v="Shipped"/>
    <n v="1"/>
    <s v="EUR"/>
    <n v="39.9"/>
    <n v="7.2"/>
    <m/>
    <m/>
    <m/>
    <m/>
    <m/>
    <m/>
    <s v="Palma Campania"/>
    <s v="Napoli"/>
    <n v="80036"/>
    <s v="IT"/>
    <m/>
    <m/>
    <m/>
    <m/>
    <m/>
    <m/>
    <m/>
  </r>
  <r>
    <s v="407-3318071-5601967"/>
    <s v="407-3318071-5601967"/>
    <s v="2024-01-26T21:12:35+00:00"/>
    <s v="2024-01-27T02:30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98"/>
    <s v="IT"/>
    <m/>
    <m/>
    <m/>
    <m/>
    <m/>
    <m/>
    <m/>
  </r>
  <r>
    <s v="171-8262280-3419514"/>
    <s v="171-8262280-3419514"/>
    <s v="2024-01-26T21:09:28+00:00"/>
    <s v="2024-01-27T04:57:2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n v="4.99"/>
    <n v="0.9"/>
    <m/>
    <m/>
    <m/>
    <m/>
    <s v="Toritto"/>
    <s v="Bari"/>
    <n v="70020"/>
    <s v="IT"/>
    <m/>
    <m/>
    <m/>
    <m/>
    <m/>
    <m/>
    <m/>
  </r>
  <r>
    <s v="408-0811892-0345109"/>
    <s v="408-0811892-0345109"/>
    <s v="2024-01-26T20:47:56+00:00"/>
    <s v="2024-01-28T08:57:0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IGODARZERE"/>
    <s v="PD"/>
    <n v="35010"/>
    <s v="IT"/>
    <m/>
    <m/>
    <m/>
    <m/>
    <m/>
    <m/>
    <m/>
  </r>
  <r>
    <s v="406-0448695-4925952"/>
    <s v="406-0448695-4925952"/>
    <s v="2024-01-26T20:27:49+00:00"/>
    <s v="2024-01-28T02:03:4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elluno"/>
    <s v="BL"/>
    <n v="32100"/>
    <s v="IT"/>
    <m/>
    <m/>
    <m/>
    <m/>
    <m/>
    <m/>
    <m/>
  </r>
  <r>
    <s v="406-2955503-4488366"/>
    <s v="406-2955503-4488366"/>
    <s v="2024-01-26T20:25:28+00:00"/>
    <s v="2024-01-27T02:34:3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SONCINO"/>
    <s v="CR"/>
    <n v="26029"/>
    <s v="IT"/>
    <m/>
    <m/>
    <m/>
    <m/>
    <m/>
    <m/>
    <m/>
  </r>
  <r>
    <s v="406-4044507-2861910"/>
    <m/>
    <s v="2024-01-26T19:53:54+00:00"/>
    <s v="2024-01-29T14:51:07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Bagheria"/>
    <s v="Palermo"/>
    <n v="90011"/>
    <s v="IT"/>
    <m/>
    <m/>
    <m/>
    <m/>
    <m/>
    <m/>
    <m/>
  </r>
  <r>
    <s v="402-8704501-7209159"/>
    <s v="402-8704501-7209159"/>
    <s v="2024-01-26T19:31:15+00:00"/>
    <s v="2024-01-27T01:25:0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6"/>
    <n v="0.3"/>
    <m/>
    <m/>
    <m/>
    <m/>
    <s v="MILANO"/>
    <s v="Milano"/>
    <n v="20122"/>
    <s v="IT"/>
    <m/>
    <m/>
    <m/>
    <m/>
    <m/>
    <m/>
    <m/>
  </r>
  <r>
    <s v="171-3168002-5335531"/>
    <s v="171-3168002-5335531"/>
    <s v="2024-01-26T19:30:29+00:00"/>
    <s v="2024-01-28T17:30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mpodimele"/>
    <s v="LT"/>
    <n v="4020"/>
    <s v="IT"/>
    <m/>
    <m/>
    <m/>
    <m/>
    <m/>
    <m/>
    <m/>
  </r>
  <r>
    <s v="404-1486575-3465146"/>
    <s v="404-1486575-3465146"/>
    <s v="2024-01-26T18:59:39+00:00"/>
    <s v="2024-01-28T08:34:2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To"/>
    <n v="10121"/>
    <s v="IT"/>
    <m/>
    <m/>
    <m/>
    <m/>
    <m/>
    <m/>
    <m/>
  </r>
  <r>
    <s v="402-6064291-8662734"/>
    <s v="402-6064291-8662734"/>
    <s v="2024-01-26T18:54:23+00:00"/>
    <s v="2024-01-29T12:14:4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0900000000000001"/>
    <m/>
    <m/>
    <m/>
    <m/>
    <n v="1.0900000000000001"/>
    <s v="Palermo"/>
    <s v="Pa"/>
    <n v="90147"/>
    <s v="IT"/>
    <m/>
    <m/>
    <m/>
    <m/>
    <m/>
    <m/>
    <m/>
  </r>
  <r>
    <s v="404-7671967-4539527"/>
    <s v="404-7671967-4539527"/>
    <s v="2024-01-26T18:51:51+00:00"/>
    <s v="2024-01-26T23:14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ssa"/>
    <s v="MS"/>
    <n v="54100"/>
    <s v="IT"/>
    <m/>
    <m/>
    <m/>
    <m/>
    <m/>
    <m/>
    <m/>
  </r>
  <r>
    <s v="406-4561804-6479566"/>
    <s v="406-4561804-6479566"/>
    <s v="2024-01-26T18:40:16+00:00"/>
    <s v="2024-01-26T20:46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t'Arpino"/>
    <s v="CE"/>
    <n v="81030"/>
    <s v="IT"/>
    <m/>
    <m/>
    <m/>
    <m/>
    <m/>
    <m/>
    <m/>
  </r>
  <r>
    <s v="408-5411830-4795502"/>
    <s v="408-5411830-4795502"/>
    <s v="2024-01-26T18:22:58+00:00"/>
    <s v="2024-01-29T02:19:03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171-9817713-9081166"/>
    <s v="171-9817713-9081166"/>
    <s v="2024-01-26T18:07:57+00:00"/>
    <s v="2024-01-27T20:32:3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eggio Calabria"/>
    <s v="Reggio Calabria"/>
    <n v="89132"/>
    <s v="IT"/>
    <m/>
    <m/>
    <m/>
    <m/>
    <m/>
    <m/>
    <m/>
  </r>
  <r>
    <s v="403-7945397-6896355"/>
    <s v="403-7945397-6896355"/>
    <s v="2024-01-26T18:01:02+00:00"/>
    <s v="2024-01-28T12:55:37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n v="3.27"/>
    <m/>
    <m/>
    <m/>
    <m/>
    <n v="3.27"/>
    <s v="Caorso"/>
    <s v="PC"/>
    <n v="29012"/>
    <s v="IT"/>
    <m/>
    <m/>
    <m/>
    <m/>
    <m/>
    <m/>
    <m/>
  </r>
  <r>
    <s v="171-0529842-2347540"/>
    <s v="171-0529842-2347540"/>
    <s v="2024-01-26T17:48:17+00:00"/>
    <s v="2024-01-27T02:00:1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Torino"/>
    <n v="10137"/>
    <s v="IT"/>
    <m/>
    <m/>
    <m/>
    <m/>
    <m/>
    <m/>
    <m/>
  </r>
  <r>
    <s v="171-3378935-3570723"/>
    <s v="171-3378935-3570723"/>
    <s v="2024-01-26T17:46:39+00:00"/>
    <s v="2024-01-28T11:20:15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oma"/>
    <s v="RM"/>
    <n v="126"/>
    <s v="IT"/>
    <m/>
    <m/>
    <m/>
    <m/>
    <m/>
    <m/>
    <m/>
  </r>
  <r>
    <s v="407-8218245-1438732"/>
    <s v="407-8218245-1438732"/>
    <s v="2024-01-26T17:25:19+00:00"/>
    <s v="2024-01-26T22:21:3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zano"/>
    <s v="Bolzano"/>
    <n v="39100"/>
    <s v="IT"/>
    <m/>
    <m/>
    <m/>
    <m/>
    <m/>
    <m/>
    <m/>
  </r>
  <r>
    <s v="408-4760852-5579531"/>
    <s v="408-4760852-5579531"/>
    <s v="2024-01-26T17:22:38+00:00"/>
    <s v="2024-01-26T20:12:0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171-1431808-8983549"/>
    <s v="171-1431808-8983549"/>
    <s v="2024-01-26T17:14:23+00:00"/>
    <s v="2024-01-27T01:26:0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Montevarchi"/>
    <s v="Arezzo"/>
    <n v="52025"/>
    <s v="IT"/>
    <m/>
    <m/>
    <m/>
    <m/>
    <m/>
    <m/>
    <m/>
  </r>
  <r>
    <s v="402-1784873-0885939"/>
    <m/>
    <s v="2024-01-26T17:13:20+00:00"/>
    <s v="2024-02-06T17:47:38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2"/>
    <s v="EUR"/>
    <n v="59.8"/>
    <n v="10.78"/>
    <n v="6"/>
    <n v="1.08"/>
    <m/>
    <m/>
    <m/>
    <m/>
    <s v="poviglio"/>
    <s v="Reggio Emilia"/>
    <n v="42028"/>
    <s v="IT"/>
    <m/>
    <m/>
    <m/>
    <m/>
    <n v="3038360354"/>
    <s v="IT"/>
    <s v="VAT"/>
  </r>
  <r>
    <s v="407-7058514-2570759"/>
    <s v="407-7058514-2570759"/>
    <s v="2024-01-26T17:12:47+00:00"/>
    <s v="2024-01-27T01:18:3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Jesi"/>
    <s v="Ancona"/>
    <n v="60035"/>
    <s v="IT"/>
    <m/>
    <m/>
    <m/>
    <m/>
    <m/>
    <m/>
    <m/>
  </r>
  <r>
    <s v="406-5087755-7030754"/>
    <m/>
    <s v="2024-01-26T17:04:42+00:00"/>
    <s v="2024-01-30T17:19:5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Porto Recanati"/>
    <s v="Macerata"/>
    <n v="62017"/>
    <s v="IT"/>
    <m/>
    <m/>
    <m/>
    <m/>
    <m/>
    <m/>
    <m/>
  </r>
  <r>
    <s v="408-1963681-3290756"/>
    <s v="408-1963681-3290756"/>
    <s v="2024-01-26T16:49:28+00:00"/>
    <s v="2024-01-27T01:26:0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NTE A SIGNA"/>
    <s v="Firenze"/>
    <n v="50055"/>
    <s v="IT"/>
    <m/>
    <m/>
    <m/>
    <m/>
    <m/>
    <m/>
    <m/>
  </r>
  <r>
    <s v="403-2416997-8810746"/>
    <s v="403-2416997-8810746"/>
    <s v="2024-01-26T16:41:39+00:00"/>
    <s v="2024-01-26T21:11:0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lbinia"/>
    <s v="Grosseto"/>
    <n v="58015"/>
    <s v="IT"/>
    <m/>
    <m/>
    <m/>
    <m/>
    <m/>
    <m/>
    <m/>
  </r>
  <r>
    <s v="402-8066534-5292362"/>
    <s v="402-8066534-5292362"/>
    <s v="2024-01-26T16:40:23+00:00"/>
    <s v="2024-01-27T18:28:0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alenza"/>
    <s v="Alessandria"/>
    <n v="15048"/>
    <s v="IT"/>
    <m/>
    <m/>
    <m/>
    <m/>
    <m/>
    <m/>
    <m/>
  </r>
  <r>
    <s v="406-4912616-5613165"/>
    <s v="406-4912616-5613165"/>
    <s v="2024-01-26T16:38:08+00:00"/>
    <s v="2024-01-26T20:51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quartu sant'elena"/>
    <s v="cagliari"/>
    <n v="9145"/>
    <s v="IT"/>
    <m/>
    <m/>
    <m/>
    <m/>
    <m/>
    <m/>
    <m/>
  </r>
  <r>
    <s v="406-5765024-7093925"/>
    <s v="406-5765024-7093925"/>
    <s v="2024-01-26T16:29:23+00:00"/>
    <s v="2024-01-26T23:14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RCARI"/>
    <s v="Lucca"/>
    <n v="55016"/>
    <s v="IT"/>
    <m/>
    <m/>
    <m/>
    <m/>
    <m/>
    <m/>
    <m/>
  </r>
  <r>
    <s v="405-1939544-9737964"/>
    <s v="405-1939544-9737964"/>
    <s v="2024-01-26T15:59:08+00:00"/>
    <s v="2024-01-27T02:34:4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tezzano"/>
    <s v="Bergamo"/>
    <n v="24040"/>
    <s v="IT"/>
    <m/>
    <m/>
    <m/>
    <m/>
    <m/>
    <m/>
    <m/>
  </r>
  <r>
    <s v="403-6581951-1767543"/>
    <s v="403-6581951-1767543"/>
    <s v="2024-01-26T15:58:38+00:00"/>
    <s v="2024-01-31T16:05:49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Saronno"/>
    <s v="Varese"/>
    <n v="21047"/>
    <s v="IT"/>
    <m/>
    <m/>
    <m/>
    <m/>
    <m/>
    <m/>
    <m/>
  </r>
  <r>
    <s v="404-6325073-8760324"/>
    <s v="404-6325073-8760324"/>
    <s v="2024-01-26T15:54:48+00:00"/>
    <s v="2024-01-26T23:31:0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PPARO"/>
    <s v="FERRARA"/>
    <n v="44034"/>
    <s v="IT"/>
    <m/>
    <m/>
    <m/>
    <m/>
    <m/>
    <m/>
    <m/>
  </r>
  <r>
    <s v="402-7364632-4095535"/>
    <s v="402-7364632-4095535"/>
    <s v="2024-01-26T15:50:00+00:00"/>
    <s v="2024-01-27T02:00:14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Piovene Rocchette"/>
    <s v="Vicenza"/>
    <n v="36013"/>
    <s v="IT"/>
    <m/>
    <m/>
    <m/>
    <m/>
    <m/>
    <m/>
    <m/>
  </r>
  <r>
    <s v="408-9894274-2682754"/>
    <s v="408-9894274-2682754"/>
    <s v="2024-01-26T15:48:20+00:00"/>
    <s v="2024-01-26T18:20:5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covati"/>
    <s v="Brescia"/>
    <n v="25030"/>
    <s v="IT"/>
    <m/>
    <m/>
    <m/>
    <m/>
    <m/>
    <m/>
    <m/>
  </r>
  <r>
    <s v="171-7018821-0405130"/>
    <s v="171-7018821-0405130"/>
    <s v="2024-01-26T15:40:45+00:00"/>
    <s v="2024-01-28T20:27:4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STIA UMBRA"/>
    <m/>
    <n v="6083"/>
    <s v="IT"/>
    <m/>
    <m/>
    <m/>
    <m/>
    <m/>
    <m/>
    <m/>
  </r>
  <r>
    <s v="402-4270837-3644312"/>
    <s v="402-4270837-3644312"/>
    <s v="2024-01-26T15:38:14+00:00"/>
    <s v="2024-01-27T10:32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eglie Messapica"/>
    <s v="Brindisi"/>
    <n v="72013"/>
    <s v="IT"/>
    <m/>
    <m/>
    <m/>
    <m/>
    <m/>
    <m/>
    <m/>
  </r>
  <r>
    <s v="403-2908554-9558743"/>
    <s v="403-2908554-9558743"/>
    <s v="2024-01-26T15:19:59+00:00"/>
    <s v="2024-01-26T23:00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Fiumicino"/>
    <s v="Roma"/>
    <n v="54"/>
    <s v="IT"/>
    <m/>
    <m/>
    <m/>
    <m/>
    <s v="IT01449130622"/>
    <s v="IT"/>
    <s v="VAT"/>
  </r>
  <r>
    <s v="405-4456142-8504308"/>
    <s v="405-4456142-8504308"/>
    <s v="2024-01-26T15:18:25+00:00"/>
    <s v="2024-01-29T17:17:03+00:00"/>
    <s v="Cancelled"/>
    <x v="0"/>
    <x v="3"/>
    <m/>
    <m/>
    <s v="Standar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Salerno"/>
    <s v="Salerno"/>
    <n v="84124"/>
    <s v="IT"/>
    <s v="Free Shipping 2017/03/07 18-55-47-776"/>
    <m/>
    <m/>
    <m/>
    <m/>
    <m/>
    <m/>
  </r>
  <r>
    <s v="403-9628105-0934766"/>
    <s v="403-9628105-0934766"/>
    <s v="2024-01-26T15:13:40+00:00"/>
    <s v="2024-01-26T20:40:25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Cerveteri"/>
    <s v="Lazio"/>
    <n v="52"/>
    <s v="IT"/>
    <m/>
    <m/>
    <m/>
    <m/>
    <m/>
    <m/>
    <m/>
  </r>
  <r>
    <s v="403-0551391-0433937"/>
    <s v="403-0551391-0433937"/>
    <s v="2024-01-26T15:01:15+00:00"/>
    <s v="2024-01-29T01:04:2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2.38"/>
    <n v="0.43"/>
    <m/>
    <m/>
    <m/>
    <m/>
    <s v="Genova"/>
    <s v="Genova"/>
    <n v="16129"/>
    <s v="IT"/>
    <m/>
    <m/>
    <m/>
    <m/>
    <m/>
    <m/>
    <m/>
  </r>
  <r>
    <s v="403-4401530-0841938"/>
    <s v="403-4401530-0841938"/>
    <s v="2024-01-26T14:59:34+00:00"/>
    <s v="2024-01-28T18:18:2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Pistoia"/>
    <s v="Pistoia"/>
    <n v="51100"/>
    <s v="IT"/>
    <m/>
    <m/>
    <m/>
    <m/>
    <m/>
    <m/>
    <m/>
  </r>
  <r>
    <s v="404-3143841-5377107"/>
    <s v="404-3143841-5377107"/>
    <s v="2024-01-26T14:43:39+00:00"/>
    <s v="2024-01-29T19:03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ENNO"/>
    <s v="Como"/>
    <n v="22016"/>
    <s v="IT"/>
    <m/>
    <m/>
    <m/>
    <m/>
    <m/>
    <m/>
    <m/>
  </r>
  <r>
    <s v="405-2150840-6789105"/>
    <s v="405-2150840-6789105"/>
    <s v="2024-01-26T14:29:24+00:00"/>
    <s v="2024-01-28T08:33:22+00:00"/>
    <s v="Shipped"/>
    <x v="0"/>
    <x v="3"/>
    <m/>
    <m/>
    <s v="Standard"/>
    <s v="Beper BC.261 Vaporiera da 5 litri - Vaporiera Elettrica Con Timer per Cottura al Vapore di Riso, Pesce, Ravioli, Verdure, Carne - BFA Free"/>
    <s v="BC.261_FBA"/>
    <x v="3"/>
    <s v="Shipped"/>
    <n v="1"/>
    <s v="EUR"/>
    <n v="24.51"/>
    <m/>
    <n v="2.33"/>
    <m/>
    <m/>
    <m/>
    <m/>
    <n v="2.33"/>
    <s v="Cadempino"/>
    <s v="Ticion"/>
    <n v="6814"/>
    <s v="CH"/>
    <m/>
    <m/>
    <m/>
    <m/>
    <m/>
    <m/>
    <m/>
  </r>
  <r>
    <s v="171-0664731-2253121"/>
    <s v="171-0664731-2253121"/>
    <s v="2024-01-26T14:14:31+00:00"/>
    <s v="2024-01-26T20:24:17+00:00"/>
    <s v="Shipped"/>
    <x v="0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Parma"/>
    <s v="PR"/>
    <n v="43123"/>
    <s v="IT"/>
    <m/>
    <m/>
    <m/>
    <m/>
    <n v="2730700347"/>
    <s v="IT"/>
    <s v="VAT"/>
  </r>
  <r>
    <s v="405-6550702-3192353"/>
    <s v="405-6550702-3192353"/>
    <s v="2024-01-26T14:09:31+00:00"/>
    <s v="2024-01-27T01:59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alenza Po"/>
    <s v="AL"/>
    <n v="15048"/>
    <s v="IT"/>
    <m/>
    <m/>
    <m/>
    <m/>
    <m/>
    <m/>
    <m/>
  </r>
  <r>
    <s v="408-6108366-2925922"/>
    <m/>
    <s v="2024-01-26T13:52:22+00:00"/>
    <s v="2024-01-29T15:28:53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4.9"/>
    <n v="2.69"/>
    <n v="3"/>
    <n v="0.54"/>
    <m/>
    <m/>
    <m/>
    <m/>
    <s v="MILANO"/>
    <s v="Milano"/>
    <n v="20139"/>
    <s v="IT"/>
    <m/>
    <m/>
    <m/>
    <m/>
    <m/>
    <m/>
    <m/>
  </r>
  <r>
    <s v="406-0573757-7109925"/>
    <s v="406-0573757-7109925"/>
    <s v="2024-01-26T13:28:53+00:00"/>
    <s v="2024-01-26T20:20:5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zzano"/>
    <s v="MI"/>
    <n v="20089"/>
    <s v="IT"/>
    <m/>
    <m/>
    <m/>
    <m/>
    <m/>
    <m/>
    <m/>
  </r>
  <r>
    <s v="403-3305066-9214765"/>
    <s v="403-3305066-9214765"/>
    <s v="2024-01-26T13:19:07+00:00"/>
    <s v="2024-01-26T17:12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ADERNO DUGNANO"/>
    <s v="MI"/>
    <n v="20037"/>
    <s v="IT"/>
    <m/>
    <m/>
    <m/>
    <m/>
    <m/>
    <m/>
    <m/>
  </r>
  <r>
    <s v="406-5242602-4910748"/>
    <s v="406-5242602-4910748"/>
    <s v="2024-01-26T13:09:52+00:00"/>
    <s v="2024-01-28T11:21:34+00:00"/>
    <s v="Shipped"/>
    <x v="0"/>
    <x v="3"/>
    <m/>
    <m/>
    <s v="Expedited"/>
    <s v="Beper Pulitore a Vapore Igenizzante, Caldaia in Alluminio da 350 Ml, Pulsante Vapore Continuo, Pressione 3.2 Bar, 30 G/Min, Cavo da 3 M Giallo/Nero"/>
    <s v="50.700_FBA"/>
    <x v="24"/>
    <s v="Shipped"/>
    <n v="1"/>
    <s v="EUR"/>
    <n v="44.9"/>
    <n v="8.1"/>
    <m/>
    <m/>
    <m/>
    <m/>
    <m/>
    <m/>
    <s v="Roma"/>
    <s v="Roma"/>
    <n v="125"/>
    <s v="IT"/>
    <m/>
    <m/>
    <m/>
    <m/>
    <m/>
    <m/>
    <m/>
  </r>
  <r>
    <s v="402-1477782-4449128"/>
    <s v="402-1477782-4449128"/>
    <s v="2024-01-26T12:45:18+00:00"/>
    <s v="2024-01-26T17:15:4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illafranca in Lunigiana"/>
    <s v="Massa-Carrara"/>
    <n v="54028"/>
    <s v="IT"/>
    <m/>
    <m/>
    <m/>
    <m/>
    <m/>
    <m/>
    <m/>
  </r>
  <r>
    <s v="403-5484933-6455533"/>
    <s v="403-5484933-6455533"/>
    <s v="2024-01-26T12:38:15+00:00"/>
    <s v="2024-01-28T18:19:4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rato"/>
    <s v="Prato"/>
    <n v="59100"/>
    <s v="IT"/>
    <m/>
    <m/>
    <m/>
    <m/>
    <m/>
    <m/>
    <m/>
  </r>
  <r>
    <s v="404-7899128-4296340"/>
    <m/>
    <s v="2024-01-26T12:36:06+00:00"/>
    <s v="2024-01-29T15:29:56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San Giuliano Milanese"/>
    <s v="Milano"/>
    <n v="20098"/>
    <s v="IT"/>
    <m/>
    <m/>
    <m/>
    <m/>
    <m/>
    <m/>
    <m/>
  </r>
  <r>
    <s v="171-9614738-0206702"/>
    <s v="171-9614738-0206702"/>
    <s v="2024-01-26T12:19:02+00:00"/>
    <s v="2024-01-27T01:18:1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enigallia"/>
    <s v="PE"/>
    <n v="60019"/>
    <s v="IT"/>
    <m/>
    <m/>
    <m/>
    <m/>
    <m/>
    <m/>
    <m/>
  </r>
  <r>
    <s v="402-2395501-8358766"/>
    <s v="402-2395501-8358766"/>
    <s v="2024-01-26T12:14:07+00:00"/>
    <s v="2024-01-26T15:47:3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edizzole"/>
    <s v="BS"/>
    <n v="25081"/>
    <s v="IT"/>
    <m/>
    <m/>
    <m/>
    <m/>
    <m/>
    <m/>
    <m/>
  </r>
  <r>
    <s v="402-4484460-3288353"/>
    <s v="402-4484460-3288353"/>
    <s v="2024-01-26T12:13:22+00:00"/>
    <s v="2024-01-27T01:18:4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Ostra"/>
    <s v="Ancona"/>
    <n v="60010"/>
    <s v="IT"/>
    <m/>
    <m/>
    <m/>
    <m/>
    <m/>
    <m/>
    <m/>
  </r>
  <r>
    <s v="408-3395185-9721168"/>
    <m/>
    <s v="2024-01-26T12:13:01+00:00"/>
    <s v="2024-01-29T15:28:57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Casoria"/>
    <s v="NA"/>
    <n v="80026"/>
    <s v="IT"/>
    <m/>
    <m/>
    <m/>
    <m/>
    <m/>
    <m/>
    <m/>
  </r>
  <r>
    <s v="402-7340773-4453120"/>
    <s v="402-7340773-4453120"/>
    <s v="2024-01-26T12:03:20+00:00"/>
    <s v="2024-01-26T20:20:00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NAPOLI"/>
    <m/>
    <n v="80147"/>
    <s v="IT"/>
    <m/>
    <m/>
    <m/>
    <m/>
    <m/>
    <m/>
    <m/>
  </r>
  <r>
    <s v="171-7209576-1061151"/>
    <m/>
    <s v="2024-01-26T12:02:37+00:00"/>
    <s v="2024-01-29T15:30:05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4.9"/>
    <n v="2.69"/>
    <n v="3"/>
    <n v="0.54"/>
    <m/>
    <m/>
    <m/>
    <m/>
    <s v="Molfetta"/>
    <s v="BA"/>
    <n v="70056"/>
    <s v="IT"/>
    <m/>
    <m/>
    <m/>
    <m/>
    <m/>
    <m/>
    <m/>
  </r>
  <r>
    <s v="407-3720183-2254719"/>
    <s v="407-3720183-2254719"/>
    <s v="2024-01-26T11:51:56+00:00"/>
    <s v="2024-01-27T12:59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opoli"/>
    <s v="ba"/>
    <n v="70043"/>
    <s v="IT"/>
    <m/>
    <m/>
    <m/>
    <m/>
    <m/>
    <m/>
    <m/>
  </r>
  <r>
    <s v="407-7214561-5708329"/>
    <s v="407-7214561-5708329"/>
    <s v="2024-01-26T11:51:15+00:00"/>
    <s v="2024-01-26T18:13:1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amezia Terme"/>
    <s v="Italia, Catanzaro, Calabria"/>
    <n v="88046"/>
    <s v="IT"/>
    <m/>
    <m/>
    <m/>
    <m/>
    <m/>
    <m/>
    <m/>
  </r>
  <r>
    <s v="408-0013258-8865953"/>
    <s v="408-0013258-8865953"/>
    <s v="2024-01-26T11:46:05+00:00"/>
    <s v="2024-01-27T02:52:3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2.4900000000000002"/>
    <n v="0.45"/>
    <m/>
    <m/>
    <m/>
    <m/>
    <s v="Frattamaggiore"/>
    <s v="Napoli"/>
    <n v="80027"/>
    <s v="IT"/>
    <m/>
    <m/>
    <m/>
    <m/>
    <m/>
    <m/>
    <m/>
  </r>
  <r>
    <s v="403-0994193-0223540"/>
    <s v="403-0994193-0223540"/>
    <s v="2024-01-26T11:43:23+00:00"/>
    <s v="2024-01-26T17:04:1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Milano"/>
    <s v="Italia/Lombardia/milano"/>
    <n v="20156"/>
    <s v="IT"/>
    <m/>
    <m/>
    <m/>
    <m/>
    <m/>
    <m/>
    <m/>
  </r>
  <r>
    <s v="406-0410021-5981923"/>
    <m/>
    <s v="2024-01-26T11:42:17+00:00"/>
    <s v="2024-01-29T15:29:2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TIARNO DI SOPRA"/>
    <s v="Trento"/>
    <n v="38067"/>
    <s v="IT"/>
    <m/>
    <m/>
    <m/>
    <m/>
    <m/>
    <m/>
    <m/>
  </r>
  <r>
    <s v="171-4226457-5254735"/>
    <s v="171-4226457-5254735"/>
    <s v="2024-01-26T11:40:41+00:00"/>
    <s v="2024-01-28T08:25:0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isacquino"/>
    <s v="pa"/>
    <n v="90032"/>
    <s v="IT"/>
    <m/>
    <m/>
    <m/>
    <m/>
    <m/>
    <m/>
    <m/>
  </r>
  <r>
    <s v="403-3067355-4088357"/>
    <s v="403-3067355-4088357"/>
    <s v="2024-01-26T11:37:15+00:00"/>
    <s v="2024-01-26T20:40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racciano"/>
    <s v="Roma"/>
    <n v="62"/>
    <s v="IT"/>
    <m/>
    <m/>
    <m/>
    <m/>
    <m/>
    <m/>
    <m/>
  </r>
  <r>
    <s v="403-7990420-9333102"/>
    <s v="403-7990420-9333102"/>
    <s v="2024-01-26T11:30:03+00:00"/>
    <s v="2024-01-26T20:44:4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rciano di Romagna"/>
    <s v="RN"/>
    <n v="47833"/>
    <s v="IT"/>
    <m/>
    <m/>
    <m/>
    <m/>
    <m/>
    <m/>
    <m/>
  </r>
  <r>
    <s v="403-3874380-2693146"/>
    <s v="403-3874380-2693146"/>
    <s v="2024-01-26T11:18:38+00:00"/>
    <s v="2024-01-26T23:30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egnaro"/>
    <s v="Padova"/>
    <n v="35020"/>
    <s v="IT"/>
    <m/>
    <m/>
    <m/>
    <m/>
    <m/>
    <m/>
    <m/>
  </r>
  <r>
    <s v="403-8498241-6182704"/>
    <m/>
    <s v="2024-01-26T11:06:47+00:00"/>
    <s v="2024-01-29T14:19:43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5"/>
    <s v="EUR"/>
    <n v="74.5"/>
    <n v="13.45"/>
    <n v="15"/>
    <n v="2.7"/>
    <m/>
    <m/>
    <m/>
    <m/>
    <s v="MONCALIERI"/>
    <s v="TO"/>
    <n v="10024"/>
    <s v="IT"/>
    <m/>
    <m/>
    <m/>
    <m/>
    <s v="IT08831790012"/>
    <s v="IT"/>
    <s v="VAT"/>
  </r>
  <r>
    <s v="407-5383133-5650735"/>
    <s v="407-5383133-5650735"/>
    <s v="2024-01-26T10:29:23+00:00"/>
    <s v="2024-01-28T22:08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m/>
    <n v="20132"/>
    <s v="IT"/>
    <m/>
    <m/>
    <m/>
    <m/>
    <m/>
    <m/>
    <m/>
  </r>
  <r>
    <s v="402-8203608-7618721"/>
    <m/>
    <s v="2024-01-26T10:06:20+00:00"/>
    <s v="2024-01-29T14:49:5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ILANO"/>
    <s v="MI"/>
    <n v="20162"/>
    <s v="IT"/>
    <m/>
    <m/>
    <m/>
    <m/>
    <m/>
    <m/>
    <m/>
  </r>
  <r>
    <s v="406-8252417-5331517"/>
    <m/>
    <s v="2024-01-26T09:58:48+00:00"/>
    <s v="2024-01-29T14:21:48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n v="3"/>
    <n v="0.54"/>
    <m/>
    <m/>
    <m/>
    <m/>
    <s v="napoli"/>
    <s v="napoli"/>
    <n v="80144"/>
    <s v="IT"/>
    <m/>
    <m/>
    <m/>
    <m/>
    <s v="IT07828001219"/>
    <s v="IT"/>
    <s v="VAT"/>
  </r>
  <r>
    <s v="171-6506117-8672346"/>
    <s v="171-6506117-8672346"/>
    <s v="2024-01-26T09:30:57+00:00"/>
    <s v="2024-01-26T15:47:3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arma"/>
    <s v="Parma"/>
    <n v="43122"/>
    <s v="IT"/>
    <m/>
    <m/>
    <m/>
    <m/>
    <m/>
    <m/>
    <m/>
  </r>
  <r>
    <s v="408-6888206-6284319"/>
    <m/>
    <s v="2024-01-26T08:55:44+00:00"/>
    <s v="2024-01-29T10:18:27+00:00"/>
    <s v="Cancelled"/>
    <x v="1"/>
    <x v="3"/>
    <s v="WebsiteOrderChannel"/>
    <m/>
    <s v="Standard"/>
    <s v="BEPER BT.150Y Macchina per Hot Dog, 5 Livelli di Cottura, 750 Watt, Design Vintage, Rosso"/>
    <s v="BT.150Y"/>
    <x v="5"/>
    <m/>
    <n v="0"/>
    <s v="EUR"/>
    <n v="65.400000000000006"/>
    <n v="14.4"/>
    <n v="6"/>
    <n v="1.08"/>
    <m/>
    <m/>
    <m/>
    <m/>
    <s v="Calalzo di Cadore"/>
    <s v="Belluno"/>
    <n v="32042"/>
    <s v="IT"/>
    <m/>
    <m/>
    <m/>
    <m/>
    <s v="IT00061860250"/>
    <s v="IT"/>
    <s v="VAT"/>
  </r>
  <r>
    <s v="406-3845184-1327522"/>
    <m/>
    <s v="2024-01-26T08:55:00+00:00"/>
    <s v="2024-01-29T14:22:31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2"/>
    <s v="EUR"/>
    <n v="59.8"/>
    <n v="10.78"/>
    <n v="6"/>
    <n v="1.08"/>
    <m/>
    <m/>
    <m/>
    <m/>
    <s v="ponza"/>
    <s v="latina"/>
    <n v="4027"/>
    <s v="IT"/>
    <m/>
    <m/>
    <m/>
    <m/>
    <s v="IT01981740598"/>
    <s v="IT"/>
    <s v="VAT"/>
  </r>
  <r>
    <s v="404-2066323-8174753"/>
    <s v="404-2066323-8174753"/>
    <s v="2024-01-26T08:38:08+00:00"/>
    <s v="2024-01-28T01:52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RIGNASCO"/>
    <s v="NO"/>
    <n v="28075"/>
    <s v="IT"/>
    <m/>
    <m/>
    <m/>
    <m/>
    <m/>
    <m/>
    <m/>
  </r>
  <r>
    <s v="402-5417032-7803508"/>
    <s v="402-5417032-7803508"/>
    <s v="2024-01-26T08:37:50+00:00"/>
    <s v="2024-01-26T13:21:2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ravina di catania"/>
    <s v="CT"/>
    <n v="95030"/>
    <s v="IT"/>
    <m/>
    <m/>
    <m/>
    <m/>
    <m/>
    <m/>
    <m/>
  </r>
  <r>
    <s v="403-3741003-8060312"/>
    <m/>
    <s v="2024-01-26T08:35:15+00:00"/>
    <s v="2024-01-29T14:50:5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Nova Milanese"/>
    <s v="Monza e Brianza"/>
    <n v="20834"/>
    <s v="IT"/>
    <m/>
    <m/>
    <m/>
    <m/>
    <m/>
    <m/>
    <m/>
  </r>
  <r>
    <s v="171-7228530-1211552"/>
    <s v="171-7228530-1211552"/>
    <s v="2024-01-26T07:21:56+00:00"/>
    <s v="2024-01-26T15:46:5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edrengo"/>
    <s v="Bergamo"/>
    <n v="24066"/>
    <s v="IT"/>
    <m/>
    <m/>
    <m/>
    <m/>
    <m/>
    <m/>
    <m/>
  </r>
  <r>
    <s v="408-2806361-8765943"/>
    <s v="408-2806361-8765943"/>
    <s v="2024-01-26T07:03:12+00:00"/>
    <s v="2024-01-29T02:18:34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6-2666487-7537110"/>
    <s v="406-2666487-7537110"/>
    <s v="2024-01-26T06:32:38+00:00"/>
    <s v="2024-01-26T17:15:20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n v="4.99"/>
    <n v="0.9"/>
    <m/>
    <m/>
    <m/>
    <m/>
    <s v="MONTE SAN QUIRICO"/>
    <s v="Lucca"/>
    <n v="55100"/>
    <s v="IT"/>
    <m/>
    <m/>
    <m/>
    <m/>
    <m/>
    <m/>
    <m/>
  </r>
  <r>
    <s v="408-5805922-3147521"/>
    <s v="408-5805922-3147521"/>
    <s v="2024-01-26T06:30:04+00:00"/>
    <s v="2024-01-26T21:17:3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rugia"/>
    <s v="Perugia"/>
    <n v="6134"/>
    <s v="IT"/>
    <m/>
    <m/>
    <m/>
    <m/>
    <m/>
    <m/>
    <m/>
  </r>
  <r>
    <s v="171-1659294-9985945"/>
    <s v="171-1659294-9985945"/>
    <s v="2024-01-26T05:22:00+00:00"/>
    <s v="2024-01-26T05:23:16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Cassola"/>
    <s v="Vi"/>
    <n v="36022"/>
    <s v="IT"/>
    <m/>
    <m/>
    <m/>
    <m/>
    <m/>
    <m/>
    <m/>
  </r>
  <r>
    <s v="405-2461549-8430730"/>
    <s v="405-2461549-8430730"/>
    <s v="2024-01-26T02:00:46+00:00"/>
    <s v="2024-01-26T09:16:2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LOGNO MONZESE"/>
    <s v="Milano"/>
    <n v="20093"/>
    <s v="IT"/>
    <m/>
    <m/>
    <m/>
    <m/>
    <m/>
    <m/>
    <m/>
  </r>
  <r>
    <s v="405-6257771-6100315"/>
    <s v="405-6257771-6100315"/>
    <s v="2024-01-26T01:11:23+00:00"/>
    <s v="2024-01-26T22:11:4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ESENZANO DEL GARDA"/>
    <s v="bs"/>
    <n v="25015"/>
    <s v="IT"/>
    <m/>
    <m/>
    <m/>
    <m/>
    <m/>
    <m/>
    <m/>
  </r>
  <r>
    <s v="408-8312560-3528333"/>
    <s v="408-8312560-3528333"/>
    <s v="2024-01-25T22:59:18+00:00"/>
    <s v="2024-01-26T02:25:5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ettona"/>
    <s v="Pg"/>
    <n v="6084"/>
    <s v="IT"/>
    <m/>
    <m/>
    <m/>
    <m/>
    <m/>
    <m/>
    <m/>
  </r>
  <r>
    <s v="171-5806814-6705142"/>
    <s v="171-5806814-6705142"/>
    <s v="2024-01-25T22:46:57+00:00"/>
    <s v="2024-01-26T05:12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Urbino"/>
    <s v="PU"/>
    <n v="61029"/>
    <s v="IT"/>
    <m/>
    <m/>
    <m/>
    <m/>
    <m/>
    <m/>
    <m/>
  </r>
  <r>
    <s v="171-1459534-4032342"/>
    <s v="171-1459534-4032342"/>
    <s v="2024-01-25T22:41:07+00:00"/>
    <s v="2024-01-27T08:53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DUGNO"/>
    <m/>
    <n v="70026"/>
    <s v="IT"/>
    <m/>
    <m/>
    <m/>
    <m/>
    <m/>
    <m/>
    <m/>
  </r>
  <r>
    <s v="404-6944202-3336368"/>
    <s v="404-6944202-3336368"/>
    <s v="2024-01-25T22:22:40+00:00"/>
    <s v="2024-01-26T02:30:2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59"/>
    <s v="IT"/>
    <m/>
    <m/>
    <m/>
    <m/>
    <m/>
    <m/>
    <m/>
  </r>
  <r>
    <s v="408-9087893-5347541"/>
    <s v="408-9087893-5347541"/>
    <s v="2024-01-25T21:59:47+00:00"/>
    <s v="2024-01-26T02:06:31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4-5835776-8064307"/>
    <s v="404-5835776-8064307"/>
    <s v="2024-01-25T21:43:04+00:00"/>
    <s v="2024-01-26T01:29:3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34"/>
    <s v="IT"/>
    <m/>
    <m/>
    <m/>
    <m/>
    <m/>
    <m/>
    <m/>
  </r>
  <r>
    <s v="403-5246721-6995526"/>
    <s v="403-5246721-6995526"/>
    <s v="2024-01-25T21:42:08+00:00"/>
    <s v="2024-01-26T18:17:2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rconia di Pisticci"/>
    <s v="Matera"/>
    <n v="75020"/>
    <s v="IT"/>
    <m/>
    <m/>
    <m/>
    <m/>
    <m/>
    <m/>
    <m/>
  </r>
  <r>
    <s v="404-3097007-7365956"/>
    <s v="404-3097007-7365956"/>
    <s v="2024-01-25T21:10:20+00:00"/>
    <s v="2024-01-25T23:13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isa"/>
    <s v="PI"/>
    <n v="56122"/>
    <s v="IT"/>
    <m/>
    <m/>
    <m/>
    <m/>
    <m/>
    <m/>
    <m/>
  </r>
  <r>
    <s v="408-3465790-1288303"/>
    <s v="408-3465790-1288303"/>
    <s v="2024-01-25T21:04:31+00:00"/>
    <s v="2024-01-26T16:09:5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oghera"/>
    <s v="PV"/>
    <n v="27058"/>
    <s v="IT"/>
    <m/>
    <m/>
    <m/>
    <m/>
    <m/>
    <m/>
    <m/>
  </r>
  <r>
    <s v="405-9919290-5420310"/>
    <m/>
    <s v="2024-01-25T21:00:38+00:00"/>
    <s v="2024-01-26T12:29:04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Trapani"/>
    <s v="Trapani"/>
    <n v="91100"/>
    <s v="IT"/>
    <m/>
    <m/>
    <m/>
    <m/>
    <m/>
    <m/>
    <m/>
  </r>
  <r>
    <s v="407-4390633-2165915"/>
    <s v="407-4390633-2165915"/>
    <s v="2024-01-25T20:56:20+00:00"/>
    <s v="2024-01-26T15:28:4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22"/>
    <m/>
    <m/>
    <m/>
    <m/>
    <n v="1.22"/>
    <s v="Assemini"/>
    <s v="CA"/>
    <n v="9032"/>
    <s v="IT"/>
    <m/>
    <m/>
    <m/>
    <m/>
    <m/>
    <m/>
    <m/>
  </r>
  <r>
    <s v="171-8584907-1393148"/>
    <s v="171-8584907-1393148"/>
    <s v="2024-01-25T20:56:15+00:00"/>
    <s v="2024-01-26T02:28:4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Napoli"/>
    <s v="NA"/>
    <n v="80144"/>
    <s v="IT"/>
    <m/>
    <m/>
    <m/>
    <m/>
    <m/>
    <m/>
    <m/>
  </r>
  <r>
    <s v="405-6463875-4618711"/>
    <s v="405-6463875-4618711"/>
    <s v="2024-01-25T20:45:16+00:00"/>
    <s v="2024-01-26T04:36:3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ntesilvano"/>
    <s v="Pescara"/>
    <n v="65015"/>
    <s v="IT"/>
    <m/>
    <m/>
    <m/>
    <m/>
    <m/>
    <m/>
    <m/>
  </r>
  <r>
    <s v="402-0920012-6802723"/>
    <m/>
    <s v="2024-01-25T20:39:54+00:00"/>
    <s v="2024-01-26T12:31:55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Cercola"/>
    <s v="Napoli"/>
    <n v="80040"/>
    <s v="IT"/>
    <m/>
    <m/>
    <m/>
    <m/>
    <m/>
    <m/>
    <m/>
  </r>
  <r>
    <s v="406-4243267-9834738"/>
    <m/>
    <s v="2024-01-25T20:28:06+00:00"/>
    <s v="2024-01-26T14:56:09+00:00"/>
    <s v="Shipped"/>
    <x v="1"/>
    <x v="3"/>
    <s v="WebsiteOrderChannel"/>
    <m/>
    <s v="Standard"/>
    <s v="BEPER Macchina per Popcorn, Popcorn in 3 Minuti, No Grassi, Circolazione di Aria Calda, Senza Olio Potenza 1200 W, Rosso/ Oro"/>
    <s v="BT.651Y"/>
    <x v="7"/>
    <s v="Shipped"/>
    <n v="1"/>
    <s v="EUR"/>
    <n v="49.9"/>
    <n v="9"/>
    <n v="3"/>
    <n v="0.54"/>
    <m/>
    <m/>
    <m/>
    <m/>
    <s v="La spezia"/>
    <s v="SP"/>
    <n v="19124"/>
    <s v="IT"/>
    <m/>
    <m/>
    <m/>
    <m/>
    <m/>
    <m/>
    <m/>
  </r>
  <r>
    <s v="406-8115688-8337921"/>
    <s v="406-8115688-8337921"/>
    <s v="2024-01-25T20:17:34+00:00"/>
    <s v="2024-01-26T01:29:1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rino Santa Maria delle Mole"/>
    <s v="Roma"/>
    <n v="47"/>
    <s v="IT"/>
    <m/>
    <m/>
    <m/>
    <m/>
    <m/>
    <m/>
    <m/>
  </r>
  <r>
    <s v="405-7916473-3327506"/>
    <s v="405-7916473-3327506"/>
    <s v="2024-01-25T20:11:35+00:00"/>
    <s v="2024-01-26T01:24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ordenone"/>
    <s v="pordenone"/>
    <n v="33170"/>
    <s v="IT"/>
    <m/>
    <m/>
    <m/>
    <m/>
    <m/>
    <m/>
    <m/>
  </r>
  <r>
    <s v="405-4504663-2112317"/>
    <s v="405-4504663-2112317"/>
    <s v="2024-01-25T19:51:24+00:00"/>
    <s v="2024-01-26T01:29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FIESOLE"/>
    <s v="Firenze"/>
    <n v="50014"/>
    <s v="IT"/>
    <m/>
    <m/>
    <m/>
    <m/>
    <m/>
    <m/>
    <m/>
  </r>
  <r>
    <s v="406-1407292-4325117"/>
    <s v="406-1407292-4325117"/>
    <s v="2024-01-25T19:47:27+00:00"/>
    <s v="2024-01-25T19:49:25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Nerviano"/>
    <s v="Milano"/>
    <n v="20014"/>
    <s v="IT"/>
    <m/>
    <m/>
    <m/>
    <m/>
    <m/>
    <m/>
    <m/>
  </r>
  <r>
    <s v="408-3133450-5297139"/>
    <m/>
    <s v="2024-01-25T19:24:58+00:00"/>
    <s v="2024-01-26T13:08:09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SOSSANO"/>
    <s v="Vicenza"/>
    <n v="36040"/>
    <s v="IT"/>
    <m/>
    <m/>
    <m/>
    <m/>
    <m/>
    <m/>
    <m/>
  </r>
  <r>
    <s v="408-2881556-6201907"/>
    <s v="408-2881556-6201907"/>
    <s v="2024-01-25T19:19:11+00:00"/>
    <s v="2024-01-26T15:47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eggio emilia"/>
    <s v="RE"/>
    <n v="42124"/>
    <s v="IT"/>
    <m/>
    <m/>
    <m/>
    <m/>
    <m/>
    <m/>
    <m/>
  </r>
  <r>
    <s v="405-7517161-0225131"/>
    <s v="405-7517161-0225131"/>
    <s v="2024-01-25T19:12:20+00:00"/>
    <s v="2024-01-26T02:28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NAPOLI"/>
    <s v="NA"/>
    <n v="80131"/>
    <s v="IT"/>
    <m/>
    <m/>
    <m/>
    <m/>
    <m/>
    <m/>
    <m/>
  </r>
  <r>
    <s v="407-1628666-2606729"/>
    <s v="407-1628666-2606729"/>
    <s v="2024-01-25T19:10:56+00:00"/>
    <s v="2024-01-26T15:49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GENUARIO"/>
    <s v="Vercelli"/>
    <n v="13044"/>
    <s v="IT"/>
    <m/>
    <m/>
    <m/>
    <m/>
    <m/>
    <m/>
    <m/>
  </r>
  <r>
    <s v="407-1874193-1560322"/>
    <m/>
    <s v="2024-01-25T19:08:02+00:00"/>
    <s v="2024-01-26T13:08:03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Ronciglione"/>
    <s v="Viterbo"/>
    <n v="1037"/>
    <s v="IT"/>
    <m/>
    <m/>
    <m/>
    <m/>
    <m/>
    <m/>
    <m/>
  </r>
  <r>
    <s v="407-1585140-8361100"/>
    <s v="407-1585140-8361100"/>
    <s v="2024-01-25T19:06:53+00:00"/>
    <s v="2024-01-27T08:58:2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0900000000000001"/>
    <m/>
    <m/>
    <m/>
    <m/>
    <n v="1.0900000000000001"/>
    <s v="FICARAZZI"/>
    <s v="Catania"/>
    <n v="95021"/>
    <s v="IT"/>
    <m/>
    <m/>
    <m/>
    <m/>
    <m/>
    <m/>
    <m/>
  </r>
  <r>
    <s v="406-9631317-2808338"/>
    <s v="406-9631317-2808338"/>
    <s v="2024-01-25T19:01:02+00:00"/>
    <s v="2024-01-26T15:48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logno al Serio"/>
    <s v="Bergamo"/>
    <n v="24055"/>
    <s v="IT"/>
    <m/>
    <m/>
    <m/>
    <m/>
    <m/>
    <m/>
    <m/>
  </r>
  <r>
    <s v="405-7716048-3246739"/>
    <s v="405-7716048-3246739"/>
    <s v="2024-01-25T18:58:18+00:00"/>
    <s v="2024-01-25T21:25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ROMA"/>
    <m/>
    <n v="173"/>
    <s v="IT"/>
    <m/>
    <m/>
    <m/>
    <m/>
    <m/>
    <m/>
    <m/>
  </r>
  <r>
    <s v="402-3701087-2102759"/>
    <s v="402-3701087-2102759"/>
    <s v="2024-01-25T18:50:59+00:00"/>
    <s v="2024-01-25T21:29:5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eramo"/>
    <s v="TE"/>
    <n v="64100"/>
    <s v="IT"/>
    <m/>
    <m/>
    <m/>
    <m/>
    <m/>
    <m/>
    <m/>
  </r>
  <r>
    <s v="407-2651699-0214759"/>
    <s v="407-2651699-0214759"/>
    <s v="2024-01-25T18:29:06+00:00"/>
    <s v="2024-01-25T18:31:02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Santhia"/>
    <s v="VC"/>
    <n v="13048"/>
    <s v="IT"/>
    <m/>
    <m/>
    <m/>
    <m/>
    <m/>
    <m/>
    <m/>
  </r>
  <r>
    <s v="407-9695892-8093953"/>
    <s v="407-9695892-8093953"/>
    <s v="2024-01-25T18:22:26+00:00"/>
    <s v="2024-01-25T18:23:21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SANTHIA'"/>
    <s v="VC"/>
    <n v="13048"/>
    <s v="IT"/>
    <m/>
    <m/>
    <m/>
    <m/>
    <m/>
    <m/>
    <m/>
  </r>
  <r>
    <s v="405-4968031-3249118"/>
    <s v="405-4968031-3249118"/>
    <s v="2024-01-25T18:12:46+00:00"/>
    <s v="2024-01-26T18:33:2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Corigliano Calabro"/>
    <s v="Cosenza"/>
    <n v="87064"/>
    <s v="IT"/>
    <m/>
    <m/>
    <m/>
    <m/>
    <m/>
    <m/>
    <m/>
  </r>
  <r>
    <s v="404-8163080-5452361"/>
    <s v="404-8163080-5452361"/>
    <s v="2024-01-25T17:56:00+00:00"/>
    <s v="2024-01-26T20:41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Aprilia"/>
    <s v="LT"/>
    <n v="4011"/>
    <s v="IT"/>
    <m/>
    <m/>
    <m/>
    <m/>
    <m/>
    <m/>
    <m/>
  </r>
  <r>
    <s v="171-5887047-2051526"/>
    <s v="171-5887047-2051526"/>
    <s v="2024-01-25T17:53:23+00:00"/>
    <s v="2024-01-26T17:06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48"/>
    <s v="IT"/>
    <m/>
    <m/>
    <m/>
    <m/>
    <m/>
    <m/>
    <m/>
  </r>
  <r>
    <s v="405-9594469-4269960"/>
    <s v="405-9594469-4269960"/>
    <s v="2024-01-25T17:43:11+00:00"/>
    <s v="2024-01-25T20:58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 san giorgio"/>
    <s v="SA"/>
    <n v="84083"/>
    <s v="IT"/>
    <m/>
    <m/>
    <m/>
    <m/>
    <m/>
    <m/>
    <m/>
  </r>
  <r>
    <s v="407-7297025-6401157"/>
    <s v="407-7297025-6401157"/>
    <s v="2024-01-25T17:42:14+00:00"/>
    <s v="2024-01-25T20:46:03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Casavatore"/>
    <s v="Napoli"/>
    <n v="80020"/>
    <s v="IT"/>
    <m/>
    <m/>
    <m/>
    <m/>
    <m/>
    <m/>
    <m/>
  </r>
  <r>
    <s v="404-1992259-6712365"/>
    <s v="404-1992259-6712365"/>
    <s v="2024-01-25T17:38:15+00:00"/>
    <s v="2024-01-25T20:18:4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algrande"/>
    <s v="Reggio Emilia"/>
    <n v="42013"/>
    <s v="IT"/>
    <m/>
    <m/>
    <m/>
    <m/>
    <m/>
    <m/>
    <m/>
  </r>
  <r>
    <s v="407-9931895-4440310"/>
    <m/>
    <s v="2024-01-25T17:34:22+00:00"/>
    <s v="2024-01-30T18:57:56+00:00"/>
    <s v="Cancelled"/>
    <x v="1"/>
    <x v="3"/>
    <s v="WebsiteOrderChannel"/>
    <m/>
    <s v="Standard"/>
    <s v="BEPER C206UTI002 Copriscarpe Monouso Set 100 Sacchetti - Copriscarpe da Casa o Lavoro"/>
    <s v="C206UTI002"/>
    <x v="18"/>
    <m/>
    <n v="0"/>
    <m/>
    <m/>
    <m/>
    <m/>
    <m/>
    <m/>
    <m/>
    <m/>
    <m/>
    <s v="Carugate"/>
    <s v="Italia Milano Lombardia"/>
    <n v="20061"/>
    <s v="IT"/>
    <m/>
    <m/>
    <m/>
    <m/>
    <m/>
    <m/>
    <m/>
  </r>
  <r>
    <s v="406-7096202-6843531"/>
    <s v="406-7096202-6843531"/>
    <s v="2024-01-25T17:32:58+00:00"/>
    <s v="2024-01-26T13:28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ggibonsi"/>
    <s v="Siena"/>
    <n v="53036"/>
    <s v="IT"/>
    <m/>
    <m/>
    <m/>
    <m/>
    <m/>
    <m/>
    <m/>
  </r>
  <r>
    <s v="404-6031141-6018739"/>
    <m/>
    <s v="2024-01-25T17:31:12+00:00"/>
    <s v="2024-01-28T22:35:44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Rimini"/>
    <s v="RN"/>
    <n v="47924"/>
    <s v="IT"/>
    <m/>
    <m/>
    <m/>
    <m/>
    <m/>
    <m/>
    <m/>
  </r>
  <r>
    <s v="406-8318066-5337132"/>
    <s v="406-8318066-5337132"/>
    <s v="2024-01-25T17:23:59+00:00"/>
    <s v="2024-01-26T15:38:45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Capoterra"/>
    <s v="Cagliari"/>
    <n v="9012"/>
    <s v="IT"/>
    <m/>
    <m/>
    <m/>
    <m/>
    <m/>
    <m/>
    <m/>
  </r>
  <r>
    <s v="171-8923519-0781927"/>
    <s v="171-8923519-0781927"/>
    <s v="2024-01-25T17:20:37+00:00"/>
    <s v="2024-01-25T20:46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Napoli"/>
    <s v="Napoli"/>
    <n v="80125"/>
    <s v="IT"/>
    <m/>
    <m/>
    <m/>
    <m/>
    <m/>
    <m/>
    <m/>
  </r>
  <r>
    <s v="405-9360642-7586767"/>
    <m/>
    <s v="2024-01-25T17:02:18+00:00"/>
    <s v="2024-01-26T13:09:1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elfi"/>
    <s v="Potenza"/>
    <n v="85025"/>
    <s v="IT"/>
    <m/>
    <m/>
    <m/>
    <m/>
    <m/>
    <m/>
    <m/>
  </r>
  <r>
    <s v="407-8780125-1158710"/>
    <s v="407-8780125-1158710"/>
    <s v="2024-01-25T16:41:10+00:00"/>
    <s v="2024-01-26T09:16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t'Angelo di Piove di Sacco"/>
    <s v="Padova"/>
    <n v="35020"/>
    <s v="IT"/>
    <m/>
    <m/>
    <m/>
    <m/>
    <m/>
    <m/>
    <m/>
  </r>
  <r>
    <s v="407-0042968-0193127"/>
    <s v="407-0042968-0193127"/>
    <s v="2024-01-25T16:37:44+00:00"/>
    <s v="2024-01-26T08:26:28+00:00"/>
    <s v="Shipped"/>
    <x v="0"/>
    <x v="3"/>
    <m/>
    <m/>
    <s v="Expedited"/>
    <s v="BEPER BT.700Y Crepiera Elettrica, 1300 W, Plastica, Alluminio pressofuso, rinvestimento Antiaderente, Rosso/Nero"/>
    <s v="BT.700Y_FBA"/>
    <x v="31"/>
    <s v="Shipped"/>
    <n v="1"/>
    <s v="EUR"/>
    <n v="36.99"/>
    <n v="6.67"/>
    <m/>
    <m/>
    <m/>
    <m/>
    <m/>
    <m/>
    <s v="CASALNUOVO DI NAPOLI"/>
    <s v="CAMPANIA"/>
    <n v="80013"/>
    <s v="IT"/>
    <m/>
    <m/>
    <m/>
    <m/>
    <m/>
    <m/>
    <m/>
  </r>
  <r>
    <s v="406-6261011-3508305"/>
    <s v="406-6261011-3508305"/>
    <s v="2024-01-25T16:37:19+00:00"/>
    <s v="2024-01-26T13:29:0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enezia"/>
    <s v="VE"/>
    <n v="30121"/>
    <s v="IT"/>
    <m/>
    <m/>
    <m/>
    <m/>
    <m/>
    <m/>
    <m/>
  </r>
  <r>
    <s v="403-9271025-5021910"/>
    <s v="403-9271025-5021910"/>
    <s v="2024-01-25T16:30:57+00:00"/>
    <s v="2024-01-25T20:47:0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ttipaglia"/>
    <s v="Salerno"/>
    <n v="84091"/>
    <s v="IT"/>
    <m/>
    <m/>
    <m/>
    <m/>
    <m/>
    <m/>
    <m/>
  </r>
  <r>
    <s v="408-6347157-4387546"/>
    <s v="408-6347157-4387546"/>
    <s v="2024-01-25T16:29:43+00:00"/>
    <s v="2024-01-26T01:17:4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orto Recanati"/>
    <s v="Macerata"/>
    <n v="62017"/>
    <s v="IT"/>
    <m/>
    <m/>
    <m/>
    <m/>
    <m/>
    <m/>
    <m/>
  </r>
  <r>
    <s v="408-9636755-2591519"/>
    <m/>
    <s v="2024-01-25T16:00:41+00:00"/>
    <s v="2024-01-26T12:10:10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bressanone"/>
    <s v="bolzano"/>
    <n v="39042"/>
    <s v="IT"/>
    <m/>
    <m/>
    <m/>
    <m/>
    <m/>
    <m/>
    <m/>
  </r>
  <r>
    <s v="402-8286575-1890755"/>
    <m/>
    <s v="2024-01-25T15:50:55+00:00"/>
    <s v="2024-01-26T12:29:04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San Lazzaro di Savena"/>
    <s v="Bologna"/>
    <n v="40068"/>
    <s v="IT"/>
    <m/>
    <m/>
    <m/>
    <m/>
    <m/>
    <m/>
    <m/>
  </r>
  <r>
    <s v="408-5744743-0229131"/>
    <s v="408-5744743-0229131"/>
    <s v="2024-01-25T15:28:16+00:00"/>
    <s v="2024-01-25T17:24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utigliano"/>
    <s v="bari"/>
    <n v="70018"/>
    <s v="IT"/>
    <m/>
    <m/>
    <m/>
    <m/>
    <m/>
    <m/>
    <m/>
  </r>
  <r>
    <s v="405-1185404-7966759"/>
    <m/>
    <s v="2024-01-25T15:21:49+00:00"/>
    <s v="2024-01-26T12:29:0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Partinico"/>
    <s v="Palermo"/>
    <n v="90047"/>
    <s v="IT"/>
    <m/>
    <m/>
    <m/>
    <m/>
    <m/>
    <m/>
    <m/>
  </r>
  <r>
    <s v="408-8356093-4335562"/>
    <m/>
    <s v="2024-01-25T15:03:03+00:00"/>
    <s v="2024-01-26T13:07:59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San Giuseppe vesuviano"/>
    <s v="Napoli"/>
    <n v="80047"/>
    <s v="IT"/>
    <m/>
    <m/>
    <m/>
    <m/>
    <m/>
    <m/>
    <m/>
  </r>
  <r>
    <s v="404-1453591-9949937"/>
    <s v="404-1453591-9949937"/>
    <s v="2024-01-25T14:45:54+00:00"/>
    <s v="2024-01-25T20:20:2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Casalbuono"/>
    <s v="Salerno"/>
    <n v="84030"/>
    <s v="IT"/>
    <m/>
    <m/>
    <m/>
    <m/>
    <m/>
    <m/>
    <m/>
  </r>
  <r>
    <s v="402-1847802-9222708"/>
    <s v="402-1847802-9222708"/>
    <s v="2024-01-25T14:42:52+00:00"/>
    <s v="2024-01-28T04:13:4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le"/>
    <s v="Alessandria"/>
    <n v="15045"/>
    <s v="IT"/>
    <m/>
    <m/>
    <m/>
    <m/>
    <m/>
    <m/>
    <m/>
  </r>
  <r>
    <s v="408-5295120-2321149"/>
    <s v="408-5295120-2321149"/>
    <s v="2024-01-25T14:09:18+00:00"/>
    <s v="2024-01-26T12:09:0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hiavari"/>
    <s v="Genova"/>
    <n v="16043"/>
    <s v="IT"/>
    <m/>
    <m/>
    <m/>
    <m/>
    <m/>
    <m/>
    <m/>
  </r>
  <r>
    <s v="406-3883387-4560300"/>
    <s v="406-3883387-4560300"/>
    <s v="2024-01-25T13:58:36+00:00"/>
    <s v="2024-01-25T23:09:5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75"/>
    <s v="IT"/>
    <m/>
    <m/>
    <m/>
    <m/>
    <m/>
    <m/>
    <m/>
  </r>
  <r>
    <s v="407-9016379-3602750"/>
    <s v="407-9016379-3602750"/>
    <s v="2024-01-25T13:19:53+00:00"/>
    <s v="2024-01-26T04:14:41+00:00"/>
    <s v="Shipped"/>
    <x v="0"/>
    <x v="3"/>
    <m/>
    <m/>
    <s v="Expedited"/>
    <s v="BEPER BT.150Y Macchina per Hot Dog, 5 Livelli di Cottura, 750 Watt, Design Vintage, Rosso"/>
    <s v="BT.150Y_FBA"/>
    <x v="5"/>
    <s v="Shipped"/>
    <n v="1"/>
    <s v="EUR"/>
    <n v="39.9"/>
    <n v="7.2"/>
    <m/>
    <m/>
    <m/>
    <m/>
    <m/>
    <m/>
    <s v="Roccapiemonte"/>
    <s v="Salerno"/>
    <n v="84086"/>
    <s v="IT"/>
    <m/>
    <m/>
    <m/>
    <m/>
    <m/>
    <m/>
    <m/>
  </r>
  <r>
    <s v="403-4364230-9220328"/>
    <s v="403-4364230-9220328"/>
    <s v="2024-01-25T13:19:19+00:00"/>
    <s v="2024-01-25T23:40:4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2.5"/>
    <n v="0.45"/>
    <m/>
    <m/>
    <m/>
    <m/>
    <s v="FALCONARA ALTA"/>
    <s v="ancona"/>
    <n v="60015"/>
    <s v="IT"/>
    <m/>
    <m/>
    <m/>
    <m/>
    <m/>
    <m/>
    <m/>
  </r>
  <r>
    <s v="171-4342387-5097125"/>
    <s v="171-4342387-5097125"/>
    <s v="2024-01-25T13:05:38+00:00"/>
    <s v="2024-01-26T04:51:56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2"/>
    <s v="EUR"/>
    <n v="49.8"/>
    <n v="8.98"/>
    <m/>
    <m/>
    <m/>
    <m/>
    <m/>
    <m/>
    <s v="Marostica"/>
    <s v="Vicenza"/>
    <n v="36063"/>
    <s v="IT"/>
    <m/>
    <m/>
    <m/>
    <m/>
    <m/>
    <m/>
    <m/>
  </r>
  <r>
    <s v="405-1217331-3659557"/>
    <s v="405-1217331-3659557"/>
    <s v="2024-01-25T13:04:45+00:00"/>
    <s v="2024-01-25T17:54:4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Omegna"/>
    <s v="Verbania"/>
    <n v="28887"/>
    <s v="IT"/>
    <m/>
    <m/>
    <m/>
    <m/>
    <m/>
    <m/>
    <m/>
  </r>
  <r>
    <s v="407-2785853-6637169"/>
    <s v="407-2785853-6637169"/>
    <s v="2024-01-25T13:04:39+00:00"/>
    <s v="2024-01-25T20:48:3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Faenza"/>
    <s v="Ravenna"/>
    <n v="48018"/>
    <s v="IT"/>
    <m/>
    <m/>
    <m/>
    <m/>
    <m/>
    <m/>
    <m/>
  </r>
  <r>
    <s v="406-6425961-1801167"/>
    <s v="406-6425961-1801167"/>
    <s v="2024-01-25T12:59:46+00:00"/>
    <s v="2024-01-25T18:39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oria"/>
    <s v="NA"/>
    <n v="80026"/>
    <s v="IT"/>
    <m/>
    <m/>
    <m/>
    <m/>
    <m/>
    <m/>
    <m/>
  </r>
  <r>
    <s v="402-3356038-2622730"/>
    <m/>
    <s v="2024-01-25T12:55:51+00:00"/>
    <s v="2024-01-26T13:08:06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PADOVA"/>
    <s v="Padova"/>
    <n v="35136"/>
    <s v="IT"/>
    <m/>
    <m/>
    <m/>
    <m/>
    <m/>
    <m/>
    <m/>
  </r>
  <r>
    <s v="405-8581614-8117165"/>
    <s v="405-8581614-8117165"/>
    <s v="2024-01-25T12:47:18+00:00"/>
    <s v="2024-01-25T18:40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oscotrecase"/>
    <s v="NA"/>
    <n v="80042"/>
    <s v="IT"/>
    <m/>
    <m/>
    <m/>
    <m/>
    <m/>
    <m/>
    <m/>
  </r>
  <r>
    <s v="406-6404385-4564318"/>
    <s v="406-6404385-4564318"/>
    <s v="2024-01-25T12:42:21+00:00"/>
    <s v="2024-01-26T04:25:24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bassano del grappa"/>
    <s v="Vicenza"/>
    <n v="36061"/>
    <s v="IT"/>
    <m/>
    <m/>
    <m/>
    <m/>
    <s v="IT03373090244"/>
    <s v="IT"/>
    <s v="VAT"/>
  </r>
  <r>
    <s v="408-6304789-0001967"/>
    <s v="408-6304789-0001967"/>
    <s v="2024-01-25T12:35:05+00:00"/>
    <s v="2024-01-25T20:22:3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eriano Laghetto"/>
    <s v="Monza e Brianza"/>
    <n v="20816"/>
    <s v="IT"/>
    <m/>
    <m/>
    <m/>
    <m/>
    <m/>
    <m/>
    <m/>
  </r>
  <r>
    <s v="171-3591478-4473935"/>
    <s v="171-3591478-4473935"/>
    <s v="2024-01-25T12:30:34+00:00"/>
    <s v="2024-01-25T23:10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85"/>
    <s v="IT"/>
    <m/>
    <m/>
    <m/>
    <m/>
    <m/>
    <m/>
    <m/>
  </r>
  <r>
    <s v="403-0521650-4003519"/>
    <s v="403-0521650-4003519"/>
    <s v="2024-01-25T12:27:07+00:00"/>
    <s v="2024-01-25T21:34:34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n v="4.99"/>
    <n v="0.9"/>
    <m/>
    <m/>
    <m/>
    <m/>
    <s v="Misano adriatico"/>
    <s v="RN"/>
    <n v="47843"/>
    <s v="IT"/>
    <m/>
    <m/>
    <m/>
    <m/>
    <m/>
    <m/>
    <m/>
  </r>
  <r>
    <s v="403-9892094-1407555"/>
    <s v="403-9892094-1407555"/>
    <s v="2024-01-25T12:17:20+00:00"/>
    <s v="2024-01-25T15:48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Torino"/>
    <n v="10129"/>
    <s v="IT"/>
    <m/>
    <m/>
    <m/>
    <m/>
    <m/>
    <m/>
    <m/>
  </r>
  <r>
    <s v="405-5370397-6593126"/>
    <s v="405-5370397-6593126"/>
    <s v="2024-01-25T12:16:47+00:00"/>
    <s v="2024-01-26T17:16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rimondo"/>
    <s v="Milano"/>
    <n v="20081"/>
    <s v="IT"/>
    <m/>
    <m/>
    <m/>
    <m/>
    <m/>
    <m/>
    <m/>
  </r>
  <r>
    <s v="407-4463362-6553918"/>
    <s v="407-4463362-6553918"/>
    <s v="2024-01-25T11:49:34+00:00"/>
    <s v="2024-01-28T17:28:03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n v="1.63"/>
    <m/>
    <m/>
    <m/>
    <m/>
    <n v="1.63"/>
    <s v="Manduria"/>
    <s v="Taranto"/>
    <n v="74024"/>
    <s v="IT"/>
    <m/>
    <m/>
    <m/>
    <m/>
    <m/>
    <m/>
    <m/>
  </r>
  <r>
    <s v="171-9926305-2530724"/>
    <s v="171-9926305-2530724"/>
    <s v="2024-01-25T11:40:53+00:00"/>
    <s v="2024-01-26T04:28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Conco"/>
    <s v="VI"/>
    <n v="36062"/>
    <s v="IT"/>
    <m/>
    <m/>
    <m/>
    <m/>
    <m/>
    <m/>
    <m/>
  </r>
  <r>
    <s v="406-9908031-8264358"/>
    <s v="406-9908031-8264358"/>
    <s v="2024-01-25T11:40:38+00:00"/>
    <s v="2024-01-25T20:22:3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HO"/>
    <s v="Milano"/>
    <n v="20017"/>
    <s v="IT"/>
    <m/>
    <m/>
    <m/>
    <m/>
    <m/>
    <m/>
    <m/>
  </r>
  <r>
    <s v="406-2873076-7009112"/>
    <s v="406-2873076-7009112"/>
    <s v="2024-01-25T11:36:31+00:00"/>
    <s v="2024-01-25T17:23:5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ucca"/>
    <s v="Lucca"/>
    <n v="55100"/>
    <s v="IT"/>
    <m/>
    <m/>
    <m/>
    <m/>
    <m/>
    <m/>
    <m/>
  </r>
  <r>
    <s v="407-2681506-9602755"/>
    <s v="407-2681506-9602755"/>
    <s v="2024-01-25T11:32:01+00:00"/>
    <s v="2024-01-25T22:23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4"/>
    <m/>
    <m/>
    <m/>
    <m/>
    <n v="1.64"/>
    <s v="Ladispoli"/>
    <s v="Roma"/>
    <n v="55"/>
    <s v="IT"/>
    <m/>
    <m/>
    <m/>
    <m/>
    <m/>
    <m/>
    <m/>
  </r>
  <r>
    <s v="406-5742516-1157926"/>
    <m/>
    <s v="2024-01-25T11:21:20+00:00"/>
    <s v="2024-01-26T12:39:26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roma"/>
    <s v="Roma"/>
    <n v="138"/>
    <s v="IT"/>
    <m/>
    <m/>
    <m/>
    <m/>
    <m/>
    <m/>
    <m/>
  </r>
  <r>
    <s v="403-5538629-6259510"/>
    <s v="403-5538629-6259510"/>
    <s v="2024-01-25T11:20:49+00:00"/>
    <s v="2024-01-25T18:52:5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APOLI"/>
    <s v="NA"/>
    <n v="80131"/>
    <s v="IT"/>
    <m/>
    <m/>
    <m/>
    <m/>
    <m/>
    <m/>
    <m/>
  </r>
  <r>
    <s v="408-0688992-9976336"/>
    <s v="408-0688992-9976336"/>
    <s v="2024-01-25T11:19:55+00:00"/>
    <s v="2024-01-25T20:31:2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ibolla"/>
    <s v="Grosseto"/>
    <n v="58036"/>
    <s v="IT"/>
    <m/>
    <m/>
    <m/>
    <m/>
    <m/>
    <m/>
    <m/>
  </r>
  <r>
    <s v="404-0337657-2121153"/>
    <m/>
    <s v="2024-01-25T11:15:25+00:00"/>
    <s v="2024-01-26T13:09:16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Frattamaggiore"/>
    <s v="Napoli"/>
    <n v="80027"/>
    <s v="IT"/>
    <m/>
    <m/>
    <m/>
    <m/>
    <m/>
    <m/>
    <m/>
  </r>
  <r>
    <s v="171-8239209-6667559"/>
    <s v="171-8239209-6667559"/>
    <s v="2024-01-25T11:11:29+00:00"/>
    <s v="2024-01-25T18:26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igline Valdarno"/>
    <s v="Firenze"/>
    <n v="50063"/>
    <s v="IT"/>
    <m/>
    <m/>
    <m/>
    <m/>
    <m/>
    <m/>
    <m/>
  </r>
  <r>
    <s v="406-1736068-8935554"/>
    <m/>
    <s v="2024-01-25T11:07:46+00:00"/>
    <s v="2024-01-26T13:11:01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suzzara"/>
    <s v="mantova"/>
    <n v="46029"/>
    <s v="IT"/>
    <m/>
    <m/>
    <m/>
    <m/>
    <m/>
    <m/>
    <m/>
  </r>
  <r>
    <s v="404-2708181-2493161"/>
    <m/>
    <s v="2024-01-25T11:07:11+00:00"/>
    <s v="2024-01-27T20:50:18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Parola"/>
    <s v="Parma"/>
    <n v="43012"/>
    <s v="IT"/>
    <m/>
    <m/>
    <m/>
    <m/>
    <m/>
    <m/>
    <m/>
  </r>
  <r>
    <s v="405-5352884-4841130"/>
    <s v="405-5352884-4841130"/>
    <s v="2024-01-25T11:02:36+00:00"/>
    <s v="2024-01-28T17:04:03+00:00"/>
    <s v="Cancell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Cancelled"/>
    <n v="0"/>
    <m/>
    <m/>
    <m/>
    <m/>
    <m/>
    <m/>
    <m/>
    <m/>
    <m/>
    <s v="MONTALTO UFFUGO"/>
    <s v="Cosenza"/>
    <n v="87046"/>
    <s v="IT"/>
    <m/>
    <m/>
    <m/>
    <m/>
    <m/>
    <m/>
    <m/>
  </r>
  <r>
    <s v="402-8288247-2871505"/>
    <s v="402-8288247-2871505"/>
    <s v="2024-01-25T10:43:07+00:00"/>
    <s v="2024-01-25T18:41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lerno"/>
    <s v="Salerno"/>
    <n v="84134"/>
    <s v="IT"/>
    <m/>
    <m/>
    <m/>
    <m/>
    <m/>
    <m/>
    <m/>
  </r>
  <r>
    <s v="403-1853291-4353138"/>
    <m/>
    <s v="2024-01-25T10:41:37+00:00"/>
    <s v="2024-01-26T13:07:58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2"/>
    <s v="EUR"/>
    <n v="59.8"/>
    <n v="10.78"/>
    <n v="6"/>
    <n v="1.08"/>
    <m/>
    <m/>
    <m/>
    <m/>
    <s v="Melissano"/>
    <s v="Lecce"/>
    <n v="73040"/>
    <s v="IT"/>
    <m/>
    <m/>
    <m/>
    <m/>
    <m/>
    <m/>
    <m/>
  </r>
  <r>
    <s v="403-9327694-5875521"/>
    <s v="403-9327694-5875521"/>
    <s v="2024-01-25T10:40:47+00:00"/>
    <s v="2024-01-25T20:22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za"/>
    <s v="MB"/>
    <n v="20900"/>
    <s v="IT"/>
    <m/>
    <m/>
    <m/>
    <m/>
    <m/>
    <m/>
    <m/>
  </r>
  <r>
    <s v="402-4490717-6379549"/>
    <s v="402-4490717-6379549"/>
    <s v="2024-01-25T10:13:32+00:00"/>
    <s v="2024-01-25T17:22:1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Castana"/>
    <s v="Pavia"/>
    <n v="27040"/>
    <s v="IT"/>
    <m/>
    <m/>
    <m/>
    <m/>
    <m/>
    <m/>
    <m/>
  </r>
  <r>
    <s v="402-3839224-8201149"/>
    <s v="402-3839224-8201149"/>
    <s v="2024-01-25T10:13:05+00:00"/>
    <s v="2024-01-25T18:37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0.52"/>
    <m/>
    <m/>
    <m/>
    <m/>
    <n v="0.52"/>
    <s v="Paola"/>
    <s v="Cosenza"/>
    <n v="87027"/>
    <s v="IT"/>
    <m/>
    <m/>
    <m/>
    <m/>
    <m/>
    <m/>
    <m/>
  </r>
  <r>
    <s v="171-0355253-4048307"/>
    <m/>
    <s v="2024-01-25T10:06:51+00:00"/>
    <s v="2024-01-26T13:08:11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mignanego"/>
    <s v="Genova"/>
    <n v="16018"/>
    <s v="IT"/>
    <m/>
    <m/>
    <m/>
    <m/>
    <s v="PRDMRT83A44D969X"/>
    <s v="IT"/>
    <s v="CitizenId"/>
  </r>
  <r>
    <s v="407-9393009-1910724"/>
    <s v="407-9393009-1910724"/>
    <s v="2024-01-25T10:05:14+00:00"/>
    <s v="2024-01-25T20:13:34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MACCARESE"/>
    <s v="RM"/>
    <n v="54"/>
    <s v="IT"/>
    <m/>
    <m/>
    <m/>
    <m/>
    <m/>
    <m/>
    <m/>
  </r>
  <r>
    <s v="405-8033958-2901110"/>
    <s v="405-8033958-2901110"/>
    <s v="2024-01-25T10:04:40+00:00"/>
    <s v="2024-01-25T12:53:29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Roma"/>
    <s v="Rm"/>
    <n v="146"/>
    <s v="IT"/>
    <m/>
    <m/>
    <m/>
    <m/>
    <m/>
    <m/>
    <m/>
  </r>
  <r>
    <s v="171-3826127-4499536"/>
    <s v="171-3826127-4499536"/>
    <s v="2024-01-25T10:03:35+00:00"/>
    <s v="2024-01-25T17:45:1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ari"/>
    <s v="Bari"/>
    <n v="70123"/>
    <s v="IT"/>
    <m/>
    <m/>
    <m/>
    <m/>
    <m/>
    <m/>
    <m/>
  </r>
  <r>
    <s v="402-5626076-6743529"/>
    <s v="402-5626076-6743529"/>
    <s v="2024-01-25T09:45:33+00:00"/>
    <s v="2024-01-25T13:27:17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n v="4.99"/>
    <n v="0.9"/>
    <m/>
    <m/>
    <m/>
    <m/>
    <s v="Pordenone"/>
    <s v="PN"/>
    <n v="33170"/>
    <s v="IT"/>
    <m/>
    <m/>
    <m/>
    <m/>
    <m/>
    <m/>
    <m/>
  </r>
  <r>
    <s v="407-2385566-3554738"/>
    <s v="407-2385566-3554738"/>
    <s v="2024-01-25T09:31:58+00:00"/>
    <s v="2024-02-04T15:10:17+00:00"/>
    <s v="Shipped"/>
    <x v="0"/>
    <x v="3"/>
    <m/>
    <m/>
    <s v="Expedited"/>
    <s v="BEPER BT.710Y Crepiera elettrica con Manico, 800 W, Piastra in Alluminio con Rivestimento Antiaderente"/>
    <s v="amzn.gr.BT.710Y-m_rMJX0XWOKRxfp7Jvoem-VG"/>
    <x v="0"/>
    <s v="Shipped"/>
    <n v="1"/>
    <s v="EUR"/>
    <n v="26.31"/>
    <n v="4.74"/>
    <m/>
    <m/>
    <m/>
    <m/>
    <m/>
    <m/>
    <s v="CAGLIARI"/>
    <s v="Cagliari"/>
    <n v="9134"/>
    <s v="IT"/>
    <m/>
    <m/>
    <m/>
    <m/>
    <m/>
    <m/>
    <m/>
  </r>
  <r>
    <s v="402-5781444-0941937"/>
    <s v="402-5781444-0941937"/>
    <s v="2024-01-25T09:30:42+00:00"/>
    <s v="2024-01-25T18:40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rno"/>
    <s v="SA"/>
    <n v="84087"/>
    <s v="IT"/>
    <m/>
    <m/>
    <m/>
    <m/>
    <m/>
    <m/>
    <m/>
  </r>
  <r>
    <s v="407-2907293-3337104"/>
    <m/>
    <s v="2024-01-25T09:06:24+00:00"/>
    <s v="2024-01-26T19:15:20+00:00"/>
    <s v="Shipped"/>
    <x v="1"/>
    <x v="3"/>
    <s v="WebsiteOrderChannel"/>
    <m/>
    <s v="Standard"/>
    <s v="BEPER 90.825 Fornello Elettrico in Acciaio Inossidabile con 5 Livelli di Potenza - Fornello Elettrico 2 Piastre"/>
    <n v="90825"/>
    <x v="23"/>
    <s v="Shipped"/>
    <n v="1"/>
    <s v="EUR"/>
    <n v="46.9"/>
    <n v="8.4600000000000009"/>
    <n v="3"/>
    <n v="0.54"/>
    <m/>
    <m/>
    <m/>
    <m/>
    <s v="Taglio di Po"/>
    <s v="Rovigo"/>
    <n v="45019"/>
    <s v="IT"/>
    <m/>
    <m/>
    <m/>
    <m/>
    <s v="IT00098090293"/>
    <s v="IT"/>
    <s v="VAT"/>
  </r>
  <r>
    <s v="406-7114807-8733139"/>
    <m/>
    <s v="2024-01-25T09:04:59+00:00"/>
    <s v="2024-01-26T13:03:10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n v="3"/>
    <n v="0.54"/>
    <m/>
    <m/>
    <m/>
    <m/>
    <s v="VITULANO"/>
    <s v="BN"/>
    <n v="82038"/>
    <s v="IT"/>
    <m/>
    <m/>
    <m/>
    <m/>
    <m/>
    <m/>
    <m/>
  </r>
  <r>
    <s v="405-0642852-4694744"/>
    <m/>
    <s v="2024-01-25T08:55:35+00:00"/>
    <s v="2024-01-26T12:29:06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monza"/>
    <s v="MB"/>
    <n v="20900"/>
    <s v="IT"/>
    <m/>
    <m/>
    <m/>
    <m/>
    <m/>
    <m/>
    <m/>
  </r>
  <r>
    <s v="404-9163707-7696355"/>
    <s v="404-9163707-7696355"/>
    <s v="2024-01-25T08:53:54+00:00"/>
    <s v="2024-01-26T23:58:3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irenze"/>
    <s v="Firenze"/>
    <n v="50126"/>
    <s v="IT"/>
    <m/>
    <m/>
    <m/>
    <m/>
    <m/>
    <m/>
    <m/>
  </r>
  <r>
    <s v="402-9395132-6638750"/>
    <s v="402-9395132-6638750"/>
    <s v="2024-01-25T08:47:18+00:00"/>
    <s v="2024-01-25T13:28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Marghera"/>
    <s v="Venezia"/>
    <n v="30175"/>
    <s v="IT"/>
    <m/>
    <m/>
    <m/>
    <m/>
    <m/>
    <m/>
    <m/>
  </r>
  <r>
    <s v="403-1400758-2178724"/>
    <s v="403-1400758-2178724"/>
    <s v="2024-01-25T08:32:05+00:00"/>
    <s v="2024-01-25T15:51:22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Buscoldo"/>
    <s v="Mantova"/>
    <n v="46010"/>
    <s v="IT"/>
    <m/>
    <m/>
    <m/>
    <m/>
    <m/>
    <m/>
    <m/>
  </r>
  <r>
    <s v="406-7035644-8677127"/>
    <s v="406-7035644-8677127"/>
    <s v="2024-01-25T08:09:05+00:00"/>
    <s v="2024-01-25T17:34:0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Romano"/>
    <s v="Pisa"/>
    <n v="56020"/>
    <s v="IT"/>
    <m/>
    <m/>
    <m/>
    <m/>
    <m/>
    <m/>
    <m/>
  </r>
  <r>
    <s v="402-3045565-1556330"/>
    <s v="402-3045565-1556330"/>
    <s v="2024-01-25T08:06:01+00:00"/>
    <s v="2024-01-26T02:31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rescia"/>
    <s v="BS"/>
    <n v="25125"/>
    <s v="IT"/>
    <m/>
    <m/>
    <m/>
    <m/>
    <m/>
    <m/>
    <m/>
  </r>
  <r>
    <s v="407-2214997-5849135"/>
    <m/>
    <s v="2024-01-25T07:51:47+00:00"/>
    <s v="2024-01-26T13:08:1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Napoli"/>
    <s v="NA"/>
    <n v="80129"/>
    <s v="IT"/>
    <m/>
    <m/>
    <m/>
    <m/>
    <m/>
    <m/>
    <m/>
  </r>
  <r>
    <s v="402-5338806-8352304"/>
    <m/>
    <s v="2024-01-25T07:27:17+00:00"/>
    <s v="2024-01-26T13:09:17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Bentivoglio"/>
    <s v="Bologna"/>
    <n v="40010"/>
    <s v="IT"/>
    <m/>
    <m/>
    <m/>
    <m/>
    <m/>
    <m/>
    <m/>
  </r>
  <r>
    <s v="404-8346124-9277961"/>
    <s v="404-8346124-9277961"/>
    <s v="2024-01-25T07:14:30+00:00"/>
    <s v="2024-01-25T09:20:5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PORTO MANTOVANO"/>
    <s v="MN"/>
    <n v="46047"/>
    <s v="IT"/>
    <m/>
    <m/>
    <m/>
    <m/>
    <m/>
    <m/>
    <m/>
  </r>
  <r>
    <s v="405-7837381-3785962"/>
    <m/>
    <s v="2024-01-25T07:12:33+00:00"/>
    <s v="2024-01-30T12:09:37+00:00"/>
    <s v="Cancelled"/>
    <x v="1"/>
    <x v="3"/>
    <s v="WebsiteOrderChannel"/>
    <m/>
    <s v="Standard"/>
    <s v="BEPER BT.710Y Crepiera elettrica con Manico, 800 W, Piastra in Alluminio con Rivestimento Antiaderente"/>
    <s v="BT.710Y"/>
    <x v="0"/>
    <m/>
    <n v="0"/>
    <m/>
    <m/>
    <m/>
    <m/>
    <m/>
    <m/>
    <m/>
    <m/>
    <m/>
    <s v="Fabrica Di Roma"/>
    <s v="Viterbo"/>
    <n v="1034"/>
    <s v="IT"/>
    <m/>
    <m/>
    <m/>
    <m/>
    <m/>
    <m/>
    <m/>
  </r>
  <r>
    <s v="405-1240071-1076324"/>
    <s v="405-1240071-1076324"/>
    <s v="2024-01-25T07:09:30+00:00"/>
    <s v="2024-01-25T22:23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adispoli"/>
    <s v="Roma"/>
    <n v="55"/>
    <s v="IT"/>
    <m/>
    <m/>
    <m/>
    <m/>
    <m/>
    <m/>
    <m/>
  </r>
  <r>
    <s v="402-7068320-8245932"/>
    <s v="402-7068320-8245932"/>
    <s v="2024-01-25T07:05:14+00:00"/>
    <s v="2024-01-25T09:21:3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2"/>
    <s v="EUR"/>
    <n v="69.8"/>
    <n v="12.58"/>
    <m/>
    <m/>
    <m/>
    <m/>
    <m/>
    <m/>
    <s v="pontelongo"/>
    <s v="PD"/>
    <n v="35029"/>
    <s v="IT"/>
    <m/>
    <m/>
    <m/>
    <m/>
    <m/>
    <m/>
    <m/>
  </r>
  <r>
    <s v="404-6380627-5309126"/>
    <s v="404-6380627-5309126"/>
    <s v="2024-01-25T06:45:32+00:00"/>
    <s v="2024-01-25T06:55:50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PORTO MANTOVANO"/>
    <s v="MN"/>
    <n v="46047"/>
    <s v="IT"/>
    <m/>
    <m/>
    <m/>
    <m/>
    <m/>
    <m/>
    <m/>
  </r>
  <r>
    <s v="405-4202775-8328336"/>
    <s v="405-4202775-8328336"/>
    <s v="2024-01-25T06:40:18+00:00"/>
    <s v="2024-01-25T17:24:2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isceglie"/>
    <s v="Barletta-Andria-Trani"/>
    <n v="76011"/>
    <s v="IT"/>
    <m/>
    <m/>
    <m/>
    <m/>
    <m/>
    <m/>
    <m/>
  </r>
  <r>
    <s v="402-8820740-5857164"/>
    <s v="402-8820740-5857164"/>
    <s v="2024-01-25T05:43:28+00:00"/>
    <s v="2024-01-25T05:49:57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Pieve di Cento"/>
    <s v="Bologna"/>
    <n v="40066"/>
    <s v="IT"/>
    <m/>
    <m/>
    <m/>
    <m/>
    <m/>
    <m/>
    <m/>
  </r>
  <r>
    <s v="408-1248223-8871562"/>
    <s v="408-1248223-8871562"/>
    <s v="2024-01-25T04:43:22+00:00"/>
    <s v="2024-01-26T09:47:00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0431519-7413945"/>
    <s v="408-0431519-7413945"/>
    <s v="2024-01-24T23:24:06+00:00"/>
    <s v="2024-01-25T05:26:20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5-3177321-1526714"/>
    <s v="405-3177321-1526714"/>
    <s v="2024-01-24T23:12:49+00:00"/>
    <s v="2024-01-25T18:37:5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ladelfia (vv)"/>
    <s v="CALABRIA"/>
    <n v="89814"/>
    <s v="IT"/>
    <m/>
    <m/>
    <m/>
    <m/>
    <m/>
    <m/>
    <m/>
  </r>
  <r>
    <s v="402-6479433-4306755"/>
    <m/>
    <s v="2024-01-24T22:09:04+00:00"/>
    <s v="2024-01-25T19:40:47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2"/>
    <s v="EUR"/>
    <n v="29.8"/>
    <n v="5.38"/>
    <n v="6"/>
    <n v="1.08"/>
    <m/>
    <m/>
    <m/>
    <m/>
    <s v="Casalnuovo"/>
    <s v="Napoli"/>
    <n v="80013"/>
    <s v="IT"/>
    <m/>
    <m/>
    <m/>
    <m/>
    <m/>
    <m/>
    <m/>
  </r>
  <r>
    <s v="406-8680428-1041145"/>
    <s v="406-8680428-1041145"/>
    <s v="2024-01-24T22:04:32+00:00"/>
    <s v="2024-01-25T05:00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COMO"/>
    <s v="Como"/>
    <n v="22100"/>
    <s v="IT"/>
    <m/>
    <m/>
    <m/>
    <m/>
    <m/>
    <m/>
    <m/>
  </r>
  <r>
    <s v="403-1487137-6620333"/>
    <s v="403-1487137-6620333"/>
    <s v="2024-01-24T21:39:22+00:00"/>
    <s v="2024-01-25T04:56:1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A LUCIA DI PIAVE"/>
    <s v="Treviso"/>
    <n v="31025"/>
    <s v="IT"/>
    <m/>
    <m/>
    <m/>
    <m/>
    <m/>
    <m/>
    <m/>
  </r>
  <r>
    <s v="408-0671364-1546764"/>
    <s v="408-0671364-1546764"/>
    <s v="2024-01-24T21:19:24+00:00"/>
    <s v="2024-01-25T02:33:4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MONTESCUDO"/>
    <s v="Rimini"/>
    <n v="47854"/>
    <s v="IT"/>
    <m/>
    <m/>
    <m/>
    <m/>
    <m/>
    <m/>
    <m/>
  </r>
  <r>
    <s v="406-7940192-9915525"/>
    <s v="406-7940192-9915525"/>
    <s v="2024-01-24T21:10:55+00:00"/>
    <s v="2024-01-25T12:48:4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erisano"/>
    <s v="Cosenza"/>
    <n v="87044"/>
    <s v="IT"/>
    <m/>
    <m/>
    <m/>
    <m/>
    <m/>
    <m/>
    <m/>
  </r>
  <r>
    <s v="403-5203730-3873916"/>
    <m/>
    <s v="2024-01-24T20:52:37+00:00"/>
    <s v="2024-01-25T14:55:09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n v="3"/>
    <n v="0.54"/>
    <m/>
    <m/>
    <m/>
    <m/>
    <s v="ROMA"/>
    <s v="RM"/>
    <n v="198"/>
    <s v="IT"/>
    <m/>
    <m/>
    <m/>
    <m/>
    <m/>
    <m/>
    <m/>
  </r>
  <r>
    <s v="407-0703787-3467565"/>
    <s v="407-0703787-3467565"/>
    <s v="2024-01-24T20:51:13+00:00"/>
    <s v="2024-01-27T01:26:2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39"/>
    <m/>
    <m/>
    <m/>
    <m/>
    <n v="1.39"/>
    <s v="Torino"/>
    <s v="Torino"/>
    <n v="10151"/>
    <s v="IT"/>
    <m/>
    <m/>
    <m/>
    <m/>
    <m/>
    <m/>
    <m/>
  </r>
  <r>
    <s v="407-6411788-6679513"/>
    <s v="407-6411788-6679513"/>
    <s v="2024-01-24T20:46:35+00:00"/>
    <s v="2024-01-25T02:26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57"/>
    <s v="IT"/>
    <m/>
    <m/>
    <m/>
    <m/>
    <m/>
    <m/>
    <m/>
  </r>
  <r>
    <s v="405-6855740-0629923"/>
    <s v="405-6855740-0629923"/>
    <s v="2024-01-24T20:46:13+00:00"/>
    <s v="2024-01-25T01:34:1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Iglesias"/>
    <s v="Su"/>
    <n v="9016"/>
    <s v="IT"/>
    <m/>
    <m/>
    <m/>
    <m/>
    <m/>
    <m/>
    <m/>
  </r>
  <r>
    <s v="402-3017623-6766741"/>
    <m/>
    <s v="2024-01-24T20:36:37+00:00"/>
    <s v="2024-01-25T13:48:50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Cerialdo"/>
    <s v="Cuneo"/>
    <n v="12100"/>
    <s v="IT"/>
    <m/>
    <m/>
    <m/>
    <m/>
    <m/>
    <m/>
    <m/>
  </r>
  <r>
    <s v="406-3832134-3123535"/>
    <s v="406-3832134-3123535"/>
    <s v="2024-01-24T20:33:29+00:00"/>
    <s v="2024-01-25T00:37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52"/>
    <s v="IT"/>
    <m/>
    <m/>
    <m/>
    <m/>
    <m/>
    <m/>
    <m/>
  </r>
  <r>
    <s v="405-3077415-9499536"/>
    <s v="405-3077415-9499536"/>
    <s v="2024-01-24T20:22:59+00:00"/>
    <s v="2024-01-25T02:33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arma"/>
    <s v="PR"/>
    <n v="43124"/>
    <s v="IT"/>
    <m/>
    <m/>
    <m/>
    <m/>
    <m/>
    <m/>
    <m/>
  </r>
  <r>
    <s v="405-3835804-6315564"/>
    <m/>
    <s v="2024-01-24T20:14:56+00:00"/>
    <s v="2024-01-25T13:48:51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sestri ponente"/>
    <s v="Genova"/>
    <n v="16153"/>
    <s v="IT"/>
    <m/>
    <m/>
    <m/>
    <m/>
    <m/>
    <m/>
    <m/>
  </r>
  <r>
    <s v="403-4338115-7612360"/>
    <s v="403-4338115-7612360"/>
    <s v="2024-01-24T20:13:36+00:00"/>
    <s v="2024-01-25T16:20:3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EMONDO'"/>
    <s v="PV"/>
    <n v="27025"/>
    <s v="IT"/>
    <m/>
    <m/>
    <m/>
    <m/>
    <m/>
    <m/>
    <m/>
  </r>
  <r>
    <s v="406-2842478-1189142"/>
    <s v="406-2842478-1189142"/>
    <s v="2024-01-24T20:12:11+00:00"/>
    <s v="2024-01-26T18:13:2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a spezia"/>
    <s v="Sp"/>
    <n v="19126"/>
    <s v="IT"/>
    <m/>
    <m/>
    <m/>
    <m/>
    <m/>
    <m/>
    <m/>
  </r>
  <r>
    <s v="402-8985424-1323554"/>
    <s v="402-8985424-1323554"/>
    <s v="2024-01-24T20:10:17+00:00"/>
    <s v="2024-01-25T01:30:1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27"/>
    <m/>
    <m/>
    <m/>
    <m/>
    <n v="3.27"/>
    <s v="Roma"/>
    <s v="Roma"/>
    <n v="133"/>
    <s v="IT"/>
    <m/>
    <m/>
    <m/>
    <m/>
    <m/>
    <m/>
    <m/>
  </r>
  <r>
    <s v="408-0167461-6957154"/>
    <s v="408-0167461-6957154"/>
    <s v="2024-01-24T20:00:33+00:00"/>
    <s v="2024-01-28T22:11:0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imbiate"/>
    <s v="MB"/>
    <n v="20812"/>
    <s v="IT"/>
    <m/>
    <m/>
    <m/>
    <m/>
    <m/>
    <m/>
    <m/>
  </r>
  <r>
    <s v="403-2963875-7349152"/>
    <s v="403-2963875-7349152"/>
    <s v="2024-01-24T19:57:34+00:00"/>
    <s v="2024-01-25T04:56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ronno Varesino"/>
    <s v="Varese"/>
    <n v="21040"/>
    <s v="IT"/>
    <m/>
    <m/>
    <m/>
    <m/>
    <m/>
    <m/>
    <m/>
  </r>
  <r>
    <s v="407-8528073-9493106"/>
    <s v="407-8528073-9493106"/>
    <s v="2024-01-24T19:56:56+00:00"/>
    <s v="2024-01-25T18:27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m/>
    <n v="128"/>
    <s v="IT"/>
    <m/>
    <m/>
    <m/>
    <m/>
    <m/>
    <m/>
    <m/>
  </r>
  <r>
    <s v="408-1508112-5785905"/>
    <s v="408-1508112-5785905"/>
    <s v="2024-01-24T19:39:05+00:00"/>
    <s v="2024-01-25T04:57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evate"/>
    <s v="Bergamo"/>
    <n v="24040"/>
    <s v="IT"/>
    <m/>
    <m/>
    <m/>
    <m/>
    <m/>
    <m/>
    <m/>
  </r>
  <r>
    <s v="404-6065706-5281919"/>
    <s v="404-6065706-5281919"/>
    <s v="2024-01-24T19:33:43+00:00"/>
    <s v="2024-01-25T11:33:2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ciacca"/>
    <s v="AG"/>
    <n v="92019"/>
    <s v="IT"/>
    <m/>
    <m/>
    <m/>
    <m/>
    <m/>
    <m/>
    <m/>
  </r>
  <r>
    <s v="402-2863453-6389958"/>
    <s v="402-2863453-6389958"/>
    <s v="2024-01-24T19:31:29+00:00"/>
    <s v="2024-01-25T20:20:5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orto San Giorgio FM"/>
    <s v="Fermo"/>
    <n v="63822"/>
    <s v="IT"/>
    <m/>
    <m/>
    <m/>
    <m/>
    <m/>
    <m/>
    <m/>
  </r>
  <r>
    <s v="407-6239674-2513909"/>
    <s v="407-6239674-2513909"/>
    <s v="2024-01-24T19:22:26+00:00"/>
    <s v="2024-01-26T18:48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n v="3.27"/>
    <m/>
    <m/>
    <m/>
    <m/>
    <n v="3.27"/>
    <s v="TRENTOLA DUCENTA"/>
    <s v="Caserta"/>
    <n v="81038"/>
    <s v="IT"/>
    <m/>
    <m/>
    <m/>
    <m/>
    <m/>
    <m/>
    <m/>
  </r>
  <r>
    <s v="402-8015302-3322707"/>
    <s v="402-8015302-3322707"/>
    <s v="2024-01-24T19:09:35+00:00"/>
    <s v="2024-01-25T18:39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TEFORTE IRPINO"/>
    <s v="AV"/>
    <n v="83024"/>
    <s v="IT"/>
    <m/>
    <m/>
    <m/>
    <m/>
    <m/>
    <m/>
    <m/>
  </r>
  <r>
    <s v="404-1232663-3760351"/>
    <s v="404-1232663-3760351"/>
    <s v="2024-01-24T19:06:46+00:00"/>
    <s v="2024-02-02T06:58:5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dovì"/>
    <s v="Cuneo"/>
    <n v="12084"/>
    <s v="IT"/>
    <m/>
    <m/>
    <m/>
    <m/>
    <m/>
    <m/>
    <m/>
  </r>
  <r>
    <s v="402-9986189-9732331"/>
    <s v="402-9986189-9732331"/>
    <s v="2024-01-24T19:05:30+00:00"/>
    <s v="2024-01-25T20:21:0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DONNA POZZO GUACITO"/>
    <s v="Brindisi"/>
    <n v="72015"/>
    <s v="IT"/>
    <m/>
    <m/>
    <m/>
    <m/>
    <m/>
    <m/>
    <m/>
  </r>
  <r>
    <s v="404-1733355-2596362"/>
    <s v="404-1733355-2596362"/>
    <s v="2024-01-24T18:58:44+00:00"/>
    <s v="2024-01-25T15:47:1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ruino"/>
    <s v="Torino"/>
    <n v="10090"/>
    <s v="IT"/>
    <m/>
    <m/>
    <m/>
    <m/>
    <m/>
    <m/>
    <m/>
  </r>
  <r>
    <s v="402-6042531-3406718"/>
    <s v="402-6042531-3406718"/>
    <s v="2024-01-24T18:57:18+00:00"/>
    <s v="2024-01-25T15:48:5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rescia"/>
    <s v="BS"/>
    <n v="25122"/>
    <s v="IT"/>
    <m/>
    <m/>
    <m/>
    <m/>
    <m/>
    <m/>
    <m/>
  </r>
  <r>
    <s v="408-7242692-2614747"/>
    <s v="408-7242692-2614747"/>
    <s v="2024-01-24T18:52:57+00:00"/>
    <s v="2024-01-25T17:17:5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GIOVANNI ROTONDO"/>
    <s v="PUGLIA"/>
    <n v="71013"/>
    <s v="IT"/>
    <m/>
    <m/>
    <m/>
    <m/>
    <m/>
    <m/>
    <m/>
  </r>
  <r>
    <s v="402-2293115-1694732"/>
    <s v="402-2293115-1694732"/>
    <s v="2024-01-24T18:50:29+00:00"/>
    <s v="2024-01-25T15:47:0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TO"/>
    <n v="10138"/>
    <s v="IT"/>
    <m/>
    <m/>
    <m/>
    <m/>
    <m/>
    <m/>
    <m/>
  </r>
  <r>
    <s v="408-9107265-3125112"/>
    <s v="408-9107265-3125112"/>
    <s v="2024-01-24T18:34:23+00:00"/>
    <s v="2024-01-25T16:20:43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Milano"/>
    <s v="Milano"/>
    <n v="20147"/>
    <s v="IT"/>
    <m/>
    <m/>
    <m/>
    <m/>
    <m/>
    <m/>
    <m/>
  </r>
  <r>
    <s v="402-6289955-1552334"/>
    <s v="402-6289955-1552334"/>
    <s v="2024-01-24T18:25:24+00:00"/>
    <s v="2024-01-24T20:51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Poggiomarino"/>
    <s v="Na"/>
    <n v="80040"/>
    <s v="IT"/>
    <m/>
    <m/>
    <m/>
    <m/>
    <m/>
    <m/>
    <m/>
  </r>
  <r>
    <s v="406-9930879-7841150"/>
    <s v="406-9930879-7841150"/>
    <s v="2024-01-24T18:21:47+00:00"/>
    <s v="2024-01-25T01:24:4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ENIGALLIA"/>
    <s v="Ancona"/>
    <n v="60019"/>
    <s v="IT"/>
    <m/>
    <m/>
    <m/>
    <m/>
    <m/>
    <m/>
    <m/>
  </r>
  <r>
    <s v="171-3486187-0934727"/>
    <s v="171-3486187-0934727"/>
    <s v="2024-01-24T18:05:38+00:00"/>
    <s v="2024-01-25T18:39:2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"/>
    <n v="80126"/>
    <s v="IT"/>
    <m/>
    <m/>
    <m/>
    <m/>
    <m/>
    <m/>
    <m/>
  </r>
  <r>
    <s v="402-3910244-7047524"/>
    <s v="402-3910244-7047524"/>
    <s v="2024-01-24T18:03:00+00:00"/>
    <s v="2024-01-25T12:13:1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urano"/>
    <s v="Venezia"/>
    <n v="30141"/>
    <s v="IT"/>
    <m/>
    <m/>
    <m/>
    <m/>
    <m/>
    <m/>
    <m/>
  </r>
  <r>
    <s v="405-7864555-6509113"/>
    <s v="405-7864555-6509113"/>
    <s v="2024-01-24T18:01:29+00:00"/>
    <s v="2024-01-24T21:01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nicola la strada"/>
    <s v="Caserta"/>
    <n v="81020"/>
    <s v="IT"/>
    <m/>
    <m/>
    <m/>
    <m/>
    <m/>
    <m/>
    <m/>
  </r>
  <r>
    <s v="405-0921247-4461911"/>
    <s v="405-0921247-4461911"/>
    <s v="2024-01-24T17:59:46+00:00"/>
    <s v="2024-01-24T21:19:3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oligno"/>
    <s v="Perugia"/>
    <n v="6034"/>
    <s v="IT"/>
    <m/>
    <m/>
    <m/>
    <m/>
    <m/>
    <m/>
    <m/>
  </r>
  <r>
    <s v="402-1641250-1018758"/>
    <s v="402-1641250-1018758"/>
    <s v="2024-01-24T17:49:19+00:00"/>
    <s v="2024-01-24T17:50:44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LASCARI"/>
    <s v="Palermo"/>
    <n v="90010"/>
    <s v="IT"/>
    <m/>
    <m/>
    <m/>
    <m/>
    <m/>
    <m/>
    <m/>
  </r>
  <r>
    <s v="405-4157898-0797112"/>
    <s v="405-4157898-0797112"/>
    <s v="2024-01-24T17:23:44+00:00"/>
    <s v="2024-01-26T13:03:2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grigento"/>
    <s v="Agrigento"/>
    <n v="92100"/>
    <s v="IT"/>
    <m/>
    <m/>
    <m/>
    <m/>
    <m/>
    <m/>
    <m/>
  </r>
  <r>
    <s v="403-2493793-3496335"/>
    <s v="403-2493793-3496335"/>
    <s v="2024-01-24T17:22:45+00:00"/>
    <s v="2024-01-25T12:48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ta Giusta"/>
    <s v="Oristano"/>
    <n v="9096"/>
    <s v="IT"/>
    <m/>
    <m/>
    <m/>
    <m/>
    <m/>
    <m/>
    <m/>
  </r>
  <r>
    <s v="407-0279952-1000343"/>
    <s v="407-0279952-1000343"/>
    <s v="2024-01-24T17:20:30+00:00"/>
    <s v="2024-01-25T15:48:2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rugliasco"/>
    <s v="Torino"/>
    <n v="10095"/>
    <s v="IT"/>
    <m/>
    <m/>
    <m/>
    <m/>
    <m/>
    <m/>
    <m/>
  </r>
  <r>
    <s v="405-6594035-7822759"/>
    <s v="405-6594035-7822759"/>
    <s v="2024-01-24T17:09:23+00:00"/>
    <s v="2024-01-25T04:56:5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San Pellegrino Terme"/>
    <s v="BG"/>
    <n v="24016"/>
    <s v="IT"/>
    <m/>
    <m/>
    <m/>
    <m/>
    <m/>
    <m/>
    <m/>
  </r>
  <r>
    <s v="402-9732352-6937142"/>
    <s v="402-9732352-6937142"/>
    <s v="2024-01-24T16:31:50+00:00"/>
    <s v="2024-01-25T04:57:0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ILLA D'ALME'"/>
    <s v="Bergamo"/>
    <n v="24018"/>
    <s v="IT"/>
    <m/>
    <m/>
    <m/>
    <m/>
    <m/>
    <m/>
    <m/>
  </r>
  <r>
    <s v="171-2910442-5500340"/>
    <s v="171-2910442-5500340"/>
    <s v="2024-01-24T16:27:10+00:00"/>
    <s v="2024-01-24T16:50:25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Porcari"/>
    <s v="Lucca"/>
    <n v="55016"/>
    <s v="IT"/>
    <m/>
    <m/>
    <m/>
    <m/>
    <m/>
    <m/>
    <m/>
  </r>
  <r>
    <s v="403-4971360-7609166"/>
    <s v="403-4971360-7609166"/>
    <s v="2024-01-24T16:14:15+00:00"/>
    <s v="2024-01-25T02:41:1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onato del Garda"/>
    <s v="Brescia"/>
    <n v="25017"/>
    <s v="IT"/>
    <m/>
    <m/>
    <m/>
    <m/>
    <m/>
    <m/>
    <m/>
  </r>
  <r>
    <s v="407-3068503-0471518"/>
    <s v="407-3068503-0471518"/>
    <s v="2024-01-24T16:13:06+00:00"/>
    <s v="2024-01-25T15:48:5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SCOLANO-MADERNO"/>
    <s v="Brescia"/>
    <n v="25088"/>
    <s v="IT"/>
    <m/>
    <m/>
    <m/>
    <m/>
    <m/>
    <m/>
    <m/>
  </r>
  <r>
    <s v="405-4591385-9165936"/>
    <s v="405-4591385-9165936"/>
    <s v="2024-01-24T16:08:00+00:00"/>
    <s v="2024-01-25T10:59:16+00:00"/>
    <s v="Cancell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Cancelled"/>
    <n v="0"/>
    <m/>
    <m/>
    <m/>
    <m/>
    <m/>
    <m/>
    <m/>
    <m/>
    <m/>
    <s v="MONTALTO UFFUGO"/>
    <s v="Cosenza"/>
    <n v="87046"/>
    <s v="IT"/>
    <m/>
    <m/>
    <m/>
    <m/>
    <m/>
    <m/>
    <m/>
  </r>
  <r>
    <s v="407-7064102-8516365"/>
    <s v="407-7064102-8516365"/>
    <s v="2024-01-24T16:06:44+00:00"/>
    <s v="2024-01-25T19:46:3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3"/>
    <m/>
    <m/>
    <m/>
    <m/>
    <n v="1.63"/>
    <s v="Egna"/>
    <s v="BZ"/>
    <n v="39044"/>
    <s v="IT"/>
    <m/>
    <m/>
    <m/>
    <m/>
    <m/>
    <m/>
    <m/>
  </r>
  <r>
    <s v="405-9570153-7719545"/>
    <s v="405-9570153-7719545"/>
    <s v="2024-01-24T15:47:41+00:00"/>
    <s v="2024-01-24T21:20:3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oicattaro"/>
    <s v="BA"/>
    <n v="70016"/>
    <s v="IT"/>
    <m/>
    <m/>
    <m/>
    <m/>
    <m/>
    <m/>
    <m/>
  </r>
  <r>
    <s v="408-5402243-0613924"/>
    <s v="408-5402243-0613924"/>
    <s v="2024-01-24T15:37:16+00:00"/>
    <s v="2024-01-24T18:18:2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vetro di modena"/>
    <s v="Mo"/>
    <n v="41014"/>
    <s v="IT"/>
    <m/>
    <m/>
    <m/>
    <m/>
    <m/>
    <m/>
    <m/>
  </r>
  <r>
    <s v="171-2303719-9731508"/>
    <m/>
    <s v="2024-01-24T15:13:02+00:00"/>
    <s v="2024-01-25T13:18:48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Genova"/>
    <s v="Genova"/>
    <n v="16139"/>
    <s v="IT"/>
    <m/>
    <m/>
    <m/>
    <m/>
    <n v="2523970990"/>
    <s v="IT"/>
    <s v="VAT"/>
  </r>
  <r>
    <s v="404-9973200-3643569"/>
    <s v="404-9973200-3643569"/>
    <s v="2024-01-24T15:10:51+00:00"/>
    <s v="2024-02-07T01:22:25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Scandicci"/>
    <s v="Firenze"/>
    <n v="50018"/>
    <s v="IT"/>
    <m/>
    <m/>
    <m/>
    <m/>
    <m/>
    <m/>
    <m/>
  </r>
  <r>
    <s v="402-4732500-4703546"/>
    <s v="402-4732500-4703546"/>
    <s v="2024-01-24T15:02:38+00:00"/>
    <s v="2024-01-24T21:23:2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eramo"/>
    <s v="TE"/>
    <n v="64100"/>
    <s v="IT"/>
    <m/>
    <m/>
    <m/>
    <m/>
    <m/>
    <m/>
    <m/>
  </r>
  <r>
    <s v="403-7506741-0649140"/>
    <s v="403-7506741-0649140"/>
    <s v="2024-01-24T14:56:20+00:00"/>
    <s v="2024-01-24T18:16:4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Firenze"/>
    <s v="Barberino del Mugello"/>
    <n v="50031"/>
    <s v="IT"/>
    <m/>
    <m/>
    <m/>
    <m/>
    <m/>
    <m/>
    <m/>
  </r>
  <r>
    <s v="408-2730550-8336361"/>
    <s v="408-2730550-8336361"/>
    <s v="2024-01-24T14:55:29+00:00"/>
    <s v="2024-01-25T05:26:25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3-7459270-7931541"/>
    <s v="403-7459270-7931541"/>
    <s v="2024-01-24T14:53:47+00:00"/>
    <s v="2024-01-24T17:17:1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TIGNOSO"/>
    <s v="MS"/>
    <n v="54038"/>
    <s v="IT"/>
    <m/>
    <m/>
    <m/>
    <m/>
    <m/>
    <m/>
    <m/>
  </r>
  <r>
    <s v="404-4638930-7256345"/>
    <s v="404-4638930-7256345"/>
    <s v="2024-01-24T14:25:08+00:00"/>
    <s v="2024-01-24T23:47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Veroli"/>
    <s v="Frosinone"/>
    <n v="3029"/>
    <s v="IT"/>
    <m/>
    <m/>
    <m/>
    <m/>
    <m/>
    <m/>
    <m/>
  </r>
  <r>
    <s v="404-6165286-8217946"/>
    <s v="404-6165286-8217946"/>
    <s v="2024-01-24T14:24:45+00:00"/>
    <s v="2024-01-24T21:31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oligno"/>
    <s v="PG"/>
    <n v="6034"/>
    <s v="IT"/>
    <m/>
    <m/>
    <m/>
    <m/>
    <m/>
    <m/>
    <m/>
  </r>
  <r>
    <s v="171-3630662-0717129"/>
    <m/>
    <s v="2024-01-24T14:19:15+00:00"/>
    <s v="2024-01-25T14:27:52+00:00"/>
    <s v="Shipped"/>
    <x v="1"/>
    <x v="3"/>
    <s v="WebsiteOrderChannel"/>
    <m/>
    <s v="Standard"/>
    <s v="BEPER 90.825 Fornello Elettrico in Acciaio Inossidabile con 5 Livelli di Potenza - Fornello Elettrico 2 Piastre"/>
    <n v="90825"/>
    <x v="23"/>
    <s v="Shipped"/>
    <n v="1"/>
    <s v="EUR"/>
    <n v="46.9"/>
    <n v="8.4600000000000009"/>
    <n v="3"/>
    <n v="0.54"/>
    <m/>
    <m/>
    <m/>
    <m/>
    <s v="Pavia"/>
    <s v="Pavia"/>
    <n v="27100"/>
    <s v="IT"/>
    <m/>
    <m/>
    <m/>
    <m/>
    <m/>
    <m/>
    <m/>
  </r>
  <r>
    <s v="408-0371882-1435564"/>
    <s v="408-0371882-1435564"/>
    <s v="2024-01-24T14:10:58+00:00"/>
    <s v="2024-01-24T17:49:04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Milano"/>
    <s v="Milano"/>
    <n v="20122"/>
    <s v="IT"/>
    <m/>
    <m/>
    <m/>
    <m/>
    <m/>
    <m/>
    <m/>
  </r>
  <r>
    <s v="408-5288774-1910750"/>
    <s v="408-5288774-1910750"/>
    <s v="2024-01-24T14:06:02+00:00"/>
    <s v="2024-01-25T05:03:08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2"/>
    <s v="EUR"/>
    <n v="29.8"/>
    <n v="5.38"/>
    <m/>
    <m/>
    <m/>
    <m/>
    <m/>
    <m/>
    <s v="Passo Corese (RI)"/>
    <s v="Rieti"/>
    <n v="2032"/>
    <s v="IT"/>
    <m/>
    <m/>
    <m/>
    <m/>
    <m/>
    <m/>
    <m/>
  </r>
  <r>
    <s v="404-1070047-3205934"/>
    <s v="404-1070047-3205934"/>
    <s v="2024-01-24T14:01:00+00:00"/>
    <s v="2024-01-24T20:57:4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adispoli"/>
    <s v="Roma"/>
    <n v="55"/>
    <s v="IT"/>
    <m/>
    <m/>
    <m/>
    <m/>
    <m/>
    <m/>
    <m/>
  </r>
  <r>
    <s v="171-8184302-7170710"/>
    <s v="171-8184302-7170710"/>
    <s v="2024-01-24T13:59:56+00:00"/>
    <s v="2024-01-24T14:01:35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Roma"/>
    <s v="Roma"/>
    <n v="139"/>
    <s v="IT"/>
    <m/>
    <m/>
    <m/>
    <m/>
    <m/>
    <m/>
    <m/>
  </r>
  <r>
    <s v="406-6397834-1862768"/>
    <s v="406-6397834-1862768"/>
    <s v="2024-01-24T13:43:05+00:00"/>
    <s v="2024-01-24T17:48:1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MELITO DI NAPOLI"/>
    <s v="NA"/>
    <n v="80017"/>
    <s v="IT"/>
    <m/>
    <m/>
    <m/>
    <m/>
    <m/>
    <m/>
    <m/>
  </r>
  <r>
    <s v="171-4547093-8781108"/>
    <s v="171-4547093-8781108"/>
    <s v="2024-01-24T13:42:33+00:00"/>
    <s v="2024-01-24T20:52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ta Margherita Ligure"/>
    <s v="Genova"/>
    <n v="16038"/>
    <s v="IT"/>
    <m/>
    <m/>
    <m/>
    <m/>
    <m/>
    <m/>
    <m/>
  </r>
  <r>
    <s v="402-7290852-3565967"/>
    <s v="402-7290852-3565967"/>
    <s v="2024-01-24T13:22:00+00:00"/>
    <s v="2024-01-24T20:49:58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SANT'ANDREA IN BESANIGO"/>
    <s v="Rimini"/>
    <n v="47853"/>
    <s v="IT"/>
    <m/>
    <m/>
    <m/>
    <m/>
    <m/>
    <m/>
    <m/>
  </r>
  <r>
    <s v="171-8418819-7268335"/>
    <s v="171-8418819-7268335"/>
    <s v="2024-01-24T13:19:44+00:00"/>
    <s v="2024-01-25T02:26:08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Roma"/>
    <s v="Rm"/>
    <n v="177"/>
    <s v="IT"/>
    <m/>
    <m/>
    <m/>
    <m/>
    <m/>
    <m/>
    <m/>
  </r>
  <r>
    <s v="403-5960702-3716310"/>
    <s v="403-5960702-3716310"/>
    <s v="2024-01-24T13:09:02+00:00"/>
    <s v="2024-01-24T17:20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orghetto lodigiano"/>
    <s v="lo"/>
    <n v="26812"/>
    <s v="IT"/>
    <m/>
    <m/>
    <m/>
    <m/>
    <m/>
    <m/>
    <m/>
  </r>
  <r>
    <s v="402-9104250-0035536"/>
    <s v="402-9104250-0035536"/>
    <s v="2024-01-24T13:06:25+00:00"/>
    <s v="2024-01-24T18:17:4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iró Marina"/>
    <s v="Crotone"/>
    <n v="88811"/>
    <s v="IT"/>
    <m/>
    <m/>
    <m/>
    <m/>
    <m/>
    <m/>
    <m/>
  </r>
  <r>
    <s v="171-6489802-6964356"/>
    <s v="171-6489802-6964356"/>
    <s v="2024-01-24T13:05:39+00:00"/>
    <s v="2024-01-26T18:48:5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0900000000000001"/>
    <m/>
    <m/>
    <m/>
    <m/>
    <n v="1.0900000000000001"/>
    <s v="Cicciano"/>
    <s v="na"/>
    <n v="80033"/>
    <s v="IT"/>
    <m/>
    <m/>
    <m/>
    <m/>
    <m/>
    <m/>
    <m/>
  </r>
  <r>
    <s v="406-6739957-8634752"/>
    <s v="406-6739957-8634752"/>
    <s v="2024-01-24T13:03:06+00:00"/>
    <s v="2024-01-25T18:41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iugliano in Campania"/>
    <s v="NA"/>
    <n v="80014"/>
    <s v="IT"/>
    <m/>
    <m/>
    <m/>
    <m/>
    <m/>
    <m/>
    <m/>
  </r>
  <r>
    <s v="405-0737322-5915568"/>
    <s v="405-0737322-5915568"/>
    <s v="2024-01-24T13:02:01+00:00"/>
    <s v="2024-01-24T23:09:0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pinea"/>
    <s v="Venezia"/>
    <n v="30038"/>
    <s v="IT"/>
    <m/>
    <m/>
    <m/>
    <m/>
    <m/>
    <m/>
    <m/>
  </r>
  <r>
    <s v="405-8255107-3095569"/>
    <s v="405-8255107-3095569"/>
    <s v="2024-01-24T12:52:08+00:00"/>
    <s v="2024-01-25T11:00:5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Briga Novarese"/>
    <s v="Novara"/>
    <n v="28010"/>
    <s v="IT"/>
    <m/>
    <m/>
    <m/>
    <m/>
    <m/>
    <m/>
    <m/>
  </r>
  <r>
    <s v="171-8014561-6295561"/>
    <s v="171-8014561-6295561"/>
    <s v="2024-01-24T12:51:14+00:00"/>
    <s v="2024-01-24T13:15:34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VILLA DI BRIANO"/>
    <s v="CAMPANIA"/>
    <n v="81030"/>
    <s v="IT"/>
    <m/>
    <m/>
    <m/>
    <m/>
    <m/>
    <m/>
    <m/>
  </r>
  <r>
    <s v="407-8721816-7023505"/>
    <s v="407-8721816-7023505"/>
    <s v="2024-01-24T12:37:36+00:00"/>
    <s v="2024-01-24T20:51:0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mpomorone"/>
    <s v="GE"/>
    <n v="16014"/>
    <s v="IT"/>
    <m/>
    <m/>
    <m/>
    <m/>
    <m/>
    <m/>
    <m/>
  </r>
  <r>
    <s v="408-1248728-5357962"/>
    <s v="408-1248728-5357962"/>
    <s v="2024-01-24T12:22:18+00:00"/>
    <s v="2024-01-24T17:17:0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venturina Terme"/>
    <s v="livorno"/>
    <n v="57021"/>
    <s v="IT"/>
    <m/>
    <m/>
    <m/>
    <m/>
    <m/>
    <m/>
    <m/>
  </r>
  <r>
    <s v="408-9490015-3962735"/>
    <s v="408-9490015-3962735"/>
    <s v="2024-01-24T11:56:16+00:00"/>
    <s v="2024-01-24T17:48:1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ologna"/>
    <s v="Bologna"/>
    <n v="40133"/>
    <s v="IT"/>
    <m/>
    <m/>
    <m/>
    <m/>
    <m/>
    <m/>
    <m/>
  </r>
  <r>
    <s v="408-7437113-9573150"/>
    <s v="408-7437113-9573150"/>
    <s v="2024-01-24T11:55:53+00:00"/>
    <s v="2024-01-24T17:47:3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AVATORE"/>
    <s v="Napoli"/>
    <n v="80020"/>
    <s v="IT"/>
    <m/>
    <m/>
    <m/>
    <m/>
    <m/>
    <m/>
    <m/>
  </r>
  <r>
    <s v="402-0025650-8225947"/>
    <s v="402-0025650-8225947"/>
    <s v="2024-01-24T11:52:21+00:00"/>
    <s v="2024-01-24T20:49:1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Faenza"/>
    <s v="Ravenna"/>
    <n v="48018"/>
    <s v="IT"/>
    <m/>
    <m/>
    <m/>
    <m/>
    <m/>
    <m/>
    <m/>
  </r>
  <r>
    <s v="407-3897948-5155549"/>
    <s v="407-3897948-5155549"/>
    <s v="2024-01-24T11:46:18+00:00"/>
    <s v="2024-01-25T02:28:3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elletri"/>
    <s v="Roma"/>
    <n v="49"/>
    <s v="IT"/>
    <m/>
    <m/>
    <m/>
    <m/>
    <m/>
    <m/>
    <m/>
  </r>
  <r>
    <s v="403-8726547-0054755"/>
    <s v="403-8726547-0054755"/>
    <s v="2024-01-24T11:40:43+00:00"/>
    <s v="2024-01-25T14:15:14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Velletri"/>
    <s v="Roma"/>
    <n v="49"/>
    <s v="IT"/>
    <m/>
    <m/>
    <m/>
    <m/>
    <m/>
    <m/>
    <m/>
  </r>
  <r>
    <s v="403-6518380-3066737"/>
    <s v="403-6518380-3066737"/>
    <s v="2024-01-24T11:39:33+00:00"/>
    <s v="2024-01-24T18:16:2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renze"/>
    <s v="FI"/>
    <n v="50122"/>
    <s v="IT"/>
    <m/>
    <m/>
    <m/>
    <m/>
    <m/>
    <m/>
    <m/>
  </r>
  <r>
    <s v="402-6714873-3658768"/>
    <s v="402-6714873-3658768"/>
    <s v="2024-01-24T11:34:33+00:00"/>
    <s v="2024-01-24T16:15:1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USAGO"/>
    <s v="MI"/>
    <n v="20090"/>
    <s v="IT"/>
    <m/>
    <m/>
    <m/>
    <m/>
    <m/>
    <m/>
    <m/>
  </r>
  <r>
    <s v="402-8402811-2851546"/>
    <s v="402-8402811-2851546"/>
    <s v="2024-01-24T11:27:02+00:00"/>
    <s v="2024-01-24T11:40:42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CUSAGO"/>
    <s v="MI"/>
    <n v="20090"/>
    <s v="IT"/>
    <m/>
    <m/>
    <m/>
    <m/>
    <m/>
    <m/>
    <m/>
  </r>
  <r>
    <s v="404-3680350-8078743"/>
    <s v="404-3680350-8078743"/>
    <s v="2024-01-24T11:10:20+00:00"/>
    <s v="2024-01-24T20:52:01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Recco"/>
    <s v="Genova"/>
    <n v="16036"/>
    <s v="IT"/>
    <m/>
    <m/>
    <m/>
    <m/>
    <m/>
    <m/>
    <m/>
  </r>
  <r>
    <s v="171-1303820-6218731"/>
    <s v="171-1303820-6218731"/>
    <s v="2024-01-24T11:04:47+00:00"/>
    <s v="2024-01-24T17:50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dena"/>
    <s v="Modena"/>
    <n v="41122"/>
    <s v="IT"/>
    <m/>
    <m/>
    <m/>
    <m/>
    <m/>
    <m/>
    <m/>
  </r>
  <r>
    <s v="407-5063947-2852348"/>
    <s v="407-5063947-2852348"/>
    <s v="2024-01-24T10:51:14+00:00"/>
    <s v="2024-01-24T21:20:47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Assisi"/>
    <s v="Perugia"/>
    <n v="6081"/>
    <s v="IT"/>
    <m/>
    <m/>
    <m/>
    <m/>
    <m/>
    <m/>
    <m/>
  </r>
  <r>
    <s v="402-6110514-8333133"/>
    <s v="402-6110514-8333133"/>
    <s v="2024-01-24T10:42:07+00:00"/>
    <s v="2024-01-24T20:48:48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brisighella"/>
    <s v="RA"/>
    <n v="48013"/>
    <s v="IT"/>
    <m/>
    <m/>
    <m/>
    <m/>
    <m/>
    <m/>
    <m/>
  </r>
  <r>
    <s v="406-8977778-7323544"/>
    <s v="406-8977778-7323544"/>
    <s v="2024-01-24T10:28:04+00:00"/>
    <s v="2024-01-25T16:20:3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"/>
    <n v="20151"/>
    <s v="IT"/>
    <m/>
    <m/>
    <m/>
    <m/>
    <m/>
    <m/>
    <m/>
  </r>
  <r>
    <s v="404-6480840-5481900"/>
    <s v="404-6480840-5481900"/>
    <s v="2024-01-24T10:21:49+00:00"/>
    <s v="2024-01-24T21:20:47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n v="4.99"/>
    <n v="0.9"/>
    <m/>
    <m/>
    <m/>
    <m/>
    <s v="San Valentino della colina"/>
    <s v="Perugia"/>
    <n v="6055"/>
    <s v="IT"/>
    <m/>
    <m/>
    <m/>
    <m/>
    <m/>
    <m/>
    <m/>
  </r>
  <r>
    <s v="171-3665230-1485125"/>
    <s v="171-3665230-1485125"/>
    <s v="2024-01-24T10:20:56+00:00"/>
    <s v="2024-01-24T15:51:4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inerolo"/>
    <s v="TO"/>
    <n v="10064"/>
    <s v="IT"/>
    <m/>
    <m/>
    <m/>
    <m/>
    <m/>
    <m/>
    <m/>
  </r>
  <r>
    <s v="406-0285705-1776324"/>
    <s v="406-0285705-1776324"/>
    <s v="2024-01-24T10:16:25+00:00"/>
    <s v="2024-01-24T17:27:57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n v="4.99"/>
    <n v="0.9"/>
    <m/>
    <m/>
    <m/>
    <m/>
    <s v="FAUGLIA"/>
    <s v="PISA"/>
    <n v="56043"/>
    <s v="IT"/>
    <m/>
    <m/>
    <m/>
    <m/>
    <m/>
    <m/>
    <m/>
  </r>
  <r>
    <s v="405-8573440-2318755"/>
    <s v="405-8573440-2318755"/>
    <s v="2024-01-24T10:14:01+00:00"/>
    <s v="2024-01-25T12:11:5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razzano"/>
    <s v="Pisa"/>
    <n v="56028"/>
    <s v="IT"/>
    <m/>
    <m/>
    <m/>
    <m/>
    <m/>
    <m/>
    <m/>
  </r>
  <r>
    <s v="171-1194711-6420333"/>
    <s v="171-1194711-6420333"/>
    <s v="2024-01-24T10:12:20+00:00"/>
    <s v="2024-01-24T16:14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"/>
    <n v="20146"/>
    <s v="IT"/>
    <m/>
    <m/>
    <m/>
    <m/>
    <m/>
    <m/>
    <m/>
  </r>
  <r>
    <s v="403-7424220-1833927"/>
    <s v="403-7424220-1833927"/>
    <s v="2024-01-24T10:12:16+00:00"/>
    <s v="2024-01-25T15:47:1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s v="TO"/>
    <n v="10138"/>
    <s v="IT"/>
    <m/>
    <m/>
    <m/>
    <m/>
    <n v="2690060807"/>
    <s v="IT"/>
    <s v="VAT"/>
  </r>
  <r>
    <s v="403-3362006-9004340"/>
    <s v="403-3362006-9004340"/>
    <s v="2024-01-24T10:08:19+00:00"/>
    <s v="2024-01-25T13:21:2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ela"/>
    <s v="Cl"/>
    <n v="93012"/>
    <s v="IT"/>
    <m/>
    <m/>
    <m/>
    <m/>
    <m/>
    <m/>
    <m/>
  </r>
  <r>
    <s v="402-2021844-1803564"/>
    <m/>
    <s v="2024-01-24T09:58:12+00:00"/>
    <s v="2024-01-25T14:27:51+00:00"/>
    <s v="Shipped"/>
    <x v="1"/>
    <x v="3"/>
    <s v="WebsiteOrderChannel"/>
    <m/>
    <s v="Standard"/>
    <s v="BEPER 90.825 Fornello Elettrico in Acciaio Inossidabile con 5 Livelli di Potenza - Fornello Elettrico 2 Piastre"/>
    <n v="90825"/>
    <x v="23"/>
    <s v="Shipped"/>
    <n v="1"/>
    <s v="EUR"/>
    <n v="46.9"/>
    <n v="8.4600000000000009"/>
    <n v="3"/>
    <n v="0.54"/>
    <m/>
    <m/>
    <m/>
    <m/>
    <s v="albiate"/>
    <s v="MB"/>
    <n v="20847"/>
    <s v="IT"/>
    <m/>
    <m/>
    <m/>
    <m/>
    <m/>
    <m/>
    <m/>
  </r>
  <r>
    <s v="402-8270749-5666718"/>
    <s v="402-8270749-5666718"/>
    <s v="2024-01-24T09:55:38+00:00"/>
    <s v="2024-01-25T04:56:37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Bellusco"/>
    <s v="Mb"/>
    <n v="20882"/>
    <s v="IT"/>
    <m/>
    <m/>
    <m/>
    <m/>
    <m/>
    <m/>
    <m/>
  </r>
  <r>
    <s v="403-0201575-2104361"/>
    <s v="403-0201575-2104361"/>
    <s v="2024-01-24T09:53:42+00:00"/>
    <s v="2024-01-25T04:18:3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derobba"/>
    <s v="Treviso"/>
    <n v="31040"/>
    <s v="IT"/>
    <m/>
    <m/>
    <m/>
    <m/>
    <m/>
    <m/>
    <m/>
  </r>
  <r>
    <s v="404-6919262-7581926"/>
    <s v="404-6919262-7581926"/>
    <s v="2024-01-24T09:51:41+00:00"/>
    <s v="2024-01-29T10:05:00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Catania"/>
    <s v="Ct"/>
    <n v="95040"/>
    <s v="IT"/>
    <m/>
    <m/>
    <m/>
    <m/>
    <m/>
    <m/>
    <m/>
  </r>
  <r>
    <s v="404-4982671-5103515"/>
    <s v="404-4982671-5103515"/>
    <s v="2024-01-24T09:36:03+00:00"/>
    <s v="2024-01-24T09:36:57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Camporotondo Etneo"/>
    <s v="Ct"/>
    <n v="95040"/>
    <s v="IT"/>
    <m/>
    <m/>
    <m/>
    <m/>
    <m/>
    <m/>
    <m/>
  </r>
  <r>
    <s v="406-9252946-4266734"/>
    <s v="406-9252946-4266734"/>
    <s v="2024-01-24T09:23:29+00:00"/>
    <s v="2024-01-25T02:25:55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Roma"/>
    <s v="RM"/>
    <n v="132"/>
    <s v="IT"/>
    <m/>
    <m/>
    <m/>
    <m/>
    <m/>
    <m/>
    <m/>
  </r>
  <r>
    <s v="406-9789058-7593106"/>
    <s v="406-9789058-7593106"/>
    <s v="2024-01-24T09:21:33+00:00"/>
    <s v="2024-01-24T17:48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Napoli"/>
    <s v="Na"/>
    <n v="80121"/>
    <s v="IT"/>
    <m/>
    <m/>
    <m/>
    <m/>
    <m/>
    <m/>
    <m/>
  </r>
  <r>
    <s v="403-7358469-5249908"/>
    <s v="403-7358469-5249908"/>
    <s v="2024-01-24T09:16:30+00:00"/>
    <s v="2024-01-25T23:21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3.99"/>
    <n v="0.72"/>
    <m/>
    <m/>
    <m/>
    <m/>
    <s v="Roma"/>
    <s v="RM"/>
    <n v="176"/>
    <s v="IT"/>
    <m/>
    <m/>
    <m/>
    <m/>
    <m/>
    <m/>
    <m/>
  </r>
  <r>
    <s v="405-5868498-7885965"/>
    <s v="405-5868498-7885965"/>
    <s v="2024-01-24T09:13:18+00:00"/>
    <s v="2024-01-24T13:27:05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Conegliano"/>
    <s v="Treviso"/>
    <n v="31015"/>
    <s v="IT"/>
    <m/>
    <m/>
    <m/>
    <m/>
    <m/>
    <m/>
    <m/>
  </r>
  <r>
    <s v="404-2757784-3409946"/>
    <s v="404-2757784-3409946"/>
    <s v="2024-01-24T09:04:23+00:00"/>
    <s v="2024-01-24T13:26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giorgio delle Pertiche"/>
    <s v="PD"/>
    <n v="35010"/>
    <s v="IT"/>
    <m/>
    <m/>
    <m/>
    <m/>
    <m/>
    <m/>
    <m/>
  </r>
  <r>
    <s v="404-0395208-4017138"/>
    <m/>
    <s v="2024-01-24T08:43:26+00:00"/>
    <s v="2024-01-25T13:48:5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an fior"/>
    <s v="TV"/>
    <n v="31020"/>
    <s v="IT"/>
    <m/>
    <m/>
    <m/>
    <m/>
    <m/>
    <m/>
    <m/>
  </r>
  <r>
    <s v="407-6618597-6516337"/>
    <s v="407-6618597-6516337"/>
    <s v="2024-01-24T08:22:47+00:00"/>
    <s v="2024-01-26T04:51:53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carbonia"/>
    <s v="CI"/>
    <n v="9013"/>
    <s v="IT"/>
    <m/>
    <m/>
    <m/>
    <m/>
    <s v="LCCMLL38H47B745W"/>
    <s v="IT"/>
    <s v="CitizenId"/>
  </r>
  <r>
    <s v="403-5731179-2560317"/>
    <s v="403-5731179-2560317"/>
    <s v="2024-01-24T08:19:30+00:00"/>
    <s v="2024-01-24T13:28:1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ldonazzo"/>
    <s v="Trento"/>
    <n v="38052"/>
    <s v="IT"/>
    <m/>
    <m/>
    <m/>
    <m/>
    <m/>
    <m/>
    <m/>
  </r>
  <r>
    <s v="407-2691145-5189136"/>
    <s v="407-2691145-5189136"/>
    <s v="2024-01-24T08:13:54+00:00"/>
    <s v="2024-01-24T11:38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alermo"/>
    <s v="PA"/>
    <n v="90143"/>
    <s v="IT"/>
    <m/>
    <m/>
    <m/>
    <m/>
    <m/>
    <m/>
    <m/>
  </r>
  <r>
    <s v="407-1999611-7254715"/>
    <s v="407-1999611-7254715"/>
    <s v="2024-01-24T08:04:04+00:00"/>
    <s v="2024-03-30T20:01:24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m/>
    <m/>
    <m/>
    <m/>
    <m/>
    <m/>
    <m/>
    <m/>
    <m/>
    <m/>
    <m/>
  </r>
  <r>
    <s v="408-4523224-2633103"/>
    <s v="408-4523224-2633103"/>
    <s v="2024-01-24T07:43:00+00:00"/>
    <s v="2024-01-24T18:17:1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grassano"/>
    <s v="Cosenza"/>
    <n v="87040"/>
    <s v="IT"/>
    <m/>
    <m/>
    <m/>
    <m/>
    <m/>
    <m/>
    <m/>
  </r>
  <r>
    <s v="406-1704962-9626752"/>
    <s v="406-1704962-9626752"/>
    <s v="2024-01-24T06:53:06+00:00"/>
    <s v="2024-01-24T23:47:1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oma"/>
    <n v="177"/>
    <s v="IT"/>
    <m/>
    <m/>
    <m/>
    <m/>
    <m/>
    <m/>
    <m/>
  </r>
  <r>
    <s v="405-2289674-0321123"/>
    <s v="405-2289674-0321123"/>
    <s v="2024-01-24T06:44:47+00:00"/>
    <s v="2024-01-24T16:36:2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rsago Seprio"/>
    <s v="VA"/>
    <n v="21010"/>
    <s v="IT"/>
    <m/>
    <m/>
    <m/>
    <m/>
    <m/>
    <m/>
    <m/>
  </r>
  <r>
    <s v="406-3931344-6033930"/>
    <s v="406-3931344-6033930"/>
    <s v="2024-01-24T06:32:39+00:00"/>
    <s v="2024-01-24T17:25:3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RI"/>
    <s v="PUGLIA"/>
    <n v="70126"/>
    <s v="IT"/>
    <m/>
    <m/>
    <m/>
    <m/>
    <m/>
    <m/>
    <m/>
  </r>
  <r>
    <s v="407-0169719-8792372"/>
    <m/>
    <s v="2024-01-24T06:22:04+00:00"/>
    <s v="2024-01-24T13:12:25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Budoni"/>
    <s v="Ss"/>
    <n v="7051"/>
    <s v="IT"/>
    <m/>
    <m/>
    <m/>
    <m/>
    <m/>
    <m/>
    <m/>
  </r>
  <r>
    <s v="408-1373712-8185132"/>
    <s v="408-1373712-8185132"/>
    <s v="2024-01-23T23:39:08+00:00"/>
    <s v="2024-01-25T10:01:5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aiano cremasco"/>
    <s v="Cremona"/>
    <n v="26010"/>
    <s v="IT"/>
    <m/>
    <m/>
    <m/>
    <m/>
    <m/>
    <m/>
    <m/>
  </r>
  <r>
    <s v="405-9013906-1521128"/>
    <s v="405-9013906-1521128"/>
    <s v="2024-01-23T23:29:14+00:00"/>
    <s v="2024-01-26T02:30:0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oli"/>
    <s v="CH"/>
    <n v="66043"/>
    <s v="IT"/>
    <m/>
    <m/>
    <m/>
    <m/>
    <m/>
    <m/>
    <m/>
  </r>
  <r>
    <s v="404-4175753-4548344"/>
    <s v="404-4175753-4548344"/>
    <s v="2024-01-23T22:33:29+00:00"/>
    <s v="2024-01-24T16:29:4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orino"/>
    <s v="Torino"/>
    <n v="10128"/>
    <s v="IT"/>
    <m/>
    <m/>
    <m/>
    <m/>
    <m/>
    <m/>
    <m/>
  </r>
  <r>
    <s v="405-3033030-6933969"/>
    <s v="405-3033030-6933969"/>
    <s v="2024-01-23T22:11:05+00:00"/>
    <s v="2024-01-25T12:57:09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Omegna"/>
    <s v="Verbania"/>
    <n v="28887"/>
    <s v="IT"/>
    <m/>
    <m/>
    <m/>
    <m/>
    <m/>
    <m/>
    <m/>
  </r>
  <r>
    <s v="402-2169671-9098721"/>
    <m/>
    <s v="2024-01-23T21:49:57+00:00"/>
    <s v="2024-01-25T13:13:3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ISCHITELLA"/>
    <s v="FOGGIA"/>
    <n v="71010"/>
    <s v="IT"/>
    <m/>
    <m/>
    <m/>
    <m/>
    <m/>
    <m/>
    <m/>
  </r>
  <r>
    <s v="404-3948645-8397163"/>
    <s v="404-3948645-8397163"/>
    <s v="2024-01-23T21:41:19+00:00"/>
    <s v="2024-01-24T18:20:2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llecorvino"/>
    <s v="PESCARA"/>
    <n v="65010"/>
    <s v="IT"/>
    <m/>
    <m/>
    <m/>
    <m/>
    <m/>
    <m/>
    <m/>
  </r>
  <r>
    <s v="171-5859152-1294763"/>
    <s v="171-5859152-1294763"/>
    <s v="2024-01-23T21:39:08+00:00"/>
    <s v="2024-01-24T17:26:0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rani"/>
    <s v="Bt"/>
    <n v="76125"/>
    <s v="IT"/>
    <m/>
    <m/>
    <m/>
    <m/>
    <m/>
    <m/>
    <m/>
  </r>
  <r>
    <s v="406-1344324-9250706"/>
    <s v="406-1344324-9250706"/>
    <s v="2024-01-23T21:37:33+00:00"/>
    <s v="2024-01-24T02:29:2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podrise"/>
    <s v="CE"/>
    <n v="81020"/>
    <s v="IT"/>
    <m/>
    <m/>
    <m/>
    <m/>
    <m/>
    <m/>
    <m/>
  </r>
  <r>
    <s v="408-4886562-2041940"/>
    <s v="408-4886562-2041940"/>
    <s v="2024-01-23T21:19:57+00:00"/>
    <s v="2024-01-24T15:38:19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2852682-0849163"/>
    <s v="408-2852682-0849163"/>
    <s v="2024-01-23T21:16:05+00:00"/>
    <s v="2024-01-24T06:46:06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5629704-1461134"/>
    <s v="406-5629704-1461134"/>
    <s v="2024-01-23T21:04:48+00:00"/>
    <s v="2024-01-25T01:27:4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lte di Montecchio Maggiore"/>
    <s v="VI"/>
    <n v="36075"/>
    <s v="IT"/>
    <m/>
    <m/>
    <m/>
    <m/>
    <m/>
    <m/>
    <m/>
  </r>
  <r>
    <s v="405-8556401-0481141"/>
    <s v="405-8556401-0481141"/>
    <s v="2024-01-23T21:03:19+00:00"/>
    <s v="2024-01-24T04:05:0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logna veneta"/>
    <s v="VR"/>
    <n v="37044"/>
    <s v="IT"/>
    <m/>
    <m/>
    <m/>
    <m/>
    <m/>
    <m/>
    <m/>
  </r>
  <r>
    <s v="405-4271319-7672323"/>
    <s v="405-4271319-7672323"/>
    <s v="2024-01-23T21:00:31+00:00"/>
    <s v="2024-01-24T04:08:3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lgiate comasco"/>
    <s v="CO"/>
    <n v="22077"/>
    <s v="IT"/>
    <m/>
    <m/>
    <m/>
    <m/>
    <m/>
    <m/>
    <m/>
  </r>
  <r>
    <s v="171-4280438-2492308"/>
    <s v="171-4280438-2492308"/>
    <s v="2024-01-23T20:57:53+00:00"/>
    <s v="2024-01-24T17:26:5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aglie"/>
    <s v="Lecce"/>
    <n v="73024"/>
    <s v="IT"/>
    <m/>
    <m/>
    <m/>
    <m/>
    <m/>
    <m/>
    <m/>
  </r>
  <r>
    <s v="402-5088511-1819510"/>
    <s v="402-5088511-1819510"/>
    <s v="2024-01-23T20:50:37+00:00"/>
    <s v="2024-01-24T02:23:2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erracina"/>
    <s v="Latina"/>
    <n v="4019"/>
    <s v="IT"/>
    <m/>
    <m/>
    <m/>
    <m/>
    <m/>
    <m/>
    <m/>
  </r>
  <r>
    <s v="406-4395592-0500331"/>
    <s v="406-4395592-0500331"/>
    <s v="2024-01-23T20:47:48+00:00"/>
    <s v="2024-01-24T06:16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Campagna Lupia"/>
    <s v="Venezia"/>
    <n v="30010"/>
    <s v="IT"/>
    <m/>
    <m/>
    <m/>
    <m/>
    <m/>
    <m/>
    <m/>
  </r>
  <r>
    <s v="405-8251109-8493108"/>
    <s v="405-8251109-8493108"/>
    <s v="2024-01-23T20:45:52+00:00"/>
    <s v="2024-01-24T20:52:3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ENOVA"/>
    <s v="GE"/>
    <n v="16127"/>
    <s v="IT"/>
    <m/>
    <m/>
    <m/>
    <m/>
    <m/>
    <m/>
    <m/>
  </r>
  <r>
    <s v="406-3305204-6810746"/>
    <s v="406-3305204-6810746"/>
    <s v="2024-01-23T20:43:36+00:00"/>
    <s v="2024-01-24T17:26:0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ravina in Puglia"/>
    <s v="Bari"/>
    <n v="70024"/>
    <s v="IT"/>
    <m/>
    <m/>
    <m/>
    <m/>
    <m/>
    <m/>
    <m/>
  </r>
  <r>
    <s v="405-6120079-2553133"/>
    <s v="405-6120079-2553133"/>
    <s v="2024-01-23T20:34:01+00:00"/>
    <s v="2024-01-24T12:25:04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Limbadi"/>
    <s v="VV"/>
    <n v="89844"/>
    <s v="IT"/>
    <m/>
    <m/>
    <m/>
    <m/>
    <m/>
    <m/>
    <m/>
  </r>
  <r>
    <s v="403-2762702-6240329"/>
    <m/>
    <s v="2024-01-23T20:22:47+00:00"/>
    <s v="2024-01-24T10:57:5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edriano"/>
    <s v="Milano"/>
    <n v="20018"/>
    <s v="IT"/>
    <m/>
    <m/>
    <m/>
    <m/>
    <m/>
    <m/>
    <m/>
  </r>
  <r>
    <s v="406-0344195-6309942"/>
    <s v="406-0344195-6309942"/>
    <s v="2024-01-23T20:13:41+00:00"/>
    <s v="2024-01-24T06:14:5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Udine"/>
    <s v="udine"/>
    <n v="33100"/>
    <s v="IT"/>
    <m/>
    <m/>
    <m/>
    <m/>
    <m/>
    <m/>
    <m/>
  </r>
  <r>
    <s v="406-4976676-6813100"/>
    <s v="406-4976676-6813100"/>
    <s v="2024-01-23T20:10:58+00:00"/>
    <s v="2024-01-24T06:14:1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sti"/>
    <s v="AT"/>
    <n v="14100"/>
    <s v="IT"/>
    <m/>
    <m/>
    <m/>
    <m/>
    <m/>
    <m/>
    <m/>
  </r>
  <r>
    <s v="406-5072971-2463501"/>
    <s v="406-5072971-2463501"/>
    <s v="2024-01-23T20:10:34+00:00"/>
    <s v="2024-01-24T17:26:0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dugno"/>
    <s v="bari"/>
    <n v="70026"/>
    <s v="IT"/>
    <m/>
    <m/>
    <m/>
    <m/>
    <m/>
    <m/>
    <m/>
  </r>
  <r>
    <s v="407-5569741-1343554"/>
    <s v="407-5569741-1343554"/>
    <s v="2024-01-23T20:08:31+00:00"/>
    <s v="2024-01-24T02:27:21+00:00"/>
    <s v="Shipped"/>
    <x v="0"/>
    <x v="3"/>
    <m/>
    <m/>
    <s v="Expedited"/>
    <s v="BEPER 40.405 Phon da Viaggio con Manico Pieghevole - Phon da Viaggio Piccolo e Leggero 1200W"/>
    <s v="40.405_FBA"/>
    <x v="1"/>
    <s v="Shipped"/>
    <n v="1"/>
    <s v="EUR"/>
    <n v="14.9"/>
    <n v="2.69"/>
    <m/>
    <m/>
    <m/>
    <m/>
    <m/>
    <m/>
    <s v="Montepulciano"/>
    <s v="Siena"/>
    <n v="53045"/>
    <s v="IT"/>
    <m/>
    <m/>
    <m/>
    <m/>
    <m/>
    <m/>
    <m/>
  </r>
  <r>
    <s v="408-1524355-6483554"/>
    <s v="408-1524355-6483554"/>
    <s v="2024-01-23T20:07:38+00:00"/>
    <s v="2024-01-24T04:05:4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usto Arsizio"/>
    <s v="VA"/>
    <n v="21052"/>
    <s v="IT"/>
    <m/>
    <m/>
    <m/>
    <m/>
    <m/>
    <m/>
    <m/>
  </r>
  <r>
    <s v="408-5835255-0476342"/>
    <s v="408-5835255-0476342"/>
    <s v="2024-01-23T19:58:08+00:00"/>
    <s v="2024-01-24T17:50:2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alecchio Di Reno"/>
    <s v="BO"/>
    <n v="40033"/>
    <s v="IT"/>
    <m/>
    <m/>
    <m/>
    <m/>
    <m/>
    <m/>
    <m/>
  </r>
  <r>
    <s v="404-5572888-6260321"/>
    <s v="404-5572888-6260321"/>
    <s v="2024-01-23T19:57:47+00:00"/>
    <s v="2024-01-24T06:14:4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VE MESTRE"/>
    <s v="VE"/>
    <n v="30174"/>
    <s v="IT"/>
    <m/>
    <m/>
    <m/>
    <m/>
    <m/>
    <m/>
    <m/>
  </r>
  <r>
    <s v="403-7862563-7461154"/>
    <m/>
    <s v="2024-01-23T19:55:07+00:00"/>
    <s v="2024-01-24T09:53:23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PONT-SAINT-MARTIN"/>
    <s v="Aosta"/>
    <n v="11026"/>
    <s v="IT"/>
    <m/>
    <m/>
    <m/>
    <m/>
    <m/>
    <m/>
    <m/>
  </r>
  <r>
    <s v="171-2364354-2322756"/>
    <s v="171-2364354-2322756"/>
    <s v="2024-01-23T19:41:58+00:00"/>
    <s v="2024-01-23T19:49:26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Roma"/>
    <s v="RM"/>
    <n v="144"/>
    <s v="IT"/>
    <m/>
    <m/>
    <m/>
    <m/>
    <m/>
    <m/>
    <m/>
  </r>
  <r>
    <s v="406-3384423-3330762"/>
    <s v="406-3384423-3330762"/>
    <s v="2024-01-23T19:40:45+00:00"/>
    <s v="2024-01-24T20:51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enova"/>
    <s v="genova"/>
    <n v="16162"/>
    <s v="IT"/>
    <m/>
    <m/>
    <m/>
    <m/>
    <m/>
    <m/>
    <m/>
  </r>
  <r>
    <s v="171-9194383-9157906"/>
    <s v="171-9194383-9157906"/>
    <s v="2024-01-23T19:28:59+00:00"/>
    <s v="2024-01-28T19:39:03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Anagni"/>
    <s v="Frosinone"/>
    <n v="3012"/>
    <s v="IT"/>
    <m/>
    <m/>
    <m/>
    <m/>
    <m/>
    <m/>
    <m/>
  </r>
  <r>
    <s v="408-6055343-9805907"/>
    <s v="408-6055343-9805907"/>
    <s v="2024-01-23T19:26:34+00:00"/>
    <s v="2024-01-24T16:15:5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Milano"/>
    <n v="20157"/>
    <s v="IT"/>
    <m/>
    <m/>
    <m/>
    <m/>
    <m/>
    <m/>
    <m/>
  </r>
  <r>
    <s v="407-0856037-3430707"/>
    <s v="407-0856037-3430707"/>
    <s v="2024-01-23T19:11:43+00:00"/>
    <s v="2024-01-26T02:29:27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Frosinone"/>
    <s v="FR"/>
    <n v="3100"/>
    <s v="IT"/>
    <m/>
    <m/>
    <m/>
    <m/>
    <m/>
    <m/>
    <m/>
  </r>
  <r>
    <s v="404-5756457-8353924"/>
    <s v="404-5756457-8353924"/>
    <s v="2024-01-23T19:06:08+00:00"/>
    <s v="2024-01-23T23:12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alenza"/>
    <s v="AL"/>
    <n v="15048"/>
    <s v="IT"/>
    <m/>
    <m/>
    <m/>
    <m/>
    <m/>
    <m/>
    <m/>
  </r>
  <r>
    <s v="407-6664477-1461923"/>
    <s v="407-6664477-1461923"/>
    <s v="2024-01-23T19:04:33+00:00"/>
    <s v="2024-01-23T21:22:5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teramo in Colle"/>
    <s v="Bari"/>
    <n v="70029"/>
    <s v="IT"/>
    <m/>
    <m/>
    <m/>
    <m/>
    <m/>
    <m/>
    <m/>
  </r>
  <r>
    <s v="404-9951806-0362704"/>
    <s v="404-9951806-0362704"/>
    <s v="2024-01-23T19:01:45+00:00"/>
    <s v="2024-01-24T17:16:4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PIOMBINO"/>
    <s v="LI"/>
    <n v="57025"/>
    <s v="IT"/>
    <m/>
    <m/>
    <m/>
    <m/>
    <m/>
    <m/>
    <m/>
  </r>
  <r>
    <s v="402-3693434-0501949"/>
    <s v="402-3693434-0501949"/>
    <s v="2024-01-23T18:45:43+00:00"/>
    <s v="2024-01-24T04:06:0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urago di molgora"/>
    <s v="Monza e Brianza"/>
    <n v="20875"/>
    <s v="IT"/>
    <m/>
    <m/>
    <m/>
    <m/>
    <m/>
    <m/>
    <m/>
  </r>
  <r>
    <s v="402-8868456-9594733"/>
    <s v="402-8868456-9594733"/>
    <s v="2024-01-23T18:43:20+00:00"/>
    <s v="2024-01-24T17:48:3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lerno"/>
    <s v="SA"/>
    <n v="84127"/>
    <s v="IT"/>
    <m/>
    <m/>
    <m/>
    <m/>
    <m/>
    <m/>
    <m/>
  </r>
  <r>
    <s v="406-3320358-5514716"/>
    <s v="406-3320358-5514716"/>
    <s v="2024-01-23T18:41:16+00:00"/>
    <s v="2024-01-24T17:18:3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Genesio ed Uniti"/>
    <s v="Pavia"/>
    <n v="27010"/>
    <s v="IT"/>
    <m/>
    <m/>
    <m/>
    <m/>
    <m/>
    <m/>
    <m/>
  </r>
  <r>
    <s v="402-1270347-8492338"/>
    <s v="402-1270347-8492338"/>
    <s v="2024-01-23T18:36:38+00:00"/>
    <s v="2024-01-24T15:50:2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ettimo Vittone"/>
    <s v="TO"/>
    <n v="10010"/>
    <s v="IT"/>
    <m/>
    <m/>
    <m/>
    <m/>
    <m/>
    <m/>
    <m/>
  </r>
  <r>
    <s v="171-4727499-4947501"/>
    <s v="171-4727499-4947501"/>
    <s v="2024-01-23T18:33:15+00:00"/>
    <s v="2024-01-24T17:01:4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0.81"/>
    <m/>
    <m/>
    <m/>
    <m/>
    <n v="0.81"/>
    <s v="Roma"/>
    <s v="Rm"/>
    <n v="148"/>
    <s v="IT"/>
    <m/>
    <m/>
    <m/>
    <m/>
    <m/>
    <m/>
    <m/>
  </r>
  <r>
    <s v="405-5995781-0025156"/>
    <s v="405-5995781-0025156"/>
    <s v="2024-01-23T18:27:14+00:00"/>
    <s v="2024-01-24T16:15:4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Gropello Cairoli"/>
    <s v="Pavia"/>
    <n v="27027"/>
    <s v="IT"/>
    <m/>
    <m/>
    <m/>
    <m/>
    <m/>
    <m/>
    <m/>
  </r>
  <r>
    <s v="171-3380333-2257152"/>
    <s v="171-3380333-2257152"/>
    <s v="2024-01-23T18:27:11+00:00"/>
    <s v="2024-01-28T18:58:30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Domusnovas"/>
    <s v="Carbonia-Iglesias"/>
    <n v="9015"/>
    <s v="IT"/>
    <m/>
    <m/>
    <m/>
    <m/>
    <m/>
    <m/>
    <m/>
  </r>
  <r>
    <s v="402-9022449-4165954"/>
    <s v="402-9022449-4165954"/>
    <s v="2024-01-23T18:23:07+00:00"/>
    <s v="2024-01-23T21:36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59"/>
    <s v="IT"/>
    <m/>
    <m/>
    <m/>
    <m/>
    <m/>
    <m/>
    <m/>
  </r>
  <r>
    <s v="403-5820079-2395548"/>
    <s v="403-5820079-2395548"/>
    <s v="2024-01-23T18:19:34+00:00"/>
    <s v="2024-01-24T17:18:2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odi"/>
    <s v="Lodi"/>
    <n v="26900"/>
    <s v="IT"/>
    <m/>
    <m/>
    <m/>
    <m/>
    <m/>
    <m/>
    <m/>
  </r>
  <r>
    <s v="171-6471095-3791544"/>
    <s v="171-6471095-3791544"/>
    <s v="2024-01-23T18:15:58+00:00"/>
    <s v="2024-01-23T18:49:10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Milano"/>
    <m/>
    <n v="20158"/>
    <s v="IT"/>
    <m/>
    <m/>
    <m/>
    <m/>
    <m/>
    <m/>
    <m/>
  </r>
  <r>
    <s v="407-3188773-9916334"/>
    <s v="407-3188773-9916334"/>
    <s v="2024-01-23T18:14:11+00:00"/>
    <s v="2024-01-24T01:32:3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Monte San Savino"/>
    <s v="AR"/>
    <n v="52048"/>
    <s v="IT"/>
    <m/>
    <m/>
    <m/>
    <m/>
    <m/>
    <m/>
    <m/>
  </r>
  <r>
    <s v="408-1719783-0758758"/>
    <s v="408-1719783-0758758"/>
    <s v="2024-01-23T18:12:25+00:00"/>
    <s v="2024-01-24T04:04:50+00:00"/>
    <s v="Shipped"/>
    <x v="0"/>
    <x v="3"/>
    <m/>
    <m/>
    <s v="Expedited"/>
    <s v="BEPER BT.602H Waffle Maker con Piastre Antiaderenti, Avvolgicavo e Piedini Antiscivolo - Piastra Waffle 780 W"/>
    <s v="BT.602H_FBA"/>
    <x v="11"/>
    <s v="Shipped"/>
    <n v="1"/>
    <s v="EUR"/>
    <n v="24.9"/>
    <n v="4.49"/>
    <m/>
    <m/>
    <m/>
    <m/>
    <m/>
    <m/>
    <s v="Lecco"/>
    <s v="LC"/>
    <n v="23900"/>
    <s v="IT"/>
    <m/>
    <m/>
    <m/>
    <m/>
    <m/>
    <m/>
    <m/>
  </r>
  <r>
    <s v="171-5671242-8998718"/>
    <s v="171-5671242-8998718"/>
    <s v="2024-01-23T18:12:05+00:00"/>
    <s v="2024-01-23T18:48:46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Milano"/>
    <m/>
    <n v="20158"/>
    <s v="IT"/>
    <m/>
    <m/>
    <m/>
    <m/>
    <m/>
    <m/>
    <m/>
  </r>
  <r>
    <s v="408-1068689-0965923"/>
    <s v="408-1068689-0965923"/>
    <s v="2024-01-23T18:05:45+00:00"/>
    <s v="2024-01-24T06:15:1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Due Carrare"/>
    <s v="PD"/>
    <n v="35020"/>
    <s v="IT"/>
    <m/>
    <m/>
    <m/>
    <m/>
    <m/>
    <m/>
    <m/>
  </r>
  <r>
    <s v="406-4752095-6857164"/>
    <s v="406-4752095-6857164"/>
    <s v="2024-01-23T17:49:40+00:00"/>
    <s v="2024-01-23T19:12:57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MILANO"/>
    <s v="MILANO"/>
    <n v="20124"/>
    <s v="IT"/>
    <m/>
    <m/>
    <m/>
    <m/>
    <m/>
    <m/>
    <m/>
  </r>
  <r>
    <s v="403-9055863-4003561"/>
    <s v="403-9055863-4003561"/>
    <s v="2024-01-23T17:44:04+00:00"/>
    <s v="2024-01-23T21:20:3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scara"/>
    <s v="PE"/>
    <n v="65129"/>
    <s v="IT"/>
    <m/>
    <m/>
    <m/>
    <m/>
    <m/>
    <m/>
    <m/>
  </r>
  <r>
    <s v="407-4470638-8220318"/>
    <s v="407-4470638-8220318"/>
    <s v="2024-01-23T17:41:06+00:00"/>
    <s v="2024-01-24T16:08:1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75"/>
    <s v="IT"/>
    <m/>
    <m/>
    <m/>
    <m/>
    <m/>
    <m/>
    <m/>
  </r>
  <r>
    <s v="408-8035192-6429910"/>
    <s v="408-8035192-6429910"/>
    <s v="2024-01-23T17:28:09+00:00"/>
    <s v="2024-01-24T02:44:1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83"/>
    <s v="IT"/>
    <m/>
    <m/>
    <m/>
    <m/>
    <m/>
    <m/>
    <m/>
  </r>
  <r>
    <s v="402-2734358-3393111"/>
    <s v="402-2734358-3393111"/>
    <s v="2024-01-23T17:27:58+00:00"/>
    <s v="2024-01-23T20:52:4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Nicola La Strada"/>
    <s v="Caserta"/>
    <n v="81020"/>
    <s v="IT"/>
    <m/>
    <m/>
    <m/>
    <m/>
    <m/>
    <m/>
    <m/>
  </r>
  <r>
    <s v="404-8885176-7414717"/>
    <s v="404-8885176-7414717"/>
    <s v="2024-01-23T16:57:37+00:00"/>
    <s v="2024-01-24T02:22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ettuno"/>
    <s v="Roma"/>
    <n v="48"/>
    <s v="IT"/>
    <m/>
    <m/>
    <m/>
    <m/>
    <m/>
    <m/>
    <m/>
  </r>
  <r>
    <s v="406-4609140-0056340"/>
    <s v="406-4609140-0056340"/>
    <s v="2024-01-23T16:55:40+00:00"/>
    <s v="2024-01-24T17:48:2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LORENZO MAGGIORE"/>
    <s v="Benevento"/>
    <n v="82034"/>
    <s v="IT"/>
    <m/>
    <m/>
    <m/>
    <m/>
    <m/>
    <m/>
    <m/>
  </r>
  <r>
    <s v="171-0884294-9830726"/>
    <m/>
    <s v="2024-01-23T16:50:00+00:00"/>
    <s v="2024-01-24T11:02:27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napoli"/>
    <s v="Napoli"/>
    <n v="80131"/>
    <s v="IT"/>
    <m/>
    <m/>
    <m/>
    <m/>
    <m/>
    <m/>
    <m/>
  </r>
  <r>
    <s v="408-7065472-9289922"/>
    <s v="408-7065472-9289922"/>
    <s v="2024-01-23T16:48:01+00:00"/>
    <s v="2024-01-24T18:14:5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ussomeli"/>
    <s v="Caltanissetta"/>
    <n v="93014"/>
    <s v="IT"/>
    <m/>
    <m/>
    <m/>
    <m/>
    <m/>
    <m/>
    <m/>
  </r>
  <r>
    <s v="405-9862515-4434754"/>
    <s v="405-9862515-4434754"/>
    <s v="2024-01-23T16:40:49+00:00"/>
    <s v="2024-01-25T17:51:4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s v="LOMBARDIA"/>
    <n v="20139"/>
    <s v="IT"/>
    <m/>
    <m/>
    <m/>
    <m/>
    <m/>
    <m/>
    <m/>
  </r>
  <r>
    <s v="402-2545875-8485157"/>
    <s v="402-2545875-8485157"/>
    <s v="2024-01-23T16:34:35+00:00"/>
    <s v="2024-01-25T17:23:3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gnolo Cremasco"/>
    <s v="CR"/>
    <n v="26010"/>
    <s v="IT"/>
    <m/>
    <m/>
    <m/>
    <m/>
    <m/>
    <m/>
    <m/>
  </r>
  <r>
    <s v="402-4331883-4095569"/>
    <m/>
    <s v="2024-01-23T16:31:06+00:00"/>
    <s v="2024-01-24T10:24:57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Ariccia"/>
    <s v="Roma"/>
    <n v="72"/>
    <s v="IT"/>
    <m/>
    <m/>
    <m/>
    <m/>
    <m/>
    <m/>
    <m/>
  </r>
  <r>
    <s v="404-5477521-2024323"/>
    <s v="404-5477521-2024323"/>
    <s v="2024-01-23T16:26:53+00:00"/>
    <s v="2024-01-24T15:55:03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Ardesio"/>
    <s v="Bergamo"/>
    <n v="24020"/>
    <s v="IT"/>
    <m/>
    <m/>
    <m/>
    <m/>
    <m/>
    <m/>
    <m/>
  </r>
  <r>
    <s v="171-0120450-2281930"/>
    <s v="171-0120450-2281930"/>
    <s v="2024-01-23T16:19:57+00:00"/>
    <s v="2024-01-24T02:24:1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isogne"/>
    <s v="BS"/>
    <n v="25055"/>
    <s v="IT"/>
    <m/>
    <m/>
    <m/>
    <m/>
    <m/>
    <m/>
    <m/>
  </r>
  <r>
    <s v="407-1777257-0897116"/>
    <s v="407-1777257-0897116"/>
    <s v="2024-01-23T16:13:28+00:00"/>
    <s v="2024-01-24T14:31:2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"/>
    <n v="0.18"/>
    <m/>
    <m/>
    <m/>
    <m/>
    <s v="bitritto"/>
    <s v="bari"/>
    <n v="70020"/>
    <s v="IT"/>
    <m/>
    <m/>
    <m/>
    <m/>
    <m/>
    <m/>
    <m/>
  </r>
  <r>
    <s v="407-1285590-1822741"/>
    <s v="407-1285590-1822741"/>
    <s v="2024-01-23T16:10:51+00:00"/>
    <s v="2024-01-23T23:16:4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vorno"/>
    <s v="Livorno"/>
    <n v="57122"/>
    <s v="IT"/>
    <m/>
    <m/>
    <m/>
    <m/>
    <m/>
    <m/>
    <m/>
  </r>
  <r>
    <s v="408-0313562-3290723"/>
    <s v="408-0313562-3290723"/>
    <s v="2024-01-23T16:01:10+00:00"/>
    <s v="2024-01-23T18:19:1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TAZIONE MASOTTI"/>
    <s v="Pistoia"/>
    <n v="51034"/>
    <s v="IT"/>
    <m/>
    <m/>
    <m/>
    <m/>
    <m/>
    <m/>
    <m/>
  </r>
  <r>
    <s v="407-0668452-9358711"/>
    <s v="407-0668452-9358711"/>
    <s v="2024-01-23T16:01:01+00:00"/>
    <s v="2024-01-24T12:04:5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ILANO"/>
    <m/>
    <n v="20154"/>
    <s v="IT"/>
    <m/>
    <m/>
    <m/>
    <m/>
    <m/>
    <m/>
    <m/>
  </r>
  <r>
    <s v="405-2866653-3235513"/>
    <m/>
    <s v="2024-01-23T15:46:16+00:00"/>
    <s v="2024-01-24T11:04:10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5"/>
    <s v="EUR"/>
    <n v="74.5"/>
    <n v="13.45"/>
    <n v="15"/>
    <n v="2.7"/>
    <m/>
    <m/>
    <m/>
    <m/>
    <s v="S. Ilario D'Enza"/>
    <s v="Reggio Emilia"/>
    <n v="42049"/>
    <s v="IT"/>
    <m/>
    <m/>
    <m/>
    <m/>
    <m/>
    <m/>
    <m/>
  </r>
  <r>
    <s v="403-7684701-9221101"/>
    <s v="403-7684701-9221101"/>
    <s v="2024-01-23T15:44:03+00:00"/>
    <s v="2024-01-24T17:05:5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LI CALEPIO"/>
    <m/>
    <n v="24060"/>
    <s v="IT"/>
    <m/>
    <m/>
    <m/>
    <m/>
    <m/>
    <m/>
    <m/>
  </r>
  <r>
    <s v="171-4637962-0891507"/>
    <s v="171-4637962-0891507"/>
    <s v="2024-01-23T15:40:48+00:00"/>
    <s v="2024-01-24T16:30:5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TORINO"/>
    <m/>
    <n v="10147"/>
    <s v="IT"/>
    <m/>
    <m/>
    <m/>
    <m/>
    <m/>
    <m/>
    <m/>
  </r>
  <r>
    <s v="402-1544777-8631564"/>
    <m/>
    <s v="2024-01-23T15:38:42+00:00"/>
    <s v="2024-01-24T11:02:27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Cosio valtellino"/>
    <s v="Sondrio"/>
    <n v="23013"/>
    <s v="IT"/>
    <m/>
    <m/>
    <m/>
    <m/>
    <m/>
    <m/>
    <m/>
  </r>
  <r>
    <s v="407-4971741-3060362"/>
    <m/>
    <s v="2024-01-23T15:24:07+00:00"/>
    <s v="2024-01-31T09:27:04+00:00"/>
    <s v="Cancelled"/>
    <x v="1"/>
    <x v="3"/>
    <s v="WebsiteOrderChannel"/>
    <m/>
    <s v="Standard"/>
    <s v="Beper - Piastra per Waffle, Cialdiera, 5 Waffle Alla Volta, Piastra Antiaderente 18cm, 800-100W - Rosso/Bianco"/>
    <s v="BT.603Y"/>
    <x v="15"/>
    <m/>
    <n v="0"/>
    <m/>
    <m/>
    <m/>
    <m/>
    <m/>
    <m/>
    <m/>
    <m/>
    <m/>
    <s v="Maierato"/>
    <s v="Vibo Valentia"/>
    <n v="89843"/>
    <s v="IT"/>
    <m/>
    <m/>
    <m/>
    <m/>
    <m/>
    <m/>
    <m/>
  </r>
  <r>
    <s v="171-2802769-4167565"/>
    <s v="171-2802769-4167565"/>
    <s v="2024-01-23T15:03:22+00:00"/>
    <s v="2024-01-24T12:15:40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MACHERIO"/>
    <m/>
    <n v="20846"/>
    <s v="IT"/>
    <m/>
    <m/>
    <m/>
    <m/>
    <m/>
    <m/>
    <m/>
  </r>
  <r>
    <s v="407-3097468-5685143"/>
    <m/>
    <s v="2024-01-23T14:34:29+00:00"/>
    <s v="2024-01-29T16:43:09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8"/>
    <s v="EUR"/>
    <n v="239.2"/>
    <n v="43.12"/>
    <n v="24"/>
    <n v="4.32"/>
    <m/>
    <m/>
    <m/>
    <m/>
    <s v="Roccaraso"/>
    <s v="L'Aquila"/>
    <n v="67037"/>
    <s v="IT"/>
    <m/>
    <m/>
    <m/>
    <m/>
    <n v="2165350667"/>
    <s v="IT"/>
    <s v="VAT"/>
  </r>
  <r>
    <s v="407-8557478-1406715"/>
    <s v="407-8557478-1406715"/>
    <s v="2024-01-23T14:21:38+00:00"/>
    <s v="2024-01-25T19:46:3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3"/>
    <m/>
    <m/>
    <m/>
    <m/>
    <n v="1.63"/>
    <s v="Egna"/>
    <s v="BZ"/>
    <n v="39044"/>
    <s v="IT"/>
    <m/>
    <m/>
    <m/>
    <m/>
    <m/>
    <m/>
    <m/>
  </r>
  <r>
    <s v="171-1146047-7085942"/>
    <s v="171-1146047-7085942"/>
    <s v="2024-01-23T14:20:25+00:00"/>
    <s v="2024-01-24T12:05:20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Scano al Brembo"/>
    <s v="Bergamo"/>
    <n v="24030"/>
    <s v="IT"/>
    <m/>
    <m/>
    <m/>
    <m/>
    <m/>
    <m/>
    <m/>
  </r>
  <r>
    <s v="404-5140039-3341119"/>
    <s v="404-5140039-3341119"/>
    <s v="2024-01-23T14:19:29+00:00"/>
    <s v="2024-01-23T20:10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m/>
    <n v="142"/>
    <s v="IT"/>
    <m/>
    <m/>
    <m/>
    <m/>
    <m/>
    <m/>
    <m/>
  </r>
  <r>
    <s v="402-0512743-7522754"/>
    <s v="402-0512743-7522754"/>
    <s v="2024-01-23T14:06:59+00:00"/>
    <s v="2024-01-24T06:25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1.0900000000000001"/>
    <m/>
    <m/>
    <m/>
    <m/>
    <n v="1.0900000000000001"/>
    <s v="Civezzano"/>
    <s v="Trento"/>
    <n v="38045"/>
    <s v="IT"/>
    <m/>
    <m/>
    <m/>
    <m/>
    <m/>
    <m/>
    <m/>
  </r>
  <r>
    <s v="404-8829289-8853940"/>
    <s v="404-8829289-8853940"/>
    <s v="2024-01-23T14:04:00+00:00"/>
    <s v="2024-01-23T21:24:5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SAN DONA' DI PIAVE"/>
    <s v="venezia"/>
    <n v="30027"/>
    <s v="IT"/>
    <m/>
    <m/>
    <m/>
    <m/>
    <m/>
    <m/>
    <m/>
  </r>
  <r>
    <s v="407-5536758-4174715"/>
    <s v="407-5536758-4174715"/>
    <s v="2024-01-23T14:03:27+00:00"/>
    <s v="2024-01-24T17:49:0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dena"/>
    <s v="MO"/>
    <n v="41124"/>
    <s v="IT"/>
    <m/>
    <m/>
    <m/>
    <m/>
    <m/>
    <m/>
    <m/>
  </r>
  <r>
    <s v="405-6548824-9715544"/>
    <s v="405-6548824-9715544"/>
    <s v="2024-01-23T13:45:40+00:00"/>
    <s v="2024-01-23T18:24:2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DENA"/>
    <s v="Modena"/>
    <n v="41124"/>
    <s v="IT"/>
    <m/>
    <m/>
    <m/>
    <m/>
    <m/>
    <m/>
    <m/>
  </r>
  <r>
    <s v="403-0179280-6081913"/>
    <s v="403-0179280-6081913"/>
    <s v="2024-01-23T13:38:56+00:00"/>
    <s v="2024-01-24T13:26:5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a teresa di riva"/>
    <s v="messina"/>
    <n v="98028"/>
    <s v="IT"/>
    <m/>
    <m/>
    <m/>
    <m/>
    <m/>
    <m/>
    <m/>
  </r>
  <r>
    <s v="406-3252037-0053954"/>
    <s v="406-3252037-0053954"/>
    <s v="2024-01-23T13:28:06+00:00"/>
    <s v="2024-01-23T21:24:4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zero branco"/>
    <s v="treviso"/>
    <n v="31059"/>
    <s v="IT"/>
    <m/>
    <m/>
    <m/>
    <m/>
    <m/>
    <m/>
    <m/>
  </r>
  <r>
    <s v="406-4081760-5009903"/>
    <m/>
    <s v="2024-01-23T13:19:49+00:00"/>
    <s v="2024-01-24T17:25:10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Bolzano"/>
    <s v="Bolzano"/>
    <n v="39100"/>
    <s v="IT"/>
    <m/>
    <m/>
    <m/>
    <m/>
    <m/>
    <m/>
    <m/>
  </r>
  <r>
    <s v="408-7481599-5185913"/>
    <s v="408-7481599-5185913"/>
    <s v="2024-01-23T13:02:19+00:00"/>
    <s v="2024-01-23T15:53:2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2"/>
    <s v="EUR"/>
    <n v="39.799999999999997"/>
    <n v="7.18"/>
    <m/>
    <m/>
    <m/>
    <m/>
    <m/>
    <m/>
    <s v="VILLARBASSE"/>
    <s v="TO"/>
    <n v="10090"/>
    <s v="IT"/>
    <m/>
    <m/>
    <m/>
    <m/>
    <m/>
    <m/>
    <m/>
  </r>
  <r>
    <s v="407-6906426-8210756"/>
    <m/>
    <s v="2024-01-23T12:48:04+00:00"/>
    <s v="2024-01-24T10:34:05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Milano"/>
    <s v="MI"/>
    <n v="20142"/>
    <s v="IT"/>
    <m/>
    <m/>
    <m/>
    <m/>
    <m/>
    <m/>
    <m/>
  </r>
  <r>
    <s v="405-0088473-9885102"/>
    <s v="405-0088473-9885102"/>
    <s v="2024-01-23T12:36:49+00:00"/>
    <s v="2024-01-23T18:20:4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FOGNANO"/>
    <s v="PT"/>
    <n v="51037"/>
    <s v="IT"/>
    <m/>
    <m/>
    <m/>
    <m/>
    <m/>
    <m/>
    <m/>
  </r>
  <r>
    <s v="402-2462351-4132311"/>
    <s v="402-2462351-4132311"/>
    <s v="2024-01-23T12:34:26+00:00"/>
    <s v="2024-01-24T13:25:4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MESSINA"/>
    <s v="Messina"/>
    <n v="98122"/>
    <s v="IT"/>
    <m/>
    <m/>
    <m/>
    <m/>
    <m/>
    <m/>
    <m/>
  </r>
  <r>
    <s v="402-1065088-6852305"/>
    <s v="402-1065088-6852305"/>
    <s v="2024-01-23T12:32:18+00:00"/>
    <s v="2024-01-23T18:24:5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ormigine"/>
    <s v="Modena"/>
    <n v="41043"/>
    <s v="IT"/>
    <m/>
    <m/>
    <m/>
    <m/>
    <m/>
    <m/>
    <m/>
  </r>
  <r>
    <s v="408-8559496-4480348"/>
    <s v="408-8559496-4480348"/>
    <s v="2024-01-23T12:19:15+00:00"/>
    <s v="2024-01-23T19:39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rignano"/>
    <s v="CE"/>
    <n v="81030"/>
    <s v="IT"/>
    <m/>
    <m/>
    <m/>
    <m/>
    <m/>
    <m/>
    <m/>
  </r>
  <r>
    <s v="171-8087482-7984365"/>
    <s v="171-8087482-7984365"/>
    <s v="2024-01-23T12:10:44+00:00"/>
    <s v="2024-01-23T18:20:32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Bagno a Ripoli"/>
    <s v="Fi"/>
    <n v="50012"/>
    <s v="IT"/>
    <m/>
    <m/>
    <m/>
    <m/>
    <m/>
    <m/>
    <m/>
  </r>
  <r>
    <s v="404-4450473-1265122"/>
    <s v="404-4450473-1265122"/>
    <s v="2024-01-23T12:08:38+00:00"/>
    <s v="2024-01-24T11:28:14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telvetrano"/>
    <s v="trapani"/>
    <n v="91022"/>
    <s v="IT"/>
    <m/>
    <m/>
    <m/>
    <m/>
    <m/>
    <m/>
    <m/>
  </r>
  <r>
    <s v="403-2406932-2815515"/>
    <s v="403-2406932-2815515"/>
    <s v="2024-01-23T11:39:16+00:00"/>
    <s v="2024-01-23T18:15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radoli"/>
    <s v="Viterbo"/>
    <n v="1010"/>
    <s v="IT"/>
    <m/>
    <m/>
    <m/>
    <m/>
    <m/>
    <m/>
    <m/>
  </r>
  <r>
    <s v="171-0955818-2297147"/>
    <s v="171-0955818-2297147"/>
    <s v="2024-01-23T11:38:09+00:00"/>
    <s v="2024-01-23T11:44:06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Roma"/>
    <s v="RM"/>
    <n v="183"/>
    <s v="IT"/>
    <m/>
    <m/>
    <m/>
    <m/>
    <m/>
    <m/>
    <m/>
  </r>
  <r>
    <s v="405-2131964-6496341"/>
    <s v="405-2131964-6496341"/>
    <s v="2024-01-23T11:05:43+00:00"/>
    <s v="2024-01-24T02:23:2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LATINA"/>
    <s v="LAZIO"/>
    <n v="4100"/>
    <s v="IT"/>
    <m/>
    <m/>
    <m/>
    <m/>
    <m/>
    <m/>
    <m/>
  </r>
  <r>
    <s v="407-3053898-1122766"/>
    <s v="407-3053898-1122766"/>
    <s v="2024-01-23T10:55:07+00:00"/>
    <s v="2024-01-23T21:21:21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n v="4.99"/>
    <n v="0.9"/>
    <m/>
    <m/>
    <m/>
    <m/>
    <s v="nocciano"/>
    <s v="Pescara"/>
    <n v="65010"/>
    <s v="IT"/>
    <m/>
    <m/>
    <m/>
    <m/>
    <m/>
    <m/>
    <m/>
  </r>
  <r>
    <s v="402-1280896-9228313"/>
    <s v="402-1280896-9228313"/>
    <s v="2024-01-23T10:27:58+00:00"/>
    <s v="2024-01-24T03:43:5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ssina"/>
    <s v="messina"/>
    <n v="98168"/>
    <s v="IT"/>
    <m/>
    <m/>
    <m/>
    <m/>
    <m/>
    <m/>
    <m/>
  </r>
  <r>
    <s v="403-5700788-8558747"/>
    <s v="403-5700788-8558747"/>
    <s v="2024-01-23T10:24:03+00:00"/>
    <s v="2024-01-23T18:16:2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m/>
    <n v="175"/>
    <s v="IT"/>
    <m/>
    <m/>
    <m/>
    <m/>
    <m/>
    <m/>
    <m/>
  </r>
  <r>
    <s v="171-7429994-9783552"/>
    <s v="171-7429994-9783552"/>
    <s v="2024-01-23T10:20:34+00:00"/>
    <s v="2024-01-25T17:27:2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ECINA MARINA"/>
    <s v="Livorno"/>
    <n v="57023"/>
    <s v="IT"/>
    <m/>
    <m/>
    <m/>
    <m/>
    <m/>
    <m/>
    <m/>
  </r>
  <r>
    <s v="403-1072057-0304359"/>
    <s v="403-1072057-0304359"/>
    <s v="2024-01-23T10:18:02+00:00"/>
    <s v="2024-01-23T20:26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onza"/>
    <s v="MB"/>
    <n v="20900"/>
    <s v="IT"/>
    <m/>
    <m/>
    <m/>
    <m/>
    <m/>
    <m/>
    <m/>
  </r>
  <r>
    <s v="171-5906619-0013113"/>
    <s v="171-5906619-0013113"/>
    <s v="2024-01-23T10:13:45+00:00"/>
    <s v="2024-01-23T20:19:25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Francavilla Fontana"/>
    <s v="BR"/>
    <n v="72021"/>
    <s v="IT"/>
    <m/>
    <m/>
    <m/>
    <m/>
    <m/>
    <m/>
    <m/>
  </r>
  <r>
    <s v="403-2923074-8653140"/>
    <s v="403-2923074-8653140"/>
    <s v="2024-01-23T10:07:56+00:00"/>
    <s v="2024-01-23T17:29:1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nversano"/>
    <s v="Bari"/>
    <n v="70014"/>
    <s v="IT"/>
    <m/>
    <m/>
    <m/>
    <m/>
    <m/>
    <m/>
    <m/>
  </r>
  <r>
    <s v="406-3391537-0848315"/>
    <m/>
    <s v="2024-01-23T09:55:04+00:00"/>
    <s v="2024-01-24T10:23:2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Urbisaglia"/>
    <s v="Macerata"/>
    <n v="62010"/>
    <s v="IT"/>
    <m/>
    <m/>
    <m/>
    <m/>
    <m/>
    <m/>
    <m/>
  </r>
  <r>
    <s v="404-7052392-2138703"/>
    <s v="404-7052392-2138703"/>
    <s v="2024-01-23T09:43:46+00:00"/>
    <s v="2024-01-24T01:58:1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RIESTE"/>
    <s v="TS"/>
    <n v="34126"/>
    <s v="IT"/>
    <m/>
    <m/>
    <m/>
    <m/>
    <m/>
    <m/>
    <m/>
  </r>
  <r>
    <s v="408-3113209-4719516"/>
    <m/>
    <s v="2024-01-23T09:42:44+00:00"/>
    <s v="2024-01-24T11:02:26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n v="3"/>
    <n v="0.54"/>
    <m/>
    <m/>
    <m/>
    <m/>
    <s v="Somma Lombardo"/>
    <s v="Varese"/>
    <n v="21019"/>
    <s v="IT"/>
    <m/>
    <m/>
    <m/>
    <m/>
    <m/>
    <m/>
    <m/>
  </r>
  <r>
    <s v="406-6224194-5940344"/>
    <s v="406-6224194-5940344"/>
    <s v="2024-01-23T09:40:38+00:00"/>
    <s v="2024-01-23T15:43:5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aleggio"/>
    <s v="BG"/>
    <n v="24010"/>
    <s v="IT"/>
    <m/>
    <m/>
    <m/>
    <m/>
    <m/>
    <m/>
    <m/>
  </r>
  <r>
    <s v="408-2162932-4137910"/>
    <s v="408-2162932-4137910"/>
    <s v="2024-01-23T09:33:44+00:00"/>
    <s v="2024-01-23T19:40:5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versa"/>
    <s v="Caserta"/>
    <n v="81031"/>
    <s v="IT"/>
    <m/>
    <m/>
    <m/>
    <m/>
    <m/>
    <m/>
    <m/>
  </r>
  <r>
    <s v="408-0538381-1392366"/>
    <m/>
    <s v="2024-01-23T09:28:29+00:00"/>
    <s v="2024-01-23T09:37:50+00:00"/>
    <s v="Cancell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m/>
    <n v="0"/>
    <m/>
    <m/>
    <m/>
    <m/>
    <m/>
    <m/>
    <m/>
    <m/>
    <m/>
    <s v="Somma Lombardo"/>
    <s v="Varese"/>
    <n v="21019"/>
    <s v="IT"/>
    <m/>
    <m/>
    <m/>
    <m/>
    <m/>
    <m/>
    <m/>
  </r>
  <r>
    <s v="405-0271623-8665122"/>
    <s v="405-0271623-8665122"/>
    <s v="2024-01-23T09:25:23+00:00"/>
    <s v="2024-01-23T20:26:2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ROMA"/>
    <s v="RM"/>
    <n v="132"/>
    <s v="IT"/>
    <m/>
    <m/>
    <m/>
    <m/>
    <m/>
    <m/>
    <m/>
  </r>
  <r>
    <s v="406-7481431-0209115"/>
    <s v="406-7481431-0209115"/>
    <s v="2024-01-23T08:56:14+00:00"/>
    <s v="2024-01-23T11:30:19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roma"/>
    <s v="roma"/>
    <n v="136"/>
    <s v="IT"/>
    <m/>
    <m/>
    <m/>
    <m/>
    <s v="IT14331451006"/>
    <s v="IT"/>
    <s v="VAT"/>
  </r>
  <r>
    <s v="404-1730331-5112312"/>
    <s v="404-1730331-5112312"/>
    <s v="2024-01-23T08:48:44+00:00"/>
    <s v="2024-01-28T08:51:55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Civitella Alfedena"/>
    <s v="L'Aquila"/>
    <n v="67030"/>
    <s v="IT"/>
    <m/>
    <m/>
    <m/>
    <m/>
    <m/>
    <m/>
    <m/>
  </r>
  <r>
    <s v="171-7341020-2079539"/>
    <s v="171-7341020-2079539"/>
    <s v="2024-01-23T08:33:34+00:00"/>
    <s v="2024-01-24T04:19:1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ntecchio Maggiore"/>
    <s v="Vicenza"/>
    <n v="36075"/>
    <s v="IT"/>
    <m/>
    <m/>
    <m/>
    <m/>
    <m/>
    <m/>
    <m/>
  </r>
  <r>
    <s v="405-0456483-0113914"/>
    <m/>
    <s v="2024-01-23T08:32:24+00:00"/>
    <s v="2024-01-24T11:02:2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Napoli"/>
    <s v="Napoli"/>
    <n v="80122"/>
    <s v="IT"/>
    <m/>
    <m/>
    <m/>
    <m/>
    <m/>
    <m/>
    <m/>
  </r>
  <r>
    <s v="402-2295289-1498737"/>
    <s v="402-2295289-1498737"/>
    <s v="2024-01-23T08:25:54+00:00"/>
    <s v="2024-01-23T16:14:26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RSICO"/>
    <s v="MI"/>
    <n v="20094"/>
    <s v="IT"/>
    <m/>
    <m/>
    <m/>
    <m/>
    <m/>
    <m/>
    <m/>
  </r>
  <r>
    <s v="406-4935832-9337967"/>
    <m/>
    <s v="2024-01-23T07:44:39+00:00"/>
    <s v="2024-01-26T20:12:01+00:00"/>
    <s v="Cancelled"/>
    <x v="1"/>
    <x v="3"/>
    <s v="WebsiteOrderChannel"/>
    <m/>
    <s v="Standard"/>
    <s v="Beper P203TFO001, Borsa acqua calda elettrica, ‎Nero, 7.5 x 25 x 16 cm"/>
    <s v="P203TFO001"/>
    <x v="14"/>
    <m/>
    <n v="0"/>
    <s v="EUR"/>
    <n v="18.77"/>
    <n v="4.13"/>
    <n v="3"/>
    <n v="0.54"/>
    <m/>
    <m/>
    <m/>
    <m/>
    <s v="Saluzzo"/>
    <s v="Cuneo"/>
    <n v="12037"/>
    <s v="IT"/>
    <m/>
    <m/>
    <m/>
    <m/>
    <m/>
    <m/>
    <m/>
  </r>
  <r>
    <s v="405-5567848-2296355"/>
    <s v="405-5567848-2296355"/>
    <s v="2024-01-23T07:37:35+00:00"/>
    <s v="2024-01-23T17:14:3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ucca"/>
    <s v="LU"/>
    <n v="55100"/>
    <s v="IT"/>
    <m/>
    <m/>
    <m/>
    <m/>
    <m/>
    <m/>
    <m/>
  </r>
  <r>
    <s v="171-7552150-5212359"/>
    <m/>
    <s v="2024-01-23T07:29:22+00:00"/>
    <s v="2024-01-24T10:23:2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ioltello"/>
    <s v="Milano"/>
    <n v="20096"/>
    <s v="IT"/>
    <m/>
    <m/>
    <m/>
    <m/>
    <m/>
    <m/>
    <m/>
  </r>
  <r>
    <s v="171-3532378-5696303"/>
    <s v="171-3532378-5696303"/>
    <s v="2024-01-23T07:27:04+00:00"/>
    <s v="2024-01-24T01:27:2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4"/>
    <m/>
    <m/>
    <m/>
    <m/>
    <n v="1.64"/>
    <s v="Assemini"/>
    <s v="Cagliari"/>
    <n v="9032"/>
    <s v="IT"/>
    <m/>
    <m/>
    <m/>
    <m/>
    <m/>
    <m/>
    <m/>
  </r>
  <r>
    <s v="404-1860685-6647533"/>
    <s v="404-1860685-6647533"/>
    <s v="2024-01-23T07:25:33+00:00"/>
    <s v="2024-01-23T21:21:17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orropoli"/>
    <s v="teramo"/>
    <n v="64013"/>
    <s v="IT"/>
    <m/>
    <m/>
    <m/>
    <m/>
    <m/>
    <m/>
    <m/>
  </r>
  <r>
    <s v="402-0904419-8424354"/>
    <s v="402-0904419-8424354"/>
    <s v="2024-01-23T07:22:50+00:00"/>
    <s v="2024-01-25T04:56:20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Muggiò"/>
    <s v="MB"/>
    <n v="20835"/>
    <s v="IT"/>
    <m/>
    <m/>
    <m/>
    <m/>
    <m/>
    <m/>
    <m/>
  </r>
  <r>
    <s v="407-6732111-9601949"/>
    <m/>
    <s v="2024-01-23T07:15:20+00:00"/>
    <s v="2024-01-24T09:53:24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4"/>
    <s v="EUR"/>
    <n v="119.6"/>
    <n v="21.56"/>
    <n v="12"/>
    <n v="2.16"/>
    <m/>
    <m/>
    <m/>
    <m/>
    <s v="Capri"/>
    <s v="Napoli"/>
    <n v="80073"/>
    <s v="IT"/>
    <m/>
    <m/>
    <m/>
    <m/>
    <s v="IT07631330631"/>
    <s v="IT"/>
    <s v="VAT"/>
  </r>
  <r>
    <s v="402-0334878-3626729"/>
    <s v="402-0334878-3626729"/>
    <s v="2024-01-23T07:02:20+00:00"/>
    <s v="2024-01-24T00:30:0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ARICCIA"/>
    <s v="RM"/>
    <n v="72"/>
    <s v="IT"/>
    <m/>
    <m/>
    <m/>
    <m/>
    <m/>
    <m/>
    <m/>
  </r>
  <r>
    <s v="403-6789249-1593956"/>
    <s v="403-6789249-1593956"/>
    <s v="2024-01-23T06:32:20+00:00"/>
    <s v="2024-01-23T20:09:25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Roma"/>
    <s v="RM"/>
    <n v="175"/>
    <s v="IT"/>
    <m/>
    <m/>
    <m/>
    <m/>
    <m/>
    <m/>
    <m/>
  </r>
  <r>
    <s v="404-3104662-8460345"/>
    <s v="404-3104662-8460345"/>
    <s v="2024-01-23T06:29:39+00:00"/>
    <s v="2024-01-23T20:16:59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assino"/>
    <s v="Frosinone"/>
    <n v="3043"/>
    <s v="IT"/>
    <m/>
    <m/>
    <m/>
    <m/>
    <m/>
    <m/>
    <m/>
  </r>
  <r>
    <s v="405-8788468-1788351"/>
    <m/>
    <s v="2024-01-23T06:18:09+00:00"/>
    <s v="2024-01-23T14:50:14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Romano di Lombardia"/>
    <s v="Bergamo"/>
    <n v="24058"/>
    <s v="IT"/>
    <m/>
    <m/>
    <m/>
    <m/>
    <m/>
    <m/>
    <m/>
  </r>
  <r>
    <s v="404-0545070-7723517"/>
    <s v="404-0545070-7723517"/>
    <s v="2024-01-23T05:55:03+00:00"/>
    <s v="2024-01-25T17:07:4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lbizzate"/>
    <s v="Varese"/>
    <n v="21041"/>
    <s v="IT"/>
    <m/>
    <m/>
    <m/>
    <m/>
    <m/>
    <m/>
    <m/>
  </r>
  <r>
    <s v="406-6727807-3502716"/>
    <m/>
    <s v="2024-01-23T03:10:36+00:00"/>
    <s v="2024-01-23T12:29:36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rivarolo canavese"/>
    <s v="Torino"/>
    <n v="10086"/>
    <s v="IT"/>
    <m/>
    <m/>
    <m/>
    <m/>
    <m/>
    <m/>
    <m/>
  </r>
  <r>
    <s v="406-9343110-1180365"/>
    <m/>
    <s v="2024-01-22T23:52:11+00:00"/>
    <s v="2024-01-24T13:39:54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Milano"/>
    <s v="Mi"/>
    <n v="20122"/>
    <s v="IT"/>
    <m/>
    <m/>
    <m/>
    <m/>
    <m/>
    <m/>
    <m/>
  </r>
  <r>
    <s v="171-5734211-9373103"/>
    <m/>
    <s v="2024-01-22T22:20:32+00:00"/>
    <s v="2024-01-23T12:29:3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ilano"/>
    <s v="Milano"/>
    <n v="20139"/>
    <s v="IT"/>
    <m/>
    <m/>
    <m/>
    <m/>
    <m/>
    <m/>
    <m/>
  </r>
  <r>
    <s v="404-5008710-6917917"/>
    <s v="404-5008710-6917917"/>
    <s v="2024-01-22T22:18:54+00:00"/>
    <s v="2024-01-23T05:44:3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versa"/>
    <s v="Caserta"/>
    <n v="81031"/>
    <s v="IT"/>
    <m/>
    <m/>
    <m/>
    <m/>
    <m/>
    <m/>
    <m/>
  </r>
  <r>
    <s v="405-6570912-9011554"/>
    <s v="405-6570912-9011554"/>
    <s v="2024-01-22T22:10:15+00:00"/>
    <s v="2024-01-24T18:08:53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Oderzo"/>
    <s v="Treviso"/>
    <n v="31046"/>
    <s v="IT"/>
    <m/>
    <m/>
    <m/>
    <m/>
    <m/>
    <m/>
    <m/>
  </r>
  <r>
    <s v="408-4502361-6402768"/>
    <s v="408-4502361-6402768"/>
    <s v="2024-01-22T21:57:29+00:00"/>
    <s v="2024-01-23T11:13:2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alermo"/>
    <s v="PA"/>
    <n v="90139"/>
    <s v="IT"/>
    <m/>
    <m/>
    <m/>
    <m/>
    <s v="CRSDVD93E25G273T"/>
    <s v="IT"/>
    <s v="CitizenId"/>
  </r>
  <r>
    <s v="403-6996341-3677123"/>
    <s v="403-6996341-3677123"/>
    <s v="2024-01-22T21:56:43+00:00"/>
    <s v="2024-01-23T02:20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ettuno"/>
    <s v="RM"/>
    <n v="48"/>
    <s v="IT"/>
    <m/>
    <m/>
    <m/>
    <m/>
    <m/>
    <m/>
    <m/>
  </r>
  <r>
    <s v="402-3384997-1007537"/>
    <m/>
    <s v="2024-01-22T21:36:27+00:00"/>
    <s v="2024-01-26T17:36:5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ARBIZZANO"/>
    <s v="VR"/>
    <n v="37024"/>
    <s v="IT"/>
    <m/>
    <m/>
    <m/>
    <m/>
    <m/>
    <m/>
    <m/>
  </r>
  <r>
    <s v="408-2069123-6429166"/>
    <s v="408-2069123-6429166"/>
    <s v="2024-01-22T21:33:06+00:00"/>
    <s v="2024-01-24T06:46:03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2-6239725-5590769"/>
    <s v="402-6239725-5590769"/>
    <s v="2024-01-22T21:31:20+00:00"/>
    <s v="2024-01-23T02:33:0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79"/>
    <s v="IT"/>
    <m/>
    <m/>
    <m/>
    <m/>
    <m/>
    <m/>
    <m/>
  </r>
  <r>
    <s v="406-2849477-4588369"/>
    <m/>
    <s v="2024-01-22T21:25:00+00:00"/>
    <s v="2024-01-24T11:21:1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olzate"/>
    <s v="Bergamo"/>
    <n v="24020"/>
    <s v="IT"/>
    <m/>
    <m/>
    <m/>
    <m/>
    <m/>
    <m/>
    <m/>
  </r>
  <r>
    <s v="405-7803250-2772362"/>
    <s v="405-7803250-2772362"/>
    <s v="2024-01-22T21:10:45+00:00"/>
    <s v="2024-01-24T11:25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2"/>
    <s v="EUR"/>
    <n v="69.8"/>
    <n v="12.58"/>
    <n v="0.49"/>
    <m/>
    <m/>
    <m/>
    <m/>
    <n v="0.49"/>
    <s v="Ortisei"/>
    <s v="BZ"/>
    <n v="39046"/>
    <s v="IT"/>
    <m/>
    <m/>
    <m/>
    <m/>
    <m/>
    <m/>
    <m/>
  </r>
  <r>
    <s v="408-5193587-0652344"/>
    <s v="408-5193587-0652344"/>
    <s v="2024-01-22T20:59:46+00:00"/>
    <s v="2024-01-23T15:49:3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erentino"/>
    <s v="Frosinone"/>
    <n v="3013"/>
    <s v="IT"/>
    <m/>
    <m/>
    <m/>
    <m/>
    <m/>
    <m/>
    <m/>
  </r>
  <r>
    <s v="407-7704827-0287557"/>
    <s v="407-7704827-0287557"/>
    <s v="2024-01-22T20:50:39+00:00"/>
    <s v="2024-01-23T02:34:17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Roma"/>
    <s v="Italia roma lazio"/>
    <n v="162"/>
    <s v="IT"/>
    <m/>
    <m/>
    <m/>
    <m/>
    <m/>
    <m/>
    <m/>
  </r>
  <r>
    <s v="408-1657644-7479550"/>
    <s v="408-1657644-7479550"/>
    <s v="2024-01-22T20:47:33+00:00"/>
    <s v="2024-01-23T12:41:18+00:00"/>
    <s v="Cancell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Cancelled"/>
    <n v="0"/>
    <m/>
    <m/>
    <m/>
    <m/>
    <m/>
    <m/>
    <m/>
    <m/>
    <m/>
    <s v="Milano"/>
    <m/>
    <n v="20124"/>
    <s v="IT"/>
    <m/>
    <m/>
    <m/>
    <m/>
    <m/>
    <m/>
    <m/>
  </r>
  <r>
    <s v="408-6561701-9545141"/>
    <m/>
    <s v="2024-01-22T20:40:19+00:00"/>
    <s v="2024-01-23T12:29:36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Adrano"/>
    <s v="Catania"/>
    <n v="95031"/>
    <s v="IT"/>
    <m/>
    <m/>
    <m/>
    <m/>
    <m/>
    <m/>
    <m/>
  </r>
  <r>
    <s v="405-3234498-6677133"/>
    <s v="405-3234498-6677133"/>
    <s v="2024-01-22T20:14:02+00:00"/>
    <s v="2024-01-23T01:45:09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Opera"/>
    <s v="MI"/>
    <n v="20073"/>
    <s v="IT"/>
    <m/>
    <m/>
    <m/>
    <m/>
    <m/>
    <m/>
    <m/>
  </r>
  <r>
    <s v="402-8002245-2647529"/>
    <s v="402-8002245-2647529"/>
    <s v="2024-01-22T20:10:54+00:00"/>
    <s v="2024-01-23T19:37:0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Padova"/>
    <s v="PD"/>
    <n v="35143"/>
    <s v="IT"/>
    <m/>
    <m/>
    <m/>
    <m/>
    <m/>
    <m/>
    <m/>
  </r>
  <r>
    <s v="407-2384073-6768302"/>
    <s v="407-2384073-6768302"/>
    <s v="2024-01-22T19:50:20+00:00"/>
    <s v="2024-01-23T16:33:5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rgo Hermada"/>
    <s v="Latina"/>
    <n v="4019"/>
    <s v="IT"/>
    <m/>
    <m/>
    <m/>
    <m/>
    <m/>
    <m/>
    <m/>
  </r>
  <r>
    <s v="406-8197271-1458702"/>
    <s v="406-8197271-1458702"/>
    <s v="2024-01-22T19:43:35+00:00"/>
    <s v="2024-01-23T01:22:4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ssone"/>
    <s v="Monza e Brianza"/>
    <n v="20851"/>
    <s v="IT"/>
    <m/>
    <m/>
    <m/>
    <m/>
    <m/>
    <m/>
    <m/>
  </r>
  <r>
    <s v="408-1188708-5390747"/>
    <s v="408-1188708-5390747"/>
    <s v="2024-01-22T19:31:49+00:00"/>
    <s v="2024-01-22T22:26:21+00:00"/>
    <s v="Shipped"/>
    <x v="0"/>
    <x v="3"/>
    <m/>
    <s v="http://www.amazon.it"/>
    <s v="Standard"/>
    <s v="Beper Friggitrice elettrica P101FRI100 1 L, 950 W, cestello in acciaio rimovibile, coperchio con oblò, filtro rimovibile lavabile, temperatura regola"/>
    <s v="P101FRI100_FBA"/>
    <x v="20"/>
    <s v="Shipped"/>
    <n v="1"/>
    <s v="EUR"/>
    <n v="39.9"/>
    <n v="7.2"/>
    <m/>
    <m/>
    <m/>
    <m/>
    <m/>
    <m/>
    <s v="San Bellino (Rovigo)"/>
    <s v="Italy"/>
    <n v="45020"/>
    <s v="IT"/>
    <s v="Free Shipping 2017/03/07 18-55-47-776"/>
    <m/>
    <m/>
    <m/>
    <m/>
    <m/>
    <m/>
  </r>
  <r>
    <s v="405-4244634-0233112"/>
    <s v="405-4244634-0233112"/>
    <s v="2024-01-22T19:28:22+00:00"/>
    <s v="2024-01-25T08:44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3"/>
    <m/>
    <m/>
    <m/>
    <m/>
    <n v="1.63"/>
    <s v="Catania"/>
    <s v="CT"/>
    <n v="95124"/>
    <s v="IT"/>
    <m/>
    <m/>
    <m/>
    <m/>
    <m/>
    <m/>
    <m/>
  </r>
  <r>
    <s v="403-9491972-7809920"/>
    <m/>
    <s v="2024-01-22T19:25:30+00:00"/>
    <s v="2024-01-23T15:41:0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candicci"/>
    <s v="Firenze"/>
    <n v="50018"/>
    <s v="IT"/>
    <m/>
    <m/>
    <m/>
    <m/>
    <m/>
    <m/>
    <m/>
  </r>
  <r>
    <s v="406-7924688-7024344"/>
    <m/>
    <s v="2024-01-22T19:24:29+00:00"/>
    <s v="2024-01-23T13:08:38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Udine"/>
    <s v="Udine"/>
    <n v="33100"/>
    <s v="IT"/>
    <m/>
    <m/>
    <m/>
    <m/>
    <m/>
    <m/>
    <m/>
  </r>
  <r>
    <s v="403-3229907-7792300"/>
    <m/>
    <s v="2024-01-22T19:19:25+00:00"/>
    <s v="2024-01-23T12:11:3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orgono"/>
    <s v="NU"/>
    <n v="8038"/>
    <s v="IT"/>
    <m/>
    <m/>
    <m/>
    <m/>
    <m/>
    <m/>
    <m/>
  </r>
  <r>
    <s v="405-0833952-3327537"/>
    <m/>
    <s v="2024-01-22T19:09:42+00:00"/>
    <s v="2024-01-23T18:10:56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Bregnano"/>
    <s v="CO"/>
    <n v="22070"/>
    <s v="IT"/>
    <m/>
    <m/>
    <m/>
    <m/>
    <m/>
    <m/>
    <m/>
  </r>
  <r>
    <s v="405-2993902-3261925"/>
    <s v="405-2993902-3261925"/>
    <s v="2024-01-22T19:07:04+00:00"/>
    <s v="2024-01-23T02:33:1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56"/>
    <s v="IT"/>
    <m/>
    <m/>
    <m/>
    <m/>
    <m/>
    <m/>
    <m/>
  </r>
  <r>
    <s v="403-5054173-7206736"/>
    <s v="403-5054173-7206736"/>
    <s v="2024-01-22T18:57:49+00:00"/>
    <s v="2024-01-23T16:31:4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arzo"/>
    <s v="VB"/>
    <n v="28868"/>
    <s v="IT"/>
    <m/>
    <m/>
    <m/>
    <m/>
    <m/>
    <m/>
    <m/>
  </r>
  <r>
    <s v="407-1272994-2565952"/>
    <m/>
    <s v="2024-01-22T18:53:31+00:00"/>
    <s v="2024-01-23T13:08:3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andello del Lario"/>
    <s v="Lecco"/>
    <n v="23826"/>
    <s v="IT"/>
    <m/>
    <m/>
    <m/>
    <m/>
    <m/>
    <m/>
    <m/>
  </r>
  <r>
    <s v="408-2863809-7733128"/>
    <m/>
    <s v="2024-01-22T18:36:42+00:00"/>
    <s v="2024-01-23T11:59:3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olloredo di Monte Albano"/>
    <s v="Udine"/>
    <n v="33010"/>
    <s v="IT"/>
    <m/>
    <m/>
    <m/>
    <m/>
    <n v="2800690303"/>
    <s v="IT"/>
    <s v="VAT"/>
  </r>
  <r>
    <s v="171-8924810-8037960"/>
    <m/>
    <s v="2024-01-22T18:32:30+00:00"/>
    <s v="2024-01-24T22:36:53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Roma"/>
    <s v="RM"/>
    <n v="152"/>
    <s v="IT"/>
    <m/>
    <m/>
    <m/>
    <m/>
    <m/>
    <m/>
    <m/>
  </r>
  <r>
    <s v="406-6386928-6089139"/>
    <m/>
    <s v="2024-01-22T18:26:34+00:00"/>
    <s v="2024-01-23T12:51:12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Giussano"/>
    <s v="Monza e Brianza"/>
    <n v="20833"/>
    <s v="IT"/>
    <m/>
    <m/>
    <m/>
    <m/>
    <m/>
    <m/>
    <m/>
  </r>
  <r>
    <s v="403-7685914-1906703"/>
    <s v="403-7685914-1906703"/>
    <s v="2024-01-22T18:18:02+00:00"/>
    <s v="2024-01-23T00:39:07+00:00"/>
    <s v="Cancell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Cancelled"/>
    <n v="0"/>
    <m/>
    <m/>
    <m/>
    <m/>
    <m/>
    <m/>
    <m/>
    <m/>
    <m/>
    <s v="Campagna Lupia"/>
    <s v="Venezia"/>
    <n v="30010"/>
    <s v="IT"/>
    <m/>
    <m/>
    <m/>
    <m/>
    <m/>
    <m/>
    <m/>
  </r>
  <r>
    <s v="403-7594157-3477916"/>
    <s v="403-7594157-3477916"/>
    <s v="2024-01-22T18:11:40+00:00"/>
    <s v="2024-01-23T11:29:4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86"/>
    <s v="IT"/>
    <m/>
    <m/>
    <m/>
    <m/>
    <m/>
    <m/>
    <m/>
  </r>
  <r>
    <s v="408-7028512-6928311"/>
    <s v="408-7028512-6928311"/>
    <s v="2024-01-22T17:56:47+00:00"/>
    <s v="2024-01-24T15:53:3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ntenure"/>
    <s v="Piacenza"/>
    <n v="29010"/>
    <s v="IT"/>
    <m/>
    <m/>
    <m/>
    <m/>
    <m/>
    <m/>
    <m/>
  </r>
  <r>
    <s v="408-7466814-8829166"/>
    <m/>
    <s v="2024-01-22T17:51:20+00:00"/>
    <s v="2024-01-23T12:29:3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Torino"/>
    <s v="Torino"/>
    <n v="10134"/>
    <s v="IT"/>
    <m/>
    <m/>
    <m/>
    <m/>
    <m/>
    <m/>
    <m/>
  </r>
  <r>
    <s v="402-8645845-9809131"/>
    <s v="402-8645845-9809131"/>
    <s v="2024-01-22T17:51:03+00:00"/>
    <s v="2024-01-25T20:42:52+00:00"/>
    <s v="Shipped"/>
    <x v="0"/>
    <x v="3"/>
    <m/>
    <m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Genova"/>
    <s v="Genova"/>
    <n v="16149"/>
    <s v="IT"/>
    <m/>
    <m/>
    <m/>
    <m/>
    <s v="IT10111831003"/>
    <s v="IT"/>
    <s v="VAT"/>
  </r>
  <r>
    <s v="404-9830623-7577949"/>
    <s v="404-9830623-7577949"/>
    <s v="2024-01-22T17:50:34+00:00"/>
    <s v="2024-01-25T18:37:2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cchio"/>
    <s v="Firenze"/>
    <n v="50039"/>
    <s v="IT"/>
    <m/>
    <m/>
    <m/>
    <m/>
    <m/>
    <m/>
    <m/>
  </r>
  <r>
    <s v="171-3699037-1365926"/>
    <s v="171-3699037-1365926"/>
    <s v="2024-01-22T17:45:30+00:00"/>
    <s v="2024-01-23T20:58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nighina"/>
    <s v="Fc"/>
    <n v="47032"/>
    <s v="IT"/>
    <m/>
    <m/>
    <m/>
    <m/>
    <s v="CRZMSS91S49C573T"/>
    <s v="IT"/>
    <s v="CitizenId"/>
  </r>
  <r>
    <s v="404-9827816-3491500"/>
    <m/>
    <s v="2024-01-22T17:42:50+00:00"/>
    <s v="2024-01-23T13:08:3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eggio emilia"/>
    <s v="Reggio Emilia"/>
    <n v="42124"/>
    <s v="IT"/>
    <m/>
    <m/>
    <m/>
    <m/>
    <m/>
    <m/>
    <m/>
  </r>
  <r>
    <s v="408-5938029-3215563"/>
    <s v="408-5938029-3215563"/>
    <s v="2024-01-22T17:11:27+00:00"/>
    <s v="2024-01-23T02:51:13+00:00"/>
    <s v="Shipped"/>
    <x v="0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7-4587374-9654758"/>
    <s v="407-4587374-9654758"/>
    <s v="2024-01-22T16:54:30+00:00"/>
    <s v="2024-01-23T01:21:4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CHIANNO"/>
    <s v="Varese"/>
    <n v="21045"/>
    <s v="IT"/>
    <m/>
    <m/>
    <m/>
    <m/>
    <m/>
    <m/>
    <m/>
  </r>
  <r>
    <s v="402-5217367-9896306"/>
    <s v="402-5217367-9896306"/>
    <s v="2024-01-22T16:51:50+00:00"/>
    <s v="2024-01-24T16:27:35+00:00"/>
    <s v="Shipped"/>
    <x v="0"/>
    <x v="3"/>
    <m/>
    <m/>
    <s v="Expedited"/>
    <s v="BEPER 40.490 Asciugacapelli Da Parete 2000 W - Phon da Parete con Cavo Lungo 2 Metri"/>
    <s v="40.490_FBA"/>
    <x v="26"/>
    <s v="Shipped"/>
    <n v="5"/>
    <s v="EUR"/>
    <n v="149.5"/>
    <n v="26.95"/>
    <m/>
    <m/>
    <m/>
    <m/>
    <m/>
    <m/>
    <s v="Camino al Tagliamento"/>
    <s v="Udine"/>
    <n v="33030"/>
    <s v="IT"/>
    <m/>
    <m/>
    <m/>
    <m/>
    <s v="IT02039640301"/>
    <s v="IT"/>
    <s v="VAT"/>
  </r>
  <r>
    <s v="408-1739197-3717118"/>
    <s v="408-1739197-3717118"/>
    <s v="2024-01-22T15:42:52+00:00"/>
    <s v="2024-01-23T00:51:15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6-4299789-2543531"/>
    <s v="406-4299789-2543531"/>
    <s v="2024-01-22T14:57:34+00:00"/>
    <s v="2024-01-25T01:29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0.82"/>
    <m/>
    <m/>
    <m/>
    <m/>
    <n v="0.82"/>
    <s v="bannia-fiume veneto"/>
    <s v="PORDENONE"/>
    <n v="33080"/>
    <s v="IT"/>
    <m/>
    <m/>
    <m/>
    <m/>
    <m/>
    <m/>
    <m/>
  </r>
  <r>
    <s v="171-8276123-5023561"/>
    <m/>
    <s v="2024-01-22T14:41:22+00:00"/>
    <s v="2024-01-23T12:29:3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arini"/>
    <s v="Palermo"/>
    <n v="90044"/>
    <s v="IT"/>
    <m/>
    <m/>
    <m/>
    <m/>
    <m/>
    <m/>
    <m/>
  </r>
  <r>
    <s v="406-0441422-2633968"/>
    <m/>
    <s v="2024-01-22T14:31:46+00:00"/>
    <s v="2024-01-23T12:29:3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AN CATALDO"/>
    <s v="Caltanissetta"/>
    <n v="93017"/>
    <s v="IT"/>
    <m/>
    <m/>
    <m/>
    <m/>
    <m/>
    <m/>
    <m/>
  </r>
  <r>
    <s v="405-9713189-5801921"/>
    <s v="405-9713189-5801921"/>
    <s v="2024-01-22T14:15:46+00:00"/>
    <s v="2024-01-27T14:18:58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FESTIONA"/>
    <s v="Cuneo"/>
    <n v="12014"/>
    <s v="IT"/>
    <m/>
    <m/>
    <m/>
    <m/>
    <m/>
    <m/>
    <m/>
  </r>
  <r>
    <s v="408-8757702-3550768"/>
    <m/>
    <s v="2024-01-22T14:04:31+00:00"/>
    <s v="2024-01-22T14:28:11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SAN VITO AL TAGLIAMENTO"/>
    <s v="PN"/>
    <n v="33078"/>
    <s v="IT"/>
    <m/>
    <m/>
    <m/>
    <m/>
    <m/>
    <m/>
    <m/>
  </r>
  <r>
    <s v="405-7625884-9654744"/>
    <m/>
    <s v="2024-01-22T13:39:47+00:00"/>
    <s v="2024-01-23T13:08:38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Borgio Verezzi"/>
    <s v="SV"/>
    <n v="17022"/>
    <s v="IT"/>
    <m/>
    <m/>
    <m/>
    <m/>
    <m/>
    <m/>
    <m/>
  </r>
  <r>
    <s v="171-7021050-2308367"/>
    <s v="171-7021050-2308367"/>
    <s v="2024-01-22T13:38:06+00:00"/>
    <s v="2024-01-23T22:13:1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ama"/>
    <s v="Pg"/>
    <n v="6016"/>
    <s v="IT"/>
    <m/>
    <m/>
    <m/>
    <m/>
    <m/>
    <m/>
    <m/>
  </r>
  <r>
    <s v="403-3285125-6323500"/>
    <m/>
    <s v="2024-01-22T13:37:16+00:00"/>
    <s v="2024-01-23T13:09:50+00:00"/>
    <s v="Shipped"/>
    <x v="1"/>
    <x v="3"/>
    <s v="WebsiteOrderChannel"/>
    <m/>
    <s v="Standard"/>
    <s v="BEPER 90.825 Fornello Elettrico in Acciaio Inossidabile con 5 Livelli di Potenza - Fornello Elettrico 2 Piastre"/>
    <n v="90825"/>
    <x v="23"/>
    <s v="Shipped"/>
    <n v="1"/>
    <s v="EUR"/>
    <n v="46.9"/>
    <n v="8.4600000000000009"/>
    <n v="3"/>
    <n v="0.54"/>
    <m/>
    <m/>
    <m/>
    <m/>
    <s v="Sarteano"/>
    <s v="Siena"/>
    <n v="53047"/>
    <s v="IT"/>
    <m/>
    <m/>
    <m/>
    <m/>
    <m/>
    <m/>
    <m/>
  </r>
  <r>
    <s v="402-8332833-5444367"/>
    <m/>
    <s v="2024-01-22T13:35:58+00:00"/>
    <s v="2024-01-25T02:40:27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Sedico"/>
    <s v="Belluno"/>
    <n v="32036"/>
    <s v="IT"/>
    <m/>
    <m/>
    <m/>
    <m/>
    <m/>
    <m/>
    <m/>
  </r>
  <r>
    <s v="408-4545150-6201957"/>
    <s v="408-4545150-6201957"/>
    <s v="2024-01-22T13:23:23+00:00"/>
    <s v="2024-01-23T20:49:4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2.5"/>
    <n v="0.45"/>
    <m/>
    <m/>
    <m/>
    <m/>
    <s v="Rimini"/>
    <s v="Rimini"/>
    <n v="47921"/>
    <s v="IT"/>
    <m/>
    <m/>
    <m/>
    <m/>
    <m/>
    <m/>
    <m/>
  </r>
  <r>
    <s v="404-0646460-6855518"/>
    <s v="404-0646460-6855518"/>
    <s v="2024-01-22T13:09:38+00:00"/>
    <s v="2024-01-22T15:55:22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SANNAZZARO DE' BURGONDI"/>
    <s v="Pavia"/>
    <n v="27039"/>
    <s v="IT"/>
    <m/>
    <m/>
    <m/>
    <m/>
    <m/>
    <m/>
    <m/>
  </r>
  <r>
    <s v="408-3043129-2469133"/>
    <s v="408-3043129-2469133"/>
    <s v="2024-01-22T13:07:53+00:00"/>
    <s v="2024-01-22T18:15:03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BITONTO"/>
    <m/>
    <n v="70032"/>
    <s v="IT"/>
    <m/>
    <m/>
    <m/>
    <m/>
    <m/>
    <m/>
    <m/>
  </r>
  <r>
    <s v="403-2391773-4862756"/>
    <s v="403-2391773-4862756"/>
    <s v="2024-01-22T12:59:24+00:00"/>
    <s v="2024-01-22T19:08:5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39"/>
    <n v="0.25"/>
    <m/>
    <m/>
    <m/>
    <m/>
    <s v="Castelnuovo del Garda"/>
    <s v="Verona"/>
    <n v="37014"/>
    <s v="IT"/>
    <m/>
    <m/>
    <m/>
    <m/>
    <m/>
    <m/>
    <m/>
  </r>
  <r>
    <s v="408-3929715-3220356"/>
    <s v="408-3929715-3220356"/>
    <s v="2024-01-22T12:46:59+00:00"/>
    <s v="2024-01-22T20:29:0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idanna"/>
    <s v="Bolzano"/>
    <n v="39040"/>
    <s v="IT"/>
    <m/>
    <m/>
    <m/>
    <m/>
    <m/>
    <m/>
    <m/>
  </r>
  <r>
    <s v="403-2036784-2530728"/>
    <m/>
    <s v="2024-01-22T12:44:39+00:00"/>
    <s v="2024-01-23T12:29:39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pomigliano D'Arco"/>
    <s v="Napoli"/>
    <n v="80038"/>
    <s v="IT"/>
    <m/>
    <m/>
    <m/>
    <m/>
    <m/>
    <m/>
    <m/>
  </r>
  <r>
    <s v="403-3075852-1491518"/>
    <m/>
    <s v="2024-01-22T12:17:22+00:00"/>
    <s v="2024-01-25T02:45:5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Val della Torre"/>
    <s v="Torino"/>
    <n v="10040"/>
    <s v="IT"/>
    <m/>
    <m/>
    <m/>
    <m/>
    <m/>
    <m/>
    <m/>
  </r>
  <r>
    <s v="171-0748939-9383536"/>
    <m/>
    <s v="2024-01-22T12:06:23+00:00"/>
    <s v="2024-01-23T12:04:2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Agrate Conturbia"/>
    <s v="No"/>
    <n v="28010"/>
    <s v="IT"/>
    <m/>
    <m/>
    <m/>
    <m/>
    <n v="1322460799"/>
    <s v="IT"/>
    <s v="VAT"/>
  </r>
  <r>
    <s v="408-1267323-9542725"/>
    <s v="408-1267323-9542725"/>
    <s v="2024-01-22T11:37:20+00:00"/>
    <s v="2024-01-23T08:55:3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n v="3.27"/>
    <m/>
    <m/>
    <m/>
    <m/>
    <n v="3.27"/>
    <s v="GUALDO"/>
    <s v="TR"/>
    <n v="5035"/>
    <s v="IT"/>
    <m/>
    <m/>
    <m/>
    <m/>
    <m/>
    <m/>
    <m/>
  </r>
  <r>
    <s v="171-5938752-0814741"/>
    <s v="171-5938752-0814741"/>
    <s v="2024-01-22T11:08:45+00:00"/>
    <s v="2024-01-22T11:58:22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onteveglio"/>
    <s v="Bologna"/>
    <n v="40050"/>
    <s v="IT"/>
    <m/>
    <m/>
    <m/>
    <m/>
    <m/>
    <m/>
    <m/>
  </r>
  <r>
    <s v="404-4235882-0612337"/>
    <s v="404-4235882-0612337"/>
    <s v="2024-01-22T11:07:37+00:00"/>
    <s v="2024-01-22T15:50:5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ozzuoli"/>
    <s v="Napoli"/>
    <n v="80078"/>
    <s v="IT"/>
    <m/>
    <m/>
    <m/>
    <m/>
    <m/>
    <m/>
    <m/>
  </r>
  <r>
    <s v="408-1400831-9685120"/>
    <s v="408-1400831-9685120"/>
    <s v="2024-01-22T10:55:33+00:00"/>
    <s v="2024-01-22T19:46:47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Milano"/>
    <s v="MI"/>
    <n v="20121"/>
    <s v="IT"/>
    <m/>
    <m/>
    <m/>
    <m/>
    <m/>
    <m/>
    <m/>
  </r>
  <r>
    <s v="403-1106726-7942708"/>
    <s v="403-1106726-7942708"/>
    <s v="2024-01-22T10:24:20+00:00"/>
    <s v="2024-01-22T18:02:5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za"/>
    <s v="MB"/>
    <n v="20900"/>
    <s v="IT"/>
    <m/>
    <m/>
    <m/>
    <m/>
    <m/>
    <m/>
    <m/>
  </r>
  <r>
    <s v="404-4395168-1057134"/>
    <m/>
    <s v="2024-01-22T10:11:46+00:00"/>
    <s v="2024-01-23T13:08:4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Bologna"/>
    <s v="Bologna"/>
    <n v="40131"/>
    <s v="IT"/>
    <m/>
    <m/>
    <m/>
    <m/>
    <m/>
    <m/>
    <m/>
  </r>
  <r>
    <s v="402-3547008-1189908"/>
    <s v="402-3547008-1189908"/>
    <s v="2024-01-22T10:05:16+00:00"/>
    <s v="2024-01-22T15:54:2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usto Arsizio"/>
    <s v="Varese"/>
    <n v="21052"/>
    <s v="IT"/>
    <m/>
    <m/>
    <m/>
    <m/>
    <m/>
    <m/>
    <m/>
  </r>
  <r>
    <s v="408-5280188-0900330"/>
    <s v="408-5280188-0900330"/>
    <s v="2024-01-22T10:02:03+00:00"/>
    <s v="2024-01-24T01:27:44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5281983-7782737"/>
    <m/>
    <s v="2024-01-22T09:54:34+00:00"/>
    <s v="2024-01-23T12:00:42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Romano d'Ezzelino"/>
    <s v="Vicenza"/>
    <n v="36060"/>
    <s v="IT"/>
    <m/>
    <m/>
    <m/>
    <m/>
    <s v="IT03275690240"/>
    <s v="IT"/>
    <s v="VAT"/>
  </r>
  <r>
    <s v="405-4292576-0943542"/>
    <m/>
    <s v="2024-01-22T09:36:23+00:00"/>
    <s v="2024-01-23T12:29:3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Cologno Monzese"/>
    <s v="Milano"/>
    <n v="20093"/>
    <s v="IT"/>
    <m/>
    <m/>
    <m/>
    <m/>
    <m/>
    <m/>
    <m/>
  </r>
  <r>
    <s v="406-8659592-7752357"/>
    <s v="406-8659592-7752357"/>
    <s v="2024-01-22T09:20:34+00:00"/>
    <s v="2024-01-22T12:49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lfetta"/>
    <s v="Bari"/>
    <n v="70056"/>
    <s v="IT"/>
    <m/>
    <m/>
    <m/>
    <m/>
    <m/>
    <m/>
    <m/>
  </r>
  <r>
    <s v="402-0226719-4006762"/>
    <s v="402-0226719-4006762"/>
    <s v="2024-01-22T09:20:06+00:00"/>
    <s v="2024-01-22T13:32:59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MONIEGO"/>
    <s v="Venezia"/>
    <n v="30033"/>
    <s v="IT"/>
    <m/>
    <m/>
    <m/>
    <m/>
    <m/>
    <m/>
    <m/>
  </r>
  <r>
    <s v="406-8957695-6712330"/>
    <m/>
    <s v="2024-01-22T09:04:01+00:00"/>
    <s v="2024-01-23T13:08:38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Procida"/>
    <s v="Napoli"/>
    <n v="80079"/>
    <s v="IT"/>
    <m/>
    <m/>
    <m/>
    <m/>
    <m/>
    <m/>
    <m/>
  </r>
  <r>
    <s v="406-8090746-9973921"/>
    <m/>
    <s v="2024-01-22T09:03:08+00:00"/>
    <s v="2024-01-23T13:09:46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Napoli"/>
    <s v="NA"/>
    <n v="80121"/>
    <s v="IT"/>
    <m/>
    <m/>
    <m/>
    <m/>
    <m/>
    <m/>
    <m/>
  </r>
  <r>
    <s v="403-2921813-8972353"/>
    <m/>
    <s v="2024-01-22T09:00:19+00:00"/>
    <s v="2024-01-23T12:10:01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Carmignano di Brenta"/>
    <s v="Padova"/>
    <n v="35010"/>
    <s v="IT"/>
    <m/>
    <m/>
    <m/>
    <m/>
    <s v="IT05259080280"/>
    <s v="IT"/>
    <s v="VAT"/>
  </r>
  <r>
    <s v="171-6322500-6484318"/>
    <s v="171-6322500-6484318"/>
    <s v="2024-01-22T08:44:28+00:00"/>
    <s v="2024-01-27T08:52:54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NARDO'"/>
    <s v="Lecce"/>
    <n v="73048"/>
    <s v="IT"/>
    <m/>
    <m/>
    <m/>
    <m/>
    <m/>
    <m/>
    <m/>
  </r>
  <r>
    <s v="404-7984021-4196343"/>
    <s v="404-7984021-4196343"/>
    <s v="2024-01-22T08:37:12+00:00"/>
    <s v="2024-01-24T16:43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0.81"/>
    <m/>
    <m/>
    <m/>
    <m/>
    <n v="0.81"/>
    <s v="Montecorvino Rovella"/>
    <s v="Salerno"/>
    <n v="84096"/>
    <s v="IT"/>
    <m/>
    <m/>
    <m/>
    <m/>
    <m/>
    <m/>
    <m/>
  </r>
  <r>
    <s v="405-0160664-7994711"/>
    <m/>
    <s v="2024-01-22T07:49:49+00:00"/>
    <s v="2024-01-23T12:40:0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UGGIO'"/>
    <s v="Monza e Brianza"/>
    <n v="20835"/>
    <s v="IT"/>
    <m/>
    <m/>
    <m/>
    <m/>
    <m/>
    <m/>
    <m/>
  </r>
  <r>
    <s v="171-6407200-5965904"/>
    <s v="171-6407200-5965904"/>
    <s v="2024-01-22T07:23:05+00:00"/>
    <s v="2024-02-12T23:34:04+00:00"/>
    <s v="Shipped"/>
    <x v="0"/>
    <x v="3"/>
    <m/>
    <m/>
    <s v="Expedited"/>
    <s v="BEPER 40.490 Asciugacapelli Da Parete 2000 W - Phon da Parete con Cavo Lungo 2 Metri"/>
    <s v="40.490_FBA"/>
    <x v="26"/>
    <s v="Shipped"/>
    <n v="2"/>
    <s v="EUR"/>
    <n v="59.8"/>
    <n v="10.78"/>
    <m/>
    <m/>
    <m/>
    <m/>
    <m/>
    <m/>
    <s v="Piacenza"/>
    <s v="PC"/>
    <n v="29122"/>
    <s v="IT"/>
    <m/>
    <m/>
    <m/>
    <m/>
    <m/>
    <m/>
    <m/>
  </r>
  <r>
    <s v="403-3364334-7182727"/>
    <m/>
    <s v="2024-01-22T07:08:31+00:00"/>
    <s v="2024-01-23T13:08:4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oma"/>
    <s v="Roma"/>
    <n v="148"/>
    <s v="IT"/>
    <m/>
    <m/>
    <m/>
    <m/>
    <m/>
    <m/>
    <m/>
  </r>
  <r>
    <s v="404-1156426-1561109"/>
    <m/>
    <s v="2024-01-21T23:48:57+00:00"/>
    <s v="2024-01-24T09:53:3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anta maria in prato"/>
    <s v="Milano"/>
    <n v="20070"/>
    <s v="IT"/>
    <m/>
    <m/>
    <m/>
    <m/>
    <m/>
    <m/>
    <m/>
  </r>
  <r>
    <s v="403-5065845-9492328"/>
    <m/>
    <s v="2024-01-21T22:57:19+00:00"/>
    <s v="2024-01-22T16:00:4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ontelupone"/>
    <s v="Macerata"/>
    <n v="62010"/>
    <s v="IT"/>
    <m/>
    <m/>
    <m/>
    <m/>
    <m/>
    <m/>
    <m/>
  </r>
  <r>
    <s v="407-2293155-8844311"/>
    <m/>
    <s v="2024-01-21T22:38:14+00:00"/>
    <s v="2024-01-22T15:50:3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AN MAURO A MARE"/>
    <s v="Forlì-Cesena"/>
    <n v="47030"/>
    <s v="IT"/>
    <m/>
    <m/>
    <m/>
    <m/>
    <m/>
    <m/>
    <m/>
  </r>
  <r>
    <s v="402-5330656-1136344"/>
    <m/>
    <s v="2024-01-21T22:14:32+00:00"/>
    <s v="2024-01-22T15:50:3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alvenzano"/>
    <s v="BG"/>
    <n v="24040"/>
    <s v="IT"/>
    <m/>
    <m/>
    <m/>
    <m/>
    <m/>
    <m/>
    <m/>
  </r>
  <r>
    <s v="171-8245057-1845919"/>
    <m/>
    <s v="2024-01-21T21:51:22+00:00"/>
    <s v="2024-01-23T07:49:52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assemini"/>
    <s v="Cagliari"/>
    <n v="9032"/>
    <s v="IT"/>
    <m/>
    <m/>
    <m/>
    <m/>
    <s v="IT00529220923"/>
    <s v="IT"/>
    <s v="VAT"/>
  </r>
  <r>
    <s v="408-7111136-5469128"/>
    <s v="408-7111136-5469128"/>
    <s v="2024-01-21T21:39:17+00:00"/>
    <s v="2024-01-24T01:27:18+00:00"/>
    <s v="Shipped"/>
    <x v="0"/>
    <x v="3"/>
    <m/>
    <m/>
    <s v="Expedited"/>
    <s v="BEPER - Scaldavivande Elettrico Portatile, 2 Contenitori Removibili, Piastra Riscaldante in Acciaio, Posate di Plastica in Dotazione, 220V - Rosso"/>
    <s v="90.920R_FBA"/>
    <x v="13"/>
    <s v="Shipped"/>
    <n v="1"/>
    <s v="EUR"/>
    <n v="19.899999999999999"/>
    <n v="3.59"/>
    <m/>
    <m/>
    <m/>
    <m/>
    <m/>
    <m/>
    <s v="ciampino"/>
    <s v="Roma"/>
    <n v="43"/>
    <s v="IT"/>
    <m/>
    <m/>
    <m/>
    <m/>
    <m/>
    <m/>
    <m/>
  </r>
  <r>
    <s v="404-4830969-7010741"/>
    <s v="404-4830969-7010741"/>
    <s v="2024-01-21T21:32:31+00:00"/>
    <s v="2024-01-22T21:03:1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1"/>
    <s v="IT"/>
    <m/>
    <m/>
    <m/>
    <m/>
    <m/>
    <m/>
    <m/>
  </r>
  <r>
    <s v="171-3915833-3438762"/>
    <s v="171-3915833-3438762"/>
    <s v="2024-01-21T21:28:55+00:00"/>
    <s v="2024-01-22T15:40:31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n v="4.99"/>
    <n v="0.9"/>
    <m/>
    <m/>
    <m/>
    <m/>
    <s v="Santa Maria Hoè"/>
    <s v="Lecco"/>
    <n v="23889"/>
    <s v="IT"/>
    <m/>
    <m/>
    <m/>
    <m/>
    <m/>
    <m/>
    <m/>
  </r>
  <r>
    <s v="406-9647591-8684316"/>
    <s v="406-9647591-8684316"/>
    <s v="2024-01-21T21:21:27+00:00"/>
    <s v="2024-01-22T21:46:0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saro"/>
    <s v="Pesaro e Urbino"/>
    <n v="61122"/>
    <s v="IT"/>
    <m/>
    <m/>
    <m/>
    <m/>
    <m/>
    <m/>
    <m/>
  </r>
  <r>
    <s v="404-5785414-4281161"/>
    <s v="404-5785414-4281161"/>
    <s v="2024-01-21T21:10:07+00:00"/>
    <s v="2024-01-22T08:56:0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DOMIO"/>
    <s v="TS"/>
    <n v="34018"/>
    <s v="IT"/>
    <m/>
    <m/>
    <m/>
    <m/>
    <m/>
    <m/>
    <m/>
  </r>
  <r>
    <s v="403-8231084-0227542"/>
    <s v="403-8231084-0227542"/>
    <s v="2024-01-21T21:03:41+00:00"/>
    <s v="2024-01-22T20:11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n v="2.99"/>
    <n v="0.54"/>
    <m/>
    <m/>
    <s v="Sant'Angelo di Piove di Sacco"/>
    <s v="Padova"/>
    <n v="35020"/>
    <s v="IT"/>
    <m/>
    <m/>
    <m/>
    <m/>
    <m/>
    <m/>
    <m/>
  </r>
  <r>
    <s v="408-4195546-6357921"/>
    <s v="408-4195546-6357921"/>
    <s v="2024-01-21T20:51:12+00:00"/>
    <s v="2024-01-22T10:32:50+00:00"/>
    <s v="Shipped"/>
    <x v="0"/>
    <x v="3"/>
    <m/>
    <s v="http://www.amazon.it"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Colleferro"/>
    <s v="Rome"/>
    <n v="34"/>
    <s v="IT"/>
    <m/>
    <m/>
    <m/>
    <m/>
    <m/>
    <m/>
    <m/>
  </r>
  <r>
    <s v="406-6974148-0343533"/>
    <s v="406-6974148-0343533"/>
    <s v="2024-01-21T20:41:20+00:00"/>
    <s v="2024-01-22T23:43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46"/>
    <s v="IT"/>
    <m/>
    <m/>
    <m/>
    <m/>
    <m/>
    <m/>
    <m/>
  </r>
  <r>
    <s v="403-6226677-4000361"/>
    <m/>
    <s v="2024-01-21T20:36:40+00:00"/>
    <s v="2024-01-22T15:50:32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Dueville"/>
    <s v="Vicenza"/>
    <n v="36031"/>
    <s v="IT"/>
    <m/>
    <m/>
    <m/>
    <m/>
    <m/>
    <m/>
    <m/>
  </r>
  <r>
    <s v="406-7158840-5232337"/>
    <m/>
    <s v="2024-01-21T19:59:41+00:00"/>
    <s v="2024-01-22T15:50:3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Trieste"/>
    <s v="TS"/>
    <n v="34135"/>
    <s v="IT"/>
    <m/>
    <m/>
    <m/>
    <m/>
    <m/>
    <m/>
    <m/>
  </r>
  <r>
    <s v="402-7830664-7504365"/>
    <s v="402-7830664-7504365"/>
    <s v="2024-01-21T19:56:58+00:00"/>
    <s v="2024-01-22T19:16:1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LLA D'AGRI"/>
    <s v="Potenza"/>
    <n v="85050"/>
    <s v="IT"/>
    <m/>
    <m/>
    <m/>
    <m/>
    <m/>
    <m/>
    <m/>
  </r>
  <r>
    <s v="402-7429754-0846755"/>
    <m/>
    <s v="2024-01-21T19:53:19+00:00"/>
    <s v="2024-01-22T15:50:3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GENOVA"/>
    <s v="Genova"/>
    <n v="16137"/>
    <s v="IT"/>
    <m/>
    <m/>
    <m/>
    <m/>
    <m/>
    <m/>
    <m/>
  </r>
  <r>
    <s v="408-2412217-7301130"/>
    <s v="408-2412217-7301130"/>
    <s v="2024-01-21T19:23:09+00:00"/>
    <s v="2024-01-24T01:27:49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4-3143211-1412352"/>
    <s v="404-3143211-1412352"/>
    <s v="2024-01-21T19:14:30+00:00"/>
    <s v="2024-01-22T18:05:0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"/>
    <n v="20123"/>
    <s v="IT"/>
    <m/>
    <m/>
    <m/>
    <m/>
    <s v="FRMMLS86M44C349Q"/>
    <s v="IT"/>
    <s v="CitizenId"/>
  </r>
  <r>
    <s v="407-2911178-6499530"/>
    <s v="407-2911178-6499530"/>
    <s v="2024-01-21T19:07:02+00:00"/>
    <s v="2024-01-22T13:20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2"/>
    <s v="EUR"/>
    <n v="69.8"/>
    <n v="12.58"/>
    <m/>
    <m/>
    <m/>
    <m/>
    <m/>
    <m/>
    <s v="Santa Teresa di Riva"/>
    <s v="Messina"/>
    <n v="98028"/>
    <s v="IT"/>
    <m/>
    <m/>
    <m/>
    <m/>
    <m/>
    <m/>
    <m/>
  </r>
  <r>
    <s v="402-1494360-7024311"/>
    <s v="402-1494360-7024311"/>
    <s v="2024-01-21T19:05:54+00:00"/>
    <s v="2024-01-26T11:04:4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0.86"/>
    <n v="0.16"/>
    <m/>
    <m/>
    <m/>
    <m/>
    <s v="Santo Stefano di Zimella"/>
    <s v="Verona"/>
    <n v="37040"/>
    <s v="IT"/>
    <m/>
    <m/>
    <m/>
    <m/>
    <m/>
    <m/>
    <m/>
  </r>
  <r>
    <s v="405-2248824-2392369"/>
    <s v="405-2248824-2392369"/>
    <s v="2024-01-21T18:49:06+00:00"/>
    <s v="2024-02-05T12:51:3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n v="0.46"/>
    <m/>
    <m/>
    <m/>
    <m/>
    <n v="0.46"/>
    <s v="PAPANICE"/>
    <s v="Crotone"/>
    <n v="88900"/>
    <s v="IT"/>
    <m/>
    <m/>
    <m/>
    <m/>
    <m/>
    <m/>
    <m/>
  </r>
  <r>
    <s v="171-4098724-7945146"/>
    <s v="171-4098724-7945146"/>
    <s v="2024-01-21T18:45:31+00:00"/>
    <s v="2024-01-22T18:16:25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VERONA"/>
    <s v="Verona"/>
    <n v="37138"/>
    <s v="IT"/>
    <m/>
    <m/>
    <m/>
    <m/>
    <m/>
    <m/>
    <m/>
  </r>
  <r>
    <s v="408-7596725-1987530"/>
    <s v="408-7596725-1987530"/>
    <s v="2024-01-21T18:09:58+00:00"/>
    <s v="2024-01-22T00:57:53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3573481-8844341"/>
    <s v="408-3573481-8844341"/>
    <s v="2024-01-21T17:43:58+00:00"/>
    <s v="2024-01-22T15:51:2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luzzo"/>
    <s v="CN"/>
    <n v="12037"/>
    <s v="IT"/>
    <m/>
    <m/>
    <m/>
    <m/>
    <m/>
    <m/>
    <m/>
  </r>
  <r>
    <s v="402-3214015-6183541"/>
    <s v="402-3214015-6183541"/>
    <s v="2024-01-21T17:37:43+00:00"/>
    <s v="2024-01-22T16:47:0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SAPPADA"/>
    <s v="UD"/>
    <n v="33012"/>
    <s v="IT"/>
    <m/>
    <m/>
    <m/>
    <m/>
    <m/>
    <m/>
    <m/>
  </r>
  <r>
    <s v="403-2237963-8618713"/>
    <m/>
    <s v="2024-01-21T17:37:06+00:00"/>
    <s v="2024-01-22T16:01:56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Napoli"/>
    <s v="NAPOLI"/>
    <n v="80128"/>
    <s v="IT"/>
    <m/>
    <m/>
    <m/>
    <m/>
    <m/>
    <m/>
    <m/>
  </r>
  <r>
    <s v="408-5982246-6696310"/>
    <s v="408-5982246-6696310"/>
    <s v="2024-01-21T17:31:46+00:00"/>
    <s v="2024-01-22T19:56:4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0.41"/>
    <m/>
    <m/>
    <m/>
    <m/>
    <n v="0.41"/>
    <s v="Sarno"/>
    <s v="Salerno"/>
    <n v="84087"/>
    <s v="IT"/>
    <m/>
    <m/>
    <m/>
    <m/>
    <m/>
    <m/>
    <m/>
  </r>
  <r>
    <s v="404-0281214-4248318"/>
    <m/>
    <s v="2024-01-21T17:27:09+00:00"/>
    <s v="2024-01-22T15:11:28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Torregrotta"/>
    <s v="Messina"/>
    <n v="98040"/>
    <s v="IT"/>
    <m/>
    <m/>
    <m/>
    <m/>
    <m/>
    <m/>
    <m/>
  </r>
  <r>
    <s v="402-1888419-1459550"/>
    <m/>
    <s v="2024-01-21T17:26:17+00:00"/>
    <s v="2024-01-22T15:50:33+00:00"/>
    <s v="Shipped"/>
    <x v="1"/>
    <x v="3"/>
    <s v="WebsiteOrderChannel"/>
    <m/>
    <s v="Standard"/>
    <s v="BEPER 40.405 Phon da Viaggio con Manico Pieghevole - Phon da Viaggio Piccolo e Leggero 1200W"/>
    <n v="40405"/>
    <x v="1"/>
    <s v="Shipped"/>
    <n v="1"/>
    <s v="EUR"/>
    <n v="14.9"/>
    <n v="2.69"/>
    <n v="3"/>
    <n v="0.54"/>
    <m/>
    <m/>
    <m/>
    <m/>
    <s v="SANTA MARIA NAVARRESE"/>
    <s v="Nuoro"/>
    <n v="8040"/>
    <s v="IT"/>
    <m/>
    <m/>
    <m/>
    <m/>
    <m/>
    <m/>
    <m/>
  </r>
  <r>
    <s v="408-9486557-4105939"/>
    <s v="408-9486557-4105939"/>
    <s v="2024-01-21T17:22:22+00:00"/>
    <s v="2024-01-23T18:17:37+00:00"/>
    <s v="Cancell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Cancelled"/>
    <n v="0"/>
    <m/>
    <m/>
    <m/>
    <m/>
    <m/>
    <m/>
    <m/>
    <m/>
    <m/>
    <s v="Milano"/>
    <m/>
    <n v="20124"/>
    <s v="IT"/>
    <m/>
    <m/>
    <m/>
    <m/>
    <m/>
    <m/>
    <m/>
  </r>
  <r>
    <s v="403-9040380-2224368"/>
    <m/>
    <s v="2024-01-21T17:14:44+00:00"/>
    <s v="2024-01-22T16:01:11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Casale Monferrato"/>
    <s v="Alessandria"/>
    <n v="15033"/>
    <s v="IT"/>
    <m/>
    <m/>
    <m/>
    <m/>
    <m/>
    <m/>
    <m/>
  </r>
  <r>
    <s v="403-2578216-5447555"/>
    <s v="403-2578216-5447555"/>
    <s v="2024-01-21T17:09:49+00:00"/>
    <s v="2024-01-22T08:35:4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ronno Pertusella"/>
    <s v="Varese"/>
    <n v="21042"/>
    <s v="IT"/>
    <m/>
    <m/>
    <m/>
    <m/>
    <m/>
    <m/>
    <m/>
  </r>
  <r>
    <s v="405-9322118-4267565"/>
    <m/>
    <s v="2024-01-21T17:09:05+00:00"/>
    <s v="2024-01-22T15:50:3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ALBANO LAZIALE"/>
    <s v="Roma"/>
    <n v="41"/>
    <s v="IT"/>
    <m/>
    <m/>
    <m/>
    <m/>
    <m/>
    <m/>
    <m/>
  </r>
  <r>
    <s v="405-8500486-7029918"/>
    <s v="405-8500486-7029918"/>
    <s v="2024-01-21T16:58:12+00:00"/>
    <s v="2024-01-22T10:01:43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Roma"/>
    <s v="RM"/>
    <n v="136"/>
    <s v="IT"/>
    <m/>
    <m/>
    <m/>
    <m/>
    <m/>
    <m/>
    <m/>
  </r>
  <r>
    <s v="406-6051583-6594735"/>
    <s v="406-6051583-6594735"/>
    <s v="2024-01-21T16:47:03+00:00"/>
    <s v="2024-01-22T08:54:3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usegana"/>
    <s v="TV"/>
    <n v="31058"/>
    <s v="IT"/>
    <m/>
    <m/>
    <m/>
    <m/>
    <m/>
    <m/>
    <m/>
  </r>
  <r>
    <s v="407-0381313-5130738"/>
    <m/>
    <s v="2024-01-21T16:40:03+00:00"/>
    <s v="2024-01-22T15:50:3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GENOVA"/>
    <s v="Genova"/>
    <n v="16139"/>
    <s v="IT"/>
    <m/>
    <m/>
    <m/>
    <m/>
    <m/>
    <m/>
    <m/>
  </r>
  <r>
    <s v="402-1488353-8530751"/>
    <m/>
    <s v="2024-01-21T16:35:12+00:00"/>
    <s v="2024-01-22T15:50:4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apurso"/>
    <s v="Bari"/>
    <n v="70010"/>
    <s v="IT"/>
    <m/>
    <m/>
    <m/>
    <m/>
    <m/>
    <m/>
    <m/>
  </r>
  <r>
    <s v="404-8285044-6924324"/>
    <s v="404-8285044-6924324"/>
    <s v="2024-01-21T16:29:59+00:00"/>
    <s v="2024-01-24T01:59:2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Quarona"/>
    <s v="VC"/>
    <n v="13017"/>
    <s v="IT"/>
    <m/>
    <m/>
    <m/>
    <m/>
    <m/>
    <m/>
    <m/>
  </r>
  <r>
    <s v="408-2136943-5272368"/>
    <m/>
    <s v="2024-01-21T16:26:44+00:00"/>
    <s v="2024-01-24T02:59:1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Assisi"/>
    <s v="Perugia"/>
    <n v="6081"/>
    <s v="IT"/>
    <m/>
    <m/>
    <m/>
    <m/>
    <m/>
    <m/>
    <m/>
  </r>
  <r>
    <s v="403-4340820-2405109"/>
    <m/>
    <s v="2024-01-21T16:05:48+00:00"/>
    <s v="2024-01-22T14:41:2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Borgomanero"/>
    <s v="Novara"/>
    <n v="28021"/>
    <s v="IT"/>
    <m/>
    <m/>
    <m/>
    <m/>
    <m/>
    <m/>
    <m/>
  </r>
  <r>
    <s v="405-7518574-5909147"/>
    <s v="405-7518574-5909147"/>
    <s v="2024-01-21T15:54:38+00:00"/>
    <s v="2024-01-22T02:27:5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ussago"/>
    <s v="Brescia"/>
    <n v="25064"/>
    <s v="IT"/>
    <m/>
    <m/>
    <m/>
    <m/>
    <m/>
    <m/>
    <m/>
  </r>
  <r>
    <s v="402-4357477-4497938"/>
    <s v="402-4357477-4497938"/>
    <s v="2024-01-21T15:51:19+00:00"/>
    <s v="2024-01-21T20:52:3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imini"/>
    <s v="Rimini"/>
    <n v="47923"/>
    <s v="IT"/>
    <m/>
    <m/>
    <m/>
    <m/>
    <m/>
    <m/>
    <m/>
  </r>
  <r>
    <s v="406-0108476-9207502"/>
    <s v="406-0108476-9207502"/>
    <s v="2024-01-21T15:40:08+00:00"/>
    <s v="2024-01-22T15:55:44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Cunardo"/>
    <s v="Varese"/>
    <n v="21035"/>
    <s v="IT"/>
    <m/>
    <m/>
    <m/>
    <m/>
    <m/>
    <m/>
    <m/>
  </r>
  <r>
    <s v="408-8225661-2287529"/>
    <s v="408-8225661-2287529"/>
    <s v="2024-01-21T15:39:33+00:00"/>
    <s v="2024-01-22T01:20:5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egnano"/>
    <s v="Milano"/>
    <n v="20025"/>
    <s v="IT"/>
    <m/>
    <m/>
    <m/>
    <m/>
    <m/>
    <m/>
    <m/>
  </r>
  <r>
    <s v="404-1570347-4369966"/>
    <s v="404-1570347-4369966"/>
    <s v="2024-01-21T15:27:10+00:00"/>
    <s v="2024-01-21T23:37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ltopascio"/>
    <s v="LU"/>
    <n v="55011"/>
    <s v="IT"/>
    <m/>
    <m/>
    <m/>
    <m/>
    <m/>
    <m/>
    <m/>
  </r>
  <r>
    <s v="171-3514635-2330718"/>
    <s v="171-3514635-2330718"/>
    <s v="2024-01-21T15:20:11+00:00"/>
    <s v="2024-01-22T20:28:0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OALE"/>
    <m/>
    <n v="30033"/>
    <s v="IT"/>
    <m/>
    <m/>
    <m/>
    <m/>
    <m/>
    <m/>
    <m/>
  </r>
  <r>
    <s v="404-4207641-3805922"/>
    <s v="404-4207641-3805922"/>
    <s v="2024-01-21T15:16:39+00:00"/>
    <s v="2024-01-22T01:40:2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ASIGLIO"/>
    <s v="Milano"/>
    <n v="20079"/>
    <s v="IT"/>
    <m/>
    <m/>
    <m/>
    <m/>
    <m/>
    <m/>
    <m/>
  </r>
  <r>
    <s v="408-5427915-8545941"/>
    <s v="408-5427915-8545941"/>
    <s v="2024-01-21T14:56:19+00:00"/>
    <s v="2024-01-22T05:33:45+00:00"/>
    <s v="Shipped"/>
    <x v="0"/>
    <x v="3"/>
    <m/>
    <s v="http://www.amazon.it"/>
    <s v="Expedited"/>
    <s v="Beper Pulitore a Vapore Igenizzante, Caldaia in Alluminio da 350 Ml, Pulsante Vapore Continuo, Pressione 3.2 Bar, 30 G/Min, Cavo da 3 M Giallo/Nero"/>
    <n v="50700"/>
    <x v="24"/>
    <s v="Shipped"/>
    <n v="1"/>
    <s v="EUR"/>
    <n v="44.9"/>
    <n v="8.1"/>
    <m/>
    <m/>
    <m/>
    <m/>
    <m/>
    <m/>
    <s v="AGOGNATE"/>
    <s v="NOVARA"/>
    <n v="28100"/>
    <s v="IT"/>
    <m/>
    <m/>
    <m/>
    <m/>
    <m/>
    <m/>
    <m/>
  </r>
  <r>
    <s v="405-9223594-6077120"/>
    <s v="405-9223594-6077120"/>
    <s v="2024-01-21T14:45:40+00:00"/>
    <s v="2024-01-22T13:21:2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lilli"/>
    <s v="Siracusa"/>
    <n v="96010"/>
    <s v="IT"/>
    <m/>
    <m/>
    <m/>
    <m/>
    <m/>
    <m/>
    <m/>
  </r>
  <r>
    <s v="405-9207409-6388317"/>
    <s v="405-9207409-6388317"/>
    <s v="2024-01-21T14:32:50+00:00"/>
    <s v="2024-01-21T17:26:2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lezio"/>
    <s v="Lecce"/>
    <n v="73011"/>
    <s v="IT"/>
    <m/>
    <m/>
    <m/>
    <m/>
    <s v="IT04815510757"/>
    <s v="IT"/>
    <s v="VAT"/>
  </r>
  <r>
    <s v="408-1948998-6936302"/>
    <s v="408-1948998-6936302"/>
    <s v="2024-01-21T14:30:23+00:00"/>
    <s v="2024-01-24T01:26:48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2117308-2833954"/>
    <s v="406-2117308-2833954"/>
    <s v="2024-01-21T13:58:32+00:00"/>
    <s v="2024-01-22T12:38:10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Brindisi"/>
    <s v="BR"/>
    <n v="72100"/>
    <s v="IT"/>
    <m/>
    <m/>
    <m/>
    <m/>
    <m/>
    <m/>
    <m/>
  </r>
  <r>
    <s v="402-1411250-5493935"/>
    <s v="402-1411250-5493935"/>
    <s v="2024-01-21T13:57:38+00:00"/>
    <s v="2024-01-22T11:16:50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PALERMO"/>
    <s v="Palermo"/>
    <n v="90141"/>
    <s v="IT"/>
    <m/>
    <m/>
    <m/>
    <m/>
    <m/>
    <m/>
    <m/>
  </r>
  <r>
    <s v="407-7077916-5544347"/>
    <s v="407-7077916-5544347"/>
    <s v="2024-01-21T13:55:38+00:00"/>
    <s v="2024-01-21T20:55:0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n v="67100"/>
    <s v="L'aquila"/>
    <n v="67100"/>
    <s v="IT"/>
    <m/>
    <m/>
    <m/>
    <m/>
    <m/>
    <m/>
    <m/>
  </r>
  <r>
    <s v="403-3008662-0006752"/>
    <m/>
    <s v="2024-01-21T13:50:48+00:00"/>
    <s v="2024-01-26T13:54:05+00:00"/>
    <s v="Cancell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m/>
    <n v="0"/>
    <m/>
    <m/>
    <m/>
    <m/>
    <m/>
    <m/>
    <m/>
    <m/>
    <m/>
    <s v="Napoli"/>
    <s v="NAPOLI"/>
    <n v="80128"/>
    <s v="IT"/>
    <m/>
    <m/>
    <m/>
    <m/>
    <m/>
    <m/>
    <m/>
  </r>
  <r>
    <s v="402-9623748-8825101"/>
    <s v="402-9623748-8825101"/>
    <s v="2024-01-21T13:48:00+00:00"/>
    <s v="2024-01-22T15:55:5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VAGLIA'"/>
    <s v="biella"/>
    <n v="13881"/>
    <s v="IT"/>
    <m/>
    <m/>
    <m/>
    <m/>
    <m/>
    <m/>
    <m/>
  </r>
  <r>
    <s v="405-0960920-5141166"/>
    <m/>
    <s v="2024-01-21T13:47:11+00:00"/>
    <s v="2024-01-22T15:51:45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ampi Bisenzio"/>
    <s v="Firenze"/>
    <n v="50013"/>
    <s v="IT"/>
    <m/>
    <m/>
    <m/>
    <m/>
    <m/>
    <m/>
    <m/>
  </r>
  <r>
    <s v="405-4254955-5657169"/>
    <m/>
    <s v="2024-01-21T13:41:32+00:00"/>
    <s v="2024-01-22T15:50:3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apolona"/>
    <s v="Arezzo"/>
    <n v="52010"/>
    <s v="IT"/>
    <m/>
    <m/>
    <m/>
    <m/>
    <m/>
    <m/>
    <m/>
  </r>
  <r>
    <s v="171-3880999-7713900"/>
    <s v="171-3880999-7713900"/>
    <s v="2024-01-21T13:40:28+00:00"/>
    <s v="2024-01-23T09:33:1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OVIZZO"/>
    <s v="Vicenza"/>
    <n v="36050"/>
    <s v="IT"/>
    <m/>
    <m/>
    <m/>
    <m/>
    <m/>
    <m/>
    <m/>
  </r>
  <r>
    <s v="405-3947550-1602702"/>
    <s v="405-3947550-1602702"/>
    <s v="2024-01-21T13:36:17+00:00"/>
    <s v="2024-01-23T00:11:2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to"/>
    <n v="10151"/>
    <s v="IT"/>
    <m/>
    <m/>
    <m/>
    <m/>
    <m/>
    <m/>
    <m/>
  </r>
  <r>
    <s v="404-6350414-2756313"/>
    <s v="404-6350414-2756313"/>
    <s v="2024-01-21T13:34:41+00:00"/>
    <s v="2024-01-22T01:03:0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s v="BO"/>
    <n v="40126"/>
    <s v="IT"/>
    <m/>
    <m/>
    <m/>
    <m/>
    <m/>
    <m/>
    <m/>
  </r>
  <r>
    <s v="407-8272446-0491537"/>
    <m/>
    <s v="2024-01-21T13:19:36+00:00"/>
    <s v="2024-01-26T13:22:54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Miglierina"/>
    <s v="Cz"/>
    <n v="88040"/>
    <s v="IT"/>
    <m/>
    <m/>
    <m/>
    <m/>
    <m/>
    <m/>
    <m/>
  </r>
  <r>
    <s v="405-8284852-0954721"/>
    <s v="405-8284852-0954721"/>
    <s v="2024-01-21T13:11:38+00:00"/>
    <s v="2024-01-21T21:55:1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Uta"/>
    <s v="Cagiari"/>
    <n v="9068"/>
    <s v="IT"/>
    <m/>
    <m/>
    <m/>
    <m/>
    <m/>
    <m/>
    <m/>
  </r>
  <r>
    <s v="408-9758768-9953151"/>
    <m/>
    <s v="2024-01-21T13:08:07+00:00"/>
    <s v="2024-01-23T22:11:15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Scandiano"/>
    <s v="Reggio Emilia"/>
    <n v="42019"/>
    <s v="IT"/>
    <m/>
    <m/>
    <m/>
    <m/>
    <m/>
    <m/>
    <m/>
  </r>
  <r>
    <s v="407-7418885-4728313"/>
    <s v="407-7418885-4728313"/>
    <s v="2024-01-21T12:31:41+00:00"/>
    <s v="2024-01-22T19:09:5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zano"/>
    <s v="Bolzano"/>
    <n v="39100"/>
    <s v="IT"/>
    <m/>
    <m/>
    <m/>
    <m/>
    <m/>
    <m/>
    <m/>
  </r>
  <r>
    <s v="405-2315607-0261149"/>
    <s v="405-2315607-0261149"/>
    <s v="2024-01-21T12:11:22+00:00"/>
    <s v="2024-01-22T12:08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to stefano d'aveto"/>
    <s v="Genova"/>
    <n v="16049"/>
    <s v="IT"/>
    <m/>
    <m/>
    <m/>
    <m/>
    <m/>
    <m/>
    <m/>
  </r>
  <r>
    <s v="406-3672987-0648308"/>
    <s v="406-3672987-0648308"/>
    <s v="2024-01-21T12:06:48+00:00"/>
    <s v="2024-01-22T13:06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0900000000000001"/>
    <m/>
    <m/>
    <m/>
    <m/>
    <n v="1.0900000000000001"/>
    <s v="Roma"/>
    <s v="Rm"/>
    <n v="148"/>
    <s v="IT"/>
    <m/>
    <m/>
    <m/>
    <m/>
    <m/>
    <m/>
    <m/>
  </r>
  <r>
    <s v="404-4974207-8008338"/>
    <s v="404-4974207-8008338"/>
    <s v="2024-01-21T11:37:41+00:00"/>
    <s v="2024-01-23T15:49:2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0.54"/>
    <m/>
    <m/>
    <m/>
    <m/>
    <n v="0.54"/>
    <s v="Chiavari"/>
    <s v="Genova"/>
    <n v="16043"/>
    <s v="IT"/>
    <m/>
    <m/>
    <m/>
    <m/>
    <m/>
    <m/>
    <m/>
  </r>
  <r>
    <s v="405-1713436-8015527"/>
    <s v="405-1713436-8015527"/>
    <s v="2024-01-21T11:31:03+00:00"/>
    <s v="2024-01-21T18:32:3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IENA"/>
    <s v="SI"/>
    <n v="53100"/>
    <s v="IT"/>
    <m/>
    <m/>
    <m/>
    <m/>
    <m/>
    <m/>
    <m/>
  </r>
  <r>
    <s v="405-1713436-8015527"/>
    <s v="405-1713436-8015527"/>
    <s v="2024-01-21T11:31:03+00:00"/>
    <s v="2024-01-21T18:32:38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SIENA"/>
    <s v="SI"/>
    <n v="53100"/>
    <s v="IT"/>
    <m/>
    <m/>
    <m/>
    <m/>
    <m/>
    <m/>
    <m/>
  </r>
  <r>
    <s v="405-7077599-2464351"/>
    <m/>
    <s v="2024-01-21T11:14:50+00:00"/>
    <s v="2024-01-22T15:50:32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4.9"/>
    <n v="2.69"/>
    <n v="3"/>
    <n v="0.54"/>
    <m/>
    <m/>
    <m/>
    <m/>
    <s v="grosseto"/>
    <s v="GR"/>
    <n v="58100"/>
    <s v="IT"/>
    <m/>
    <m/>
    <m/>
    <m/>
    <m/>
    <m/>
    <m/>
  </r>
  <r>
    <s v="408-6878158-0126724"/>
    <s v="408-6878158-0126724"/>
    <s v="2024-01-21T11:12:05+00:00"/>
    <s v="2024-01-21T17:24:5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lberobello"/>
    <s v="Bari"/>
    <n v="70011"/>
    <s v="IT"/>
    <m/>
    <m/>
    <m/>
    <m/>
    <m/>
    <m/>
    <m/>
  </r>
  <r>
    <s v="403-4160954-5834732"/>
    <s v="403-4160954-5834732"/>
    <s v="2024-01-21T10:59:50+00:00"/>
    <s v="2024-01-21T20:51:2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lo Di Cisterna"/>
    <s v="NA"/>
    <n v="80030"/>
    <s v="IT"/>
    <m/>
    <m/>
    <m/>
    <m/>
    <s v="IT04168281212"/>
    <s v="IT"/>
    <s v="VAT"/>
  </r>
  <r>
    <s v="408-8281523-6514723"/>
    <s v="408-8281523-6514723"/>
    <s v="2024-01-21T10:27:40+00:00"/>
    <s v="2024-01-21T17:28:5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59"/>
    <s v="IT"/>
    <m/>
    <m/>
    <m/>
    <m/>
    <m/>
    <m/>
    <m/>
  </r>
  <r>
    <s v="408-0230467-2156340"/>
    <m/>
    <s v="2024-01-21T10:09:19+00:00"/>
    <s v="2024-01-22T15:50:32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Monopoli"/>
    <s v="Bari"/>
    <n v="70043"/>
    <s v="IT"/>
    <m/>
    <m/>
    <m/>
    <m/>
    <m/>
    <m/>
    <m/>
  </r>
  <r>
    <s v="405-9623021-2498768"/>
    <m/>
    <s v="2024-01-21T09:58:23+00:00"/>
    <s v="2024-01-22T16:00:43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Racconigi"/>
    <s v="CN"/>
    <n v="12035"/>
    <s v="IT"/>
    <m/>
    <m/>
    <m/>
    <m/>
    <m/>
    <m/>
    <m/>
  </r>
  <r>
    <s v="171-1159239-5956350"/>
    <s v="171-1159239-5956350"/>
    <s v="2024-01-21T09:29:55+00:00"/>
    <s v="2024-01-21T17:23:2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nversano"/>
    <s v="Bari"/>
    <n v="70014"/>
    <s v="IT"/>
    <m/>
    <m/>
    <m/>
    <m/>
    <m/>
    <m/>
    <m/>
  </r>
  <r>
    <s v="408-2951395-4329962"/>
    <s v="408-2951395-4329962"/>
    <s v="2024-01-21T09:22:02+00:00"/>
    <s v="2024-01-24T03:56:06+00:00"/>
    <s v="Shipped"/>
    <x v="0"/>
    <x v="3"/>
    <m/>
    <s v="http://www.amazon.it"/>
    <s v="Expedited"/>
    <s v="BEPER 40.405 Phon da Viaggio con Manico Pieghevole - Phon da Viaggio Piccolo e Leggero 1200W"/>
    <s v="40.405_FBA"/>
    <x v="1"/>
    <s v="Shipped"/>
    <n v="2"/>
    <s v="EUR"/>
    <n v="29.8"/>
    <n v="5.38"/>
    <m/>
    <m/>
    <m/>
    <m/>
    <m/>
    <m/>
    <s v="Passo Corese (RI)"/>
    <s v="Rieti"/>
    <n v="2032"/>
    <s v="IT"/>
    <m/>
    <m/>
    <m/>
    <m/>
    <m/>
    <m/>
    <m/>
  </r>
  <r>
    <s v="405-8766006-2890740"/>
    <s v="405-8766006-2890740"/>
    <s v="2024-01-21T08:50:51+00:00"/>
    <s v="2024-01-21T23:31:2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46"/>
    <s v="IT"/>
    <m/>
    <m/>
    <m/>
    <m/>
    <m/>
    <m/>
    <m/>
  </r>
  <r>
    <s v="403-8743997-5845924"/>
    <s v="403-8743997-5845924"/>
    <s v="2024-01-21T07:38:20+00:00"/>
    <s v="2024-01-21T18:12:1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Nave"/>
    <s v="Brescia"/>
    <n v="25075"/>
    <s v="IT"/>
    <m/>
    <m/>
    <m/>
    <m/>
    <m/>
    <m/>
    <m/>
  </r>
  <r>
    <s v="407-9807834-2773921"/>
    <s v="407-9807834-2773921"/>
    <s v="2024-01-21T07:27:50+00:00"/>
    <s v="2024-01-21T19:36:1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ISTOIA"/>
    <s v="PT"/>
    <n v="51100"/>
    <s v="IT"/>
    <m/>
    <m/>
    <m/>
    <m/>
    <m/>
    <m/>
    <m/>
  </r>
  <r>
    <s v="407-6363778-7331547"/>
    <s v="407-6363778-7331547"/>
    <s v="2024-01-21T05:35:37+00:00"/>
    <s v="2024-01-23T19:38:4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Giorgio a Cremano"/>
    <s v="Napoli"/>
    <n v="80046"/>
    <s v="IT"/>
    <m/>
    <m/>
    <m/>
    <m/>
    <m/>
    <m/>
    <m/>
  </r>
  <r>
    <s v="408-5021238-7743536"/>
    <s v="408-5021238-7743536"/>
    <s v="2024-01-21T04:13:07+00:00"/>
    <s v="2024-01-21T21:08:06+00:00"/>
    <s v="Shipped"/>
    <x v="0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4604847-3560346"/>
    <m/>
    <s v="2024-01-21T02:53:45+00:00"/>
    <s v="2024-01-22T06:43:52+00:00"/>
    <s v="Cancelled"/>
    <x v="1"/>
    <x v="3"/>
    <s v="WebsiteOrderChannel"/>
    <m/>
    <s v="Standard"/>
    <s v="Beper RI.080 - Termoventilatore Ceramico a Basso Consumo - Stufetta Elettrica con Protezione Anti-Surriscaldamento"/>
    <s v="RI.080"/>
    <x v="30"/>
    <m/>
    <n v="0"/>
    <s v="EUR"/>
    <n v="23.69"/>
    <n v="5.21"/>
    <n v="3"/>
    <n v="0.54"/>
    <m/>
    <m/>
    <m/>
    <m/>
    <s v="Annone di Brianza"/>
    <s v="Lecco"/>
    <n v="23841"/>
    <s v="IT"/>
    <m/>
    <m/>
    <m/>
    <m/>
    <m/>
    <m/>
    <m/>
  </r>
  <r>
    <s v="171-7251806-3229902"/>
    <m/>
    <s v="2024-01-21T00:14:45+00:00"/>
    <s v="2024-01-22T15:50:3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AVA DE' TIRRENI"/>
    <s v="SA"/>
    <n v="84013"/>
    <s v="IT"/>
    <m/>
    <m/>
    <m/>
    <m/>
    <m/>
    <m/>
    <m/>
  </r>
  <r>
    <s v="403-0827271-3543531"/>
    <s v="403-0827271-3543531"/>
    <s v="2024-01-20T23:50:41+00:00"/>
    <s v="2024-01-21T12:58:3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"/>
    <n v="20143"/>
    <s v="IT"/>
    <m/>
    <m/>
    <m/>
    <m/>
    <m/>
    <m/>
    <m/>
  </r>
  <r>
    <s v="407-2143795-3259509"/>
    <s v="407-2143795-3259509"/>
    <s v="2024-01-20T23:26:58+00:00"/>
    <s v="2024-01-21T17:34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rosseto"/>
    <s v="Grosseto"/>
    <n v="58100"/>
    <s v="IT"/>
    <m/>
    <m/>
    <m/>
    <m/>
    <m/>
    <m/>
    <m/>
  </r>
  <r>
    <s v="404-0806725-9578751"/>
    <s v="404-0806725-9578751"/>
    <s v="2024-01-20T23:11:24+00:00"/>
    <s v="2024-01-21T15:50:5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ENOVA"/>
    <s v="Genova"/>
    <n v="16138"/>
    <s v="IT"/>
    <m/>
    <m/>
    <m/>
    <m/>
    <m/>
    <m/>
    <m/>
  </r>
  <r>
    <s v="408-6868153-9758760"/>
    <m/>
    <s v="2024-01-20T22:32:58+00:00"/>
    <s v="2024-01-22T14:53:07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Sestri Levante"/>
    <s v="GE"/>
    <n v="16039"/>
    <s v="IT"/>
    <m/>
    <m/>
    <m/>
    <m/>
    <m/>
    <m/>
    <m/>
  </r>
  <r>
    <s v="171-2596672-2380360"/>
    <s v="171-2596672-2380360"/>
    <s v="2024-01-20T21:54:28+00:00"/>
    <s v="2024-01-21T01:12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oave"/>
    <s v="Verona"/>
    <n v="37038"/>
    <s v="IT"/>
    <m/>
    <m/>
    <m/>
    <m/>
    <m/>
    <m/>
    <m/>
  </r>
  <r>
    <s v="407-2825992-9921108"/>
    <m/>
    <s v="2024-01-20T21:35:36+00:00"/>
    <s v="2024-01-22T15:12:36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Milano"/>
    <s v="Milano"/>
    <n v="20124"/>
    <s v="IT"/>
    <m/>
    <m/>
    <m/>
    <m/>
    <m/>
    <m/>
    <m/>
  </r>
  <r>
    <s v="405-0271404-2486749"/>
    <s v="405-0271404-2486749"/>
    <s v="2024-01-20T21:31:17+00:00"/>
    <s v="2024-01-21T02:16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serta"/>
    <m/>
    <n v="81100"/>
    <s v="IT"/>
    <m/>
    <m/>
    <m/>
    <m/>
    <s v="IT04260160611"/>
    <s v="IT"/>
    <s v="VAT"/>
  </r>
  <r>
    <s v="405-2613354-7773901"/>
    <s v="405-2613354-7773901"/>
    <s v="2024-01-20T21:06:22+00:00"/>
    <s v="2024-01-21T17:27:53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Segrate"/>
    <s v="Milano"/>
    <n v="20054"/>
    <s v="IT"/>
    <m/>
    <m/>
    <m/>
    <m/>
    <m/>
    <m/>
    <m/>
  </r>
  <r>
    <s v="402-3627422-5652354"/>
    <s v="402-3627422-5652354"/>
    <s v="2024-01-20T20:41:33+00:00"/>
    <s v="2024-01-21T02:31:4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pannori"/>
    <s v="Lucca"/>
    <n v="55012"/>
    <s v="IT"/>
    <m/>
    <m/>
    <m/>
    <m/>
    <m/>
    <m/>
    <m/>
  </r>
  <r>
    <s v="404-1809550-1949915"/>
    <m/>
    <s v="2024-01-20T20:41:22+00:00"/>
    <s v="2024-01-22T15:21:43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Reggio nell’Emilia"/>
    <s v="Re"/>
    <n v="42122"/>
    <s v="IT"/>
    <m/>
    <m/>
    <m/>
    <m/>
    <m/>
    <m/>
    <m/>
  </r>
  <r>
    <s v="408-0434412-9343549"/>
    <s v="408-0434412-9343549"/>
    <s v="2024-01-20T20:23:25+00:00"/>
    <s v="2024-01-24T09:45:26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Cavaion Veronese"/>
    <s v="Verona"/>
    <n v="37010"/>
    <s v="IT"/>
    <m/>
    <m/>
    <m/>
    <m/>
    <m/>
    <m/>
    <m/>
  </r>
  <r>
    <s v="408-9200138-4184363"/>
    <m/>
    <s v="2024-01-20T19:59:43+00:00"/>
    <s v="2024-01-23T08:28:5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sadali"/>
    <s v="SU"/>
    <n v="9062"/>
    <s v="IT"/>
    <m/>
    <m/>
    <m/>
    <m/>
    <m/>
    <m/>
    <m/>
  </r>
  <r>
    <s v="403-7654457-5173122"/>
    <s v="403-7654457-5173122"/>
    <s v="2024-01-20T19:49:16+00:00"/>
    <s v="2024-01-21T18:06:54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Rimini"/>
    <s v="Rimini"/>
    <n v="47921"/>
    <s v="IT"/>
    <m/>
    <m/>
    <m/>
    <m/>
    <m/>
    <m/>
    <m/>
  </r>
  <r>
    <s v="408-8011520-7670730"/>
    <m/>
    <s v="2024-01-20T19:18:59+00:00"/>
    <s v="2024-01-22T15:50:33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Pescara"/>
    <s v="PE"/>
    <n v="65127"/>
    <s v="IT"/>
    <m/>
    <m/>
    <m/>
    <m/>
    <m/>
    <m/>
    <m/>
  </r>
  <r>
    <s v="404-2897810-9748334"/>
    <s v="404-2897810-9748334"/>
    <s v="2024-01-20T19:02:16+00:00"/>
    <s v="2024-01-21T01:23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ho"/>
    <s v="Milano"/>
    <n v="20017"/>
    <s v="IT"/>
    <m/>
    <m/>
    <m/>
    <m/>
    <m/>
    <m/>
    <m/>
  </r>
  <r>
    <s v="403-1527295-0400342"/>
    <m/>
    <s v="2024-01-20T18:47:26+00:00"/>
    <s v="2024-01-22T15:11:33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bernalda"/>
    <s v="matera"/>
    <n v="75012"/>
    <s v="IT"/>
    <m/>
    <m/>
    <m/>
    <m/>
    <m/>
    <m/>
    <m/>
  </r>
  <r>
    <s v="403-1527295-0400342"/>
    <m/>
    <s v="2024-01-20T18:47:26+00:00"/>
    <s v="2024-01-22T15:11:33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bernalda"/>
    <s v="matera"/>
    <n v="75012"/>
    <s v="IT"/>
    <m/>
    <m/>
    <m/>
    <m/>
    <m/>
    <m/>
    <m/>
  </r>
  <r>
    <s v="403-8028991-9526746"/>
    <s v="403-8028991-9526746"/>
    <s v="2024-01-20T18:19:43+00:00"/>
    <s v="2024-01-21T15:49:47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Volla"/>
    <s v="Napoli"/>
    <n v="80040"/>
    <s v="IT"/>
    <m/>
    <m/>
    <m/>
    <m/>
    <m/>
    <m/>
    <m/>
  </r>
  <r>
    <s v="403-4238374-1165168"/>
    <s v="403-4238374-1165168"/>
    <s v="2024-01-20T18:14:46+00:00"/>
    <s v="2024-01-20T18:17:02+00:00"/>
    <s v="Cancelled"/>
    <x v="0"/>
    <x v="3"/>
    <m/>
    <m/>
    <s v="Expedited"/>
    <s v="Beper BC.261 Vaporiera da 5 litri - Vaporiera Elettrica Con Timer per Cottura al Vapore di Riso, Pesce, Ravioli, Verdure, Carne - BFA Free"/>
    <s v="BC.261_FBA"/>
    <x v="3"/>
    <s v="Cancelled"/>
    <n v="0"/>
    <m/>
    <m/>
    <m/>
    <m/>
    <m/>
    <m/>
    <m/>
    <m/>
    <m/>
    <s v="Scandicci"/>
    <s v="Firenze"/>
    <n v="50018"/>
    <s v="IT"/>
    <m/>
    <m/>
    <m/>
    <m/>
    <m/>
    <m/>
    <m/>
  </r>
  <r>
    <s v="403-6579631-1815524"/>
    <s v="403-6579631-1815524"/>
    <s v="2024-01-20T18:11:29+00:00"/>
    <s v="2024-01-21T20:38:1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Porano"/>
    <s v="Terni"/>
    <n v="5010"/>
    <s v="IT"/>
    <m/>
    <m/>
    <m/>
    <m/>
    <m/>
    <m/>
    <m/>
  </r>
  <r>
    <s v="405-5310176-3033964"/>
    <m/>
    <s v="2024-01-20T17:54:46+00:00"/>
    <s v="2024-01-22T15:11:34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Bologna"/>
    <s v="Bologna"/>
    <n v="40138"/>
    <s v="IT"/>
    <m/>
    <m/>
    <m/>
    <m/>
    <m/>
    <m/>
    <m/>
  </r>
  <r>
    <s v="403-3086854-6277915"/>
    <s v="403-3086854-6277915"/>
    <s v="2024-01-20T17:35:53+00:00"/>
    <s v="2024-01-24T13:28:2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seano"/>
    <s v="Ud"/>
    <n v="33030"/>
    <s v="IT"/>
    <m/>
    <m/>
    <m/>
    <m/>
    <m/>
    <m/>
    <m/>
  </r>
  <r>
    <s v="404-0020140-8504350"/>
    <s v="404-0020140-8504350"/>
    <s v="2024-01-20T17:17:00+00:00"/>
    <s v="2024-01-20T21:17:1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Spoltore"/>
    <s v="Pescara"/>
    <n v="65010"/>
    <s v="IT"/>
    <m/>
    <m/>
    <m/>
    <m/>
    <m/>
    <m/>
    <m/>
  </r>
  <r>
    <s v="403-1413854-3657155"/>
    <m/>
    <s v="2024-01-20T17:09:44+00:00"/>
    <s v="2024-01-22T15:50:3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eggio Calabria"/>
    <s v="Reggio Calabria"/>
    <n v="89134"/>
    <s v="IT"/>
    <m/>
    <m/>
    <m/>
    <m/>
    <m/>
    <m/>
    <m/>
  </r>
  <r>
    <s v="406-9906330-8718753"/>
    <s v="406-9906330-8718753"/>
    <s v="2024-01-20T17:03:21+00:00"/>
    <s v="2024-01-21T17:02:4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3"/>
    <s v="IT"/>
    <m/>
    <m/>
    <m/>
    <m/>
    <m/>
    <m/>
    <m/>
  </r>
  <r>
    <s v="407-0598971-2071518"/>
    <m/>
    <s v="2024-01-20T16:56:58+00:00"/>
    <s v="2024-01-23T13:41:5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emondo"/>
    <s v="Pv"/>
    <n v="27025"/>
    <s v="IT"/>
    <m/>
    <m/>
    <m/>
    <m/>
    <m/>
    <m/>
    <m/>
  </r>
  <r>
    <s v="171-4345035-7787515"/>
    <m/>
    <s v="2024-01-20T16:55:47+00:00"/>
    <s v="2024-01-22T15:50:3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ONTESTURA"/>
    <s v="Alessandria"/>
    <n v="15027"/>
    <s v="IT"/>
    <m/>
    <m/>
    <m/>
    <m/>
    <m/>
    <m/>
    <m/>
  </r>
  <r>
    <s v="171-1523819-8275550"/>
    <s v="171-1523819-8275550"/>
    <s v="2024-01-20T16:35:34+00:00"/>
    <s v="2024-01-21T15:48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Valdisotto"/>
    <s v="Sondrio"/>
    <n v="23030"/>
    <s v="IT"/>
    <m/>
    <m/>
    <m/>
    <m/>
    <m/>
    <m/>
    <m/>
  </r>
  <r>
    <s v="404-7788546-3407564"/>
    <m/>
    <s v="2024-01-20T16:01:09+00:00"/>
    <s v="2024-01-23T13:08:3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ordignano"/>
    <s v="Treviso"/>
    <n v="31016"/>
    <s v="IT"/>
    <m/>
    <m/>
    <m/>
    <m/>
    <m/>
    <m/>
    <m/>
  </r>
  <r>
    <s v="405-2567918-0097159"/>
    <s v="405-2567918-0097159"/>
    <s v="2024-01-20T15:48:34+00:00"/>
    <s v="2024-01-21T16:33:49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TORINO"/>
    <m/>
    <n v="10144"/>
    <s v="IT"/>
    <m/>
    <m/>
    <m/>
    <m/>
    <m/>
    <m/>
    <m/>
  </r>
  <r>
    <s v="404-0722111-7411539"/>
    <s v="404-0722111-7411539"/>
    <s v="2024-01-20T15:30:18+00:00"/>
    <s v="2024-01-22T08:54:50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Ravenna"/>
    <s v="Ravenna"/>
    <n v="48123"/>
    <s v="IT"/>
    <m/>
    <m/>
    <m/>
    <m/>
    <m/>
    <m/>
    <m/>
  </r>
  <r>
    <s v="406-0181744-6739545"/>
    <s v="406-0181744-6739545"/>
    <s v="2024-01-20T15:05:38+00:00"/>
    <s v="2024-01-21T13:16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drano"/>
    <s v="CT"/>
    <n v="95031"/>
    <s v="IT"/>
    <m/>
    <m/>
    <m/>
    <m/>
    <m/>
    <m/>
    <m/>
  </r>
  <r>
    <s v="406-7194557-8222724"/>
    <m/>
    <s v="2024-01-20T14:47:31+00:00"/>
    <s v="2024-01-22T15:51:47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Mirabella eclano"/>
    <s v="Avellino"/>
    <n v="83036"/>
    <s v="IT"/>
    <m/>
    <m/>
    <m/>
    <m/>
    <m/>
    <m/>
    <m/>
  </r>
  <r>
    <s v="404-9434066-6761105"/>
    <m/>
    <s v="2024-01-20T14:32:10+00:00"/>
    <s v="2024-01-23T21:40:29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n v="3"/>
    <n v="0.54"/>
    <m/>
    <m/>
    <m/>
    <m/>
    <s v="ROMA"/>
    <s v="Roma"/>
    <n v="128"/>
    <s v="IT"/>
    <m/>
    <m/>
    <m/>
    <m/>
    <s v="IT12065181005"/>
    <s v="IT"/>
    <s v="VAT"/>
  </r>
  <r>
    <s v="403-3296119-8803502"/>
    <s v="403-3296119-8803502"/>
    <s v="2024-01-20T13:52:56+00:00"/>
    <s v="2024-01-20T21:32:52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Misano Adriatico"/>
    <s v="RN"/>
    <n v="47843"/>
    <s v="IT"/>
    <m/>
    <m/>
    <m/>
    <m/>
    <m/>
    <m/>
    <m/>
  </r>
  <r>
    <s v="408-3882344-3706757"/>
    <s v="408-3882344-3706757"/>
    <s v="2024-01-20T13:13:20+00:00"/>
    <s v="2024-01-21T15:49:1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ola"/>
    <s v="Napoli"/>
    <n v="80035"/>
    <s v="IT"/>
    <m/>
    <m/>
    <m/>
    <m/>
    <m/>
    <m/>
    <m/>
  </r>
  <r>
    <s v="406-5298468-2359558"/>
    <s v="406-5298468-2359558"/>
    <s v="2024-01-20T12:55:33+00:00"/>
    <s v="2024-01-22T12:13:0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enezia"/>
    <s v="Venezia"/>
    <n v="30122"/>
    <s v="IT"/>
    <m/>
    <m/>
    <m/>
    <m/>
    <m/>
    <m/>
    <m/>
  </r>
  <r>
    <s v="403-0126579-7201104"/>
    <s v="403-0126579-7201104"/>
    <s v="2024-01-20T12:49:48+00:00"/>
    <s v="2024-01-21T02:26:1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91"/>
    <s v="IT"/>
    <m/>
    <m/>
    <m/>
    <m/>
    <m/>
    <m/>
    <m/>
  </r>
  <r>
    <s v="407-0174610-4733916"/>
    <s v="407-0174610-4733916"/>
    <s v="2024-01-20T12:46:29+00:00"/>
    <s v="2024-01-21T21:24:5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Viterbo"/>
    <s v="vt"/>
    <n v="1100"/>
    <s v="IT"/>
    <m/>
    <m/>
    <m/>
    <m/>
    <m/>
    <m/>
    <m/>
  </r>
  <r>
    <s v="404-5252968-7192361"/>
    <m/>
    <s v="2024-01-20T12:27:51+00:00"/>
    <s v="2024-01-22T15:12:4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assa"/>
    <s v="Massa Carrara"/>
    <n v="54100"/>
    <s v="IT"/>
    <m/>
    <m/>
    <m/>
    <m/>
    <m/>
    <m/>
    <m/>
  </r>
  <r>
    <s v="404-6429589-4468306"/>
    <s v="404-6429589-4468306"/>
    <s v="2024-01-20T12:27:40+00:00"/>
    <s v="2024-01-22T02:27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ivorno"/>
    <s v="Livorno"/>
    <n v="57128"/>
    <s v="IT"/>
    <m/>
    <m/>
    <m/>
    <m/>
    <m/>
    <m/>
    <m/>
  </r>
  <r>
    <s v="171-7346939-1615543"/>
    <s v="171-7346939-1615543"/>
    <s v="2024-01-20T12:03:54+00:00"/>
    <s v="2024-01-20T23:13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A LUCIA DI PIAVE"/>
    <s v="Treviso"/>
    <n v="31025"/>
    <s v="IT"/>
    <m/>
    <m/>
    <m/>
    <m/>
    <m/>
    <m/>
    <m/>
  </r>
  <r>
    <s v="404-1467120-3959516"/>
    <s v="404-1467120-3959516"/>
    <s v="2024-01-20T11:39:02+00:00"/>
    <s v="2024-01-21T20:25:1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FRANCI"/>
    <s v="Avellino"/>
    <n v="83040"/>
    <s v="IT"/>
    <m/>
    <m/>
    <m/>
    <m/>
    <m/>
    <m/>
    <m/>
  </r>
  <r>
    <s v="406-9599477-4068335"/>
    <s v="406-9599477-4068335"/>
    <s v="2024-01-20T11:30:38+00:00"/>
    <s v="2024-01-20T20:44:4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ldola"/>
    <s v="Forlì"/>
    <n v="47014"/>
    <s v="IT"/>
    <m/>
    <m/>
    <m/>
    <m/>
    <m/>
    <m/>
    <m/>
  </r>
  <r>
    <s v="171-4774731-8535535"/>
    <s v="171-4774731-8535535"/>
    <s v="2024-01-20T11:21:28+00:00"/>
    <s v="2024-01-21T18:19:1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rdenone"/>
    <s v="Pordenone"/>
    <n v="33170"/>
    <s v="IT"/>
    <m/>
    <m/>
    <m/>
    <m/>
    <m/>
    <m/>
    <m/>
  </r>
  <r>
    <s v="171-0144278-8827505"/>
    <s v="171-0144278-8827505"/>
    <s v="2024-01-20T11:14:43+00:00"/>
    <s v="2024-01-21T20:54:2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ttola"/>
    <s v="Taranto"/>
    <n v="74017"/>
    <s v="IT"/>
    <m/>
    <m/>
    <m/>
    <m/>
    <m/>
    <m/>
    <m/>
  </r>
  <r>
    <s v="171-3205778-6921147"/>
    <s v="171-3205778-6921147"/>
    <s v="2024-01-20T10:52:54+00:00"/>
    <s v="2024-01-21T01:34:2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Roma"/>
    <s v="RM"/>
    <n v="124"/>
    <s v="IT"/>
    <m/>
    <m/>
    <m/>
    <m/>
    <m/>
    <m/>
    <m/>
  </r>
  <r>
    <s v="408-5716891-9248338"/>
    <m/>
    <s v="2024-01-20T10:51:36+00:00"/>
    <s v="2024-01-22T20:57:5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LALLIO"/>
    <s v="BG"/>
    <n v="24040"/>
    <s v="IT"/>
    <m/>
    <m/>
    <m/>
    <m/>
    <m/>
    <m/>
    <m/>
  </r>
  <r>
    <s v="408-6604800-0550704"/>
    <s v="408-6604800-0550704"/>
    <s v="2024-01-20T10:42:01+00:00"/>
    <s v="2024-01-21T10:30:26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SESTU"/>
    <s v="CA"/>
    <n v="9028"/>
    <s v="IT"/>
    <m/>
    <m/>
    <m/>
    <m/>
    <m/>
    <m/>
    <m/>
  </r>
  <r>
    <s v="402-4582925-0862749"/>
    <s v="402-4582925-0862749"/>
    <s v="2024-01-20T10:41:12+00:00"/>
    <s v="2024-01-21T10:10:3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TERBO"/>
    <s v="VT - Viterbo"/>
    <n v="1026"/>
    <s v="IT"/>
    <m/>
    <m/>
    <m/>
    <m/>
    <m/>
    <m/>
    <m/>
  </r>
  <r>
    <s v="403-1624825-7676328"/>
    <m/>
    <s v="2024-01-20T10:23:46+00:00"/>
    <s v="2024-01-22T15:50:3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Ancona"/>
    <s v="Marche"/>
    <n v="60125"/>
    <s v="IT"/>
    <m/>
    <m/>
    <m/>
    <m/>
    <m/>
    <m/>
    <m/>
  </r>
  <r>
    <s v="404-0302167-9675569"/>
    <s v="404-0302167-9675569"/>
    <s v="2024-01-20T10:16:02+00:00"/>
    <s v="2024-01-21T20:20:42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Parma"/>
    <s v="Parma"/>
    <n v="43123"/>
    <s v="IT"/>
    <m/>
    <m/>
    <m/>
    <m/>
    <m/>
    <m/>
    <m/>
  </r>
  <r>
    <s v="404-5044191-2377109"/>
    <m/>
    <s v="2024-01-20T10:07:35+00:00"/>
    <s v="2024-01-22T15:50:3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oma"/>
    <s v="Rm"/>
    <n v="197"/>
    <s v="IT"/>
    <m/>
    <m/>
    <m/>
    <m/>
    <m/>
    <m/>
    <m/>
  </r>
  <r>
    <s v="171-2028859-5677101"/>
    <m/>
    <s v="2024-01-20T10:02:54+00:00"/>
    <s v="2024-01-22T15:50:36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2"/>
    <s v="EUR"/>
    <n v="29.8"/>
    <n v="5.38"/>
    <n v="6"/>
    <n v="1.08"/>
    <m/>
    <m/>
    <m/>
    <m/>
    <s v="Molfetta"/>
    <s v="Bari"/>
    <n v="70056"/>
    <s v="IT"/>
    <m/>
    <m/>
    <m/>
    <m/>
    <m/>
    <m/>
    <m/>
  </r>
  <r>
    <s v="406-6180775-7173120"/>
    <m/>
    <s v="2024-01-20T10:00:13+00:00"/>
    <s v="2024-01-22T15:51:45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n v="3"/>
    <n v="0.54"/>
    <m/>
    <m/>
    <m/>
    <m/>
    <s v="San Benedetto Del Tronto"/>
    <s v="AP"/>
    <n v="63074"/>
    <s v="IT"/>
    <m/>
    <m/>
    <m/>
    <m/>
    <m/>
    <m/>
    <m/>
  </r>
  <r>
    <s v="405-2914653-8824344"/>
    <s v="405-2914653-8824344"/>
    <s v="2024-01-20T09:52:30+00:00"/>
    <s v="2024-01-20T17:27:2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MO"/>
    <s v="Como"/>
    <n v="22100"/>
    <s v="IT"/>
    <m/>
    <m/>
    <m/>
    <m/>
    <m/>
    <m/>
    <m/>
  </r>
  <r>
    <s v="405-0133502-2008301"/>
    <s v="405-0133502-2008301"/>
    <s v="2024-01-20T09:48:49+00:00"/>
    <s v="2024-01-20T09:54:48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La spezia"/>
    <s v="SP"/>
    <n v="19126"/>
    <s v="IT"/>
    <m/>
    <m/>
    <m/>
    <m/>
    <m/>
    <m/>
    <m/>
  </r>
  <r>
    <s v="408-8713893-1752301"/>
    <m/>
    <s v="2024-01-20T09:40:49+00:00"/>
    <s v="2024-01-22T15:19:3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tatte"/>
    <s v="Ta"/>
    <n v="74010"/>
    <s v="IT"/>
    <m/>
    <m/>
    <m/>
    <m/>
    <m/>
    <m/>
    <m/>
  </r>
  <r>
    <s v="408-3752001-0096361"/>
    <m/>
    <s v="2024-01-20T09:29:51+00:00"/>
    <s v="2024-01-22T15:22:1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tatte"/>
    <s v="Ta"/>
    <n v="74010"/>
    <s v="IT"/>
    <m/>
    <m/>
    <m/>
    <m/>
    <m/>
    <m/>
    <m/>
  </r>
  <r>
    <s v="407-2845441-1181113"/>
    <s v="407-2845441-1181113"/>
    <s v="2024-01-20T09:08:59+00:00"/>
    <s v="2024-01-20T15:44:45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Deruta"/>
    <s v="PG"/>
    <n v="6051"/>
    <s v="IT"/>
    <m/>
    <m/>
    <m/>
    <m/>
    <m/>
    <m/>
    <m/>
  </r>
  <r>
    <s v="408-0674216-5926707"/>
    <s v="408-0674216-5926707"/>
    <s v="2024-01-20T08:50:02+00:00"/>
    <s v="2024-01-24T01:27:46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5-3939740-9586755"/>
    <m/>
    <s v="2024-01-20T08:33:04+00:00"/>
    <s v="2024-01-22T15:11:32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Casacalenda"/>
    <s v="Campobasso"/>
    <n v="86043"/>
    <s v="IT"/>
    <m/>
    <m/>
    <m/>
    <m/>
    <m/>
    <m/>
    <m/>
  </r>
  <r>
    <s v="408-1419203-4173148"/>
    <s v="408-1419203-4173148"/>
    <s v="2024-01-20T06:58:39+00:00"/>
    <s v="2024-01-22T10:22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areggio"/>
    <s v="milano"/>
    <n v="20008"/>
    <s v="IT"/>
    <m/>
    <m/>
    <m/>
    <m/>
    <m/>
    <m/>
    <m/>
  </r>
  <r>
    <s v="405-8874670-1985961"/>
    <s v="405-8874670-1985961"/>
    <s v="2024-01-20T06:12:56+00:00"/>
    <s v="2024-01-21T03:41:39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n v="2.4900000000000002"/>
    <n v="0.45"/>
    <m/>
    <m/>
    <m/>
    <m/>
    <s v="VOLTANA"/>
    <s v="Ravenna"/>
    <n v="48022"/>
    <s v="IT"/>
    <m/>
    <m/>
    <m/>
    <m/>
    <m/>
    <m/>
    <m/>
  </r>
  <r>
    <s v="408-8510908-8493967"/>
    <s v="408-8510908-8493967"/>
    <s v="2024-01-19T23:52:11+00:00"/>
    <s v="2024-01-24T01:26:12+00:00"/>
    <s v="Shipped"/>
    <x v="0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0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1798050-6522724"/>
    <s v="171-1798050-6522724"/>
    <s v="2024-01-19T23:31:10+00:00"/>
    <s v="2024-01-20T21:17:25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Pescara"/>
    <s v="Pescara"/>
    <n v="65128"/>
    <s v="IT"/>
    <m/>
    <m/>
    <m/>
    <m/>
    <m/>
    <m/>
    <m/>
  </r>
  <r>
    <s v="407-9403582-2012310"/>
    <s v="407-9403582-2012310"/>
    <s v="2024-01-19T21:51:35+00:00"/>
    <s v="2024-01-20T17:20:22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trani"/>
    <s v="bt"/>
    <n v="76125"/>
    <s v="IT"/>
    <m/>
    <m/>
    <m/>
    <m/>
    <m/>
    <m/>
    <m/>
  </r>
  <r>
    <s v="402-3421233-6959504"/>
    <m/>
    <s v="2024-01-19T21:32:15+00:00"/>
    <s v="2024-01-22T16:01:3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ilano"/>
    <s v="MI"/>
    <n v="20143"/>
    <s v="IT"/>
    <m/>
    <m/>
    <m/>
    <m/>
    <m/>
    <m/>
    <m/>
  </r>
  <r>
    <s v="405-1293162-3876351"/>
    <s v="405-1293162-3876351"/>
    <s v="2024-01-19T21:29:38+00:00"/>
    <s v="2024-01-21T11:49:2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"/>
    <n v="20146"/>
    <s v="IT"/>
    <m/>
    <m/>
    <m/>
    <m/>
    <m/>
    <m/>
    <m/>
  </r>
  <r>
    <s v="171-5507330-8493912"/>
    <m/>
    <s v="2024-01-19T21:28:53+00:00"/>
    <s v="2024-01-25T13:08:00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Pagnacco"/>
    <s v="UD"/>
    <n v="33010"/>
    <s v="IT"/>
    <m/>
    <m/>
    <m/>
    <m/>
    <m/>
    <m/>
    <m/>
  </r>
  <r>
    <s v="405-8360718-4010748"/>
    <s v="405-8360718-4010748"/>
    <s v="2024-01-19T21:20:35+00:00"/>
    <s v="2024-01-20T02:24:3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escara"/>
    <s v="Pescara"/>
    <n v="65129"/>
    <s v="IT"/>
    <m/>
    <m/>
    <m/>
    <m/>
    <m/>
    <m/>
    <m/>
  </r>
  <r>
    <s v="408-9398578-5169939"/>
    <s v="408-9398578-5169939"/>
    <s v="2024-01-19T21:20:25+00:00"/>
    <s v="2024-01-20T21:10:48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Cinisello balsamo"/>
    <s v="Milano"/>
    <n v="20092"/>
    <s v="IT"/>
    <m/>
    <m/>
    <m/>
    <m/>
    <m/>
    <m/>
    <m/>
  </r>
  <r>
    <s v="402-1997085-8969125"/>
    <s v="402-1997085-8969125"/>
    <s v="2024-01-19T21:12:37+00:00"/>
    <s v="2024-01-20T02:28:2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sino"/>
    <s v="Frosinone"/>
    <n v="3043"/>
    <s v="IT"/>
    <m/>
    <m/>
    <m/>
    <m/>
    <m/>
    <m/>
    <m/>
  </r>
  <r>
    <s v="403-2093456-4482703"/>
    <s v="403-2093456-4482703"/>
    <s v="2024-01-19T21:09:29+00:00"/>
    <s v="2024-01-19T23:45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39"/>
    <s v="IT"/>
    <m/>
    <m/>
    <m/>
    <m/>
    <m/>
    <m/>
    <m/>
  </r>
  <r>
    <s v="404-1991261-5768363"/>
    <s v="404-1991261-5768363"/>
    <s v="2024-01-19T20:39:48+00:00"/>
    <s v="2024-01-21T12:02:27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Lecco"/>
    <s v="LC"/>
    <n v="23900"/>
    <s v="IT"/>
    <m/>
    <m/>
    <m/>
    <m/>
    <m/>
    <m/>
    <m/>
  </r>
  <r>
    <s v="403-6670562-1174716"/>
    <m/>
    <s v="2024-01-19T20:35:12+00:00"/>
    <s v="2024-01-22T15:50:3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Lucca"/>
    <s v="Lucca"/>
    <n v="55100"/>
    <s v="IT"/>
    <m/>
    <m/>
    <m/>
    <m/>
    <m/>
    <m/>
    <m/>
  </r>
  <r>
    <s v="408-5817893-3657961"/>
    <m/>
    <s v="2024-01-19T20:30:54+00:00"/>
    <s v="2024-01-22T15:50:2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astelfidardo"/>
    <s v="AN"/>
    <n v="60022"/>
    <s v="IT"/>
    <m/>
    <m/>
    <m/>
    <m/>
    <m/>
    <m/>
    <m/>
  </r>
  <r>
    <s v="406-4051888-2501130"/>
    <s v="406-4051888-2501130"/>
    <s v="2024-01-19T20:25:31+00:00"/>
    <s v="2024-01-20T20:53:3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RGO REVEL"/>
    <s v="Torino"/>
    <n v="10038"/>
    <s v="IT"/>
    <m/>
    <m/>
    <m/>
    <m/>
    <m/>
    <m/>
    <m/>
  </r>
  <r>
    <s v="408-1517327-2064306"/>
    <m/>
    <s v="2024-01-19T20:08:31+00:00"/>
    <s v="2024-01-22T16:01:3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Alvito"/>
    <s v="Frosinone"/>
    <n v="3041"/>
    <s v="IT"/>
    <m/>
    <m/>
    <m/>
    <m/>
    <m/>
    <m/>
    <m/>
  </r>
  <r>
    <s v="404-8179041-8677943"/>
    <s v="404-8179041-8677943"/>
    <s v="2024-01-19T19:58:22+00:00"/>
    <s v="2024-01-20T20:45:5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nova"/>
    <m/>
    <n v="16149"/>
    <s v="IT"/>
    <m/>
    <m/>
    <m/>
    <m/>
    <m/>
    <m/>
    <m/>
  </r>
  <r>
    <s v="404-2281822-5859527"/>
    <m/>
    <s v="2024-01-19T18:55:26+00:00"/>
    <s v="2024-01-22T15:51:4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San Felice Circeo"/>
    <s v="Latina"/>
    <n v="4017"/>
    <s v="IT"/>
    <m/>
    <m/>
    <m/>
    <m/>
    <m/>
    <m/>
    <m/>
  </r>
  <r>
    <s v="406-1757666-6429115"/>
    <s v="406-1757666-6429115"/>
    <s v="2024-01-19T18:50:55+00:00"/>
    <s v="2024-01-20T23:23:3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rato"/>
    <s v="PO"/>
    <n v="59100"/>
    <s v="IT"/>
    <m/>
    <m/>
    <m/>
    <m/>
    <m/>
    <m/>
    <m/>
  </r>
  <r>
    <s v="406-7712346-3765153"/>
    <s v="406-7712346-3765153"/>
    <s v="2024-01-19T18:28:52+00:00"/>
    <s v="2024-01-20T00:30:4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gnola"/>
    <s v="MO"/>
    <n v="41058"/>
    <s v="IT"/>
    <m/>
    <m/>
    <m/>
    <m/>
    <m/>
    <m/>
    <m/>
  </r>
  <r>
    <s v="404-1010519-4881942"/>
    <s v="404-1010519-4881942"/>
    <s v="2024-01-19T17:43:29+00:00"/>
    <s v="2024-01-19T20:21:1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renze"/>
    <s v="Firenze"/>
    <n v="50126"/>
    <s v="IT"/>
    <m/>
    <m/>
    <m/>
    <m/>
    <m/>
    <m/>
    <m/>
  </r>
  <r>
    <s v="407-1181570-4560348"/>
    <s v="407-1181570-4560348"/>
    <s v="2024-01-19T17:38:13+00:00"/>
    <s v="2024-01-21T14:11:5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0900000000000001"/>
    <m/>
    <m/>
    <m/>
    <m/>
    <n v="1.0900000000000001"/>
    <s v="Torino"/>
    <s v="Torino"/>
    <n v="10146"/>
    <s v="IT"/>
    <m/>
    <m/>
    <m/>
    <m/>
    <m/>
    <m/>
    <m/>
  </r>
  <r>
    <s v="404-0568821-7057152"/>
    <s v="404-0568821-7057152"/>
    <s v="2024-01-19T17:36:08+00:00"/>
    <s v="2024-01-24T17:54:23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Gaglianico"/>
    <s v="Biella"/>
    <n v="13894"/>
    <s v="IT"/>
    <m/>
    <m/>
    <m/>
    <m/>
    <m/>
    <m/>
    <m/>
  </r>
  <r>
    <s v="402-5936300-7503532"/>
    <m/>
    <s v="2024-01-19T17:17:23+00:00"/>
    <s v="2024-01-23T07:18:50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m/>
    <m/>
    <m/>
    <m/>
    <m/>
    <m/>
    <m/>
    <m/>
    <m/>
    <m/>
    <m/>
  </r>
  <r>
    <s v="408-3996587-9212369"/>
    <s v="408-3996587-9212369"/>
    <s v="2024-01-19T17:12:12+00:00"/>
    <s v="2024-01-20T00:30:4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s v="BO"/>
    <n v="40125"/>
    <s v="IT"/>
    <m/>
    <m/>
    <m/>
    <m/>
    <m/>
    <m/>
    <m/>
  </r>
  <r>
    <s v="402-4188271-3325905"/>
    <m/>
    <s v="2024-01-19T17:01:48+00:00"/>
    <s v="2024-01-22T15:11:3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Vaiano Cremasco"/>
    <s v="Cremona"/>
    <n v="26010"/>
    <s v="IT"/>
    <m/>
    <m/>
    <m/>
    <m/>
    <m/>
    <m/>
    <m/>
  </r>
  <r>
    <s v="402-4318210-3541931"/>
    <m/>
    <s v="2024-01-19T16:44:10+00:00"/>
    <s v="2024-01-22T14:51:51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70.900000000000006"/>
    <n v="12.79"/>
    <n v="3"/>
    <n v="0.54"/>
    <m/>
    <m/>
    <m/>
    <m/>
    <s v="Ottaviano"/>
    <s v="Napoli"/>
    <n v="80044"/>
    <s v="IT"/>
    <m/>
    <m/>
    <m/>
    <m/>
    <s v="IT07689611213"/>
    <s v="IT"/>
    <s v="VAT"/>
  </r>
  <r>
    <s v="404-6164332-0045921"/>
    <m/>
    <s v="2024-01-19T16:25:32+00:00"/>
    <s v="2024-01-22T15:51:3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oma"/>
    <s v="RM"/>
    <n v="181"/>
    <s v="IT"/>
    <m/>
    <m/>
    <m/>
    <m/>
    <m/>
    <m/>
    <m/>
  </r>
  <r>
    <s v="402-8921714-9793152"/>
    <m/>
    <s v="2024-01-19T16:20:13+00:00"/>
    <s v="2024-01-22T16:01:5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oma"/>
    <s v="Roma"/>
    <n v="188"/>
    <s v="IT"/>
    <m/>
    <m/>
    <m/>
    <m/>
    <m/>
    <m/>
    <m/>
  </r>
  <r>
    <s v="405-7038473-6547521"/>
    <m/>
    <s v="2024-01-19T16:08:52+00:00"/>
    <s v="2024-01-22T14:42:32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Resana"/>
    <s v="Treviso"/>
    <n v="31023"/>
    <s v="IT"/>
    <m/>
    <m/>
    <m/>
    <m/>
    <m/>
    <m/>
    <m/>
  </r>
  <r>
    <s v="171-7974067-3581133"/>
    <s v="171-7974067-3581133"/>
    <s v="2024-01-19T15:40:39+00:00"/>
    <s v="2024-01-19T22:15:55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SAN PIETRO"/>
    <s v="Modena"/>
    <n v="41030"/>
    <s v="IT"/>
    <m/>
    <m/>
    <m/>
    <m/>
    <m/>
    <m/>
    <m/>
  </r>
  <r>
    <s v="403-6029283-3554700"/>
    <s v="403-6029283-3554700"/>
    <s v="2024-01-19T15:33:27+00:00"/>
    <s v="2024-01-21T21:24:3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m/>
    <n v="171"/>
    <s v="IT"/>
    <m/>
    <m/>
    <m/>
    <m/>
    <m/>
    <m/>
    <m/>
  </r>
  <r>
    <s v="407-3030389-0065108"/>
    <m/>
    <s v="2024-01-19T15:30:58+00:00"/>
    <s v="2024-01-22T21:09:58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Mariano Comense"/>
    <s v="Como"/>
    <n v="22066"/>
    <s v="IT"/>
    <m/>
    <m/>
    <m/>
    <m/>
    <m/>
    <m/>
    <m/>
  </r>
  <r>
    <s v="405-2974502-2346747"/>
    <s v="405-2974502-2346747"/>
    <s v="2024-01-19T14:57:37+00:00"/>
    <s v="2024-01-23T21:28:3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m/>
    <n v="40137"/>
    <s v="IT"/>
    <m/>
    <m/>
    <m/>
    <m/>
    <m/>
    <m/>
    <m/>
  </r>
  <r>
    <s v="408-1071917-1668328"/>
    <m/>
    <s v="2024-01-19T14:28:31+00:00"/>
    <s v="2024-01-22T15:40:13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Pescara"/>
    <s v="Pescara"/>
    <n v="65126"/>
    <s v="IT"/>
    <m/>
    <m/>
    <m/>
    <m/>
    <m/>
    <m/>
    <m/>
  </r>
  <r>
    <s v="408-0094260-4602702"/>
    <s v="408-0094260-4602702"/>
    <s v="2024-01-19T14:16:33+00:00"/>
    <s v="2024-01-21T03:58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1"/>
    <s v="IT"/>
    <m/>
    <m/>
    <m/>
    <m/>
    <s v="IT07295480961"/>
    <s v="IT"/>
    <s v="VAT"/>
  </r>
  <r>
    <s v="405-8254896-0385928"/>
    <m/>
    <s v="2024-01-19T14:01:43+00:00"/>
    <s v="2024-01-26T08:32:1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ampagna"/>
    <s v="Salerno"/>
    <n v="84022"/>
    <s v="IT"/>
    <m/>
    <m/>
    <m/>
    <m/>
    <m/>
    <m/>
    <m/>
  </r>
  <r>
    <s v="408-2195835-4049110"/>
    <s v="408-2195835-4049110"/>
    <s v="2024-01-19T13:59:29+00:00"/>
    <s v="2024-01-19T17:26:0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izzano"/>
    <s v="Taranto"/>
    <n v="74020"/>
    <s v="IT"/>
    <m/>
    <m/>
    <m/>
    <m/>
    <m/>
    <m/>
    <m/>
  </r>
  <r>
    <s v="406-6507622-1713131"/>
    <m/>
    <s v="2024-01-19T13:52:27+00:00"/>
    <s v="2024-01-22T16:01:03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4.9"/>
    <n v="2.69"/>
    <n v="3"/>
    <n v="0.54"/>
    <m/>
    <m/>
    <m/>
    <m/>
    <s v="eraclea"/>
    <s v="Venezia"/>
    <n v="30020"/>
    <s v="IT"/>
    <m/>
    <m/>
    <m/>
    <m/>
    <m/>
    <m/>
    <m/>
  </r>
  <r>
    <s v="405-2825372-6750715"/>
    <m/>
    <s v="2024-01-19T13:48:14+00:00"/>
    <s v="2024-01-22T15:51:42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Marcon"/>
    <s v="Venezia"/>
    <n v="30020"/>
    <s v="IT"/>
    <m/>
    <m/>
    <m/>
    <m/>
    <m/>
    <m/>
    <m/>
  </r>
  <r>
    <s v="408-3592799-5414760"/>
    <s v="408-3592799-5414760"/>
    <s v="2024-01-19T13:27:06+00:00"/>
    <s v="2024-01-19T23:23:4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zergrande"/>
    <s v="Padova"/>
    <n v="35020"/>
    <s v="IT"/>
    <m/>
    <m/>
    <m/>
    <m/>
    <m/>
    <m/>
    <m/>
  </r>
  <r>
    <s v="407-1725897-7522769"/>
    <s v="407-1725897-7522769"/>
    <s v="2024-01-19T13:25:15+00:00"/>
    <s v="2024-01-19T23:40:46+00:00"/>
    <s v="Shipped"/>
    <x v="0"/>
    <x v="3"/>
    <m/>
    <m/>
    <s v="Expedited"/>
    <s v="BEPER BT.150Y Macchina per Hot Dog, 5 Livelli di Cottura, 750 Watt, Design Vintage, Rosso"/>
    <s v="BT.150Y_FBA"/>
    <x v="5"/>
    <s v="Shipped"/>
    <n v="1"/>
    <s v="EUR"/>
    <n v="39.9"/>
    <n v="7.2"/>
    <m/>
    <m/>
    <m/>
    <m/>
    <m/>
    <m/>
    <s v="Roma"/>
    <s v="RM"/>
    <n v="168"/>
    <s v="IT"/>
    <m/>
    <m/>
    <m/>
    <m/>
    <m/>
    <m/>
    <m/>
  </r>
  <r>
    <s v="408-9504253-6733152"/>
    <s v="408-9504253-6733152"/>
    <s v="2024-01-19T13:12:49+00:00"/>
    <s v="2024-01-19T13:15:49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Arzergrande"/>
    <s v="Padova"/>
    <n v="35020"/>
    <s v="IT"/>
    <m/>
    <m/>
    <m/>
    <m/>
    <m/>
    <m/>
    <m/>
  </r>
  <r>
    <s v="405-3002615-8430754"/>
    <m/>
    <s v="2024-01-19T13:07:17+00:00"/>
    <s v="2024-01-22T15:21:4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ianfei"/>
    <s v="Cuneo"/>
    <n v="12080"/>
    <s v="IT"/>
    <m/>
    <m/>
    <m/>
    <m/>
    <m/>
    <m/>
    <m/>
  </r>
  <r>
    <s v="407-6511196-9283500"/>
    <s v="407-6511196-9283500"/>
    <s v="2024-01-19T12:44:01+00:00"/>
    <s v="2024-01-20T01:31:2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73"/>
    <s v="IT"/>
    <m/>
    <m/>
    <m/>
    <m/>
    <s v="CZZNNL80P65D086J"/>
    <s v="IT"/>
    <s v="CitizenId"/>
  </r>
  <r>
    <s v="171-9027197-5137107"/>
    <s v="171-9027197-5137107"/>
    <s v="2024-01-19T12:39:54+00:00"/>
    <s v="2024-01-20T07:52:0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ieti"/>
    <s v="Rieti"/>
    <n v="2100"/>
    <s v="IT"/>
    <m/>
    <m/>
    <m/>
    <m/>
    <m/>
    <m/>
    <m/>
  </r>
  <r>
    <s v="406-8178027-4210742"/>
    <m/>
    <s v="2024-01-19T12:25:55+00:00"/>
    <s v="2024-01-22T16:01:41+00:00"/>
    <s v="Shipped"/>
    <x v="1"/>
    <x v="3"/>
    <s v="WebsiteOrderChannel"/>
    <m/>
    <s v="Standard"/>
    <s v="BEPER 90.825 Fornello Elettrico in Acciaio Inossidabile con 5 Livelli di Potenza - Fornello Elettrico 2 Piastre"/>
    <n v="90825"/>
    <x v="23"/>
    <s v="Shipped"/>
    <n v="1"/>
    <s v="EUR"/>
    <n v="46.9"/>
    <n v="8.4600000000000009"/>
    <n v="3"/>
    <n v="0.54"/>
    <m/>
    <m/>
    <m/>
    <m/>
    <s v="Concesio"/>
    <s v="Brescia"/>
    <n v="25062"/>
    <s v="IT"/>
    <m/>
    <m/>
    <m/>
    <m/>
    <m/>
    <m/>
    <m/>
  </r>
  <r>
    <s v="404-0631920-6779549"/>
    <m/>
    <s v="2024-01-19T12:05:41+00:00"/>
    <s v="2024-01-22T16:01:1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ILANO"/>
    <s v="MI"/>
    <n v="20145"/>
    <s v="IT"/>
    <m/>
    <m/>
    <m/>
    <m/>
    <m/>
    <m/>
    <m/>
  </r>
  <r>
    <s v="406-1475256-5669942"/>
    <s v="406-1475256-5669942"/>
    <s v="2024-01-19T11:56:34+00:00"/>
    <s v="2024-01-19T23:47:2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Giovanni Lupatoto"/>
    <s v="VR"/>
    <n v="37057"/>
    <s v="IT"/>
    <m/>
    <m/>
    <m/>
    <m/>
    <m/>
    <m/>
    <m/>
  </r>
  <r>
    <s v="171-0011314-5325158"/>
    <s v="171-0011314-5325158"/>
    <s v="2024-01-19T11:38:54+00:00"/>
    <s v="2024-01-19T16:22:58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ARESE"/>
    <s v="MI"/>
    <n v="20044"/>
    <s v="IT"/>
    <m/>
    <m/>
    <m/>
    <m/>
    <m/>
    <m/>
    <m/>
  </r>
  <r>
    <s v="404-0117981-8929940"/>
    <s v="404-0117981-8929940"/>
    <s v="2024-01-19T11:38:20+00:00"/>
    <s v="2024-01-19T16:55:5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Carbonia"/>
    <s v="SU"/>
    <n v="9013"/>
    <s v="IT"/>
    <m/>
    <m/>
    <m/>
    <m/>
    <m/>
    <m/>
    <m/>
  </r>
  <r>
    <s v="406-2323944-5336307"/>
    <m/>
    <s v="2024-01-19T11:32:39+00:00"/>
    <s v="2024-01-22T15:52:5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Arcole"/>
    <s v="Italia Veneto Verona"/>
    <n v="37040"/>
    <s v="IT"/>
    <m/>
    <m/>
    <m/>
    <m/>
    <m/>
    <m/>
    <m/>
  </r>
  <r>
    <s v="406-1159356-1901901"/>
    <s v="406-1159356-1901901"/>
    <s v="2024-01-19T11:31:03+00:00"/>
    <s v="2024-01-19T20:01:40+00:00"/>
    <s v="Shipped"/>
    <x v="0"/>
    <x v="3"/>
    <m/>
    <m/>
    <s v="Standar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m/>
    <n v="6.21"/>
    <m/>
    <m/>
    <m/>
    <m/>
    <m/>
    <s v="Eindhoven"/>
    <s v="Paesi Bassi"/>
    <s v="5641JA"/>
    <s v="NL"/>
    <m/>
    <m/>
    <m/>
    <m/>
    <m/>
    <m/>
    <m/>
  </r>
  <r>
    <s v="403-9098699-9531512"/>
    <m/>
    <s v="2024-01-19T11:20:39+00:00"/>
    <s v="2024-01-24T11:23:56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Samassi"/>
    <s v="Sud Sardegna"/>
    <n v="9030"/>
    <s v="IT"/>
    <m/>
    <m/>
    <m/>
    <m/>
    <m/>
    <m/>
    <m/>
  </r>
  <r>
    <s v="405-9099141-7673108"/>
    <m/>
    <s v="2024-01-19T11:07:47+00:00"/>
    <s v="2024-01-22T15:50:3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ologno Monzese"/>
    <s v="Milano"/>
    <n v="20093"/>
    <s v="IT"/>
    <m/>
    <m/>
    <m/>
    <m/>
    <m/>
    <m/>
    <m/>
  </r>
  <r>
    <s v="405-5820231-0130757"/>
    <s v="405-5820231-0130757"/>
    <s v="2024-01-19T10:51:49+00:00"/>
    <s v="2024-01-21T20:35:5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itigliano"/>
    <s v="grosseto"/>
    <n v="58017"/>
    <s v="IT"/>
    <m/>
    <m/>
    <m/>
    <m/>
    <m/>
    <m/>
    <m/>
  </r>
  <r>
    <s v="408-8495261-1249162"/>
    <s v="408-8495261-1249162"/>
    <s v="2024-01-19T10:45:30+00:00"/>
    <s v="2024-01-19T21:02:1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enevento"/>
    <s v="bn"/>
    <n v="82100"/>
    <s v="IT"/>
    <m/>
    <m/>
    <m/>
    <m/>
    <m/>
    <m/>
    <m/>
  </r>
  <r>
    <s v="405-7219141-7125153"/>
    <s v="405-7219141-7125153"/>
    <s v="2024-01-19T10:42:27+00:00"/>
    <s v="2024-01-20T11:30:4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2.5"/>
    <n v="0.45"/>
    <m/>
    <m/>
    <m/>
    <m/>
    <s v="Aymavilles"/>
    <s v="Aosta"/>
    <n v="11010"/>
    <s v="IT"/>
    <m/>
    <m/>
    <m/>
    <m/>
    <m/>
    <m/>
    <m/>
  </r>
  <r>
    <s v="404-2603478-5705105"/>
    <s v="404-2603478-5705105"/>
    <s v="2024-01-19T10:32:58+00:00"/>
    <s v="2024-01-21T10:25:3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Roma"/>
    <s v="Roma"/>
    <n v="195"/>
    <s v="IT"/>
    <m/>
    <m/>
    <m/>
    <m/>
    <m/>
    <m/>
    <m/>
  </r>
  <r>
    <s v="408-5180340-5567522"/>
    <s v="408-5180340-5567522"/>
    <s v="2024-01-19T10:23:59+00:00"/>
    <s v="2024-01-19T15:34:5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PPANO"/>
    <s v="PIEMONTE"/>
    <n v="10072"/>
    <s v="IT"/>
    <m/>
    <m/>
    <m/>
    <m/>
    <m/>
    <m/>
    <m/>
  </r>
  <r>
    <s v="402-9607035-2736312"/>
    <s v="402-9607035-2736312"/>
    <s v="2024-01-19T10:15:28+00:00"/>
    <s v="2024-01-19T17:33:1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"/>
    <n v="20129"/>
    <s v="IT"/>
    <m/>
    <m/>
    <m/>
    <m/>
    <s v="IT07134890966"/>
    <s v="IT"/>
    <s v="VAT"/>
  </r>
  <r>
    <s v="402-0417871-4504345"/>
    <s v="402-0417871-4504345"/>
    <s v="2024-01-19T09:35:42+00:00"/>
    <s v="2024-01-19T23:45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OPPEANO"/>
    <s v="Verona"/>
    <n v="37050"/>
    <s v="IT"/>
    <m/>
    <m/>
    <m/>
    <m/>
    <m/>
    <m/>
    <m/>
  </r>
  <r>
    <s v="404-2725420-9121945"/>
    <m/>
    <s v="2024-01-19T09:15:32+00:00"/>
    <s v="2024-01-22T15:50:36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Marsala"/>
    <s v="Trapani"/>
    <n v="91025"/>
    <s v="IT"/>
    <m/>
    <m/>
    <m/>
    <m/>
    <m/>
    <m/>
    <m/>
  </r>
  <r>
    <s v="404-2725420-9121945"/>
    <m/>
    <s v="2024-01-19T09:15:32+00:00"/>
    <s v="2024-01-22T15:50:36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Marsala"/>
    <s v="Trapani"/>
    <n v="91025"/>
    <s v="IT"/>
    <m/>
    <m/>
    <m/>
    <m/>
    <m/>
    <m/>
    <m/>
  </r>
  <r>
    <s v="405-2033990-7493133"/>
    <m/>
    <s v="2024-01-19T07:33:37+00:00"/>
    <s v="2024-01-22T15:22:10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2"/>
    <s v="EUR"/>
    <n v="45.8"/>
    <n v="8.26"/>
    <n v="6"/>
    <n v="1.08"/>
    <m/>
    <m/>
    <m/>
    <m/>
    <s v="Lozzo atestino"/>
    <s v="Italia/Padova/veneto"/>
    <n v="35034"/>
    <s v="IT"/>
    <m/>
    <m/>
    <m/>
    <m/>
    <m/>
    <m/>
    <m/>
  </r>
  <r>
    <s v="407-4535981-5878709"/>
    <s v="407-4535981-5878709"/>
    <s v="2024-01-19T07:26:27+00:00"/>
    <s v="2024-01-19T20:54:4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ivitella di Romagna"/>
    <s v="FC"/>
    <n v="47012"/>
    <s v="IT"/>
    <m/>
    <m/>
    <m/>
    <m/>
    <m/>
    <m/>
    <m/>
  </r>
  <r>
    <s v="408-0557170-6039528"/>
    <s v="408-0557170-6039528"/>
    <s v="2024-01-19T06:05:11+00:00"/>
    <s v="2024-01-19T06:07:12+00:00"/>
    <s v="Cancell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Cancelled"/>
    <n v="0"/>
    <m/>
    <m/>
    <m/>
    <m/>
    <m/>
    <m/>
    <m/>
    <m/>
    <m/>
    <s v="Selargius"/>
    <s v="CA"/>
    <n v="9047"/>
    <s v="IT"/>
    <m/>
    <m/>
    <m/>
    <m/>
    <m/>
    <m/>
    <m/>
  </r>
  <r>
    <s v="406-1524360-5312362"/>
    <s v="406-1524360-5312362"/>
    <s v="2024-01-19T05:28:54+00:00"/>
    <s v="2024-01-19T21:01:5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ngri"/>
    <s v="Salerno"/>
    <n v="84012"/>
    <s v="IT"/>
    <m/>
    <m/>
    <m/>
    <m/>
    <m/>
    <m/>
    <m/>
  </r>
  <r>
    <s v="404-0660981-2153133"/>
    <s v="404-0660981-2153133"/>
    <s v="2024-01-19T04:46:14+00:00"/>
    <s v="2024-01-19T23:45:5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evico Terme"/>
    <s v="Trento"/>
    <n v="38056"/>
    <s v="IT"/>
    <m/>
    <m/>
    <m/>
    <m/>
    <m/>
    <m/>
    <m/>
  </r>
  <r>
    <s v="406-9478581-3421908"/>
    <s v="406-9478581-3421908"/>
    <s v="2024-01-19T00:23:34+00:00"/>
    <s v="2024-01-19T18:16:3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oliera"/>
    <s v="MO"/>
    <n v="41019"/>
    <s v="IT"/>
    <m/>
    <m/>
    <m/>
    <m/>
    <m/>
    <m/>
    <m/>
  </r>
  <r>
    <s v="402-8265532-9149926"/>
    <s v="402-8265532-9149926"/>
    <s v="2024-01-18T23:46:50+00:00"/>
    <s v="2024-01-19T15:51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ndiolo"/>
    <s v="TO"/>
    <n v="10060"/>
    <s v="IT"/>
    <m/>
    <m/>
    <m/>
    <m/>
    <m/>
    <m/>
    <m/>
  </r>
  <r>
    <s v="407-5591247-8110766"/>
    <s v="407-5591247-8110766"/>
    <s v="2024-01-18T22:49:15+00:00"/>
    <s v="2024-01-19T21:35:3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riano"/>
    <s v="Rimini"/>
    <n v="47853"/>
    <s v="IT"/>
    <m/>
    <m/>
    <m/>
    <m/>
    <m/>
    <m/>
    <m/>
  </r>
  <r>
    <s v="403-2269522-8850752"/>
    <s v="403-2269522-8850752"/>
    <s v="2024-01-18T22:35:31+00:00"/>
    <s v="2024-01-19T01:23:5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lteno"/>
    <s v="lc"/>
    <n v="23847"/>
    <s v="IT"/>
    <m/>
    <m/>
    <m/>
    <m/>
    <m/>
    <m/>
    <m/>
  </r>
  <r>
    <s v="403-3964644-6424320"/>
    <s v="403-3964644-6424320"/>
    <s v="2024-01-18T22:09:42+00:00"/>
    <s v="2024-01-21T23:04:26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Zelarino"/>
    <s v="Venezia"/>
    <n v="30174"/>
    <s v="IT"/>
    <m/>
    <m/>
    <m/>
    <m/>
    <m/>
    <m/>
    <m/>
  </r>
  <r>
    <s v="405-3571401-0100347"/>
    <s v="405-3571401-0100347"/>
    <s v="2024-01-18T22:04:24+00:00"/>
    <s v="2024-01-19T01:18:0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42"/>
    <s v="IT"/>
    <m/>
    <m/>
    <m/>
    <m/>
    <m/>
    <m/>
    <m/>
  </r>
  <r>
    <s v="407-0564629-6604325"/>
    <s v="407-0564629-6604325"/>
    <s v="2024-01-18T21:59:51+00:00"/>
    <s v="2024-01-19T02:20:3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egni"/>
    <s v="Roma"/>
    <n v="37"/>
    <s v="IT"/>
    <m/>
    <m/>
    <m/>
    <m/>
    <m/>
    <m/>
    <m/>
  </r>
  <r>
    <s v="171-5871882-0651521"/>
    <s v="171-5871882-0651521"/>
    <s v="2024-01-18T21:32:40+00:00"/>
    <s v="2024-01-19T21:35:2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abicce Mare"/>
    <s v="PU"/>
    <n v="61011"/>
    <s v="IT"/>
    <m/>
    <m/>
    <m/>
    <m/>
    <m/>
    <m/>
    <m/>
  </r>
  <r>
    <s v="404-5973593-4848317"/>
    <s v="404-5973593-4848317"/>
    <s v="2024-01-18T21:24:40+00:00"/>
    <s v="2024-01-19T02:32:1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ichiari"/>
    <s v="Brescia"/>
    <n v="25018"/>
    <s v="IT"/>
    <m/>
    <m/>
    <m/>
    <m/>
    <m/>
    <m/>
    <m/>
  </r>
  <r>
    <s v="403-0135172-7073914"/>
    <m/>
    <s v="2024-01-18T21:11:58+00:00"/>
    <s v="2024-01-19T17:55:0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Arena po"/>
    <s v="Pavia"/>
    <n v="27040"/>
    <s v="IT"/>
    <m/>
    <m/>
    <m/>
    <m/>
    <m/>
    <m/>
    <m/>
  </r>
  <r>
    <s v="171-3830856-4665139"/>
    <s v="171-3830856-4665139"/>
    <s v="2024-01-18T21:05:46+00:00"/>
    <s v="2024-01-20T04:40:4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errara"/>
    <m/>
    <n v="44123"/>
    <s v="IT"/>
    <m/>
    <m/>
    <m/>
    <m/>
    <m/>
    <m/>
    <m/>
  </r>
  <r>
    <s v="171-5223953-8956358"/>
    <m/>
    <s v="2024-01-18T20:43:46+00:00"/>
    <s v="2024-01-19T17:32:1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ettimo Milanese"/>
    <s v="Milano"/>
    <n v="20019"/>
    <s v="IT"/>
    <m/>
    <m/>
    <m/>
    <m/>
    <m/>
    <m/>
    <m/>
  </r>
  <r>
    <s v="407-3157148-7596352"/>
    <m/>
    <s v="2024-01-18T20:23:07+00:00"/>
    <s v="2024-01-19T13:06:0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hiampo"/>
    <s v="VI"/>
    <n v="36072"/>
    <s v="IT"/>
    <m/>
    <m/>
    <m/>
    <m/>
    <m/>
    <m/>
    <m/>
  </r>
  <r>
    <s v="402-1345041-4961110"/>
    <m/>
    <s v="2024-01-18T20:22:38+00:00"/>
    <s v="2024-01-19T13:06:0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aivano"/>
    <s v="Napoli"/>
    <n v="80023"/>
    <s v="IT"/>
    <m/>
    <m/>
    <m/>
    <m/>
    <m/>
    <m/>
    <m/>
  </r>
  <r>
    <s v="404-2840793-4434760"/>
    <s v="404-2840793-4434760"/>
    <s v="2024-01-18T19:32:01+00:00"/>
    <s v="2024-01-19T00:56:2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nzola Dell Emilia"/>
    <s v="Bologna"/>
    <n v="40011"/>
    <s v="IT"/>
    <m/>
    <m/>
    <m/>
    <m/>
    <m/>
    <m/>
    <m/>
  </r>
  <r>
    <s v="402-6127211-6445164"/>
    <s v="402-6127211-6445164"/>
    <s v="2024-01-18T19:16:59+00:00"/>
    <s v="2024-01-19T02:32:3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priano del colle"/>
    <s v="Brescia"/>
    <n v="25020"/>
    <s v="IT"/>
    <m/>
    <m/>
    <m/>
    <m/>
    <m/>
    <m/>
    <m/>
  </r>
  <r>
    <s v="407-9986728-1472334"/>
    <s v="407-9986728-1472334"/>
    <s v="2024-01-18T19:13:24+00:00"/>
    <s v="2024-01-18T23:06:3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zano"/>
    <s v="Bolzano"/>
    <n v="39100"/>
    <s v="IT"/>
    <m/>
    <m/>
    <m/>
    <m/>
    <n v="2650520212"/>
    <s v="IT"/>
    <s v="VAT"/>
  </r>
  <r>
    <s v="408-1121499-5017136"/>
    <m/>
    <s v="2024-01-18T19:07:50+00:00"/>
    <s v="2024-01-18T21:38:10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bologna"/>
    <s v="Bologna"/>
    <n v="40133"/>
    <s v="IT"/>
    <m/>
    <m/>
    <m/>
    <m/>
    <m/>
    <m/>
    <m/>
  </r>
  <r>
    <s v="403-0812343-1955507"/>
    <s v="403-0812343-1955507"/>
    <s v="2024-01-18T18:52:26+00:00"/>
    <s v="2024-01-23T18:57:20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Milano"/>
    <s v="Milano"/>
    <n v="20146"/>
    <s v="IT"/>
    <m/>
    <m/>
    <m/>
    <m/>
    <m/>
    <m/>
    <m/>
  </r>
  <r>
    <s v="408-1242633-4530732"/>
    <m/>
    <s v="2024-01-18T18:42:59+00:00"/>
    <s v="2024-01-19T12:27:0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Fidenza"/>
    <s v="PARMA"/>
    <n v="43036"/>
    <s v="IT"/>
    <m/>
    <m/>
    <m/>
    <m/>
    <m/>
    <m/>
    <m/>
  </r>
  <r>
    <s v="406-3092837-5793933"/>
    <s v="406-3092837-5793933"/>
    <s v="2024-01-18T18:27:44+00:00"/>
    <s v="2024-01-19T01:34:5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iccia"/>
    <s v="ROMA"/>
    <n v="72"/>
    <s v="IT"/>
    <m/>
    <m/>
    <m/>
    <m/>
    <m/>
    <m/>
    <m/>
  </r>
  <r>
    <s v="171-3707634-8219550"/>
    <s v="171-3707634-8219550"/>
    <s v="2024-01-18T18:20:04+00:00"/>
    <s v="2024-01-18T23:40:29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greve in Chianti"/>
    <s v="Firenze"/>
    <n v="50022"/>
    <s v="IT"/>
    <m/>
    <m/>
    <m/>
    <m/>
    <m/>
    <m/>
    <m/>
  </r>
  <r>
    <s v="405-9172405-7006715"/>
    <m/>
    <s v="2024-01-18T17:48:24+00:00"/>
    <s v="2024-01-19T12:27:0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Erchie"/>
    <s v="Salerno"/>
    <n v="84010"/>
    <s v="IT"/>
    <m/>
    <m/>
    <m/>
    <m/>
    <m/>
    <m/>
    <m/>
  </r>
  <r>
    <s v="407-4055240-1109168"/>
    <s v="407-4055240-1109168"/>
    <s v="2024-01-18T17:48:00+00:00"/>
    <s v="2024-01-18T22:54:32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VILLASOR"/>
    <s v="SU"/>
    <n v="9034"/>
    <s v="IT"/>
    <m/>
    <m/>
    <m/>
    <m/>
    <m/>
    <m/>
    <m/>
  </r>
  <r>
    <s v="403-4963976-0277922"/>
    <s v="403-4963976-0277922"/>
    <s v="2024-01-18T17:43:53+00:00"/>
    <s v="2024-01-21T16:01:1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TO"/>
    <n v="10149"/>
    <s v="IT"/>
    <m/>
    <m/>
    <m/>
    <m/>
    <m/>
    <m/>
    <m/>
  </r>
  <r>
    <s v="171-2572686-2932325"/>
    <s v="171-2572686-2932325"/>
    <s v="2024-01-18T17:42:25+00:00"/>
    <s v="2024-01-19T11:20:38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Pollina"/>
    <s v="Palermo"/>
    <n v="90010"/>
    <s v="IT"/>
    <m/>
    <m/>
    <m/>
    <m/>
    <m/>
    <m/>
    <m/>
  </r>
  <r>
    <s v="404-6358602-7773940"/>
    <s v="404-6358602-7773940"/>
    <s v="2024-01-18T17:31:41+00:00"/>
    <s v="2024-01-19T01:45:1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21"/>
    <s v="IT"/>
    <m/>
    <m/>
    <m/>
    <m/>
    <m/>
    <m/>
    <m/>
  </r>
  <r>
    <s v="402-0892850-0853124"/>
    <s v="402-0892850-0853124"/>
    <s v="2024-01-18T17:01:35+00:00"/>
    <s v="2024-01-18T21:03:42+00:00"/>
    <s v="Shipped"/>
    <x v="0"/>
    <x v="3"/>
    <m/>
    <m/>
    <s v="Standard"/>
    <s v="BEPER 90.590Y Macchina per Popcorn, Popcorn in 3 Minuti, 1200 W, Circolazione di Aria Calda, Rosso"/>
    <s v="90.590Y_FBA"/>
    <x v="2"/>
    <s v="Shipped"/>
    <n v="1"/>
    <s v="EUR"/>
    <n v="28.61"/>
    <m/>
    <n v="2.33"/>
    <m/>
    <m/>
    <m/>
    <m/>
    <n v="2.33"/>
    <s v="Richterswil"/>
    <s v="Zürich"/>
    <n v="8805"/>
    <s v="CH"/>
    <m/>
    <m/>
    <m/>
    <m/>
    <m/>
    <m/>
    <m/>
  </r>
  <r>
    <s v="404-0238832-4845143"/>
    <s v="404-0238832-4845143"/>
    <s v="2024-01-18T16:59:38+00:00"/>
    <s v="2024-01-19T01:06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Giovanni in persiceto"/>
    <s v="Bologna"/>
    <n v="40017"/>
    <s v="IT"/>
    <m/>
    <m/>
    <m/>
    <m/>
    <m/>
    <m/>
    <m/>
  </r>
  <r>
    <s v="403-0923161-3793957"/>
    <s v="403-0923161-3793957"/>
    <s v="2024-01-18T16:49:56+00:00"/>
    <s v="2024-01-18T21:27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Canosa di Puglia"/>
    <s v="BT"/>
    <n v="76012"/>
    <s v="IT"/>
    <m/>
    <m/>
    <m/>
    <m/>
    <m/>
    <m/>
    <m/>
  </r>
  <r>
    <s v="403-1273948-6351550"/>
    <s v="403-1273948-6351550"/>
    <s v="2024-01-18T16:36:44+00:00"/>
    <s v="2024-01-19T02:29:5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almoro"/>
    <s v="Mantova"/>
    <n v="46040"/>
    <s v="IT"/>
    <m/>
    <m/>
    <m/>
    <m/>
    <m/>
    <m/>
    <m/>
  </r>
  <r>
    <s v="402-4835481-9791559"/>
    <s v="402-4835481-9791559"/>
    <s v="2024-01-18T16:22:57+00:00"/>
    <s v="2024-01-19T04:26:2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lberino Frazione di Molinella"/>
    <s v="Italia"/>
    <n v="40062"/>
    <s v="IT"/>
    <m/>
    <m/>
    <m/>
    <m/>
    <m/>
    <m/>
    <m/>
  </r>
  <r>
    <s v="408-0313647-7493954"/>
    <m/>
    <s v="2024-01-18T16:20:34+00:00"/>
    <s v="2024-01-19T12:38:23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rutigliano"/>
    <s v="Bari"/>
    <n v="70018"/>
    <s v="IT"/>
    <m/>
    <m/>
    <m/>
    <m/>
    <m/>
    <m/>
    <m/>
  </r>
  <r>
    <s v="406-4184139-9776356"/>
    <m/>
    <s v="2024-01-18T16:19:08+00:00"/>
    <s v="2024-01-19T13:16:1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ilano"/>
    <s v="MILANO"/>
    <n v="20132"/>
    <s v="IT"/>
    <m/>
    <m/>
    <m/>
    <m/>
    <m/>
    <m/>
    <m/>
  </r>
  <r>
    <s v="406-0588693-2722735"/>
    <s v="406-0588693-2722735"/>
    <s v="2024-01-18T16:09:32+00:00"/>
    <s v="2024-01-18T23:08:4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'Ambrogio di Valpolicella"/>
    <s v="Verona"/>
    <n v="37015"/>
    <s v="IT"/>
    <m/>
    <m/>
    <m/>
    <m/>
    <m/>
    <m/>
    <m/>
  </r>
  <r>
    <s v="405-8973018-5175527"/>
    <s v="405-8973018-5175527"/>
    <s v="2024-01-18T15:22:30+00:00"/>
    <s v="2024-01-19T01:18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52"/>
    <s v="IT"/>
    <m/>
    <m/>
    <m/>
    <m/>
    <m/>
    <m/>
    <m/>
  </r>
  <r>
    <s v="403-9928761-1313115"/>
    <s v="403-9928761-1313115"/>
    <s v="2024-01-18T15:17:45+00:00"/>
    <s v="2024-01-19T02:23:2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66"/>
    <s v="IT"/>
    <m/>
    <m/>
    <m/>
    <m/>
    <m/>
    <m/>
    <m/>
  </r>
  <r>
    <s v="405-7756554-8933927"/>
    <m/>
    <s v="2024-01-18T14:59:39+00:00"/>
    <s v="2024-01-19T13:06:0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ALAZZOLO DI SONA"/>
    <s v="VERONA"/>
    <n v="37060"/>
    <s v="IT"/>
    <m/>
    <m/>
    <m/>
    <m/>
    <m/>
    <m/>
    <m/>
  </r>
  <r>
    <s v="403-9043940-4428307"/>
    <s v="403-9043940-4428307"/>
    <s v="2024-01-18T14:23:32+00:00"/>
    <s v="2024-01-19T15:53:45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Trofarello"/>
    <s v="TO"/>
    <n v="10028"/>
    <s v="IT"/>
    <m/>
    <m/>
    <m/>
    <m/>
    <m/>
    <m/>
    <m/>
  </r>
  <r>
    <s v="406-3847319-7040340"/>
    <s v="406-3847319-7040340"/>
    <s v="2024-01-18T14:01:01+00:00"/>
    <s v="2024-01-19T04:33:4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sola"/>
    <s v="MN"/>
    <n v="46041"/>
    <s v="IT"/>
    <m/>
    <m/>
    <m/>
    <m/>
    <m/>
    <m/>
    <m/>
  </r>
  <r>
    <s v="404-1998565-7614767"/>
    <s v="404-1998565-7614767"/>
    <s v="2024-01-18T13:34:47+00:00"/>
    <s v="2024-01-18T17:01:1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erviano"/>
    <s v="Milano"/>
    <n v="20014"/>
    <s v="IT"/>
    <m/>
    <m/>
    <m/>
    <m/>
    <m/>
    <m/>
    <m/>
  </r>
  <r>
    <s v="171-5941273-3441933"/>
    <m/>
    <s v="2024-01-18T13:31:11+00:00"/>
    <s v="2024-01-19T11:56:5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assemini"/>
    <s v="ca"/>
    <n v="9032"/>
    <s v="IT"/>
    <m/>
    <m/>
    <m/>
    <m/>
    <m/>
    <m/>
    <m/>
  </r>
  <r>
    <s v="404-1943295-4525967"/>
    <s v="404-1943295-4525967"/>
    <s v="2024-01-18T13:31:01+00:00"/>
    <s v="2024-01-19T11:31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errasini"/>
    <s v="Palermo"/>
    <n v="90049"/>
    <s v="IT"/>
    <m/>
    <m/>
    <m/>
    <m/>
    <m/>
    <m/>
    <m/>
  </r>
  <r>
    <s v="408-9565771-5693934"/>
    <m/>
    <s v="2024-01-18T13:28:51+00:00"/>
    <s v="2024-01-19T12:27:0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bari"/>
    <s v="ba"/>
    <n v="70122"/>
    <s v="IT"/>
    <m/>
    <m/>
    <m/>
    <m/>
    <m/>
    <m/>
    <m/>
  </r>
  <r>
    <s v="404-8326465-9444331"/>
    <m/>
    <s v="2024-01-18T13:13:34+00:00"/>
    <s v="2024-01-19T16:01:2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Vico Equense"/>
    <s v="Napoli"/>
    <n v="80069"/>
    <s v="IT"/>
    <m/>
    <m/>
    <m/>
    <m/>
    <m/>
    <m/>
    <m/>
  </r>
  <r>
    <s v="408-9247183-6984335"/>
    <m/>
    <s v="2024-01-18T13:06:09+00:00"/>
    <s v="2024-01-21T06:40:3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amugheo"/>
    <s v="Oristano"/>
    <n v="9086"/>
    <s v="IT"/>
    <m/>
    <m/>
    <m/>
    <m/>
    <m/>
    <m/>
    <m/>
  </r>
  <r>
    <s v="405-9587365-2490734"/>
    <s v="405-9587365-2490734"/>
    <s v="2024-01-18T12:57:58+00:00"/>
    <s v="2024-01-19T07:12:18+00:00"/>
    <s v="Shipped"/>
    <x v="0"/>
    <x v="3"/>
    <m/>
    <m/>
    <s v="Expedited"/>
    <s v="Beper Pulitore a Vapore Igenizzante, Caldaia in Alluminio da 350 Ml, Pulsante Vapore Continuo, Pressione 3.2 Bar, 30 G/Min, Cavo da 3 M Giallo/Nero"/>
    <n v="50700"/>
    <x v="24"/>
    <s v="Shipped"/>
    <n v="1"/>
    <s v="EUR"/>
    <n v="44.9"/>
    <n v="8.1"/>
    <m/>
    <m/>
    <m/>
    <m/>
    <m/>
    <m/>
    <s v="civita castellana"/>
    <s v="viterbo"/>
    <n v="1033"/>
    <s v="IT"/>
    <m/>
    <m/>
    <m/>
    <m/>
    <m/>
    <m/>
    <m/>
  </r>
  <r>
    <s v="406-2759837-7453908"/>
    <s v="406-2759837-7453908"/>
    <s v="2024-01-18T12:36:58+00:00"/>
    <s v="2024-01-18T17:26:51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n v="4.99"/>
    <n v="0.9"/>
    <m/>
    <m/>
    <m/>
    <m/>
    <s v="Montecarlo"/>
    <s v="Lucca"/>
    <n v="55015"/>
    <s v="IT"/>
    <m/>
    <m/>
    <m/>
    <m/>
    <m/>
    <m/>
    <m/>
  </r>
  <r>
    <s v="404-0231971-4630706"/>
    <s v="404-0231971-4630706"/>
    <s v="2024-01-18T12:28:46+00:00"/>
    <s v="2024-01-18T15:53:0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rusaporto"/>
    <s v="Bergamo"/>
    <n v="24060"/>
    <s v="IT"/>
    <m/>
    <m/>
    <m/>
    <m/>
    <m/>
    <m/>
    <m/>
  </r>
  <r>
    <s v="405-6976467-9679524"/>
    <s v="405-6976467-9679524"/>
    <s v="2024-01-18T11:59:28+00:00"/>
    <s v="2024-01-18T17:08:3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29.9"/>
    <n v="5.39"/>
    <m/>
    <m/>
    <m/>
    <m/>
    <m/>
    <m/>
    <s v="Bricherasio"/>
    <s v="Torino"/>
    <n v="10060"/>
    <s v="IT"/>
    <m/>
    <m/>
    <m/>
    <m/>
    <m/>
    <m/>
    <m/>
  </r>
  <r>
    <s v="171-6554106-3167507"/>
    <s v="171-6554106-3167507"/>
    <s v="2024-01-18T11:59:22+00:00"/>
    <s v="2024-01-18T15:39:4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ermini imerese"/>
    <s v="Palermo"/>
    <n v="90018"/>
    <s v="IT"/>
    <m/>
    <m/>
    <m/>
    <m/>
    <m/>
    <m/>
    <m/>
  </r>
  <r>
    <s v="407-5284277-2473936"/>
    <s v="407-5284277-2473936"/>
    <s v="2024-01-18T11:55:04+00:00"/>
    <s v="2024-01-19T00:16:0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UCCA"/>
    <s v="LU"/>
    <n v="55100"/>
    <s v="IT"/>
    <m/>
    <m/>
    <m/>
    <m/>
    <m/>
    <m/>
    <m/>
  </r>
  <r>
    <s v="408-6428467-1992346"/>
    <s v="408-6428467-1992346"/>
    <s v="2024-01-18T11:43:30+00:00"/>
    <s v="2024-01-18T21:35:28+00:00"/>
    <s v="Shipped"/>
    <x v="0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171-6487926-8533125"/>
    <m/>
    <s v="2024-01-18T11:37:30+00:00"/>
    <s v="2024-01-19T13:06:0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Oliena"/>
    <s v="Nuoro"/>
    <n v="8025"/>
    <s v="IT"/>
    <m/>
    <m/>
    <m/>
    <m/>
    <m/>
    <m/>
    <m/>
  </r>
  <r>
    <s v="402-0934509-1750749"/>
    <s v="402-0934509-1750749"/>
    <s v="2024-01-18T11:29:30+00:00"/>
    <s v="2024-01-19T18:16:0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 San Pietro Terme"/>
    <s v="BO"/>
    <n v="40024"/>
    <s v="IT"/>
    <m/>
    <m/>
    <m/>
    <m/>
    <m/>
    <m/>
    <m/>
  </r>
  <r>
    <s v="402-6001017-2364321"/>
    <s v="402-6001017-2364321"/>
    <s v="2024-01-18T11:08:00+00:00"/>
    <s v="2024-01-23T11:14:42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Lido di ostia"/>
    <s v="RM"/>
    <n v="122"/>
    <s v="IT"/>
    <m/>
    <m/>
    <m/>
    <m/>
    <m/>
    <m/>
    <m/>
  </r>
  <r>
    <s v="404-8231063-7765135"/>
    <m/>
    <s v="2024-01-18T11:01:34+00:00"/>
    <s v="2024-01-19T13:06:04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PALERMO"/>
    <s v="Palermo"/>
    <n v="90138"/>
    <s v="IT"/>
    <m/>
    <m/>
    <m/>
    <m/>
    <m/>
    <m/>
    <m/>
  </r>
  <r>
    <s v="406-3064400-4819530"/>
    <m/>
    <s v="2024-01-18T10:57:29+00:00"/>
    <s v="2024-01-19T12:37:50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Trieste"/>
    <s v="Trieste"/>
    <n v="34144"/>
    <s v="IT"/>
    <m/>
    <m/>
    <m/>
    <m/>
    <m/>
    <m/>
    <m/>
  </r>
  <r>
    <s v="408-7483584-7546701"/>
    <s v="408-7483584-7546701"/>
    <s v="2024-01-18T10:32:40+00:00"/>
    <s v="2024-01-19T00:35:0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tellago"/>
    <s v="Venezia"/>
    <n v="30030"/>
    <s v="IT"/>
    <m/>
    <m/>
    <m/>
    <m/>
    <m/>
    <m/>
    <m/>
  </r>
  <r>
    <s v="408-5934227-9881947"/>
    <s v="408-5934227-9881947"/>
    <s v="2024-01-18T10:14:29+00:00"/>
    <s v="2024-01-18T20:20:58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m/>
    <m/>
    <m/>
    <m/>
    <m/>
    <m/>
    <s v="Siena"/>
    <s v="SI"/>
    <n v="53100"/>
    <s v="IT"/>
    <m/>
    <m/>
    <m/>
    <m/>
    <m/>
    <m/>
    <m/>
  </r>
  <r>
    <s v="408-9294746-7365169"/>
    <s v="408-9294746-7365169"/>
    <s v="2024-01-18T10:13:27+00:00"/>
    <s v="2024-01-18T21:03:47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Follonica"/>
    <s v="GR"/>
    <n v="58022"/>
    <s v="IT"/>
    <m/>
    <m/>
    <m/>
    <m/>
    <m/>
    <m/>
    <m/>
  </r>
  <r>
    <s v="405-2398724-2866751"/>
    <m/>
    <s v="2024-01-18T10:05:40+00:00"/>
    <s v="2024-01-19T12:27:0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Torre Orsaia"/>
    <s v="Salerno"/>
    <n v="84077"/>
    <s v="IT"/>
    <m/>
    <m/>
    <m/>
    <m/>
    <m/>
    <m/>
    <m/>
  </r>
  <r>
    <s v="406-8572273-9380348"/>
    <m/>
    <s v="2024-01-18T09:50:21+00:00"/>
    <s v="2024-01-19T13:06:0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Roma"/>
    <s v="Roma"/>
    <n v="139"/>
    <s v="IT"/>
    <m/>
    <m/>
    <m/>
    <m/>
    <m/>
    <m/>
    <m/>
  </r>
  <r>
    <s v="408-6996323-3407550"/>
    <m/>
    <s v="2024-01-18T08:49:19+00:00"/>
    <s v="2024-01-19T12:27:07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ISCHIA"/>
    <s v="Napoli"/>
    <n v="80077"/>
    <s v="IT"/>
    <m/>
    <m/>
    <m/>
    <m/>
    <m/>
    <m/>
    <m/>
  </r>
  <r>
    <s v="405-9954399-3045943"/>
    <s v="405-9954399-3045943"/>
    <s v="2024-01-18T08:20:00+00:00"/>
    <s v="2024-01-18T17:58:36+00:00"/>
    <s v="Shipped"/>
    <x v="0"/>
    <x v="3"/>
    <m/>
    <m/>
    <s v="Expedited"/>
    <s v="BEPER 40.490 Asciugacapelli Da Parete 2000 W - Phon da Parete con Cavo Lungo 2 Metri"/>
    <s v="40.490_FBA"/>
    <x v="26"/>
    <s v="Shipped"/>
    <n v="5"/>
    <s v="EUR"/>
    <n v="149.5"/>
    <n v="26.95"/>
    <m/>
    <m/>
    <m/>
    <m/>
    <m/>
    <m/>
    <s v="Brugherio"/>
    <s v="MB"/>
    <n v="20861"/>
    <s v="IT"/>
    <m/>
    <m/>
    <m/>
    <m/>
    <n v="11345990961"/>
    <s v="IT"/>
    <s v="VAT"/>
  </r>
  <r>
    <s v="405-0688885-8521919"/>
    <m/>
    <s v="2024-01-18T08:17:44+00:00"/>
    <s v="2024-01-19T13:06:0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ONTESPERTOLI"/>
    <s v="FI"/>
    <n v="50025"/>
    <s v="IT"/>
    <m/>
    <m/>
    <m/>
    <m/>
    <m/>
    <m/>
    <m/>
  </r>
  <r>
    <s v="404-6950642-7798762"/>
    <s v="404-6950642-7798762"/>
    <s v="2024-01-18T08:08:02+00:00"/>
    <s v="2024-01-18T21:19:41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cesena"/>
    <s v="Forlì-Cesena"/>
    <n v="47522"/>
    <s v="IT"/>
    <m/>
    <m/>
    <m/>
    <m/>
    <m/>
    <m/>
    <m/>
  </r>
  <r>
    <s v="171-1197262-7024329"/>
    <s v="171-1197262-7024329"/>
    <s v="2024-01-18T08:00:42+00:00"/>
    <s v="2024-01-18T18:10:2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ranello"/>
    <s v="Modena"/>
    <n v="41053"/>
    <s v="IT"/>
    <m/>
    <m/>
    <m/>
    <m/>
    <m/>
    <m/>
    <m/>
  </r>
  <r>
    <s v="407-3046126-3069106"/>
    <s v="407-3046126-3069106"/>
    <s v="2024-01-18T07:52:11+00:00"/>
    <s v="2024-01-21T03:55:11+00:00"/>
    <s v="Shipped"/>
    <x v="0"/>
    <x v="3"/>
    <m/>
    <m/>
    <s v="Standard"/>
    <s v="BEPER P302VIS050 Specchio con Luci, Ingranditore 1x / 2x / 5x - Make-Up per Postazione Trucco, 35x24 cm"/>
    <s v="P302VIS050_FBA"/>
    <x v="25"/>
    <s v="Shipped"/>
    <n v="1"/>
    <s v="EUR"/>
    <n v="20.41"/>
    <m/>
    <n v="3.5"/>
    <m/>
    <m/>
    <m/>
    <m/>
    <m/>
    <s v="origlio"/>
    <m/>
    <n v="6945"/>
    <s v="CH"/>
    <m/>
    <m/>
    <m/>
    <m/>
    <m/>
    <m/>
    <m/>
  </r>
  <r>
    <s v="408-5930562-0657103"/>
    <s v="408-5930562-0657103"/>
    <s v="2024-01-18T06:26:04+00:00"/>
    <s v="2024-01-19T12:50:2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rtacesus"/>
    <s v="Cagliari"/>
    <n v="9040"/>
    <s v="IT"/>
    <m/>
    <m/>
    <m/>
    <m/>
    <m/>
    <m/>
    <m/>
  </r>
  <r>
    <s v="407-5418723-2938721"/>
    <s v="407-5418723-2938721"/>
    <s v="2024-01-18T05:58:57+00:00"/>
    <s v="2024-01-18T18:01:4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mbiate"/>
    <s v="Monza e Brianza"/>
    <n v="20812"/>
    <s v="IT"/>
    <m/>
    <m/>
    <m/>
    <m/>
    <m/>
    <m/>
    <m/>
  </r>
  <r>
    <s v="171-0899099-6412331"/>
    <m/>
    <s v="2024-01-18T04:40:52+00:00"/>
    <s v="2024-01-23T05:18:20+00:00"/>
    <s v="Cancelled"/>
    <x v="1"/>
    <x v="3"/>
    <s v="WebsiteOrderChannel"/>
    <m/>
    <s v="Standard"/>
    <s v="BEPER BP.961 Mescolatore Automatico"/>
    <s v="BP.961"/>
    <x v="21"/>
    <m/>
    <n v="0"/>
    <m/>
    <m/>
    <m/>
    <m/>
    <m/>
    <m/>
    <m/>
    <m/>
    <m/>
    <s v="Brescia"/>
    <s v="Brescia"/>
    <n v="25124"/>
    <s v="IT"/>
    <m/>
    <m/>
    <m/>
    <m/>
    <m/>
    <m/>
    <m/>
  </r>
  <r>
    <s v="405-9494872-5721946"/>
    <s v="405-9494872-5721946"/>
    <s v="2024-01-18T01:13:13+00:00"/>
    <s v="2024-01-18T17:20:0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3"/>
    <s v="IT"/>
    <m/>
    <m/>
    <m/>
    <m/>
    <m/>
    <m/>
    <m/>
  </r>
  <r>
    <s v="171-0972515-6241130"/>
    <s v="171-0972515-6241130"/>
    <s v="2024-01-17T22:18:06+00:00"/>
    <s v="2024-01-18T12:48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Caccuri"/>
    <s v="Crotone"/>
    <n v="88833"/>
    <s v="IT"/>
    <m/>
    <m/>
    <m/>
    <m/>
    <m/>
    <m/>
    <m/>
  </r>
  <r>
    <s v="406-2767007-0808322"/>
    <s v="406-2767007-0808322"/>
    <s v="2024-01-17T22:14:36+00:00"/>
    <s v="2024-01-18T21:29:1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s v="Bologna"/>
    <n v="40126"/>
    <s v="IT"/>
    <m/>
    <m/>
    <m/>
    <m/>
    <m/>
    <m/>
    <m/>
  </r>
  <r>
    <s v="402-6725532-4621139"/>
    <m/>
    <s v="2024-01-17T22:10:08+00:00"/>
    <s v="2024-01-18T11:29:1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acerata Campania"/>
    <s v="Caserta"/>
    <n v="81047"/>
    <s v="IT"/>
    <m/>
    <m/>
    <m/>
    <m/>
    <m/>
    <m/>
    <m/>
  </r>
  <r>
    <s v="171-0874984-4611505"/>
    <s v="171-0874984-4611505"/>
    <s v="2024-01-17T21:47:27+00:00"/>
    <s v="2024-01-18T00:13:1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89"/>
    <s v="IT"/>
    <m/>
    <m/>
    <m/>
    <m/>
    <m/>
    <m/>
    <m/>
  </r>
  <r>
    <s v="402-5498004-7752341"/>
    <m/>
    <s v="2024-01-17T21:38:21+00:00"/>
    <s v="2024-01-19T14:00:3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bocchigliero"/>
    <s v="cosenza"/>
    <n v="87060"/>
    <s v="IT"/>
    <m/>
    <m/>
    <m/>
    <m/>
    <m/>
    <m/>
    <m/>
  </r>
  <r>
    <s v="406-9047294-4044368"/>
    <s v="406-9047294-4044368"/>
    <s v="2024-01-17T21:25:13+00:00"/>
    <s v="2024-01-18T21:55:40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corciano"/>
    <s v="Perugia"/>
    <n v="6073"/>
    <s v="IT"/>
    <m/>
    <m/>
    <m/>
    <m/>
    <m/>
    <m/>
    <m/>
  </r>
  <r>
    <s v="404-5442506-1273965"/>
    <m/>
    <s v="2024-01-17T21:18:29+00:00"/>
    <s v="2024-01-18T11:59:1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istoia"/>
    <s v="Pistoia"/>
    <n v="51100"/>
    <s v="IT"/>
    <m/>
    <m/>
    <m/>
    <m/>
    <m/>
    <m/>
    <m/>
  </r>
  <r>
    <s v="404-3927276-7544362"/>
    <s v="404-3927276-7544362"/>
    <s v="2024-01-17T21:05:36+00:00"/>
    <s v="2024-01-17T23:50:0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rento"/>
    <s v="Trento"/>
    <n v="38122"/>
    <s v="IT"/>
    <m/>
    <m/>
    <m/>
    <m/>
    <m/>
    <m/>
    <m/>
  </r>
  <r>
    <s v="406-7006404-1552361"/>
    <s v="406-7006404-1552361"/>
    <s v="2024-01-17T20:44:17+00:00"/>
    <s v="2024-01-21T01:54:58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Calcio"/>
    <s v="BERGAMO"/>
    <n v="24054"/>
    <s v="IT"/>
    <m/>
    <m/>
    <m/>
    <m/>
    <m/>
    <m/>
    <m/>
  </r>
  <r>
    <s v="403-3353389-4114730"/>
    <s v="403-3353389-4114730"/>
    <s v="2024-01-17T20:38:44+00:00"/>
    <s v="2024-01-18T18:15:0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esto Campano"/>
    <s v="Isernia"/>
    <n v="86078"/>
    <s v="IT"/>
    <m/>
    <m/>
    <m/>
    <m/>
    <n v="960670941"/>
    <s v="IT"/>
    <s v="VAT"/>
  </r>
  <r>
    <s v="404-4564848-2964351"/>
    <s v="404-4564848-2964351"/>
    <s v="2024-01-17T20:33:04+00:00"/>
    <s v="2024-01-18T00:14:1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Roma"/>
    <s v="Rm"/>
    <n v="179"/>
    <s v="IT"/>
    <m/>
    <m/>
    <m/>
    <m/>
    <m/>
    <m/>
    <m/>
  </r>
  <r>
    <s v="404-8986526-8559543"/>
    <m/>
    <s v="2024-01-17T19:38:29+00:00"/>
    <s v="2024-01-18T11:59:2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ASTELLANETA"/>
    <s v="Taranto"/>
    <n v="74011"/>
    <s v="IT"/>
    <m/>
    <m/>
    <m/>
    <m/>
    <m/>
    <m/>
    <m/>
  </r>
  <r>
    <s v="402-1778689-1792312"/>
    <m/>
    <s v="2024-01-17T19:30:44+00:00"/>
    <s v="2024-01-18T12:38:23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Bitonto"/>
    <s v="Bari"/>
    <n v="70032"/>
    <s v="IT"/>
    <m/>
    <m/>
    <m/>
    <m/>
    <m/>
    <m/>
    <m/>
  </r>
  <r>
    <s v="408-1244475-1864345"/>
    <s v="408-1244475-1864345"/>
    <s v="2024-01-17T19:26:49+00:00"/>
    <s v="2024-01-18T15:49:35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n v="4.99"/>
    <n v="0.9"/>
    <m/>
    <m/>
    <m/>
    <m/>
    <s v="CARRU'"/>
    <s v="Cuneo"/>
    <n v="12061"/>
    <s v="IT"/>
    <m/>
    <m/>
    <m/>
    <m/>
    <m/>
    <m/>
    <m/>
  </r>
  <r>
    <s v="404-8507906-2097139"/>
    <m/>
    <s v="2024-01-17T19:20:58+00:00"/>
    <s v="2024-01-18T12:38:21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Bagheria"/>
    <s v="Palermo"/>
    <n v="90011"/>
    <s v="IT"/>
    <m/>
    <m/>
    <m/>
    <m/>
    <m/>
    <m/>
    <m/>
  </r>
  <r>
    <s v="405-2514964-4393139"/>
    <s v="405-2514964-4393139"/>
    <s v="2024-01-17T19:07:53+00:00"/>
    <s v="2024-01-18T02:29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ELETTO UMBERTO"/>
    <s v="Udine"/>
    <n v="33010"/>
    <s v="IT"/>
    <m/>
    <m/>
    <m/>
    <m/>
    <m/>
    <m/>
    <m/>
  </r>
  <r>
    <s v="403-2616240-5321952"/>
    <m/>
    <s v="2024-01-17T19:02:44+00:00"/>
    <s v="2024-01-20T10:22:38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Ancona"/>
    <s v="Marche"/>
    <n v="60125"/>
    <s v="IT"/>
    <m/>
    <m/>
    <m/>
    <m/>
    <m/>
    <m/>
    <m/>
  </r>
  <r>
    <s v="405-6982689-4739553"/>
    <s v="405-6982689-4739553"/>
    <s v="2024-01-17T19:00:55+00:00"/>
    <s v="2024-01-18T18:55:3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Serle"/>
    <s v="Brescia"/>
    <n v="25080"/>
    <s v="IT"/>
    <m/>
    <m/>
    <m/>
    <m/>
    <m/>
    <m/>
    <m/>
  </r>
  <r>
    <s v="407-8588058-8080349"/>
    <m/>
    <s v="2024-01-17T18:56:09+00:00"/>
    <s v="2024-01-18T11:29:2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Noviglio"/>
    <s v="Milano"/>
    <n v="20082"/>
    <s v="IT"/>
    <m/>
    <m/>
    <m/>
    <m/>
    <m/>
    <m/>
    <m/>
  </r>
  <r>
    <s v="403-9570579-1981913"/>
    <m/>
    <s v="2024-01-17T18:49:20+00:00"/>
    <s v="2024-01-23T07:18:50+00:00"/>
    <s v="Cancelled"/>
    <x v="1"/>
    <x v="3"/>
    <s v="WebsiteOrderChannel"/>
    <m/>
    <s v="Standard"/>
    <s v="Beper P203TFO001, Borsa acqua calda elettrica, ‎Nero, 7.5 x 25 x 16 cm"/>
    <s v="P203TFO001"/>
    <x v="14"/>
    <m/>
    <n v="0"/>
    <m/>
    <m/>
    <m/>
    <m/>
    <m/>
    <m/>
    <m/>
    <m/>
    <m/>
    <m/>
    <m/>
    <m/>
    <m/>
    <m/>
    <m/>
    <m/>
    <m/>
    <m/>
    <m/>
    <m/>
  </r>
  <r>
    <s v="402-9651523-4689144"/>
    <m/>
    <s v="2024-01-17T18:49:13+00:00"/>
    <s v="2024-01-18T12:38:2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Varese"/>
    <s v="VA"/>
    <n v="21100"/>
    <s v="IT"/>
    <m/>
    <m/>
    <m/>
    <m/>
    <m/>
    <m/>
    <m/>
  </r>
  <r>
    <s v="405-6497399-5286718"/>
    <s v="405-6497399-5286718"/>
    <s v="2024-01-17T18:48:55+00:00"/>
    <s v="2024-01-18T16:35:47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orsico"/>
    <s v="MI"/>
    <n v="20094"/>
    <s v="IT"/>
    <m/>
    <m/>
    <m/>
    <m/>
    <m/>
    <m/>
    <m/>
  </r>
  <r>
    <s v="406-4857150-2125906"/>
    <m/>
    <s v="2024-01-17T18:04:24+00:00"/>
    <s v="2024-01-18T12:49:5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Fonte Nuova"/>
    <s v="Roma"/>
    <n v="13"/>
    <s v="IT"/>
    <m/>
    <m/>
    <m/>
    <m/>
    <m/>
    <m/>
    <m/>
  </r>
  <r>
    <s v="407-4169406-7196328"/>
    <s v="407-4169406-7196328"/>
    <s v="2024-01-17T17:57:56+00:00"/>
    <s v="2024-01-17T22:27:19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rovigo"/>
    <s v="ro"/>
    <n v="45100"/>
    <s v="IT"/>
    <m/>
    <m/>
    <m/>
    <m/>
    <s v="GHTSFN44L02G782I"/>
    <s v="IT"/>
    <s v="CitizenId"/>
  </r>
  <r>
    <s v="407-0609203-6081956"/>
    <m/>
    <s v="2024-01-17T17:56:59+00:00"/>
    <s v="2024-01-18T12:49:1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Torino"/>
    <s v="To"/>
    <n v="10144"/>
    <s v="IT"/>
    <m/>
    <m/>
    <m/>
    <m/>
    <m/>
    <m/>
    <m/>
  </r>
  <r>
    <s v="406-5849712-1401954"/>
    <m/>
    <s v="2024-01-17T17:55:59+00:00"/>
    <s v="2024-01-18T12:48:3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oma"/>
    <s v="RM"/>
    <n v="148"/>
    <s v="IT"/>
    <m/>
    <m/>
    <m/>
    <m/>
    <m/>
    <m/>
    <m/>
  </r>
  <r>
    <s v="171-1714233-4374722"/>
    <s v="171-1714233-4374722"/>
    <s v="2024-01-17T17:45:05+00:00"/>
    <s v="2024-01-17T21:18:2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asamassima"/>
    <s v="Bari"/>
    <n v="70010"/>
    <s v="IT"/>
    <m/>
    <m/>
    <m/>
    <m/>
    <m/>
    <m/>
    <m/>
  </r>
  <r>
    <s v="171-8611976-5715500"/>
    <s v="171-8611976-5715500"/>
    <s v="2024-01-17T17:33:59+00:00"/>
    <s v="2024-01-17T20:23:3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35"/>
    <s v="IT"/>
    <m/>
    <m/>
    <m/>
    <m/>
    <m/>
    <m/>
    <m/>
  </r>
  <r>
    <s v="407-9941934-1519545"/>
    <m/>
    <s v="2024-01-17T17:09:53+00:00"/>
    <s v="2024-01-18T11:30:0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Legnago"/>
    <s v="Verona"/>
    <n v="37045"/>
    <s v="IT"/>
    <m/>
    <m/>
    <m/>
    <m/>
    <m/>
    <m/>
    <m/>
  </r>
  <r>
    <s v="406-6754883-0984323"/>
    <s v="406-6754883-0984323"/>
    <s v="2024-01-17T17:06:29+00:00"/>
    <s v="2024-01-17T23:08:3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iareggio"/>
    <s v="Lucca"/>
    <n v="55049"/>
    <s v="IT"/>
    <m/>
    <m/>
    <m/>
    <m/>
    <m/>
    <m/>
    <m/>
  </r>
  <r>
    <s v="406-3185737-4376323"/>
    <s v="406-3185737-4376323"/>
    <s v="2024-01-17T16:52:06+00:00"/>
    <s v="2024-01-18T04:36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onigo"/>
    <s v="vicenza"/>
    <n v="36045"/>
    <s v="IT"/>
    <m/>
    <m/>
    <m/>
    <m/>
    <m/>
    <m/>
    <m/>
  </r>
  <r>
    <s v="403-7102442-3365104"/>
    <s v="403-7102442-3365104"/>
    <s v="2024-01-17T16:39:29+00:00"/>
    <s v="2024-01-18T02:27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vriè"/>
    <s v="Treviso"/>
    <n v="31048"/>
    <s v="IT"/>
    <m/>
    <m/>
    <m/>
    <m/>
    <m/>
    <m/>
    <m/>
  </r>
  <r>
    <s v="171-5165544-9416306"/>
    <m/>
    <s v="2024-01-17T16:08:24+00:00"/>
    <s v="2024-01-18T12:38:23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Novara"/>
    <s v="Italy"/>
    <n v="28100"/>
    <s v="IT"/>
    <m/>
    <m/>
    <m/>
    <m/>
    <m/>
    <m/>
    <m/>
  </r>
  <r>
    <s v="171-5165544-9416306"/>
    <m/>
    <s v="2024-01-17T16:08:24+00:00"/>
    <s v="2024-01-18T12:38:23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Novara"/>
    <s v="Italy"/>
    <n v="28100"/>
    <s v="IT"/>
    <m/>
    <m/>
    <m/>
    <m/>
    <m/>
    <m/>
    <m/>
  </r>
  <r>
    <s v="408-1186112-0076352"/>
    <m/>
    <s v="2024-01-17T16:05:58+00:00"/>
    <s v="2024-02-02T12:05:0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AN NICOLO' A TORDINO"/>
    <s v="Teramo"/>
    <n v="64100"/>
    <s v="IT"/>
    <m/>
    <m/>
    <m/>
    <m/>
    <m/>
    <m/>
    <m/>
  </r>
  <r>
    <s v="405-8698337-4007553"/>
    <m/>
    <s v="2024-01-17T15:53:09+00:00"/>
    <s v="2024-01-22T15:58:07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Melfi"/>
    <s v="Potenza"/>
    <n v="85025"/>
    <s v="IT"/>
    <m/>
    <m/>
    <m/>
    <m/>
    <m/>
    <m/>
    <m/>
  </r>
  <r>
    <s v="405-3513784-4417113"/>
    <s v="405-3513784-4417113"/>
    <s v="2024-01-17T15:48:47+00:00"/>
    <s v="2024-01-17T20:23:05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San Giuliano Milanese"/>
    <s v="MI"/>
    <n v="20098"/>
    <s v="IT"/>
    <m/>
    <m/>
    <m/>
    <m/>
    <m/>
    <m/>
    <m/>
  </r>
  <r>
    <s v="402-5796099-9381915"/>
    <m/>
    <s v="2024-01-17T15:42:24+00:00"/>
    <s v="2024-01-18T12:10:4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Napoli"/>
    <s v="Napoli"/>
    <n v="80144"/>
    <s v="IT"/>
    <m/>
    <m/>
    <m/>
    <m/>
    <m/>
    <m/>
    <m/>
  </r>
  <r>
    <s v="402-9650766-4074768"/>
    <s v="402-9650766-4074768"/>
    <s v="2024-01-17T14:48:50+00:00"/>
    <s v="2024-01-18T00:51:3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giorgio a cremano"/>
    <s v="Napoli"/>
    <n v="80046"/>
    <s v="IT"/>
    <m/>
    <m/>
    <m/>
    <m/>
    <m/>
    <m/>
    <m/>
  </r>
  <r>
    <s v="405-0396641-2627506"/>
    <s v="405-0396641-2627506"/>
    <s v="2024-01-17T14:44:20+00:00"/>
    <s v="2024-01-17T21:31:21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ROMA"/>
    <s v="Roma"/>
    <n v="139"/>
    <s v="IT"/>
    <m/>
    <m/>
    <m/>
    <m/>
    <m/>
    <m/>
    <m/>
  </r>
  <r>
    <s v="406-4607584-0359509"/>
    <s v="406-4607584-0359509"/>
    <s v="2024-01-17T14:43:13+00:00"/>
    <s v="2024-01-18T02:35:05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n v="3.99"/>
    <n v="0.72"/>
    <m/>
    <m/>
    <m/>
    <m/>
    <s v="Pisa"/>
    <s v="PI"/>
    <n v="56125"/>
    <s v="IT"/>
    <m/>
    <m/>
    <m/>
    <m/>
    <m/>
    <m/>
    <m/>
  </r>
  <r>
    <s v="407-6530555-6382727"/>
    <m/>
    <s v="2024-01-17T13:45:28+00:00"/>
    <s v="2024-01-18T12:38:2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aniago"/>
    <s v="Pordenone"/>
    <n v="33085"/>
    <s v="IT"/>
    <m/>
    <m/>
    <m/>
    <m/>
    <m/>
    <m/>
    <m/>
  </r>
  <r>
    <s v="403-9184152-4970733"/>
    <m/>
    <s v="2024-01-17T13:43:18+00:00"/>
    <s v="2024-01-18T12:38:23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39.9"/>
    <n v="7.2"/>
    <n v="3"/>
    <n v="0.54"/>
    <m/>
    <m/>
    <m/>
    <m/>
    <s v="Sant'Antimo"/>
    <s v="Napoli"/>
    <n v="80029"/>
    <s v="IT"/>
    <m/>
    <m/>
    <m/>
    <m/>
    <m/>
    <m/>
    <m/>
  </r>
  <r>
    <s v="404-8244118-1815510"/>
    <s v="404-8244118-1815510"/>
    <s v="2024-01-17T13:34:56+00:00"/>
    <s v="2024-01-17T21:30:0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LOGNA"/>
    <m/>
    <n v="40134"/>
    <s v="IT"/>
    <m/>
    <m/>
    <m/>
    <m/>
    <m/>
    <m/>
    <m/>
  </r>
  <r>
    <s v="407-4512905-6909930"/>
    <s v="407-4512905-6909930"/>
    <s v="2024-01-17T13:34:55+00:00"/>
    <s v="2024-01-18T15:50:04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Bordighera"/>
    <s v="IM"/>
    <n v="18012"/>
    <s v="IT"/>
    <m/>
    <m/>
    <m/>
    <m/>
    <s v="IT01599540083"/>
    <s v="IT"/>
    <s v="VAT"/>
  </r>
  <r>
    <s v="406-6818372-4721118"/>
    <s v="406-6818372-4721118"/>
    <s v="2024-01-17T13:32:20+00:00"/>
    <s v="2024-01-17T21:29:2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iccione"/>
    <s v="Rimini"/>
    <n v="47838"/>
    <s v="IT"/>
    <m/>
    <m/>
    <m/>
    <m/>
    <m/>
    <m/>
    <m/>
  </r>
  <r>
    <s v="404-7855365-6974723"/>
    <s v="404-7855365-6974723"/>
    <s v="2024-01-17T13:26:03+00:00"/>
    <s v="2024-01-19T01:28:19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n v="1.95"/>
    <m/>
    <m/>
    <m/>
    <m/>
    <n v="1.95"/>
    <s v="CANTU'"/>
    <s v="Como"/>
    <n v="22063"/>
    <s v="IT"/>
    <m/>
    <m/>
    <m/>
    <m/>
    <m/>
    <m/>
    <m/>
  </r>
  <r>
    <s v="404-0768590-6631538"/>
    <m/>
    <s v="2024-01-17T13:17:42+00:00"/>
    <s v="2024-01-19T22:21:0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Offanengo"/>
    <s v="Cremona"/>
    <n v="26010"/>
    <s v="IT"/>
    <m/>
    <m/>
    <m/>
    <m/>
    <m/>
    <m/>
    <m/>
  </r>
  <r>
    <s v="403-0277660-0749900"/>
    <m/>
    <s v="2024-01-17T13:14:39+00:00"/>
    <s v="2024-01-18T12:38:2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Faenza"/>
    <s v="Ravenna"/>
    <n v="48018"/>
    <s v="IT"/>
    <m/>
    <m/>
    <m/>
    <m/>
    <m/>
    <m/>
    <m/>
  </r>
  <r>
    <s v="408-1429267-3730730"/>
    <m/>
    <s v="2024-01-17T13:10:13+00:00"/>
    <s v="2024-01-18T13:12:41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castropignano"/>
    <s v="campobasso"/>
    <n v="86010"/>
    <s v="IT"/>
    <m/>
    <m/>
    <m/>
    <m/>
    <m/>
    <m/>
    <m/>
  </r>
  <r>
    <s v="402-0918556-3235505"/>
    <m/>
    <s v="2024-01-17T13:02:18+00:00"/>
    <s v="2024-01-18T12:38:23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Loreto"/>
    <s v="(AN)"/>
    <n v="60025"/>
    <s v="IT"/>
    <m/>
    <m/>
    <m/>
    <m/>
    <m/>
    <m/>
    <m/>
  </r>
  <r>
    <s v="171-5296123-4220314"/>
    <s v="171-5296123-4220314"/>
    <s v="2024-01-17T12:59:55+00:00"/>
    <s v="2024-01-18T01:02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enova"/>
    <s v="Genova"/>
    <n v="16161"/>
    <s v="IT"/>
    <m/>
    <m/>
    <m/>
    <m/>
    <m/>
    <m/>
    <m/>
  </r>
  <r>
    <s v="404-5285352-3599506"/>
    <s v="404-5285352-3599506"/>
    <s v="2024-01-17T12:55:43+00:00"/>
    <s v="2024-01-17T22:49:1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neselli"/>
    <s v="Ro"/>
    <n v="45030"/>
    <s v="IT"/>
    <m/>
    <m/>
    <m/>
    <m/>
    <m/>
    <m/>
    <m/>
  </r>
  <r>
    <s v="404-0433447-5145100"/>
    <s v="404-0433447-5145100"/>
    <s v="2024-01-17T12:51:00+00:00"/>
    <s v="2024-01-17T21:01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MARTINO DI LUPARI"/>
    <s v="PADOVA"/>
    <n v="35018"/>
    <s v="IT"/>
    <m/>
    <m/>
    <m/>
    <m/>
    <m/>
    <m/>
    <m/>
  </r>
  <r>
    <s v="403-8568003-5036312"/>
    <s v="403-8568003-5036312"/>
    <s v="2024-01-17T12:50:23+00:00"/>
    <s v="2024-01-17T21:00:34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n v="4.99"/>
    <n v="0.9"/>
    <m/>
    <m/>
    <m/>
    <m/>
    <s v="NOVENTA PADOVANA"/>
    <s v="Padova"/>
    <n v="35027"/>
    <s v="IT"/>
    <m/>
    <m/>
    <m/>
    <m/>
    <m/>
    <m/>
    <m/>
  </r>
  <r>
    <s v="402-4247100-9969947"/>
    <s v="402-4247100-9969947"/>
    <s v="2024-01-17T12:32:28+00:00"/>
    <s v="2024-01-17T18:18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rdea"/>
    <s v="roma"/>
    <n v="40"/>
    <s v="IT"/>
    <m/>
    <m/>
    <m/>
    <m/>
    <m/>
    <m/>
    <m/>
  </r>
  <r>
    <s v="405-6777113-8321968"/>
    <m/>
    <s v="2024-01-17T12:30:49+00:00"/>
    <s v="2024-01-18T11:29:16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89.9"/>
    <n v="16.21"/>
    <n v="3"/>
    <n v="0.54"/>
    <m/>
    <m/>
    <m/>
    <m/>
    <s v="Cavalese"/>
    <s v="TN - Trento"/>
    <n v="38033"/>
    <s v="IT"/>
    <m/>
    <m/>
    <m/>
    <m/>
    <s v="IT01239540220"/>
    <s v="IT"/>
    <s v="VAT"/>
  </r>
  <r>
    <s v="408-8838915-4044360"/>
    <s v="408-8838915-4044360"/>
    <s v="2024-01-17T12:18:08+00:00"/>
    <s v="2024-01-18T00:12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35"/>
    <s v="IT"/>
    <m/>
    <m/>
    <m/>
    <m/>
    <m/>
    <m/>
    <m/>
  </r>
  <r>
    <s v="408-9443730-1537111"/>
    <s v="408-9443730-1537111"/>
    <s v="2024-01-17T12:07:38+00:00"/>
    <s v="2024-01-19T15:49:2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Rovato"/>
    <s v="Brescia"/>
    <n v="25038"/>
    <s v="IT"/>
    <m/>
    <m/>
    <m/>
    <m/>
    <m/>
    <m/>
    <m/>
  </r>
  <r>
    <s v="404-2285121-2205129"/>
    <s v="404-2285121-2205129"/>
    <s v="2024-01-17T12:02:47+00:00"/>
    <s v="2024-01-18T00:01:2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sena"/>
    <s v="FC"/>
    <n v="47522"/>
    <s v="IT"/>
    <m/>
    <m/>
    <m/>
    <m/>
    <m/>
    <m/>
    <m/>
  </r>
  <r>
    <s v="171-1483185-4929126"/>
    <s v="171-1483185-4929126"/>
    <s v="2024-01-17T11:56:50+00:00"/>
    <s v="2024-01-17T16:33:4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ovone"/>
    <s v="Cuneo"/>
    <n v="12040"/>
    <s v="IT"/>
    <m/>
    <m/>
    <m/>
    <m/>
    <m/>
    <m/>
    <m/>
  </r>
  <r>
    <s v="404-3109745-2525954"/>
    <s v="404-3109745-2525954"/>
    <s v="2024-01-17T11:09:50+00:00"/>
    <s v="2024-01-22T11:13:00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omo"/>
    <s v="Como"/>
    <n v="22100"/>
    <s v="IT"/>
    <m/>
    <m/>
    <m/>
    <m/>
    <m/>
    <m/>
    <m/>
  </r>
  <r>
    <s v="402-4001875-8386747"/>
    <s v="402-4001875-8386747"/>
    <s v="2024-01-17T10:56:50+00:00"/>
    <s v="2024-01-17T18:23:4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TANZARO LIDO"/>
    <s v="Catanzaro"/>
    <n v="88100"/>
    <s v="IT"/>
    <m/>
    <m/>
    <m/>
    <m/>
    <m/>
    <m/>
    <m/>
  </r>
  <r>
    <s v="406-2515625-8233909"/>
    <s v="406-2515625-8233909"/>
    <s v="2024-01-17T10:48:31+00:00"/>
    <s v="2024-01-18T00:50:5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 Morrone"/>
    <s v="Caserta"/>
    <n v="81020"/>
    <s v="IT"/>
    <m/>
    <m/>
    <m/>
    <m/>
    <m/>
    <m/>
    <m/>
  </r>
  <r>
    <s v="405-5656602-9537903"/>
    <s v="405-5656602-9537903"/>
    <s v="2024-01-17T10:46:55+00:00"/>
    <s v="2024-01-19T04:25:2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assano del Grappa"/>
    <s v="Vicenza"/>
    <n v="36061"/>
    <s v="IT"/>
    <m/>
    <m/>
    <m/>
    <m/>
    <m/>
    <m/>
    <m/>
  </r>
  <r>
    <s v="402-9824779-9507510"/>
    <s v="402-9824779-9507510"/>
    <s v="2024-01-17T10:23:26+00:00"/>
    <s v="2024-01-19T15:09:5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Ferrandina"/>
    <s v="Matera"/>
    <n v="75013"/>
    <s v="IT"/>
    <m/>
    <m/>
    <m/>
    <m/>
    <m/>
    <m/>
    <m/>
  </r>
  <r>
    <s v="171-6025118-4687504"/>
    <m/>
    <s v="2024-01-17T10:01:37+00:00"/>
    <s v="2024-01-18T12:10:5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aniago"/>
    <s v="Pordenone"/>
    <n v="33085"/>
    <s v="IT"/>
    <m/>
    <m/>
    <m/>
    <m/>
    <m/>
    <m/>
    <m/>
  </r>
  <r>
    <s v="404-1212524-9021964"/>
    <m/>
    <s v="2024-01-17T09:54:33+00:00"/>
    <s v="2024-01-18T11:29:17+00:00"/>
    <s v="Shipped"/>
    <x v="1"/>
    <x v="3"/>
    <s v="WebsiteOrderChannel"/>
    <m/>
    <s v="Standard"/>
    <s v="Beper BC.261 Vaporiera da 5 litri - Vaporiera Elettrica Con Timer per Cottura al Vapore di Riso, Pesce, Ravioli, Verdure, Carne - BFA Free"/>
    <s v="BC.261"/>
    <x v="3"/>
    <s v="Shipped"/>
    <n v="1"/>
    <s v="EUR"/>
    <n v="29.9"/>
    <n v="5.39"/>
    <n v="3"/>
    <n v="0.54"/>
    <m/>
    <m/>
    <m/>
    <m/>
    <s v="MI"/>
    <s v="ABBIATEGRASSO"/>
    <n v="20081"/>
    <s v="IT"/>
    <m/>
    <m/>
    <m/>
    <m/>
    <m/>
    <m/>
    <m/>
  </r>
  <r>
    <s v="171-6682809-8832321"/>
    <m/>
    <s v="2024-01-17T09:48:47+00:00"/>
    <s v="2024-01-18T03:05:36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Maniago"/>
    <s v="Pordenone"/>
    <n v="33085"/>
    <s v="IT"/>
    <m/>
    <m/>
    <m/>
    <m/>
    <m/>
    <m/>
    <m/>
  </r>
  <r>
    <s v="402-7464307-7058758"/>
    <s v="402-7464307-7058758"/>
    <s v="2024-01-17T09:34:16+00:00"/>
    <s v="2024-01-17T20:24:0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OLNAGO"/>
    <s v="Monza e Brianza"/>
    <n v="20872"/>
    <s v="IT"/>
    <m/>
    <m/>
    <m/>
    <m/>
    <m/>
    <m/>
    <m/>
  </r>
  <r>
    <s v="408-6877693-8304365"/>
    <s v="408-6877693-8304365"/>
    <s v="2024-01-17T09:22:17+00:00"/>
    <s v="2024-01-18T21:32:2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poltore"/>
    <s v="PE"/>
    <n v="65010"/>
    <s v="IT"/>
    <m/>
    <m/>
    <m/>
    <m/>
    <m/>
    <m/>
    <m/>
  </r>
  <r>
    <s v="402-7101006-6980313"/>
    <m/>
    <s v="2024-01-17T09:01:52+00:00"/>
    <s v="2024-01-18T11:59:2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Oristano"/>
    <s v="Oristano"/>
    <n v="9170"/>
    <s v="IT"/>
    <m/>
    <m/>
    <m/>
    <m/>
    <m/>
    <m/>
    <m/>
  </r>
  <r>
    <s v="405-4763388-1129131"/>
    <s v="405-4763388-1129131"/>
    <s v="2024-01-17T09:00:10+00:00"/>
    <s v="2024-01-17T17:00:5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UGGIATE-TREVANO"/>
    <s v="Como"/>
    <n v="22029"/>
    <s v="IT"/>
    <m/>
    <m/>
    <m/>
    <m/>
    <m/>
    <m/>
    <m/>
  </r>
  <r>
    <s v="171-3277324-5374717"/>
    <s v="171-3277324-5374717"/>
    <s v="2024-01-17T08:55:30+00:00"/>
    <s v="2024-01-17T21:29:5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ORLI'"/>
    <m/>
    <n v="47121"/>
    <s v="IT"/>
    <m/>
    <m/>
    <m/>
    <m/>
    <m/>
    <m/>
    <m/>
  </r>
  <r>
    <s v="408-8650419-4895530"/>
    <m/>
    <s v="2024-01-17T08:42:07+00:00"/>
    <s v="2024-01-17T08:43:38+00:00"/>
    <s v="Cancell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m/>
    <n v="0"/>
    <m/>
    <m/>
    <m/>
    <m/>
    <m/>
    <m/>
    <m/>
    <m/>
    <m/>
    <s v="ISCHIA"/>
    <s v="Napoli"/>
    <n v="80077"/>
    <s v="IT"/>
    <m/>
    <m/>
    <m/>
    <m/>
    <m/>
    <m/>
    <m/>
  </r>
  <r>
    <s v="404-0887579-2449114"/>
    <m/>
    <s v="2024-01-17T08:38:12+00:00"/>
    <s v="2024-01-18T12:38:2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Latiano"/>
    <s v="Brindisi"/>
    <n v="72022"/>
    <s v="IT"/>
    <m/>
    <m/>
    <m/>
    <m/>
    <m/>
    <m/>
    <m/>
  </r>
  <r>
    <s v="407-6750049-7582751"/>
    <s v="407-6750049-7582751"/>
    <s v="2024-01-17T08:24:52+00:00"/>
    <s v="2024-01-17T11:23:18+00:00"/>
    <s v="Shipped"/>
    <x v="0"/>
    <x v="3"/>
    <m/>
    <m/>
    <s v="Standard"/>
    <s v="BEPER 90.590Y Macchina per Popcorn, Popcorn in 3 Minuti, 1200 W, Circolazione di Aria Calda, Rosso"/>
    <s v="90.590Y_FBA"/>
    <x v="2"/>
    <s v="Shipped"/>
    <n v="1"/>
    <s v="EUR"/>
    <n v="34.9"/>
    <m/>
    <n v="6.11"/>
    <m/>
    <m/>
    <m/>
    <m/>
    <m/>
    <s v="GELDROP"/>
    <s v="Holland"/>
    <s v="5663JS"/>
    <s v="NL"/>
    <m/>
    <m/>
    <m/>
    <m/>
    <m/>
    <m/>
    <m/>
  </r>
  <r>
    <s v="408-2637055-2465108"/>
    <m/>
    <s v="2024-01-17T08:23:37+00:00"/>
    <s v="2024-01-18T11:30:23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Prato"/>
    <s v="Prato"/>
    <n v="59100"/>
    <s v="IT"/>
    <m/>
    <m/>
    <m/>
    <m/>
    <s v="IT02485610972"/>
    <s v="IT"/>
    <s v="VAT"/>
  </r>
  <r>
    <s v="405-5597215-1670711"/>
    <m/>
    <s v="2024-01-17T08:21:35+00:00"/>
    <s v="2024-01-18T12:38:22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Massa Martana"/>
    <s v="Perugia"/>
    <n v="6056"/>
    <s v="IT"/>
    <m/>
    <m/>
    <m/>
    <m/>
    <m/>
    <m/>
    <m/>
  </r>
  <r>
    <s v="404-0297859-7252373"/>
    <s v="404-0297859-7252373"/>
    <s v="2024-01-17T08:19:44+00:00"/>
    <s v="2024-01-17T21:27:0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Ortona"/>
    <s v="Chieti"/>
    <n v="66026"/>
    <s v="IT"/>
    <m/>
    <m/>
    <m/>
    <m/>
    <m/>
    <m/>
    <m/>
  </r>
  <r>
    <s v="405-5469128-2561907"/>
    <m/>
    <s v="2024-01-17T08:13:26+00:00"/>
    <s v="2024-02-27T13:11:4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Ginosa"/>
    <s v="Taranto"/>
    <n v="74013"/>
    <s v="IT"/>
    <m/>
    <m/>
    <m/>
    <m/>
    <m/>
    <m/>
    <m/>
  </r>
  <r>
    <s v="404-4012609-3444310"/>
    <m/>
    <s v="2024-01-17T07:52:45+00:00"/>
    <s v="2024-01-21T06:47:0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Nule"/>
    <s v="ss"/>
    <n v="7010"/>
    <s v="IT"/>
    <m/>
    <m/>
    <m/>
    <m/>
    <m/>
    <m/>
    <m/>
  </r>
  <r>
    <s v="403-7159583-4969923"/>
    <m/>
    <s v="2024-01-17T07:36:32+00:00"/>
    <s v="2024-01-18T11:39:5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novate milanese"/>
    <s v="milano"/>
    <n v="20026"/>
    <s v="IT"/>
    <m/>
    <m/>
    <m/>
    <m/>
    <m/>
    <m/>
    <m/>
  </r>
  <r>
    <s v="408-7288966-0066725"/>
    <s v="408-7288966-0066725"/>
    <s v="2024-01-17T06:56:00+00:00"/>
    <s v="2024-01-17T16:59:2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edriano"/>
    <s v="MI"/>
    <n v="20018"/>
    <s v="IT"/>
    <m/>
    <m/>
    <m/>
    <m/>
    <m/>
    <m/>
    <m/>
  </r>
  <r>
    <s v="406-9996001-5986714"/>
    <m/>
    <s v="2024-01-17T06:43:51+00:00"/>
    <s v="2024-01-17T18:50:5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oma"/>
    <s v="castelnuovo di Porto"/>
    <n v="60"/>
    <s v="IT"/>
    <m/>
    <m/>
    <m/>
    <m/>
    <s v="PNLTZN71D61H501W"/>
    <s v="IT"/>
    <s v="CitizenId"/>
  </r>
  <r>
    <s v="407-4909672-9346754"/>
    <s v="407-4909672-9346754"/>
    <s v="2024-01-17T01:39:27+00:00"/>
    <s v="2024-01-17T11:29:5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ISOLA SACRA"/>
    <s v="Roma"/>
    <n v="54"/>
    <s v="IT"/>
    <m/>
    <m/>
    <m/>
    <m/>
    <m/>
    <m/>
    <m/>
  </r>
  <r>
    <s v="403-3993186-0298737"/>
    <s v="403-3993186-0298737"/>
    <s v="2024-01-16T23:00:31+00:00"/>
    <s v="2024-01-17T10:17:53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m/>
    <m/>
    <m/>
    <m/>
    <m/>
    <m/>
    <s v="Lagosanto"/>
    <s v="FE"/>
    <n v="44023"/>
    <s v="IT"/>
    <m/>
    <m/>
    <m/>
    <m/>
    <m/>
    <m/>
    <m/>
  </r>
  <r>
    <s v="403-9287660-6313167"/>
    <s v="403-9287660-6313167"/>
    <s v="2024-01-16T22:55:21+00:00"/>
    <s v="2024-01-17T09:27:4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AJEN"/>
    <s v="Bolzano"/>
    <n v="39040"/>
    <s v="IT"/>
    <m/>
    <m/>
    <m/>
    <m/>
    <m/>
    <m/>
    <m/>
  </r>
  <r>
    <s v="408-1043967-3925910"/>
    <m/>
    <s v="2024-01-16T22:41:34+00:00"/>
    <s v="2024-01-17T09:02:05+00:00"/>
    <s v="Cancell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m/>
    <n v="0"/>
    <m/>
    <m/>
    <m/>
    <m/>
    <m/>
    <m/>
    <m/>
    <m/>
    <m/>
    <s v="ISCHIA"/>
    <s v="Napoli"/>
    <n v="80077"/>
    <s v="IT"/>
    <m/>
    <m/>
    <m/>
    <m/>
    <m/>
    <m/>
    <m/>
  </r>
  <r>
    <s v="407-0758264-4449905"/>
    <s v="407-0758264-4449905"/>
    <s v="2024-01-16T22:36:29+00:00"/>
    <s v="2024-01-16T22:38:22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Fiumicino"/>
    <s v="RM"/>
    <n v="54"/>
    <s v="IT"/>
    <m/>
    <m/>
    <m/>
    <m/>
    <m/>
    <m/>
    <m/>
  </r>
  <r>
    <s v="407-5346086-5577139"/>
    <m/>
    <s v="2024-01-16T22:25:16+00:00"/>
    <s v="2024-01-17T16:29:2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Asti"/>
    <s v="AT"/>
    <n v="14100"/>
    <s v="IT"/>
    <m/>
    <m/>
    <m/>
    <m/>
    <m/>
    <m/>
    <m/>
  </r>
  <r>
    <s v="403-2176522-8629160"/>
    <s v="403-2176522-8629160"/>
    <s v="2024-01-16T22:12:57+00:00"/>
    <s v="2024-01-17T20:58:0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poli"/>
    <n v="80121"/>
    <s v="IT"/>
    <m/>
    <m/>
    <m/>
    <m/>
    <m/>
    <m/>
    <m/>
  </r>
  <r>
    <s v="403-1308296-6062767"/>
    <s v="403-1308296-6062767"/>
    <s v="2024-01-16T22:00:29+00:00"/>
    <s v="2024-01-17T20:22:30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n v="1.64"/>
    <m/>
    <m/>
    <m/>
    <m/>
    <n v="1.64"/>
    <s v="Calitri"/>
    <s v="Avellino"/>
    <n v="83045"/>
    <s v="IT"/>
    <m/>
    <m/>
    <m/>
    <m/>
    <m/>
    <m/>
    <m/>
  </r>
  <r>
    <s v="406-8148354-6251523"/>
    <m/>
    <s v="2024-01-16T21:08:26+00:00"/>
    <s v="2024-01-17T15:29:2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roviana"/>
    <s v="Trento"/>
    <n v="38027"/>
    <s v="IT"/>
    <m/>
    <m/>
    <m/>
    <m/>
    <m/>
    <m/>
    <m/>
  </r>
  <r>
    <s v="171-8458651-1765165"/>
    <m/>
    <s v="2024-01-16T21:04:23+00:00"/>
    <s v="2024-01-17T16:28:2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2"/>
    <s v="EUR"/>
    <n v="39.799999999999997"/>
    <n v="7.18"/>
    <n v="6"/>
    <n v="1.08"/>
    <m/>
    <m/>
    <m/>
    <m/>
    <s v="SALINE"/>
    <s v="PI"/>
    <n v="56048"/>
    <s v="IT"/>
    <m/>
    <m/>
    <m/>
    <m/>
    <m/>
    <m/>
    <m/>
  </r>
  <r>
    <s v="404-8956582-7428314"/>
    <m/>
    <s v="2024-01-16T20:51:42+00:00"/>
    <s v="2024-02-08T09:47:0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ilano"/>
    <s v="Mi"/>
    <n v="20161"/>
    <s v="IT"/>
    <m/>
    <m/>
    <m/>
    <m/>
    <m/>
    <m/>
    <m/>
  </r>
  <r>
    <s v="408-1855151-4301151"/>
    <s v="408-1855151-4301151"/>
    <s v="2024-01-16T20:47:07+00:00"/>
    <s v="2024-01-17T13:26:3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ltanissetta"/>
    <s v="CL"/>
    <n v="93100"/>
    <s v="IT"/>
    <m/>
    <m/>
    <m/>
    <m/>
    <m/>
    <m/>
    <m/>
  </r>
  <r>
    <s v="408-6051607-5641954"/>
    <s v="408-6051607-5641954"/>
    <s v="2024-01-16T20:30:48+00:00"/>
    <s v="2024-01-17T01:02:5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vigno"/>
    <s v="Bologna"/>
    <n v="40060"/>
    <s v="IT"/>
    <m/>
    <m/>
    <m/>
    <m/>
    <m/>
    <m/>
    <m/>
  </r>
  <r>
    <s v="403-2121183-9297116"/>
    <s v="403-2121183-9297116"/>
    <s v="2024-01-16T20:25:37+00:00"/>
    <s v="2024-01-22T01:35:16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n v="3.27"/>
    <m/>
    <m/>
    <m/>
    <m/>
    <n v="3.27"/>
    <s v="CHIONS"/>
    <s v="PN"/>
    <n v="33083"/>
    <s v="IT"/>
    <m/>
    <m/>
    <m/>
    <m/>
    <m/>
    <m/>
    <m/>
  </r>
  <r>
    <s v="402-7546905-3563552"/>
    <s v="402-7546905-3563552"/>
    <s v="2024-01-16T20:24:07+00:00"/>
    <s v="2024-01-17T10:20:5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rosseto"/>
    <s v="Grosseto"/>
    <n v="58100"/>
    <s v="IT"/>
    <m/>
    <m/>
    <m/>
    <m/>
    <m/>
    <m/>
    <m/>
  </r>
  <r>
    <s v="402-8993235-4373906"/>
    <m/>
    <s v="2024-01-16T20:07:09+00:00"/>
    <s v="2024-01-17T18:02:1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2"/>
    <s v="EUR"/>
    <n v="45.8"/>
    <n v="8.26"/>
    <n v="6"/>
    <n v="1.08"/>
    <m/>
    <m/>
    <m/>
    <m/>
    <s v="Rocca Pietore"/>
    <s v="Belluno"/>
    <n v="32023"/>
    <s v="IT"/>
    <m/>
    <m/>
    <m/>
    <m/>
    <n v="1236760250"/>
    <s v="IT"/>
    <s v="VAT"/>
  </r>
  <r>
    <s v="404-3105563-2840306"/>
    <m/>
    <s v="2024-01-16T20:00:43+00:00"/>
    <s v="2024-01-17T16:28:2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ROCCASECCA"/>
    <s v="Frosinone"/>
    <n v="3038"/>
    <s v="IT"/>
    <m/>
    <m/>
    <m/>
    <m/>
    <m/>
    <m/>
    <m/>
  </r>
  <r>
    <s v="403-4472577-7206713"/>
    <s v="403-4472577-7206713"/>
    <s v="2024-01-16T19:59:09+00:00"/>
    <s v="2024-01-17T02:19:1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onars"/>
    <s v="Udine"/>
    <n v="33050"/>
    <s v="IT"/>
    <m/>
    <m/>
    <m/>
    <m/>
    <m/>
    <m/>
    <m/>
  </r>
  <r>
    <s v="403-1718485-1049131"/>
    <m/>
    <s v="2024-01-16T19:53:18+00:00"/>
    <s v="2024-01-17T16:28:30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inerbe"/>
    <s v="Verona"/>
    <n v="37046"/>
    <s v="IT"/>
    <m/>
    <m/>
    <m/>
    <m/>
    <m/>
    <m/>
    <m/>
  </r>
  <r>
    <s v="407-1549934-6957116"/>
    <m/>
    <s v="2024-01-16T19:52:43+00:00"/>
    <s v="2024-01-17T15:49:24+00:00"/>
    <s v="Shipped"/>
    <x v="1"/>
    <x v="3"/>
    <s v="WebsiteOrderChannel"/>
    <m/>
    <s v="Standard"/>
    <s v="BEPER 40.405 Phon da Viaggio con Manico Pieghevole - Phon da Viaggio Piccolo e Leggero 1200W"/>
    <n v="40405"/>
    <x v="1"/>
    <s v="Shipped"/>
    <n v="1"/>
    <s v="EUR"/>
    <n v="14.9"/>
    <n v="2.69"/>
    <n v="3"/>
    <n v="0.54"/>
    <m/>
    <m/>
    <m/>
    <m/>
    <s v="Livorno"/>
    <s v="Livorno"/>
    <n v="57122"/>
    <s v="IT"/>
    <m/>
    <m/>
    <m/>
    <m/>
    <m/>
    <m/>
    <m/>
  </r>
  <r>
    <s v="405-0841187-8197128"/>
    <s v="405-0841187-8197128"/>
    <s v="2024-01-16T19:17:58+00:00"/>
    <s v="2024-01-16T22:01:46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ASSISI"/>
    <s v="Perugia"/>
    <n v="6081"/>
    <s v="IT"/>
    <m/>
    <m/>
    <m/>
    <m/>
    <m/>
    <m/>
    <m/>
  </r>
  <r>
    <s v="403-9468619-2222715"/>
    <s v="403-9468619-2222715"/>
    <s v="2024-01-16T19:08:05+00:00"/>
    <s v="2024-01-17T14:44:0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STIA MONDOVI'"/>
    <s v="CN"/>
    <n v="12060"/>
    <s v="IT"/>
    <m/>
    <m/>
    <m/>
    <m/>
    <m/>
    <m/>
    <m/>
  </r>
  <r>
    <s v="402-5106354-8708360"/>
    <s v="402-5106354-8708360"/>
    <s v="2024-01-16T19:02:20+00:00"/>
    <s v="2024-01-17T01:25:0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ortenova"/>
    <s v="Lecco"/>
    <n v="23813"/>
    <s v="IT"/>
    <m/>
    <m/>
    <m/>
    <m/>
    <m/>
    <m/>
    <m/>
  </r>
  <r>
    <s v="407-0369698-9276308"/>
    <m/>
    <s v="2024-01-16T19:02:07+00:00"/>
    <s v="2024-01-17T16:28:27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Grumello del Monte"/>
    <s v="Bergamo"/>
    <n v="24064"/>
    <s v="IT"/>
    <m/>
    <m/>
    <m/>
    <m/>
    <m/>
    <m/>
    <m/>
  </r>
  <r>
    <s v="171-2467132-7901953"/>
    <s v="171-2467132-7901953"/>
    <s v="2024-01-16T18:55:22+00:00"/>
    <s v="2024-01-17T13:26:5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ssina"/>
    <s v="ME"/>
    <n v="98168"/>
    <s v="IT"/>
    <m/>
    <m/>
    <m/>
    <m/>
    <m/>
    <m/>
    <m/>
  </r>
  <r>
    <s v="406-8503962-3308320"/>
    <m/>
    <s v="2024-01-16T18:40:35+00:00"/>
    <s v="2024-01-17T15:49:2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isticci Scalo"/>
    <s v="MT"/>
    <n v="75015"/>
    <s v="IT"/>
    <m/>
    <m/>
    <m/>
    <m/>
    <m/>
    <m/>
    <m/>
  </r>
  <r>
    <s v="403-1391995-6443511"/>
    <s v="403-1391995-6443511"/>
    <s v="2024-01-16T18:17:45+00:00"/>
    <s v="2024-01-17T01:22:1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73"/>
    <s v="IT"/>
    <m/>
    <m/>
    <m/>
    <m/>
    <m/>
    <m/>
    <m/>
  </r>
  <r>
    <s v="171-8426551-0801166"/>
    <s v="171-8426551-0801166"/>
    <s v="2024-01-16T18:12:31+00:00"/>
    <s v="2024-01-17T20:40:1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RAVINA IN PUGLIA"/>
    <s v="Bari"/>
    <n v="70024"/>
    <s v="IT"/>
    <m/>
    <m/>
    <m/>
    <m/>
    <m/>
    <m/>
    <m/>
  </r>
  <r>
    <s v="171-6410496-9190724"/>
    <m/>
    <s v="2024-01-16T18:10:16+00:00"/>
    <s v="2024-01-17T16:28:3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fumone"/>
    <s v="frosinone"/>
    <n v="3010"/>
    <s v="IT"/>
    <m/>
    <m/>
    <m/>
    <m/>
    <m/>
    <m/>
    <m/>
  </r>
  <r>
    <s v="407-4303808-6528300"/>
    <s v="407-4303808-6528300"/>
    <s v="2024-01-16T18:07:46+00:00"/>
    <s v="2024-01-16T20:20:40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Ischia"/>
    <s v="Napoli"/>
    <n v="80077"/>
    <s v="IT"/>
    <m/>
    <m/>
    <m/>
    <m/>
    <s v="IT05319761002"/>
    <s v="IT"/>
    <s v="VAT"/>
  </r>
  <r>
    <s v="402-1787337-3417942"/>
    <s v="402-1787337-3417942"/>
    <s v="2024-01-16T18:01:22+00:00"/>
    <s v="2024-01-17T04:23:0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cenza"/>
    <s v="VI"/>
    <n v="36100"/>
    <s v="IT"/>
    <m/>
    <m/>
    <m/>
    <m/>
    <m/>
    <m/>
    <m/>
  </r>
  <r>
    <s v="407-9414424-7055546"/>
    <s v="407-9414424-7055546"/>
    <s v="2024-01-16T17:59:24+00:00"/>
    <s v="2024-01-17T01:25:4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sta masnaga"/>
    <s v="lc"/>
    <n v="23845"/>
    <s v="IT"/>
    <m/>
    <m/>
    <m/>
    <m/>
    <m/>
    <m/>
    <m/>
  </r>
  <r>
    <s v="403-3623216-2247549"/>
    <s v="403-3623216-2247549"/>
    <s v="2024-01-16T17:58:59+00:00"/>
    <s v="2024-01-18T21:03:16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n v="0.65"/>
    <m/>
    <m/>
    <m/>
    <m/>
    <n v="0.65"/>
    <s v="Salerno"/>
    <s v="Campania"/>
    <n v="84131"/>
    <s v="IT"/>
    <m/>
    <m/>
    <m/>
    <m/>
    <m/>
    <m/>
    <m/>
  </r>
  <r>
    <s v="406-7772838-4817115"/>
    <m/>
    <s v="2024-01-16T17:54:37+00:00"/>
    <s v="2024-01-19T17:54:59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CAPRI"/>
    <s v="Napoli"/>
    <n v="80073"/>
    <s v="IT"/>
    <m/>
    <m/>
    <m/>
    <m/>
    <n v="5717831217"/>
    <s v="IT"/>
    <s v="VAT"/>
  </r>
  <r>
    <s v="407-3779472-5495524"/>
    <s v="407-3779472-5495524"/>
    <s v="2024-01-16T17:44:28+00:00"/>
    <s v="2024-01-17T02:32:0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Palazzolo sull'Oglio"/>
    <s v="Brescia"/>
    <n v="25036"/>
    <s v="IT"/>
    <m/>
    <m/>
    <m/>
    <m/>
    <m/>
    <m/>
    <m/>
  </r>
  <r>
    <s v="404-0742315-7153917"/>
    <s v="404-0742315-7153917"/>
    <s v="2024-01-16T17:34:50+00:00"/>
    <s v="2024-01-16T21:24:53+00:00"/>
    <s v="Shipped"/>
    <x v="0"/>
    <x v="3"/>
    <m/>
    <m/>
    <s v="Expedited"/>
    <s v="BEPER 40.490 Asciugacapelli Da Parete 2000 W - Phon da Parete con Cavo Lungo 2 Metri"/>
    <s v="40.490_FBA"/>
    <x v="26"/>
    <s v="Shipped"/>
    <n v="2"/>
    <s v="EUR"/>
    <n v="59.8"/>
    <n v="10.78"/>
    <m/>
    <m/>
    <m/>
    <m/>
    <m/>
    <m/>
    <s v="Ponza"/>
    <s v="Latina"/>
    <n v="4027"/>
    <s v="IT"/>
    <m/>
    <m/>
    <m/>
    <m/>
    <m/>
    <m/>
    <m/>
  </r>
  <r>
    <s v="407-4471789-2837124"/>
    <m/>
    <s v="2024-01-16T17:33:43+00:00"/>
    <s v="2024-01-17T16:28:29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CASALETTO CEREDANO"/>
    <s v="cr"/>
    <n v="26010"/>
    <s v="IT"/>
    <m/>
    <m/>
    <m/>
    <m/>
    <m/>
    <m/>
    <m/>
  </r>
  <r>
    <s v="404-2462712-8226721"/>
    <s v="404-2462712-8226721"/>
    <s v="2024-01-16T17:16:51+00:00"/>
    <s v="2024-01-16T21:25:0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Caltana"/>
    <s v="Venezia"/>
    <n v="30036"/>
    <s v="IT"/>
    <m/>
    <m/>
    <m/>
    <m/>
    <m/>
    <m/>
    <m/>
  </r>
  <r>
    <s v="171-2108233-9229966"/>
    <m/>
    <s v="2024-01-16T17:15:46+00:00"/>
    <s v="2024-01-21T17:19:03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Gazoldo degli politi"/>
    <s v="Mantova"/>
    <n v="46040"/>
    <s v="IT"/>
    <m/>
    <m/>
    <m/>
    <m/>
    <m/>
    <m/>
    <m/>
  </r>
  <r>
    <s v="404-4332126-0775546"/>
    <m/>
    <s v="2024-01-16T16:42:56+00:00"/>
    <s v="2024-01-17T15:19:2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frosinone"/>
    <s v="Frosinone"/>
    <n v="3100"/>
    <s v="IT"/>
    <m/>
    <m/>
    <m/>
    <m/>
    <m/>
    <m/>
    <m/>
  </r>
  <r>
    <s v="408-1399952-8077120"/>
    <s v="408-1399952-8077120"/>
    <s v="2024-01-16T16:34:13+00:00"/>
    <s v="2024-01-16T16:39:29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lamporecchio"/>
    <s v="pt"/>
    <n v="51035"/>
    <s v="IT"/>
    <m/>
    <m/>
    <m/>
    <m/>
    <m/>
    <m/>
    <m/>
  </r>
  <r>
    <s v="402-1048867-6083562"/>
    <s v="402-1048867-6083562"/>
    <s v="2024-01-16T16:27:57+00:00"/>
    <s v="2024-01-21T08:25:52+00:00"/>
    <s v="Shipped"/>
    <x v="0"/>
    <x v="3"/>
    <m/>
    <m/>
    <s v="Standard"/>
    <s v="BEPER BT.710Y Crepiera elettrica con Manico, 800 W, Piastra in Alluminio con Rivestimento Antiaderente"/>
    <s v="BT.710Y_FBA"/>
    <x v="0"/>
    <s v="Shipped"/>
    <n v="1"/>
    <s v="EUR"/>
    <n v="24.51"/>
    <m/>
    <n v="6.63"/>
    <m/>
    <m/>
    <m/>
    <m/>
    <m/>
    <s v="St Julian’s"/>
    <m/>
    <s v="STJ 9023"/>
    <s v="MT"/>
    <m/>
    <m/>
    <m/>
    <m/>
    <s v="MT22140427"/>
    <s v="MT"/>
    <s v="VAT"/>
  </r>
  <r>
    <s v="405-3838419-0370712"/>
    <s v="405-3838419-0370712"/>
    <s v="2024-01-16T16:24:23+00:00"/>
    <s v="2024-01-17T11:30:55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Roma"/>
    <s v="RM"/>
    <n v="145"/>
    <s v="IT"/>
    <m/>
    <m/>
    <m/>
    <m/>
    <m/>
    <m/>
    <m/>
  </r>
  <r>
    <s v="408-2110641-8405921"/>
    <s v="408-2110641-8405921"/>
    <s v="2024-01-16T16:23:34+00:00"/>
    <s v="2024-01-17T14:23:0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NENGO DI MAZZE'"/>
    <s v="Torino"/>
    <n v="10035"/>
    <s v="IT"/>
    <m/>
    <m/>
    <m/>
    <m/>
    <m/>
    <m/>
    <m/>
  </r>
  <r>
    <s v="406-4971659-7685128"/>
    <s v="406-4971659-7685128"/>
    <s v="2024-01-16T16:05:51+00:00"/>
    <s v="2024-01-16T20:50:2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scoreale"/>
    <s v="Na"/>
    <n v="80041"/>
    <s v="IT"/>
    <m/>
    <m/>
    <m/>
    <m/>
    <m/>
    <m/>
    <m/>
  </r>
  <r>
    <s v="406-8916214-0969945"/>
    <s v="406-8916214-0969945"/>
    <s v="2024-01-16T15:49:49+00:00"/>
    <s v="2024-01-16T21:24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62"/>
    <s v="IT"/>
    <m/>
    <m/>
    <m/>
    <m/>
    <m/>
    <m/>
    <m/>
  </r>
  <r>
    <s v="171-3395113-3855518"/>
    <s v="171-3395113-3855518"/>
    <s v="2024-01-16T15:46:47+00:00"/>
    <s v="2024-01-16T23:29:4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fabriano"/>
    <s v="An"/>
    <n v="60044"/>
    <s v="IT"/>
    <m/>
    <m/>
    <m/>
    <m/>
    <m/>
    <m/>
    <m/>
  </r>
  <r>
    <s v="408-6374490-7716349"/>
    <s v="408-6374490-7716349"/>
    <s v="2024-01-16T15:34:01+00:00"/>
    <s v="2024-01-17T17:35:13+00:00"/>
    <s v="Shipped"/>
    <x v="0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7-0600234-3352322"/>
    <s v="407-0600234-3352322"/>
    <s v="2024-01-16T15:25:13+00:00"/>
    <s v="2024-01-17T02:31:3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LE MARASINO"/>
    <s v="BS"/>
    <n v="25057"/>
    <s v="IT"/>
    <m/>
    <m/>
    <m/>
    <m/>
    <m/>
    <m/>
    <m/>
  </r>
  <r>
    <s v="404-8537348-4366769"/>
    <s v="404-8537348-4366769"/>
    <s v="2024-01-16T15:10:47+00:00"/>
    <s v="2024-01-16T20:52:42+00:00"/>
    <s v="Shipped"/>
    <x v="0"/>
    <x v="3"/>
    <m/>
    <m/>
    <s v="Expedited"/>
    <s v="BEPER 40.490 Asciugacapelli Da Parete 2000 W - Phon da Parete con Cavo Lungo 2 Metri"/>
    <s v="40.490_FBA"/>
    <x v="26"/>
    <s v="Shipped"/>
    <n v="2"/>
    <s v="EUR"/>
    <n v="59.8"/>
    <n v="10.78"/>
    <m/>
    <m/>
    <m/>
    <m/>
    <m/>
    <m/>
    <s v="Rimini"/>
    <s v="Italia"/>
    <n v="47924"/>
    <s v="IT"/>
    <m/>
    <m/>
    <m/>
    <m/>
    <m/>
    <m/>
    <m/>
  </r>
  <r>
    <s v="402-0634548-7529949"/>
    <m/>
    <s v="2024-01-16T15:03:56+00:00"/>
    <s v="2024-01-17T16:07:26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Napoli"/>
    <s v="Napoli"/>
    <n v="80126"/>
    <s v="IT"/>
    <m/>
    <m/>
    <m/>
    <m/>
    <m/>
    <m/>
    <m/>
  </r>
  <r>
    <s v="405-5826849-7424339"/>
    <s v="405-5826849-7424339"/>
    <s v="2024-01-16T15:01:48+00:00"/>
    <s v="2024-01-17T17:56:3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5"/>
    <s v="IT"/>
    <m/>
    <m/>
    <m/>
    <m/>
    <m/>
    <m/>
    <m/>
  </r>
  <r>
    <s v="402-0546704-0427567"/>
    <m/>
    <s v="2024-01-16T15:00:47+00:00"/>
    <s v="2024-01-17T16:28:27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Scandicci"/>
    <s v="FI"/>
    <n v="50018"/>
    <s v="IT"/>
    <m/>
    <m/>
    <m/>
    <m/>
    <m/>
    <m/>
    <m/>
  </r>
  <r>
    <s v="171-4478240-5602738"/>
    <m/>
    <s v="2024-01-16T14:38:10+00:00"/>
    <s v="2024-01-17T19:24:45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s v="EUR"/>
    <n v="16.309999999999999"/>
    <n v="3.59"/>
    <n v="3"/>
    <n v="0.54"/>
    <m/>
    <m/>
    <m/>
    <m/>
    <s v="Siracusa"/>
    <s v="SR"/>
    <n v="96100"/>
    <s v="IT"/>
    <m/>
    <m/>
    <m/>
    <m/>
    <m/>
    <m/>
    <m/>
  </r>
  <r>
    <s v="171-6908765-3765968"/>
    <s v="171-6908765-3765968"/>
    <s v="2024-01-16T14:16:55+00:00"/>
    <s v="2024-01-17T14:25:08+00:00"/>
    <s v="Cancelled"/>
    <x v="0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Villabate"/>
    <s v="Palermo"/>
    <n v="90039"/>
    <s v="IT"/>
    <m/>
    <m/>
    <m/>
    <m/>
    <m/>
    <m/>
    <m/>
  </r>
  <r>
    <s v="407-0218575-3436316"/>
    <s v="407-0218575-3436316"/>
    <s v="2024-01-16T14:01:41+00:00"/>
    <s v="2024-01-24T13:17:0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U'"/>
    <s v="Torino"/>
    <n v="10070"/>
    <s v="IT"/>
    <m/>
    <m/>
    <m/>
    <m/>
    <m/>
    <m/>
    <m/>
  </r>
  <r>
    <s v="402-4342697-3361127"/>
    <s v="402-4342697-3361127"/>
    <s v="2024-01-16T14:00:23+00:00"/>
    <s v="2024-01-16T20:16:54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Milan"/>
    <s v="Milan"/>
    <n v="20148"/>
    <s v="IT"/>
    <m/>
    <m/>
    <m/>
    <m/>
    <m/>
    <m/>
    <m/>
  </r>
  <r>
    <s v="404-8028900-6132322"/>
    <m/>
    <s v="2024-01-16T13:51:03+00:00"/>
    <s v="2024-01-17T16:28:2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AN SEVERO"/>
    <s v="FOGGIA"/>
    <n v="71016"/>
    <s v="IT"/>
    <m/>
    <m/>
    <m/>
    <m/>
    <m/>
    <m/>
    <m/>
  </r>
  <r>
    <s v="403-6338018-1234732"/>
    <s v="403-6338018-1234732"/>
    <s v="2024-01-16T13:42:14+00:00"/>
    <s v="2024-01-17T01:58:21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Marcignago"/>
    <s v="Pavia"/>
    <n v="27020"/>
    <s v="IT"/>
    <m/>
    <m/>
    <m/>
    <m/>
    <m/>
    <m/>
    <m/>
  </r>
  <r>
    <s v="402-5892923-9022710"/>
    <m/>
    <s v="2024-01-16T13:35:35+00:00"/>
    <s v="2024-01-17T16:28:27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tra"/>
    <s v="Venezia"/>
    <n v="30039"/>
    <s v="IT"/>
    <m/>
    <m/>
    <m/>
    <m/>
    <m/>
    <m/>
    <m/>
  </r>
  <r>
    <s v="406-1003298-0369938"/>
    <s v="406-1003298-0369938"/>
    <s v="2024-01-16T12:59:38+00:00"/>
    <s v="2024-01-16T20:34:2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oci"/>
    <s v="AR"/>
    <n v="52011"/>
    <s v="IT"/>
    <m/>
    <m/>
    <m/>
    <m/>
    <m/>
    <m/>
    <m/>
  </r>
  <r>
    <s v="404-6014891-1849166"/>
    <s v="404-6014891-1849166"/>
    <s v="2024-01-16T12:49:37+00:00"/>
    <s v="2024-01-20T03:14:4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avenna"/>
    <s v="Ravenna"/>
    <n v="48121"/>
    <s v="IT"/>
    <m/>
    <m/>
    <m/>
    <m/>
    <m/>
    <m/>
    <m/>
  </r>
  <r>
    <s v="171-2909396-4733115"/>
    <s v="171-2909396-4733115"/>
    <s v="2024-01-16T12:42:40+00:00"/>
    <s v="2024-01-17T02:10:5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prilia"/>
    <s v="LT"/>
    <n v="4011"/>
    <s v="IT"/>
    <m/>
    <m/>
    <m/>
    <m/>
    <m/>
    <m/>
    <m/>
  </r>
  <r>
    <s v="408-4428509-5817943"/>
    <m/>
    <s v="2024-01-16T12:20:33+00:00"/>
    <s v="2024-01-17T16:28:28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Messina"/>
    <s v="ME"/>
    <n v="98123"/>
    <s v="IT"/>
    <m/>
    <m/>
    <m/>
    <m/>
    <m/>
    <m/>
    <m/>
  </r>
  <r>
    <s v="407-4016784-2287558"/>
    <s v="407-4016784-2287558"/>
    <s v="2024-01-16T12:18:22+00:00"/>
    <s v="2024-01-16T17:45:5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illaricca"/>
    <s v="Napoli"/>
    <n v="80010"/>
    <s v="IT"/>
    <m/>
    <m/>
    <m/>
    <m/>
    <m/>
    <m/>
    <m/>
  </r>
  <r>
    <s v="407-4147431-4889931"/>
    <m/>
    <s v="2024-01-16T11:57:22+00:00"/>
    <s v="2024-01-17T15:49:2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2"/>
    <s v="EUR"/>
    <n v="39.799999999999997"/>
    <n v="7.18"/>
    <n v="6"/>
    <n v="1.08"/>
    <m/>
    <m/>
    <m/>
    <m/>
    <s v="BOLOGNA"/>
    <s v="Bologna"/>
    <n v="40121"/>
    <s v="IT"/>
    <m/>
    <m/>
    <m/>
    <m/>
    <m/>
    <m/>
    <m/>
  </r>
  <r>
    <s v="406-6639687-3810739"/>
    <m/>
    <s v="2024-01-16T11:45:25+00:00"/>
    <s v="2024-01-17T16:00:1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Firenze"/>
    <s v="Firenze"/>
    <n v="50126"/>
    <s v="IT"/>
    <m/>
    <m/>
    <m/>
    <m/>
    <m/>
    <m/>
    <m/>
  </r>
  <r>
    <s v="407-8442251-2153954"/>
    <m/>
    <s v="2024-01-16T11:28:27+00:00"/>
    <s v="2024-01-17T16:00:32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2"/>
    <s v="EUR"/>
    <n v="39.799999999999997"/>
    <n v="7.18"/>
    <n v="6"/>
    <n v="1.08"/>
    <m/>
    <m/>
    <m/>
    <m/>
    <s v="ceparana"/>
    <s v="La Spezia"/>
    <n v="19020"/>
    <s v="IT"/>
    <m/>
    <m/>
    <m/>
    <m/>
    <m/>
    <m/>
    <m/>
  </r>
  <r>
    <s v="404-5117214-0253903"/>
    <s v="404-5117214-0253903"/>
    <s v="2024-01-16T11:21:58+00:00"/>
    <s v="2024-01-17T08:01:5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GIORGIO JONICO"/>
    <s v="TA"/>
    <n v="74027"/>
    <s v="IT"/>
    <m/>
    <m/>
    <m/>
    <m/>
    <m/>
    <m/>
    <m/>
  </r>
  <r>
    <s v="403-8787186-8196328"/>
    <s v="403-8787186-8196328"/>
    <s v="2024-01-16T11:20:04+00:00"/>
    <s v="2024-01-16T16:53:07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Milano"/>
    <s v="Milano"/>
    <n v="20149"/>
    <s v="IT"/>
    <m/>
    <m/>
    <m/>
    <m/>
    <m/>
    <m/>
    <m/>
  </r>
  <r>
    <s v="407-6935023-7002726"/>
    <s v="407-6935023-7002726"/>
    <s v="2024-01-16T10:58:16+00:00"/>
    <s v="2024-01-17T10:16:1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ntelleria"/>
    <s v="Trapani"/>
    <n v="91017"/>
    <s v="IT"/>
    <m/>
    <m/>
    <m/>
    <m/>
    <m/>
    <m/>
    <m/>
  </r>
  <r>
    <s v="171-8473579-0409123"/>
    <s v="171-8473579-0409123"/>
    <s v="2024-01-16T10:10:40+00:00"/>
    <s v="2024-01-21T10:14:40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benevento"/>
    <s v="bn"/>
    <n v="82100"/>
    <s v="IT"/>
    <m/>
    <m/>
    <m/>
    <m/>
    <m/>
    <m/>
    <m/>
  </r>
  <r>
    <s v="406-9140943-3472363"/>
    <s v="406-9140943-3472363"/>
    <s v="2024-01-16T10:09:34+00:00"/>
    <s v="2024-01-16T21:31:4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iso"/>
    <s v="Reggio Emilia"/>
    <n v="42031"/>
    <s v="IT"/>
    <m/>
    <m/>
    <m/>
    <m/>
    <m/>
    <m/>
    <m/>
  </r>
  <r>
    <s v="171-6094131-5177168"/>
    <s v="171-6094131-5177168"/>
    <s v="2024-01-16T09:56:10+00:00"/>
    <s v="2024-01-16T13:34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assino Visconti"/>
    <s v="NOVARA"/>
    <n v="28040"/>
    <s v="IT"/>
    <m/>
    <m/>
    <m/>
    <m/>
    <m/>
    <m/>
    <m/>
  </r>
  <r>
    <s v="171-8678111-9921148"/>
    <s v="171-8678111-9921148"/>
    <s v="2024-01-16T09:08:35+00:00"/>
    <s v="2024-01-16T17:44:4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IANO IRPINO"/>
    <s v="Avellino"/>
    <n v="83031"/>
    <s v="IT"/>
    <m/>
    <m/>
    <m/>
    <m/>
    <m/>
    <m/>
    <m/>
  </r>
  <r>
    <s v="403-8723917-4498766"/>
    <s v="403-8723917-4498766"/>
    <s v="2024-01-16T09:05:17+00:00"/>
    <s v="2024-01-16T17:39:2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ecce"/>
    <s v="lecce"/>
    <n v="73100"/>
    <s v="IT"/>
    <m/>
    <m/>
    <m/>
    <m/>
    <m/>
    <m/>
    <m/>
  </r>
  <r>
    <s v="171-2913882-6299568"/>
    <s v="171-2913882-6299568"/>
    <s v="2024-01-16T08:49:36+00:00"/>
    <s v="2024-01-17T01:22:1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negliano"/>
    <s v="Treviso"/>
    <n v="31015"/>
    <s v="IT"/>
    <m/>
    <m/>
    <m/>
    <m/>
    <m/>
    <m/>
    <m/>
  </r>
  <r>
    <s v="406-9068607-7650723"/>
    <m/>
    <s v="2024-01-16T08:49:27+00:00"/>
    <s v="2024-01-16T18:15:45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s v="EUR"/>
    <n v="16.309999999999999"/>
    <n v="3.59"/>
    <n v="3"/>
    <n v="0.54"/>
    <m/>
    <m/>
    <m/>
    <m/>
    <s v="Ascoli Piceno"/>
    <s v="Ascoli Piceno"/>
    <n v="63100"/>
    <s v="IT"/>
    <m/>
    <m/>
    <m/>
    <m/>
    <m/>
    <m/>
    <m/>
  </r>
  <r>
    <s v="171-8991082-1521113"/>
    <m/>
    <s v="2024-01-16T08:24:41+00:00"/>
    <s v="2024-01-17T16:29:39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Martina franca"/>
    <s v="Taranto"/>
    <n v="74015"/>
    <s v="IT"/>
    <m/>
    <m/>
    <m/>
    <m/>
    <m/>
    <m/>
    <m/>
  </r>
  <r>
    <s v="407-0897522-9304349"/>
    <s v="407-0897522-9304349"/>
    <s v="2024-01-16T08:16:59+00:00"/>
    <s v="2024-01-16T18:17:4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tera"/>
    <s v="Matera"/>
    <n v="75100"/>
    <s v="IT"/>
    <m/>
    <m/>
    <m/>
    <m/>
    <m/>
    <m/>
    <m/>
  </r>
  <r>
    <s v="404-5733587-2311551"/>
    <s v="404-5733587-2311551"/>
    <s v="2024-01-16T08:07:16+00:00"/>
    <s v="2024-01-18T21:35:3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4"/>
    <m/>
    <m/>
    <m/>
    <m/>
    <n v="1.64"/>
    <s v="Morciano di Romagna"/>
    <s v="Rimini"/>
    <n v="47833"/>
    <s v="IT"/>
    <m/>
    <m/>
    <m/>
    <m/>
    <m/>
    <m/>
    <m/>
  </r>
  <r>
    <s v="408-3578287-5095530"/>
    <s v="408-3578287-5095530"/>
    <s v="2024-01-16T07:43:40+00:00"/>
    <s v="2024-01-16T18:27:5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Fiesole"/>
    <s v="FI"/>
    <n v="50014"/>
    <s v="IT"/>
    <m/>
    <m/>
    <m/>
    <m/>
    <m/>
    <m/>
    <m/>
  </r>
  <r>
    <s v="407-2307325-9862769"/>
    <s v="407-2307325-9862769"/>
    <s v="2024-01-16T07:30:09+00:00"/>
    <s v="2024-01-17T08:01:0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SALVATORE MONFERRATO"/>
    <s v="PIEMONTE"/>
    <n v="15046"/>
    <s v="IT"/>
    <m/>
    <m/>
    <m/>
    <m/>
    <m/>
    <m/>
    <m/>
  </r>
  <r>
    <s v="403-0743643-3415564"/>
    <m/>
    <s v="2024-01-16T06:48:31+00:00"/>
    <s v="2024-01-16T11:43:2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Samarate"/>
    <s v="Varese"/>
    <n v="21017"/>
    <s v="IT"/>
    <m/>
    <m/>
    <m/>
    <m/>
    <m/>
    <m/>
    <m/>
  </r>
  <r>
    <s v="403-3296530-0825959"/>
    <m/>
    <s v="2024-01-16T06:14:59+00:00"/>
    <s v="2024-01-16T10:24:3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Fano"/>
    <s v="PU"/>
    <n v="61032"/>
    <s v="IT"/>
    <m/>
    <m/>
    <m/>
    <m/>
    <m/>
    <m/>
    <m/>
  </r>
  <r>
    <s v="402-8462036-7489908"/>
    <s v="402-8462036-7489908"/>
    <s v="2024-01-16T05:29:05+00:00"/>
    <s v="2024-01-16T12:48:5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ssina"/>
    <s v="Messina"/>
    <n v="98121"/>
    <s v="IT"/>
    <m/>
    <m/>
    <m/>
    <m/>
    <m/>
    <m/>
    <m/>
  </r>
  <r>
    <s v="402-1724965-1377121"/>
    <m/>
    <s v="2024-01-16T05:04:29+00:00"/>
    <s v="2024-01-16T19:18:29+00:00"/>
    <s v="Shipped"/>
    <x v="1"/>
    <x v="3"/>
    <s v="WebsiteOrderChannel"/>
    <m/>
    <s v="Standard"/>
    <s v="BEPER 40.405 Phon da Viaggio con Manico Pieghevole - Phon da Viaggio Piccolo e Leggero 1200W"/>
    <n v="40405"/>
    <x v="1"/>
    <s v="Shipped"/>
    <n v="1"/>
    <s v="EUR"/>
    <n v="14.9"/>
    <n v="2.69"/>
    <n v="3"/>
    <n v="0.54"/>
    <m/>
    <m/>
    <m/>
    <m/>
    <s v="Milano"/>
    <s v="Milano"/>
    <n v="20162"/>
    <s v="IT"/>
    <m/>
    <m/>
    <m/>
    <m/>
    <m/>
    <m/>
    <m/>
  </r>
  <r>
    <s v="403-1509144-3872307"/>
    <s v="403-1509144-3872307"/>
    <s v="2024-01-15T23:36:09+00:00"/>
    <s v="2024-01-16T21:05:3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STIGLIONE DELLA PESCAIA"/>
    <s v="Grosseto"/>
    <n v="58043"/>
    <s v="IT"/>
    <m/>
    <m/>
    <m/>
    <m/>
    <m/>
    <m/>
    <m/>
  </r>
  <r>
    <s v="403-5511301-3146712"/>
    <s v="403-5511301-3146712"/>
    <s v="2024-01-15T22:33:24+00:00"/>
    <s v="2024-01-24T08:46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1299999999999999"/>
    <n v="0.2"/>
    <m/>
    <m/>
    <m/>
    <m/>
    <s v="Fusignano"/>
    <s v="Ra"/>
    <n v="48134"/>
    <s v="IT"/>
    <m/>
    <m/>
    <m/>
    <m/>
    <m/>
    <m/>
    <m/>
  </r>
  <r>
    <s v="404-8224553-5557917"/>
    <s v="404-8224553-5557917"/>
    <s v="2024-01-15T22:22:40+00:00"/>
    <s v="2024-01-16T16:34:0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olarino"/>
    <s v="Siracusa"/>
    <n v="96010"/>
    <s v="IT"/>
    <m/>
    <m/>
    <m/>
    <m/>
    <m/>
    <m/>
    <m/>
  </r>
  <r>
    <s v="406-5096466-2860307"/>
    <m/>
    <s v="2024-01-15T22:08:16+00:00"/>
    <s v="2024-01-16T07:28:44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s v="EUR"/>
    <n v="16.309999999999999"/>
    <n v="3.59"/>
    <n v="3"/>
    <n v="0.54"/>
    <m/>
    <m/>
    <m/>
    <m/>
    <s v="Fiumicino"/>
    <s v="Roma"/>
    <n v="54"/>
    <s v="IT"/>
    <m/>
    <m/>
    <m/>
    <m/>
    <m/>
    <m/>
    <m/>
  </r>
  <r>
    <s v="407-8669468-2037946"/>
    <s v="407-8669468-2037946"/>
    <s v="2024-01-15T21:51:14+00:00"/>
    <s v="2024-01-16T13:34:04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Beinette"/>
    <s v="Cuneo"/>
    <n v="12081"/>
    <s v="IT"/>
    <m/>
    <m/>
    <m/>
    <m/>
    <m/>
    <m/>
    <m/>
  </r>
  <r>
    <s v="404-8004640-9692316"/>
    <m/>
    <s v="2024-01-15T21:49:07+00:00"/>
    <s v="2024-01-16T10:22:1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Torino"/>
    <s v="TO"/>
    <n v="10149"/>
    <s v="IT"/>
    <m/>
    <m/>
    <m/>
    <m/>
    <m/>
    <m/>
    <m/>
  </r>
  <r>
    <s v="402-8373596-1706713"/>
    <s v="402-8373596-1706713"/>
    <s v="2024-01-15T21:39:18+00:00"/>
    <s v="2024-01-16T17:26:3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utigliano bari"/>
    <s v="Puglia"/>
    <n v="70018"/>
    <s v="IT"/>
    <m/>
    <m/>
    <m/>
    <m/>
    <m/>
    <m/>
    <m/>
  </r>
  <r>
    <s v="405-2903152-2037115"/>
    <s v="405-2903152-2037115"/>
    <s v="2024-01-15T21:31:06+00:00"/>
    <s v="2024-01-17T01:26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46"/>
    <s v="IT"/>
    <m/>
    <m/>
    <m/>
    <m/>
    <m/>
    <m/>
    <m/>
  </r>
  <r>
    <s v="408-3552635-2169937"/>
    <m/>
    <s v="2024-01-15T21:15:29+00:00"/>
    <s v="2024-01-16T10:22:16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istoia"/>
    <s v="Pistoia"/>
    <n v="51100"/>
    <s v="IT"/>
    <m/>
    <m/>
    <m/>
    <m/>
    <m/>
    <m/>
    <m/>
  </r>
  <r>
    <s v="408-7075038-8905127"/>
    <s v="408-7075038-8905127"/>
    <s v="2024-01-15T21:09:27+00:00"/>
    <s v="2024-01-16T21:30:5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PATRIZIO"/>
    <s v="Ravenna"/>
    <n v="48017"/>
    <s v="IT"/>
    <m/>
    <m/>
    <m/>
    <m/>
    <m/>
    <m/>
    <m/>
  </r>
  <r>
    <s v="407-5136662-4249106"/>
    <s v="407-5136662-4249106"/>
    <s v="2024-01-15T21:06:22+00:00"/>
    <s v="2024-01-16T20:30:5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ravenna"/>
    <s v="Ravenna"/>
    <n v="48121"/>
    <s v="IT"/>
    <m/>
    <m/>
    <m/>
    <m/>
    <m/>
    <m/>
    <m/>
  </r>
  <r>
    <s v="404-7843386-8183560"/>
    <s v="404-7843386-8183560"/>
    <s v="2024-01-15T21:05:26+00:00"/>
    <s v="2024-01-15T21:12:37+00:00"/>
    <s v="Cancell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Cancelled"/>
    <n v="0"/>
    <m/>
    <m/>
    <m/>
    <m/>
    <m/>
    <m/>
    <m/>
    <m/>
    <m/>
    <s v="Casoli"/>
    <s v="CH"/>
    <n v="66043"/>
    <s v="IT"/>
    <m/>
    <m/>
    <m/>
    <m/>
    <m/>
    <m/>
    <m/>
  </r>
  <r>
    <s v="403-0602594-5402765"/>
    <s v="403-0602594-5402765"/>
    <s v="2024-01-15T20:50:14+00:00"/>
    <s v="2024-01-16T02:21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lonnella"/>
    <s v="Teramo"/>
    <n v="64010"/>
    <s v="IT"/>
    <m/>
    <m/>
    <m/>
    <m/>
    <m/>
    <m/>
    <m/>
  </r>
  <r>
    <s v="405-2538088-7021967"/>
    <s v="405-2538088-7021967"/>
    <s v="2024-01-15T20:16:51+00:00"/>
    <s v="2024-01-16T02:33:0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BRAULINS"/>
    <s v="Udine"/>
    <n v="33010"/>
    <s v="IT"/>
    <m/>
    <m/>
    <m/>
    <m/>
    <m/>
    <m/>
    <m/>
  </r>
  <r>
    <s v="171-1048684-9186703"/>
    <s v="171-1048684-9186703"/>
    <s v="2024-01-15T20:12:11+00:00"/>
    <s v="2024-01-16T02:30:4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nedolo"/>
    <s v="Brescia"/>
    <n v="25014"/>
    <s v="IT"/>
    <m/>
    <m/>
    <m/>
    <m/>
    <m/>
    <m/>
    <m/>
  </r>
  <r>
    <s v="404-6875575-2860301"/>
    <m/>
    <s v="2024-01-15T20:05:00+00:00"/>
    <s v="2024-03-28T07:12:2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alermo"/>
    <s v="PA"/>
    <n v="90143"/>
    <s v="IT"/>
    <m/>
    <m/>
    <m/>
    <m/>
    <m/>
    <m/>
    <m/>
  </r>
  <r>
    <s v="405-4797170-2317932"/>
    <s v="405-4797170-2317932"/>
    <s v="2024-01-15T19:49:53+00:00"/>
    <s v="2024-01-16T07:20:02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Padova"/>
    <s v="Padova"/>
    <n v="35129"/>
    <s v="IT"/>
    <m/>
    <m/>
    <m/>
    <m/>
    <m/>
    <m/>
    <m/>
  </r>
  <r>
    <s v="403-1074068-7841136"/>
    <m/>
    <s v="2024-01-15T19:42:29+00:00"/>
    <s v="2024-01-16T10:24:44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Fossano"/>
    <s v="CN"/>
    <n v="12045"/>
    <s v="IT"/>
    <m/>
    <m/>
    <m/>
    <m/>
    <m/>
    <m/>
    <m/>
  </r>
  <r>
    <s v="406-5222978-7403516"/>
    <s v="406-5222978-7403516"/>
    <s v="2024-01-15T19:31:03+00:00"/>
    <s v="2024-01-16T18:21:32+00:00"/>
    <s v="Shipped"/>
    <x v="0"/>
    <x v="3"/>
    <m/>
    <m/>
    <s v="Expedited"/>
    <s v="BEPER Macchina per Popcorn, Popcorn in 3 Minuti, No Grassi, Circolazione di Aria Calda, Senza Olio Potenza 1200 W, Rosso/ Oro"/>
    <s v="BT.651Y_FBA"/>
    <x v="7"/>
    <s v="Shipped"/>
    <n v="1"/>
    <s v="EUR"/>
    <n v="49.9"/>
    <n v="9"/>
    <m/>
    <m/>
    <m/>
    <m/>
    <m/>
    <m/>
    <s v="CA' DI DAVID"/>
    <s v="Verona"/>
    <n v="37135"/>
    <s v="IT"/>
    <m/>
    <m/>
    <m/>
    <m/>
    <m/>
    <m/>
    <m/>
  </r>
  <r>
    <s v="404-5114785-3936305"/>
    <s v="404-5114785-3936305"/>
    <s v="2024-01-15T19:11:55+00:00"/>
    <s v="2024-01-17T08:39:5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marzeno brisighella"/>
    <s v="Ravenna"/>
    <n v="48010"/>
    <s v="IT"/>
    <m/>
    <m/>
    <m/>
    <m/>
    <m/>
    <m/>
    <m/>
  </r>
  <r>
    <s v="405-6987039-1378724"/>
    <s v="405-6987039-1378724"/>
    <s v="2024-01-15T18:55:53+00:00"/>
    <s v="2024-01-15T23:05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auglia"/>
    <s v="pisa"/>
    <n v="56043"/>
    <s v="IT"/>
    <m/>
    <m/>
    <m/>
    <m/>
    <m/>
    <m/>
    <m/>
  </r>
  <r>
    <s v="402-8272594-8876356"/>
    <s v="402-8272594-8876356"/>
    <s v="2024-01-15T18:55:02+00:00"/>
    <s v="2024-01-16T02:37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versa"/>
    <s v="CE"/>
    <n v="81031"/>
    <s v="IT"/>
    <m/>
    <m/>
    <m/>
    <m/>
    <m/>
    <m/>
    <m/>
  </r>
  <r>
    <s v="404-7274897-4620339"/>
    <m/>
    <s v="2024-01-15T18:28:26+00:00"/>
    <s v="2024-01-16T10:22:2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Padova"/>
    <s v="Padova"/>
    <n v="35126"/>
    <s v="IT"/>
    <m/>
    <m/>
    <m/>
    <m/>
    <m/>
    <m/>
    <m/>
  </r>
  <r>
    <s v="402-3986303-9147504"/>
    <m/>
    <s v="2024-01-15T18:24:31+00:00"/>
    <s v="2024-01-16T09:43:21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9.899999999999999"/>
    <n v="3.59"/>
    <n v="3"/>
    <n v="0.54"/>
    <m/>
    <m/>
    <m/>
    <m/>
    <s v="Biassono"/>
    <s v="MB"/>
    <n v="20853"/>
    <s v="IT"/>
    <m/>
    <m/>
    <m/>
    <m/>
    <m/>
    <m/>
    <m/>
  </r>
  <r>
    <s v="403-2735761-3194728"/>
    <s v="403-2735761-3194728"/>
    <s v="2024-01-15T18:05:52+00:00"/>
    <s v="2024-01-15T20:20:2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RABIAGO"/>
    <s v="Milano"/>
    <n v="20015"/>
    <s v="IT"/>
    <m/>
    <m/>
    <m/>
    <m/>
    <m/>
    <m/>
    <m/>
  </r>
  <r>
    <s v="402-5875801-5988340"/>
    <s v="402-5875801-5988340"/>
    <s v="2024-01-15T17:51:31+00:00"/>
    <s v="2024-01-16T00:35:3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CARMAGNOLA"/>
    <s v="To"/>
    <n v="10022"/>
    <s v="IT"/>
    <m/>
    <m/>
    <m/>
    <m/>
    <m/>
    <m/>
    <m/>
  </r>
  <r>
    <s v="402-2987377-0565163"/>
    <s v="402-2987377-0565163"/>
    <s v="2024-01-15T17:47:10+00:00"/>
    <s v="2024-01-15T17:48:04+00:00"/>
    <s v="Cancell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Cancelled"/>
    <n v="0"/>
    <m/>
    <m/>
    <m/>
    <m/>
    <m/>
    <m/>
    <m/>
    <m/>
    <m/>
    <s v="Carmagnola"/>
    <m/>
    <n v="10022"/>
    <s v="IT"/>
    <m/>
    <m/>
    <m/>
    <m/>
    <m/>
    <m/>
    <m/>
  </r>
  <r>
    <s v="406-0102120-0564363"/>
    <m/>
    <s v="2024-01-15T17:28:14+00:00"/>
    <s v="2024-01-15T19:55:37+00:00"/>
    <s v="Cancell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m/>
    <n v="0"/>
    <m/>
    <m/>
    <m/>
    <m/>
    <m/>
    <m/>
    <m/>
    <m/>
    <m/>
    <s v="Agliana"/>
    <s v="Pistoia"/>
    <n v="51031"/>
    <s v="IT"/>
    <m/>
    <m/>
    <m/>
    <m/>
    <m/>
    <m/>
    <m/>
  </r>
  <r>
    <s v="403-4785603-4067502"/>
    <m/>
    <s v="2024-01-15T17:24:59+00:00"/>
    <s v="2024-01-16T10:24:59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Gorgonzola"/>
    <s v="Milano"/>
    <n v="20064"/>
    <s v="IT"/>
    <m/>
    <m/>
    <m/>
    <m/>
    <m/>
    <m/>
    <m/>
  </r>
  <r>
    <s v="407-6441451-0597153"/>
    <s v="407-6441451-0597153"/>
    <s v="2024-01-15T17:21:38+00:00"/>
    <s v="2024-01-16T01:21:2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giovanni valdarno"/>
    <s v="arezzo"/>
    <n v="52027"/>
    <s v="IT"/>
    <m/>
    <m/>
    <m/>
    <m/>
    <m/>
    <m/>
    <m/>
  </r>
  <r>
    <s v="403-0546766-9231506"/>
    <s v="403-0546766-9231506"/>
    <s v="2024-01-15T17:14:46+00:00"/>
    <s v="2024-01-17T08:30:05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Sant'Andrea Frius"/>
    <s v="Cagliari"/>
    <n v="9040"/>
    <s v="IT"/>
    <m/>
    <m/>
    <m/>
    <m/>
    <m/>
    <m/>
    <m/>
  </r>
  <r>
    <s v="404-7945638-2676353"/>
    <s v="404-7945638-2676353"/>
    <s v="2024-01-15T17:13:56+00:00"/>
    <s v="2024-01-15T21:24:3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ISCEGLIE"/>
    <s v="PUGLIA"/>
    <n v="76011"/>
    <s v="IT"/>
    <m/>
    <m/>
    <m/>
    <m/>
    <m/>
    <m/>
    <m/>
  </r>
  <r>
    <s v="404-3156124-0495549"/>
    <m/>
    <s v="2024-01-15T17:08:35+00:00"/>
    <s v="2024-01-16T09:43:15+00:00"/>
    <s v="Shipped"/>
    <x v="1"/>
    <x v="3"/>
    <s v="WebsiteOrderChannel"/>
    <m/>
    <s v="Standard"/>
    <s v="BEPER - Scaldavivande Elettrico Portatile, 2 Contenitori Removibili, Piastra Riscaldante in Acciaio, Posate di Plastica in Dotazione, 220V - Rosso"/>
    <s v="90.920R"/>
    <x v="13"/>
    <s v="Shipped"/>
    <n v="1"/>
    <s v="EUR"/>
    <n v="18.899999999999999"/>
    <n v="3.41"/>
    <n v="3"/>
    <n v="0.54"/>
    <m/>
    <m/>
    <m/>
    <m/>
    <s v="Besnate"/>
    <s v="Varese"/>
    <n v="21010"/>
    <s v="IT"/>
    <m/>
    <m/>
    <m/>
    <m/>
    <m/>
    <m/>
    <m/>
  </r>
  <r>
    <s v="406-1245738-1391553"/>
    <s v="406-1245738-1391553"/>
    <s v="2024-01-15T17:02:27+00:00"/>
    <s v="2024-01-17T08:01:3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ari"/>
    <s v="BA"/>
    <n v="70124"/>
    <s v="IT"/>
    <m/>
    <m/>
    <m/>
    <m/>
    <m/>
    <m/>
    <m/>
  </r>
  <r>
    <s v="405-5070534-6641158"/>
    <s v="405-5070534-6641158"/>
    <s v="2024-01-15T16:16:13+00:00"/>
    <s v="2024-01-15T23:29:5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Napoli"/>
    <s v="Napoli"/>
    <n v="80124"/>
    <s v="IT"/>
    <m/>
    <m/>
    <m/>
    <m/>
    <m/>
    <m/>
    <m/>
  </r>
  <r>
    <s v="403-1688924-2514731"/>
    <m/>
    <s v="2024-01-15T15:56:14+00:00"/>
    <s v="2024-01-18T13:54:16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Uri"/>
    <s v="Sassari"/>
    <n v="7040"/>
    <s v="IT"/>
    <m/>
    <m/>
    <m/>
    <m/>
    <m/>
    <m/>
    <m/>
  </r>
  <r>
    <s v="404-1457118-6817156"/>
    <s v="404-1457118-6817156"/>
    <s v="2024-01-15T15:49:37+00:00"/>
    <s v="2024-01-16T12:03:0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re di Santa Maria"/>
    <s v="SO"/>
    <n v="23020"/>
    <s v="IT"/>
    <m/>
    <m/>
    <m/>
    <m/>
    <m/>
    <m/>
    <m/>
  </r>
  <r>
    <s v="408-5508867-2657100"/>
    <s v="408-5508867-2657100"/>
    <s v="2024-01-15T15:06:05+00:00"/>
    <s v="2024-01-16T11:34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rabia"/>
    <s v="Palermo"/>
    <n v="90019"/>
    <s v="IT"/>
    <m/>
    <m/>
    <m/>
    <m/>
    <m/>
    <m/>
    <m/>
  </r>
  <r>
    <s v="406-3841307-8842707"/>
    <s v="406-3841307-8842707"/>
    <s v="2024-01-15T14:34:51+00:00"/>
    <s v="2024-01-16T13:21:3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ssina"/>
    <s v="Messina"/>
    <n v="98121"/>
    <s v="IT"/>
    <m/>
    <m/>
    <m/>
    <m/>
    <m/>
    <m/>
    <m/>
  </r>
  <r>
    <s v="402-9650081-2992316"/>
    <s v="402-9650081-2992316"/>
    <s v="2024-01-15T13:37:57+00:00"/>
    <s v="2024-01-15T22:27:3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Roma"/>
    <s v="Roma"/>
    <n v="172"/>
    <s v="IT"/>
    <m/>
    <m/>
    <m/>
    <m/>
    <m/>
    <m/>
    <m/>
  </r>
  <r>
    <s v="403-3549088-4442736"/>
    <m/>
    <s v="2024-01-15T12:36:12+00:00"/>
    <s v="2024-01-16T09:13:11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2"/>
    <s v="EUR"/>
    <n v="57.8"/>
    <n v="10.42"/>
    <n v="6"/>
    <n v="1.08"/>
    <m/>
    <m/>
    <m/>
    <m/>
    <s v="Bergamo"/>
    <s v="Bergamo"/>
    <n v="24124"/>
    <s v="IT"/>
    <m/>
    <m/>
    <m/>
    <m/>
    <s v="IT03568180164"/>
    <s v="IT"/>
    <s v="VAT"/>
  </r>
  <r>
    <s v="407-7113156-8493945"/>
    <s v="407-7113156-8493945"/>
    <s v="2024-01-15T12:13:57+00:00"/>
    <s v="2024-01-15T20:49:0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mpofilone"/>
    <s v="Fermo"/>
    <n v="63828"/>
    <s v="IT"/>
    <m/>
    <m/>
    <m/>
    <m/>
    <m/>
    <m/>
    <m/>
  </r>
  <r>
    <s v="405-0893568-1655538"/>
    <s v="405-0893568-1655538"/>
    <s v="2024-01-15T12:11:18+00:00"/>
    <s v="2024-01-15T16:10:26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Milano"/>
    <s v="Milano"/>
    <n v="20146"/>
    <s v="IT"/>
    <m/>
    <m/>
    <m/>
    <m/>
    <m/>
    <m/>
    <m/>
  </r>
  <r>
    <s v="405-8128719-3544341"/>
    <s v="405-8128719-3544341"/>
    <s v="2024-01-15T11:51:00+00:00"/>
    <s v="2024-01-15T16:20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rezzano Sul Naviglio"/>
    <s v="Milano"/>
    <n v="20090"/>
    <s v="IT"/>
    <m/>
    <m/>
    <m/>
    <m/>
    <m/>
    <m/>
    <m/>
  </r>
  <r>
    <s v="404-5816700-4659502"/>
    <s v="404-5816700-4659502"/>
    <s v="2024-01-15T11:32:11+00:00"/>
    <s v="2024-01-15T16:27:5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enevello"/>
    <s v="Cuneo"/>
    <n v="12050"/>
    <s v="IT"/>
    <m/>
    <m/>
    <m/>
    <m/>
    <m/>
    <m/>
    <m/>
  </r>
  <r>
    <s v="171-5295375-8790752"/>
    <m/>
    <s v="2024-01-15T11:30:38+00:00"/>
    <s v="2024-01-16T10:23:26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Quiliano"/>
    <s v="Sv"/>
    <n v="17047"/>
    <s v="IT"/>
    <m/>
    <m/>
    <m/>
    <m/>
    <m/>
    <m/>
    <m/>
  </r>
  <r>
    <s v="407-2493678-8481122"/>
    <s v="407-2493678-8481122"/>
    <s v="2024-01-15T11:28:01+00:00"/>
    <s v="2024-01-16T04:44:4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ondi"/>
    <s v="Latina"/>
    <n v="4022"/>
    <s v="IT"/>
    <m/>
    <m/>
    <m/>
    <m/>
    <m/>
    <m/>
    <m/>
  </r>
  <r>
    <s v="405-2259872-3866710"/>
    <s v="405-2259872-3866710"/>
    <s v="2024-01-15T11:23:49+00:00"/>
    <s v="2024-01-15T22:28:52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Castelforte"/>
    <s v="Latina"/>
    <n v="4021"/>
    <s v="IT"/>
    <m/>
    <m/>
    <m/>
    <m/>
    <m/>
    <m/>
    <m/>
  </r>
  <r>
    <s v="408-2213938-6771536"/>
    <m/>
    <s v="2024-01-15T11:19:50+00:00"/>
    <s v="2024-01-20T11:27:07+00:00"/>
    <s v="Cancelled"/>
    <x v="1"/>
    <x v="3"/>
    <s v="WebsiteOrderChannel"/>
    <m/>
    <s v="Standard"/>
    <s v="BEPER 90.590Y Macchina per Popcorn, Popcorn in 3 Minuti, 1200 W, Circolazione di Aria Calda, Rosso"/>
    <s v="90.590Y"/>
    <x v="2"/>
    <m/>
    <n v="0"/>
    <m/>
    <m/>
    <m/>
    <m/>
    <m/>
    <m/>
    <m/>
    <m/>
    <m/>
    <s v="Rovato"/>
    <s v="Brescia"/>
    <n v="25038"/>
    <s v="IT"/>
    <m/>
    <m/>
    <m/>
    <m/>
    <m/>
    <m/>
    <m/>
  </r>
  <r>
    <s v="407-8158723-5761935"/>
    <s v="407-8158723-5761935"/>
    <s v="2024-01-15T11:17:55+00:00"/>
    <s v="2024-01-16T11:23:4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ceto"/>
    <s v="Re"/>
    <n v="42019"/>
    <s v="IT"/>
    <m/>
    <m/>
    <m/>
    <m/>
    <m/>
    <m/>
    <m/>
  </r>
  <r>
    <s v="171-9912457-4946716"/>
    <s v="171-9912457-4946716"/>
    <s v="2024-01-15T11:10:50+00:00"/>
    <s v="2024-01-15T16:31:40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m/>
    <m/>
    <m/>
    <m/>
    <m/>
    <m/>
    <s v="Gemona del Friuli"/>
    <s v="Udine"/>
    <n v="33013"/>
    <s v="IT"/>
    <m/>
    <m/>
    <m/>
    <m/>
    <m/>
    <m/>
    <m/>
  </r>
  <r>
    <s v="402-8888398-1717117"/>
    <s v="402-8888398-1717117"/>
    <s v="2024-01-15T11:08:20+00:00"/>
    <s v="2024-01-15T17:40:2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GNACAVALLO"/>
    <s v="(RA)"/>
    <n v="48012"/>
    <s v="IT"/>
    <m/>
    <m/>
    <m/>
    <m/>
    <m/>
    <m/>
    <m/>
  </r>
  <r>
    <s v="407-0224057-3403578"/>
    <s v="407-0224057-3403578"/>
    <s v="2024-01-15T11:03:27+00:00"/>
    <s v="2024-01-16T13:24:5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ntova"/>
    <s v="MN"/>
    <n v="46100"/>
    <s v="IT"/>
    <m/>
    <m/>
    <m/>
    <m/>
    <m/>
    <m/>
    <m/>
  </r>
  <r>
    <s v="404-2182430-4358703"/>
    <s v="404-2182430-4358703"/>
    <s v="2024-01-15T11:00:26+00:00"/>
    <s v="2024-01-15T18:22:3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ntenero Val Cocchiara IS"/>
    <s v="Molisse"/>
    <n v="86080"/>
    <s v="IT"/>
    <m/>
    <m/>
    <m/>
    <m/>
    <m/>
    <m/>
    <m/>
  </r>
  <r>
    <s v="404-3904397-1763554"/>
    <s v="404-3904397-1763554"/>
    <s v="2024-01-15T10:35:47+00:00"/>
    <s v="2024-01-17T08:32:09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ORGOSOLO"/>
    <s v="Nuoro"/>
    <n v="8027"/>
    <s v="IT"/>
    <m/>
    <m/>
    <m/>
    <m/>
    <m/>
    <m/>
    <m/>
  </r>
  <r>
    <s v="405-1516571-4293122"/>
    <s v="405-1516571-4293122"/>
    <s v="2024-01-15T10:08:49+00:00"/>
    <s v="2024-01-15T21:21:2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ara Filiorum Petri"/>
    <s v="Chieti"/>
    <n v="66010"/>
    <s v="IT"/>
    <m/>
    <m/>
    <m/>
    <m/>
    <m/>
    <m/>
    <m/>
  </r>
  <r>
    <s v="407-7383121-0888351"/>
    <m/>
    <s v="2024-01-15T09:58:40+00:00"/>
    <s v="2024-01-16T09:54:33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2"/>
    <s v="EUR"/>
    <n v="31.8"/>
    <n v="5.74"/>
    <n v="6"/>
    <n v="1.08"/>
    <m/>
    <m/>
    <m/>
    <m/>
    <s v="piacenza"/>
    <s v="PC"/>
    <n v="29122"/>
    <s v="IT"/>
    <m/>
    <m/>
    <m/>
    <m/>
    <m/>
    <m/>
    <m/>
  </r>
  <r>
    <s v="407-3984233-7272338"/>
    <m/>
    <s v="2024-01-15T08:47:48+00:00"/>
    <s v="2024-01-17T21:34:04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roma"/>
    <s v="Roma"/>
    <n v="177"/>
    <s v="IT"/>
    <m/>
    <m/>
    <m/>
    <m/>
    <m/>
    <m/>
    <m/>
  </r>
  <r>
    <s v="402-2713035-5624311"/>
    <s v="402-2713035-5624311"/>
    <s v="2024-01-15T07:41:55+00:00"/>
    <s v="2024-01-15T20:47:18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rimini"/>
    <s v="Rimini"/>
    <n v="47924"/>
    <s v="IT"/>
    <m/>
    <m/>
    <m/>
    <m/>
    <m/>
    <m/>
    <m/>
  </r>
  <r>
    <s v="406-9141558-9836349"/>
    <s v="406-9141558-9836349"/>
    <s v="2024-01-15T07:19:53+00:00"/>
    <s v="2024-01-15T16:18:3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T"/>
    <n v="20147"/>
    <s v="IT"/>
    <m/>
    <m/>
    <m/>
    <m/>
    <m/>
    <m/>
    <m/>
  </r>
  <r>
    <s v="404-4822970-8148338"/>
    <m/>
    <s v="2024-01-15T07:16:46+00:00"/>
    <s v="2024-01-16T09:54:23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Follonica"/>
    <s v="Grosseto"/>
    <n v="58022"/>
    <s v="IT"/>
    <m/>
    <m/>
    <m/>
    <m/>
    <m/>
    <m/>
    <m/>
  </r>
  <r>
    <s v="404-0603561-2776358"/>
    <s v="404-0603561-2776358"/>
    <s v="2024-01-15T06:25:45+00:00"/>
    <s v="2024-01-15T17:56:3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1"/>
    <s v="IT"/>
    <m/>
    <m/>
    <m/>
    <m/>
    <m/>
    <m/>
    <m/>
  </r>
  <r>
    <s v="404-2963170-3064309"/>
    <s v="404-2963170-3064309"/>
    <s v="2024-01-15T04:13:57+00:00"/>
    <s v="2024-01-20T04:23:44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PALERMO"/>
    <s v="PA"/>
    <n v="90121"/>
    <s v="IT"/>
    <m/>
    <m/>
    <m/>
    <m/>
    <m/>
    <m/>
    <m/>
  </r>
  <r>
    <s v="406-8423403-1545930"/>
    <s v="406-8423403-1545930"/>
    <s v="2024-01-14T23:07:08+00:00"/>
    <s v="2024-01-15T17:27:1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ediglia"/>
    <s v="MI"/>
    <n v="20076"/>
    <s v="IT"/>
    <m/>
    <m/>
    <m/>
    <m/>
    <m/>
    <m/>
    <m/>
  </r>
  <r>
    <s v="406-1075271-5164358"/>
    <s v="406-1075271-5164358"/>
    <s v="2024-01-14T21:42:26+00:00"/>
    <s v="2024-01-15T21:31:0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scara"/>
    <s v="PE"/>
    <n v="65124"/>
    <s v="IT"/>
    <m/>
    <m/>
    <m/>
    <m/>
    <m/>
    <m/>
    <m/>
  </r>
  <r>
    <s v="403-3627097-6553130"/>
    <s v="403-3627097-6553130"/>
    <s v="2024-01-14T21:31:13+00:00"/>
    <s v="2024-01-15T07:27:18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Vaccolino"/>
    <s v="FE"/>
    <n v="44023"/>
    <s v="IT"/>
    <m/>
    <m/>
    <m/>
    <m/>
    <m/>
    <m/>
    <m/>
  </r>
  <r>
    <s v="403-1184442-0241941"/>
    <s v="403-1184442-0241941"/>
    <s v="2024-01-14T21:20:45+00:00"/>
    <s v="2024-01-15T13:22:53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Barcellona Pozzo di Gotto"/>
    <s v="Messina"/>
    <n v="98051"/>
    <s v="IT"/>
    <m/>
    <m/>
    <m/>
    <m/>
    <m/>
    <m/>
    <m/>
  </r>
  <r>
    <s v="403-9579378-8002707"/>
    <s v="403-9579378-8002707"/>
    <s v="2024-01-14T20:48:55+00:00"/>
    <s v="2024-01-15T08:52:4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rlentini"/>
    <s v="Siracusa"/>
    <n v="96013"/>
    <s v="IT"/>
    <m/>
    <m/>
    <m/>
    <m/>
    <m/>
    <m/>
    <m/>
  </r>
  <r>
    <s v="171-5027470-3303515"/>
    <m/>
    <s v="2024-01-14T20:24:59+00:00"/>
    <s v="2024-01-15T15:50:53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Monguzzo"/>
    <s v="Como"/>
    <n v="22040"/>
    <s v="IT"/>
    <m/>
    <m/>
    <m/>
    <m/>
    <m/>
    <m/>
    <m/>
  </r>
  <r>
    <s v="406-3605854-1795540"/>
    <m/>
    <s v="2024-01-14T20:06:48+00:00"/>
    <s v="2024-01-15T15:51:43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Maranello"/>
    <s v="Modena"/>
    <n v="41053"/>
    <s v="IT"/>
    <m/>
    <m/>
    <m/>
    <m/>
    <m/>
    <m/>
    <m/>
  </r>
  <r>
    <s v="404-0785622-6495546"/>
    <m/>
    <s v="2024-01-14T20:03:09+00:00"/>
    <s v="2024-01-15T16:38:26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FONTANELLATO"/>
    <s v="Parma"/>
    <n v="43012"/>
    <s v="IT"/>
    <m/>
    <m/>
    <m/>
    <m/>
    <m/>
    <m/>
    <m/>
  </r>
  <r>
    <s v="404-7241141-2769116"/>
    <m/>
    <s v="2024-01-14T20:01:07+00:00"/>
    <s v="2024-01-15T15:48:36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Torre D’Isola"/>
    <s v="Pavia"/>
    <n v="27020"/>
    <s v="IT"/>
    <m/>
    <m/>
    <m/>
    <m/>
    <m/>
    <m/>
    <m/>
  </r>
  <r>
    <s v="404-0406811-2702735"/>
    <s v="404-0406811-2702735"/>
    <s v="2024-01-14T19:31:57+00:00"/>
    <s v="2024-01-15T07:38:3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alè"/>
    <s v="Trento"/>
    <n v="38027"/>
    <s v="IT"/>
    <m/>
    <m/>
    <m/>
    <m/>
    <m/>
    <m/>
    <m/>
  </r>
  <r>
    <s v="406-1321245-7143501"/>
    <s v="406-1321245-7143501"/>
    <s v="2024-01-14T19:31:46+00:00"/>
    <s v="2024-01-15T17:31:47+00:00"/>
    <s v="Shipped"/>
    <x v="0"/>
    <x v="3"/>
    <m/>
    <m/>
    <s v="Expedited"/>
    <s v="BEPER BT.150Y Macchina per Hot Dog, 5 Livelli di Cottura, 750 Watt, Design Vintage, Rosso"/>
    <s v="BT.150Y_FBA"/>
    <x v="5"/>
    <s v="Shipped"/>
    <n v="1"/>
    <s v="EUR"/>
    <n v="39.9"/>
    <n v="7.2"/>
    <m/>
    <m/>
    <m/>
    <m/>
    <m/>
    <m/>
    <s v="Marina di Pietrasanta"/>
    <s v="LU"/>
    <n v="55045"/>
    <s v="IT"/>
    <m/>
    <m/>
    <m/>
    <m/>
    <m/>
    <m/>
    <m/>
  </r>
  <r>
    <s v="407-8542513-9460333"/>
    <s v="407-8542513-9460333"/>
    <s v="2024-01-14T19:31:35+00:00"/>
    <s v="2024-01-15T00:33:5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s v="Bologna"/>
    <n v="40126"/>
    <s v="IT"/>
    <m/>
    <m/>
    <m/>
    <m/>
    <m/>
    <m/>
    <m/>
  </r>
  <r>
    <s v="408-3158349-2645949"/>
    <s v="408-3158349-2645949"/>
    <s v="2024-01-14T19:20:13+00:00"/>
    <s v="2024-01-14T22:35:2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91"/>
    <s v="IT"/>
    <m/>
    <m/>
    <m/>
    <m/>
    <m/>
    <m/>
    <m/>
  </r>
  <r>
    <s v="408-6652381-1556326"/>
    <s v="408-6652381-1556326"/>
    <s v="2024-01-14T19:14:53+00:00"/>
    <s v="2024-01-15T13:22:3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CCA DI CAPRI LEONE"/>
    <s v="Messina"/>
    <n v="98070"/>
    <s v="IT"/>
    <m/>
    <m/>
    <m/>
    <m/>
    <m/>
    <m/>
    <m/>
  </r>
  <r>
    <s v="402-8728549-8229941"/>
    <s v="402-8728549-8229941"/>
    <s v="2024-01-14T18:36:47+00:00"/>
    <s v="2024-01-14T20:55:5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lonnella"/>
    <s v="Teramo"/>
    <n v="64010"/>
    <s v="IT"/>
    <m/>
    <m/>
    <m/>
    <m/>
    <m/>
    <m/>
    <m/>
  </r>
  <r>
    <s v="404-9631251-3585964"/>
    <s v="404-9631251-3585964"/>
    <s v="2024-01-14T18:12:31+00:00"/>
    <s v="2024-01-15T17:33:0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LTAMURA"/>
    <s v="Bari"/>
    <n v="70022"/>
    <s v="IT"/>
    <m/>
    <m/>
    <m/>
    <m/>
    <m/>
    <m/>
    <m/>
  </r>
  <r>
    <s v="405-6691888-6765158"/>
    <s v="405-6691888-6765158"/>
    <s v="2024-01-14T18:06:54+00:00"/>
    <s v="2024-01-16T15:16:15+00:00"/>
    <s v="Shipped"/>
    <x v="0"/>
    <x v="3"/>
    <m/>
    <m/>
    <s v="Standard"/>
    <s v="BEPER 90.590Y Macchina per Popcorn, Popcorn in 3 Minuti, 1200 W, Circolazione di Aria Calda, Rosso"/>
    <s v="90.590Y_FBA"/>
    <x v="2"/>
    <s v="Shipped"/>
    <n v="1"/>
    <s v="EUR"/>
    <n v="28.61"/>
    <m/>
    <n v="2.33"/>
    <m/>
    <m/>
    <m/>
    <m/>
    <n v="2.33"/>
    <s v="Zurich"/>
    <m/>
    <n v="8053"/>
    <s v="CH"/>
    <m/>
    <m/>
    <m/>
    <m/>
    <m/>
    <m/>
    <m/>
  </r>
  <r>
    <s v="405-8416511-9186731"/>
    <s v="405-8416511-9186731"/>
    <s v="2024-01-14T18:06:51+00:00"/>
    <s v="2024-01-15T02:34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Monfalcone"/>
    <s v="Gorizia"/>
    <n v="34074"/>
    <s v="IT"/>
    <m/>
    <m/>
    <m/>
    <m/>
    <m/>
    <m/>
    <m/>
  </r>
  <r>
    <s v="406-2642824-8926706"/>
    <s v="406-2642824-8926706"/>
    <s v="2024-01-14T17:50:11+00:00"/>
    <s v="2024-01-15T07:29:18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Trento"/>
    <s v="Trento"/>
    <n v="38121"/>
    <s v="IT"/>
    <m/>
    <m/>
    <m/>
    <m/>
    <m/>
    <m/>
    <m/>
  </r>
  <r>
    <s v="403-3484806-5212365"/>
    <s v="403-3484806-5212365"/>
    <s v="2024-01-14T17:21:47+00:00"/>
    <s v="2024-01-15T02:37:5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rego"/>
    <s v="Vicenza"/>
    <n v="36040"/>
    <s v="IT"/>
    <m/>
    <m/>
    <m/>
    <m/>
    <m/>
    <m/>
    <m/>
  </r>
  <r>
    <s v="407-3910044-5688324"/>
    <s v="407-3910044-5688324"/>
    <s v="2024-01-14T17:17:32+00:00"/>
    <s v="2024-01-15T00:50:2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mporto"/>
    <s v="Modena"/>
    <n v="41030"/>
    <s v="IT"/>
    <m/>
    <m/>
    <m/>
    <m/>
    <m/>
    <m/>
    <m/>
  </r>
  <r>
    <s v="406-9235642-9938717"/>
    <s v="406-9235642-9938717"/>
    <s v="2024-01-14T16:56:31+00:00"/>
    <s v="2024-01-15T00:33:55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vigo"/>
    <s v="Rovigo"/>
    <n v="45100"/>
    <s v="IT"/>
    <m/>
    <m/>
    <m/>
    <m/>
    <s v="PPSGRG96B02Z140I"/>
    <s v="IT"/>
    <s v="CitizenId"/>
  </r>
  <r>
    <s v="407-0623956-9612316"/>
    <s v="407-0623956-9612316"/>
    <s v="2024-01-14T16:48:16+00:00"/>
    <s v="2024-01-16T20:46:1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0.65"/>
    <m/>
    <m/>
    <m/>
    <m/>
    <n v="0.65"/>
    <s v="reggio emilia"/>
    <s v="re"/>
    <n v="42122"/>
    <s v="IT"/>
    <m/>
    <m/>
    <m/>
    <m/>
    <m/>
    <m/>
    <m/>
  </r>
  <r>
    <s v="406-4340819-9767512"/>
    <m/>
    <s v="2024-01-14T16:46:43+00:00"/>
    <s v="2024-01-15T16:27:3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Genova"/>
    <s v="Genova"/>
    <n v="16124"/>
    <s v="IT"/>
    <m/>
    <m/>
    <m/>
    <m/>
    <m/>
    <m/>
    <m/>
  </r>
  <r>
    <s v="402-8122090-2817122"/>
    <s v="402-8122090-2817122"/>
    <s v="2024-01-14T16:40:19+00:00"/>
    <s v="2024-01-14T23:48:29+00:00"/>
    <s v="Shipped"/>
    <x v="0"/>
    <x v="3"/>
    <m/>
    <m/>
    <s v="Expedited"/>
    <s v="Beper 90.882 - Fornetto Elettrico 12L, Elementi Riscaldanti al Quarzo, Temperatura Regolabile fino a 230°C, Timer Regolabile fino a 30 Minuti, Autosp"/>
    <s v="90.882_FBA"/>
    <x v="19"/>
    <s v="Shipped"/>
    <n v="1"/>
    <s v="EUR"/>
    <n v="49.9"/>
    <n v="9"/>
    <m/>
    <m/>
    <m/>
    <m/>
    <m/>
    <m/>
    <s v="Negrar di Valpolicella"/>
    <s v="VR"/>
    <n v="37024"/>
    <s v="IT"/>
    <m/>
    <m/>
    <m/>
    <m/>
    <m/>
    <m/>
    <m/>
  </r>
  <r>
    <s v="406-2310560-4781124"/>
    <s v="406-2310560-4781124"/>
    <s v="2024-01-14T16:39:17+00:00"/>
    <s v="2024-01-16T15:28:3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rugate"/>
    <s v="Milano"/>
    <n v="20061"/>
    <s v="IT"/>
    <m/>
    <m/>
    <m/>
    <m/>
    <m/>
    <m/>
    <m/>
  </r>
  <r>
    <s v="404-2267616-3389917"/>
    <m/>
    <s v="2024-01-14T16:05:34+00:00"/>
    <s v="2024-01-15T16:27:34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Suvereto"/>
    <s v="Toscana"/>
    <n v="57028"/>
    <s v="IT"/>
    <m/>
    <m/>
    <m/>
    <m/>
    <m/>
    <m/>
    <m/>
  </r>
  <r>
    <s v="408-4101194-5405943"/>
    <s v="408-4101194-5405943"/>
    <s v="2024-01-14T15:28:57+00:00"/>
    <s v="2024-01-14T18:41:4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ZZANA"/>
    <s v="PO"/>
    <n v="59100"/>
    <s v="IT"/>
    <m/>
    <m/>
    <m/>
    <m/>
    <m/>
    <m/>
    <m/>
  </r>
  <r>
    <s v="402-1738606-1049932"/>
    <m/>
    <s v="2024-01-14T15:16:32+00:00"/>
    <s v="2024-01-22T16:46:33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OLIENA"/>
    <s v="NU"/>
    <n v="8025"/>
    <s v="IT"/>
    <m/>
    <m/>
    <m/>
    <m/>
    <m/>
    <m/>
    <m/>
  </r>
  <r>
    <s v="405-1865563-2737960"/>
    <m/>
    <s v="2024-01-14T15:12:21+00:00"/>
    <s v="2024-01-15T13:10:50+00:00"/>
    <s v="Cancelled"/>
    <x v="1"/>
    <x v="3"/>
    <s v="WebsiteOrderChannel"/>
    <m/>
    <s v="Standard"/>
    <s v="Beper Pulitore a Vapore Igenizzante, Caldaia in Alluminio da 350 Ml, Pulsante Vapore Continuo, Pressione 3.2 Bar, 30 G/Min, Cavo da 3 M Giallo/Nero"/>
    <n v="50700"/>
    <x v="24"/>
    <m/>
    <n v="0"/>
    <s v="EUR"/>
    <n v="73.599999999999994"/>
    <n v="16.2"/>
    <n v="6"/>
    <n v="1.08"/>
    <m/>
    <m/>
    <m/>
    <m/>
    <s v="Roma"/>
    <s v="Roma"/>
    <n v="167"/>
    <s v="IT"/>
    <m/>
    <m/>
    <m/>
    <m/>
    <m/>
    <m/>
    <m/>
  </r>
  <r>
    <s v="171-3258468-6441940"/>
    <s v="171-3258468-6441940"/>
    <s v="2024-01-14T13:33:30+00:00"/>
    <s v="2024-01-14T15:49:3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spitaletto"/>
    <s v="Brescia"/>
    <n v="25035"/>
    <s v="IT"/>
    <m/>
    <m/>
    <m/>
    <m/>
    <m/>
    <m/>
    <m/>
  </r>
  <r>
    <s v="406-1417743-8841967"/>
    <s v="406-1417743-8841967"/>
    <s v="2024-01-14T12:47:32+00:00"/>
    <s v="2024-01-14T23:31:2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agnana"/>
    <s v="PD"/>
    <n v="35044"/>
    <s v="IT"/>
    <m/>
    <m/>
    <m/>
    <m/>
    <m/>
    <m/>
    <m/>
  </r>
  <r>
    <s v="403-8967558-6885943"/>
    <s v="403-8967558-6885943"/>
    <s v="2024-01-14T12:36:22+00:00"/>
    <s v="2024-01-15T09:07:00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n v="1.64"/>
    <m/>
    <m/>
    <m/>
    <m/>
    <n v="1.64"/>
    <s v="ROME"/>
    <s v="Rome"/>
    <n v="165"/>
    <s v="IT"/>
    <m/>
    <m/>
    <m/>
    <m/>
    <m/>
    <m/>
    <m/>
  </r>
  <r>
    <s v="403-3019971-7909942"/>
    <s v="403-3019971-7909942"/>
    <s v="2024-01-14T12:32:21+00:00"/>
    <s v="2024-01-14T12:33:16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Toblach"/>
    <s v="Alto Adige"/>
    <n v="39034"/>
    <s v="IT"/>
    <m/>
    <m/>
    <m/>
    <m/>
    <m/>
    <m/>
    <m/>
  </r>
  <r>
    <s v="406-7622616-0816366"/>
    <s v="406-7622616-0816366"/>
    <s v="2024-01-14T11:58:34+00:00"/>
    <s v="2024-01-15T01:31:5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MOTTA DI LIVENZA"/>
    <s v="Treviso"/>
    <n v="31045"/>
    <s v="IT"/>
    <m/>
    <m/>
    <m/>
    <m/>
    <m/>
    <m/>
    <m/>
  </r>
  <r>
    <s v="407-2159366-5648351"/>
    <s v="407-2159366-5648351"/>
    <s v="2024-01-14T11:50:45+00:00"/>
    <s v="2024-01-14T14:44:4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ese"/>
    <s v="Mi"/>
    <n v="20020"/>
    <s v="IT"/>
    <m/>
    <m/>
    <m/>
    <m/>
    <m/>
    <m/>
    <m/>
  </r>
  <r>
    <s v="402-4310611-3014716"/>
    <s v="402-4310611-3014716"/>
    <s v="2024-01-14T11:36:16+00:00"/>
    <s v="2024-01-17T18:18:2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2.5"/>
    <n v="0.45"/>
    <m/>
    <m/>
    <m/>
    <m/>
    <s v="BRUGNERA"/>
    <s v="Pordenone"/>
    <n v="33070"/>
    <s v="IT"/>
    <m/>
    <m/>
    <m/>
    <m/>
    <m/>
    <m/>
    <m/>
  </r>
  <r>
    <s v="404-9850433-5334728"/>
    <m/>
    <s v="2024-01-14T11:29:37+00:00"/>
    <s v="2024-01-15T15:49:3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Cornaredo"/>
    <s v="Milano"/>
    <n v="20007"/>
    <s v="IT"/>
    <m/>
    <m/>
    <m/>
    <m/>
    <m/>
    <m/>
    <m/>
  </r>
  <r>
    <s v="407-3512888-5600351"/>
    <s v="407-3512888-5600351"/>
    <s v="2024-01-14T11:22:10+00:00"/>
    <s v="2024-01-15T01:53:4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eranova"/>
    <s v="Pavia"/>
    <n v="27010"/>
    <s v="IT"/>
    <m/>
    <m/>
    <m/>
    <m/>
    <m/>
    <m/>
    <m/>
  </r>
  <r>
    <s v="405-3504715-1348344"/>
    <s v="405-3504715-1348344"/>
    <s v="2024-01-14T11:09:35+00:00"/>
    <s v="2024-01-14T18:25:0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elicucco"/>
    <s v="RC"/>
    <n v="89020"/>
    <s v="IT"/>
    <m/>
    <m/>
    <m/>
    <m/>
    <m/>
    <m/>
    <m/>
  </r>
  <r>
    <s v="405-7532979-7039506"/>
    <s v="405-7532979-7039506"/>
    <s v="2024-01-14T10:56:04+00:00"/>
    <s v="2024-01-14T17:58:2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eda"/>
    <s v="MB"/>
    <n v="20821"/>
    <s v="IT"/>
    <m/>
    <m/>
    <m/>
    <m/>
    <m/>
    <m/>
    <m/>
  </r>
  <r>
    <s v="402-0127231-6641107"/>
    <s v="402-0127231-6641107"/>
    <s v="2024-01-14T10:48:38+00:00"/>
    <s v="2024-01-14T21:27:18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DUINO"/>
    <s v="Trieste"/>
    <n v="34011"/>
    <s v="IT"/>
    <m/>
    <m/>
    <m/>
    <m/>
    <m/>
    <m/>
    <m/>
  </r>
  <r>
    <s v="407-0888440-6830768"/>
    <s v="407-0888440-6830768"/>
    <s v="2024-01-14T10:10:50+00:00"/>
    <s v="2024-01-14T20:22:24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CENTOLA"/>
    <s v="Salerno"/>
    <n v="84051"/>
    <s v="IT"/>
    <m/>
    <m/>
    <m/>
    <m/>
    <m/>
    <m/>
    <m/>
  </r>
  <r>
    <s v="406-9175692-2613907"/>
    <s v="406-9175692-2613907"/>
    <s v="2024-01-14T10:10:28+00:00"/>
    <s v="2024-01-14T17:28:1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AGONEGRO"/>
    <s v="POTENZA"/>
    <n v="85042"/>
    <s v="IT"/>
    <m/>
    <m/>
    <m/>
    <m/>
    <m/>
    <m/>
    <m/>
  </r>
  <r>
    <s v="406-7424896-5175565"/>
    <m/>
    <s v="2024-01-14T10:10:02+00:00"/>
    <s v="2024-01-15T16:27:35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1"/>
    <s v="EUR"/>
    <n v="14.9"/>
    <n v="2.69"/>
    <n v="3"/>
    <n v="0.54"/>
    <m/>
    <m/>
    <m/>
    <m/>
    <s v="sant'Agata de' Goti"/>
    <s v="Benevento"/>
    <n v="82019"/>
    <s v="IT"/>
    <m/>
    <m/>
    <m/>
    <m/>
    <m/>
    <m/>
    <m/>
  </r>
  <r>
    <s v="406-7629571-6809168"/>
    <s v="406-7629571-6809168"/>
    <s v="2024-01-14T10:09:18+00:00"/>
    <s v="2024-01-15T04:34:5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BAGNACAVALLO"/>
    <s v="(RA)"/>
    <n v="48012"/>
    <s v="IT"/>
    <m/>
    <m/>
    <m/>
    <m/>
    <m/>
    <m/>
    <m/>
  </r>
  <r>
    <s v="408-5612094-3193954"/>
    <s v="408-5612094-3193954"/>
    <s v="2024-01-14T09:59:24+00:00"/>
    <s v="2024-01-14T23:46:4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erotondo"/>
    <s v="Roma"/>
    <n v="15"/>
    <s v="IT"/>
    <m/>
    <m/>
    <m/>
    <m/>
    <m/>
    <m/>
    <m/>
  </r>
  <r>
    <s v="408-8836779-7293159"/>
    <m/>
    <s v="2024-01-14T05:42:10+00:00"/>
    <s v="2024-01-15T15:19:38+00:00"/>
    <s v="Shipped"/>
    <x v="1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6"/>
    <s v="Shipped"/>
    <n v="1"/>
    <s v="EUR"/>
    <n v="89.9"/>
    <n v="16.21"/>
    <n v="3"/>
    <n v="0.54"/>
    <m/>
    <m/>
    <m/>
    <m/>
    <s v="Torre del greco"/>
    <s v="Napoli"/>
    <n v="80059"/>
    <s v="IT"/>
    <m/>
    <m/>
    <m/>
    <m/>
    <n v="8563031213"/>
    <s v="IT"/>
    <s v="VAT"/>
  </r>
  <r>
    <s v="402-6774753-5972303"/>
    <m/>
    <s v="2024-01-14T02:38:10+00:00"/>
    <s v="2024-01-15T16:37:53+00:00"/>
    <s v="Shipped"/>
    <x v="1"/>
    <x v="3"/>
    <s v="WebsiteOrderChannel"/>
    <m/>
    <s v="Standard"/>
    <s v="Beper Pulitore a Vapore Igenizzante, Caldaia in Alluminio da 350 Ml, Pulsante Vapore Continuo, Pressione 3.2 Bar, 30 G/Min, Cavo da 3 M Giallo/Nero"/>
    <n v="50700"/>
    <x v="24"/>
    <s v="Shipped"/>
    <n v="1"/>
    <s v="EUR"/>
    <n v="44.9"/>
    <n v="8.1"/>
    <n v="3"/>
    <n v="0.54"/>
    <m/>
    <m/>
    <m/>
    <m/>
    <s v="Santo Stefano di Magra"/>
    <s v="La Spezia"/>
    <n v="19037"/>
    <s v="IT"/>
    <m/>
    <m/>
    <m/>
    <m/>
    <m/>
    <m/>
    <m/>
  </r>
  <r>
    <s v="402-6265686-8153122"/>
    <m/>
    <s v="2024-01-13T23:18:04+00:00"/>
    <s v="2024-01-15T15:19:3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ROMA"/>
    <s v="RM"/>
    <n v="121"/>
    <s v="IT"/>
    <m/>
    <m/>
    <m/>
    <m/>
    <m/>
    <m/>
    <m/>
  </r>
  <r>
    <s v="407-9090043-3081925"/>
    <m/>
    <s v="2024-01-13T22:12:45+00:00"/>
    <s v="2024-01-15T15:50:25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Ariano nel Polesine"/>
    <s v="Rovigo"/>
    <n v="45012"/>
    <s v="IT"/>
    <m/>
    <m/>
    <m/>
    <m/>
    <m/>
    <m/>
    <m/>
  </r>
  <r>
    <s v="407-7131408-6585156"/>
    <s v="407-7131408-6585156"/>
    <s v="2024-01-13T21:39:58+00:00"/>
    <s v="2024-01-15T01:17:1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65"/>
    <s v="IT"/>
    <m/>
    <m/>
    <m/>
    <m/>
    <m/>
    <m/>
    <m/>
  </r>
  <r>
    <s v="406-5975986-7897116"/>
    <s v="406-5975986-7897116"/>
    <s v="2024-01-13T21:21:41+00:00"/>
    <s v="2024-01-14T07:11:47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VERONA"/>
    <s v="VR"/>
    <n v="37126"/>
    <s v="IT"/>
    <m/>
    <m/>
    <m/>
    <m/>
    <m/>
    <m/>
    <m/>
  </r>
  <r>
    <s v="406-2950621-0249151"/>
    <s v="406-2950621-0249151"/>
    <s v="2024-01-13T21:05:25+00:00"/>
    <s v="2024-01-15T01:33:1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Lecco"/>
    <s v="Lecco"/>
    <n v="23900"/>
    <s v="IT"/>
    <m/>
    <m/>
    <m/>
    <m/>
    <m/>
    <m/>
    <m/>
  </r>
  <r>
    <s v="405-1914352-6101162"/>
    <m/>
    <s v="2024-01-13T20:58:28+00:00"/>
    <s v="2024-01-16T00:48:34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Nichelino"/>
    <s v="Torino"/>
    <n v="10042"/>
    <s v="IT"/>
    <m/>
    <m/>
    <m/>
    <m/>
    <m/>
    <m/>
    <m/>
  </r>
  <r>
    <s v="408-4482811-9693120"/>
    <s v="408-4482811-9693120"/>
    <s v="2024-01-13T20:34:23+00:00"/>
    <s v="2024-01-16T22:12:4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Orvieto"/>
    <s v="Terni"/>
    <n v="5018"/>
    <s v="IT"/>
    <m/>
    <m/>
    <m/>
    <m/>
    <m/>
    <m/>
    <m/>
  </r>
  <r>
    <s v="402-2697692-3953133"/>
    <s v="402-2697692-3953133"/>
    <s v="2024-01-13T20:31:30+00:00"/>
    <s v="2024-01-14T01:46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lepini"/>
    <s v="milano"/>
    <n v="20053"/>
    <s v="IT"/>
    <m/>
    <m/>
    <m/>
    <m/>
    <m/>
    <m/>
    <m/>
  </r>
  <r>
    <s v="407-2918453-7167527"/>
    <s v="407-2918453-7167527"/>
    <s v="2024-01-13T20:27:11+00:00"/>
    <s v="2024-01-14T01:47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eranova"/>
    <s v="Pavia"/>
    <n v="27010"/>
    <s v="IT"/>
    <m/>
    <m/>
    <m/>
    <m/>
    <m/>
    <m/>
    <m/>
  </r>
  <r>
    <s v="406-5011456-3523563"/>
    <s v="406-5011456-3523563"/>
    <s v="2024-01-13T19:46:41+00:00"/>
    <s v="2024-01-16T01:47:20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Landriano"/>
    <s v="PV"/>
    <n v="27015"/>
    <s v="IT"/>
    <m/>
    <m/>
    <m/>
    <m/>
    <m/>
    <m/>
    <m/>
  </r>
  <r>
    <s v="405-2837231-8654708"/>
    <m/>
    <s v="2024-01-13T19:41:44+00:00"/>
    <s v="2024-01-15T16:38:1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Bolsena"/>
    <s v="Viterbo"/>
    <n v="1023"/>
    <s v="IT"/>
    <m/>
    <m/>
    <m/>
    <m/>
    <m/>
    <m/>
    <m/>
  </r>
  <r>
    <s v="402-7643415-3662704"/>
    <m/>
    <s v="2024-01-13T19:34:41+00:00"/>
    <s v="2024-01-15T15:48:32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Reggio Calabria"/>
    <s v="Reggio Calabria"/>
    <n v="89127"/>
    <s v="IT"/>
    <m/>
    <m/>
    <m/>
    <m/>
    <m/>
    <m/>
    <m/>
  </r>
  <r>
    <s v="406-0453138-5941950"/>
    <s v="406-0453138-5941950"/>
    <s v="2024-01-13T19:00:45+00:00"/>
    <s v="2024-01-14T01:51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llongo"/>
    <s v="Bergamo"/>
    <n v="24060"/>
    <s v="IT"/>
    <m/>
    <m/>
    <m/>
    <m/>
    <m/>
    <m/>
    <m/>
  </r>
  <r>
    <s v="406-4517280-7980323"/>
    <m/>
    <s v="2024-01-13T18:23:49+00:00"/>
    <s v="2024-01-16T01:35:10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Terni"/>
    <s v="Tr"/>
    <n v="5100"/>
    <s v="IT"/>
    <m/>
    <m/>
    <m/>
    <m/>
    <m/>
    <m/>
    <m/>
  </r>
  <r>
    <s v="402-0663746-5236345"/>
    <s v="402-0663746-5236345"/>
    <s v="2024-01-13T18:21:53+00:00"/>
    <s v="2024-01-14T12:02:3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za"/>
    <s v="Mb"/>
    <n v="20900"/>
    <s v="IT"/>
    <m/>
    <m/>
    <m/>
    <m/>
    <m/>
    <m/>
    <m/>
  </r>
  <r>
    <s v="402-3473966-6339517"/>
    <s v="402-3473966-6339517"/>
    <s v="2024-01-13T18:19:26+00:00"/>
    <s v="2024-01-14T01:46:3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ALETTO LODIGIANO"/>
    <s v="LODI"/>
    <n v="26852"/>
    <s v="IT"/>
    <m/>
    <m/>
    <m/>
    <m/>
    <m/>
    <m/>
    <m/>
  </r>
  <r>
    <s v="408-0944065-0861134"/>
    <s v="408-0944065-0861134"/>
    <s v="2024-01-13T18:15:44+00:00"/>
    <s v="2024-01-14T04:51:2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leggio"/>
    <s v="Novara"/>
    <n v="28047"/>
    <s v="IT"/>
    <m/>
    <m/>
    <m/>
    <m/>
    <m/>
    <m/>
    <m/>
  </r>
  <r>
    <s v="405-1190843-8373152"/>
    <m/>
    <s v="2024-01-13T17:56:01+00:00"/>
    <s v="2024-01-17T15:23:39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5"/>
    <s v="EUR"/>
    <n v="149.5"/>
    <n v="26.95"/>
    <n v="15"/>
    <n v="2.7"/>
    <m/>
    <m/>
    <m/>
    <m/>
    <s v="COGNE"/>
    <s v="AOSTA"/>
    <n v="11012"/>
    <s v="IT"/>
    <m/>
    <m/>
    <m/>
    <m/>
    <s v="IT00489880070"/>
    <s v="IT"/>
    <s v="VAT"/>
  </r>
  <r>
    <s v="171-0091418-4130722"/>
    <m/>
    <s v="2024-01-13T17:22:30+00:00"/>
    <s v="2024-01-15T16:38:27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Novoli"/>
    <s v="Lecce"/>
    <n v="73051"/>
    <s v="IT"/>
    <m/>
    <m/>
    <m/>
    <m/>
    <m/>
    <m/>
    <m/>
  </r>
  <r>
    <s v="408-8313781-9140369"/>
    <m/>
    <s v="2024-01-13T17:09:42+00:00"/>
    <s v="2024-01-15T16:28:41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Castelfranco Emilia"/>
    <s v="Modena"/>
    <n v="41013"/>
    <s v="IT"/>
    <m/>
    <m/>
    <m/>
    <m/>
    <m/>
    <m/>
    <m/>
  </r>
  <r>
    <s v="402-7857805-8660363"/>
    <s v="402-7857805-8660363"/>
    <s v="2024-01-13T17:05:25+00:00"/>
    <s v="2024-01-15T01:15:1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Roma"/>
    <s v="Roma"/>
    <n v="175"/>
    <s v="IT"/>
    <m/>
    <m/>
    <m/>
    <m/>
    <m/>
    <m/>
    <m/>
  </r>
  <r>
    <s v="404-2287778-4045127"/>
    <s v="404-2287778-4045127"/>
    <s v="2024-01-13T17:04:22+00:00"/>
    <s v="2024-01-14T01:52:4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lzano lombardo"/>
    <s v="bergamo"/>
    <n v="24022"/>
    <s v="IT"/>
    <m/>
    <m/>
    <m/>
    <m/>
    <m/>
    <m/>
    <m/>
  </r>
  <r>
    <s v="402-6401484-2405169"/>
    <s v="402-6401484-2405169"/>
    <s v="2024-01-13T16:10:38+00:00"/>
    <s v="2024-01-15T13:59:0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BAGNACAVALLO"/>
    <s v="(RA)"/>
    <n v="48012"/>
    <s v="IT"/>
    <m/>
    <m/>
    <m/>
    <m/>
    <m/>
    <m/>
    <m/>
  </r>
  <r>
    <s v="405-5466500-2177961"/>
    <s v="405-5466500-2177961"/>
    <s v="2024-01-13T15:48:00+00:00"/>
    <s v="2024-01-14T12:01:51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Pieve del cairo"/>
    <s v="PV"/>
    <n v="27037"/>
    <s v="IT"/>
    <m/>
    <m/>
    <m/>
    <m/>
    <m/>
    <m/>
    <m/>
  </r>
  <r>
    <s v="402-0181867-5037936"/>
    <s v="402-0181867-5037936"/>
    <s v="2024-01-13T15:35:56+00:00"/>
    <s v="2024-01-18T15:39:07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Rutigliano bari"/>
    <s v="Puglia"/>
    <n v="70018"/>
    <s v="IT"/>
    <m/>
    <m/>
    <m/>
    <m/>
    <m/>
    <m/>
    <m/>
  </r>
  <r>
    <s v="405-2280803-5239548"/>
    <s v="405-2280803-5239548"/>
    <s v="2024-01-13T15:22:39+00:00"/>
    <s v="2024-01-14T21:51:5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ARI"/>
    <s v="BA"/>
    <n v="70123"/>
    <s v="IT"/>
    <m/>
    <m/>
    <m/>
    <m/>
    <m/>
    <m/>
    <m/>
  </r>
  <r>
    <s v="407-4457206-6503501"/>
    <s v="407-4457206-6503501"/>
    <s v="2024-01-13T15:15:34+00:00"/>
    <s v="2024-01-14T13:22:0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a Morra"/>
    <s v="Cuneo"/>
    <n v="12064"/>
    <s v="IT"/>
    <m/>
    <m/>
    <m/>
    <m/>
    <m/>
    <m/>
    <m/>
  </r>
  <r>
    <s v="405-1295085-7690733"/>
    <m/>
    <s v="2024-01-13T15:14:04+00:00"/>
    <s v="2024-01-13T22:53:47+00:00"/>
    <s v="Cancelled"/>
    <x v="1"/>
    <x v="3"/>
    <s v="WebsiteOrderChannel"/>
    <m/>
    <s v="Standard"/>
    <s v="BEPER BT.710Y Crepiera elettrica con Manico, 800 W, Piastra in Alluminio con Rivestimento Antiaderente"/>
    <s v="BT.710Y"/>
    <x v="0"/>
    <m/>
    <n v="0"/>
    <m/>
    <m/>
    <m/>
    <m/>
    <m/>
    <m/>
    <m/>
    <m/>
    <m/>
    <s v="BARI"/>
    <s v="BA"/>
    <n v="70123"/>
    <s v="IT"/>
    <m/>
    <m/>
    <m/>
    <m/>
    <m/>
    <m/>
    <m/>
  </r>
  <r>
    <s v="406-9811679-1734749"/>
    <s v="406-9811679-1734749"/>
    <s v="2024-01-13T14:57:31+00:00"/>
    <s v="2024-01-13T22:45:5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oave"/>
    <s v="Verona"/>
    <n v="37038"/>
    <s v="IT"/>
    <m/>
    <m/>
    <m/>
    <m/>
    <m/>
    <m/>
    <m/>
  </r>
  <r>
    <s v="404-6475946-6571520"/>
    <m/>
    <s v="2024-01-13T14:34:11+00:00"/>
    <s v="2024-01-16T02:30:15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roma"/>
    <s v="RM"/>
    <n v="136"/>
    <s v="IT"/>
    <m/>
    <m/>
    <m/>
    <m/>
    <m/>
    <m/>
    <m/>
  </r>
  <r>
    <s v="404-2462034-6460320"/>
    <s v="404-2462034-6460320"/>
    <s v="2024-01-13T14:28:52+00:00"/>
    <s v="2024-01-13T17:25:3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rnago"/>
    <s v="Varese"/>
    <n v="21040"/>
    <s v="IT"/>
    <m/>
    <m/>
    <m/>
    <m/>
    <m/>
    <m/>
    <m/>
  </r>
  <r>
    <s v="402-9942654-5224320"/>
    <s v="402-9942654-5224320"/>
    <s v="2024-01-13T14:04:18+00:00"/>
    <s v="2024-01-14T00:33:16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ltiere"/>
    <s v="Bergamo"/>
    <n v="24040"/>
    <s v="IT"/>
    <m/>
    <m/>
    <m/>
    <m/>
    <m/>
    <m/>
    <m/>
  </r>
  <r>
    <s v="403-7070139-0981113"/>
    <s v="403-7070139-0981113"/>
    <s v="2024-01-13T13:55:26+00:00"/>
    <s v="2024-01-14T21:26:0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rto San Giorgio"/>
    <s v="Fermo"/>
    <n v="63822"/>
    <s v="IT"/>
    <m/>
    <m/>
    <m/>
    <m/>
    <m/>
    <m/>
    <m/>
  </r>
  <r>
    <s v="402-1233522-3838702"/>
    <s v="402-1233522-3838702"/>
    <s v="2024-01-13T13:43:06+00:00"/>
    <s v="2024-01-13T17:20:4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esano Maderno"/>
    <s v="MB"/>
    <n v="20811"/>
    <s v="IT"/>
    <m/>
    <m/>
    <m/>
    <m/>
    <m/>
    <m/>
    <m/>
  </r>
  <r>
    <s v="403-9247903-2728367"/>
    <s v="403-9247903-2728367"/>
    <s v="2024-01-13T13:19:57+00:00"/>
    <s v="2024-01-14T21:32:1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APOLI"/>
    <s v="NA"/>
    <n v="80138"/>
    <s v="IT"/>
    <m/>
    <m/>
    <m/>
    <m/>
    <m/>
    <m/>
    <m/>
  </r>
  <r>
    <s v="407-5911092-6495520"/>
    <m/>
    <s v="2024-01-13T12:49:09+00:00"/>
    <s v="2024-01-15T16:27:34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CORDOVADO"/>
    <s v="PORDENONE"/>
    <n v="33075"/>
    <s v="IT"/>
    <m/>
    <m/>
    <m/>
    <m/>
    <m/>
    <m/>
    <m/>
  </r>
  <r>
    <s v="171-0129086-5698743"/>
    <s v="171-0129086-5698743"/>
    <s v="2024-01-13T12:33:18+00:00"/>
    <s v="2024-01-15T13:07:5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sio sotto"/>
    <s v="BG"/>
    <n v="24046"/>
    <s v="IT"/>
    <m/>
    <m/>
    <m/>
    <m/>
    <m/>
    <m/>
    <m/>
  </r>
  <r>
    <s v="407-6279733-7505126"/>
    <m/>
    <s v="2024-01-13T11:44:00+00:00"/>
    <s v="2024-01-15T16:27:37+00:00"/>
    <s v="Shipped"/>
    <x v="1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s v="BF.640"/>
    <x v="6"/>
    <s v="Shipped"/>
    <n v="1"/>
    <s v="EUR"/>
    <n v="79.900000000000006"/>
    <n v="14.41"/>
    <n v="3"/>
    <n v="0.54"/>
    <m/>
    <m/>
    <m/>
    <m/>
    <s v="Cagliari"/>
    <s v="Cagliari"/>
    <n v="9125"/>
    <s v="IT"/>
    <m/>
    <m/>
    <m/>
    <m/>
    <m/>
    <m/>
    <m/>
  </r>
  <r>
    <s v="408-8058695-3997135"/>
    <s v="408-8058695-3997135"/>
    <s v="2024-01-13T11:10:27+00:00"/>
    <s v="2024-01-13T18:43:4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Quarrata"/>
    <s v="PT"/>
    <n v="51039"/>
    <s v="IT"/>
    <m/>
    <m/>
    <m/>
    <m/>
    <m/>
    <m/>
    <m/>
  </r>
  <r>
    <s v="404-8994862-9673127"/>
    <s v="404-8994862-9673127"/>
    <s v="2024-01-13T10:52:07+00:00"/>
    <s v="2024-01-13T22:57:5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'ANDREA Di Bressanone"/>
    <s v="Bolzano"/>
    <n v="39042"/>
    <s v="IT"/>
    <m/>
    <m/>
    <m/>
    <m/>
    <m/>
    <m/>
    <m/>
  </r>
  <r>
    <s v="402-2323409-9975536"/>
    <m/>
    <s v="2024-01-13T10:23:44+00:00"/>
    <s v="2024-01-15T16:27:34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Serravalle Scrivia"/>
    <s v="Alessandria"/>
    <n v="15069"/>
    <s v="IT"/>
    <m/>
    <m/>
    <m/>
    <m/>
    <m/>
    <m/>
    <m/>
  </r>
  <r>
    <s v="403-5817159-7182732"/>
    <s v="403-5817159-7182732"/>
    <s v="2024-01-13T10:09:26+00:00"/>
    <s v="2024-01-13T19:40:55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Catanzaro lido"/>
    <s v="Catanzaro"/>
    <n v="88100"/>
    <s v="IT"/>
    <m/>
    <m/>
    <m/>
    <m/>
    <m/>
    <m/>
    <m/>
  </r>
  <r>
    <s v="403-6199066-9628367"/>
    <s v="403-6199066-9628367"/>
    <s v="2024-01-13T09:40:41+00:00"/>
    <s v="2024-01-13T18:16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torso"/>
    <s v="VI"/>
    <n v="36014"/>
    <s v="IT"/>
    <m/>
    <m/>
    <m/>
    <m/>
    <m/>
    <m/>
    <m/>
  </r>
  <r>
    <s v="404-8955232-2225102"/>
    <m/>
    <s v="2024-01-13T09:13:46+00:00"/>
    <s v="2024-01-15T15:48:3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anzano"/>
    <s v="Udine"/>
    <n v="33044"/>
    <s v="IT"/>
    <m/>
    <m/>
    <m/>
    <m/>
    <m/>
    <m/>
    <m/>
  </r>
  <r>
    <s v="402-7298299-1285922"/>
    <s v="402-7298299-1285922"/>
    <s v="2024-01-13T08:50:28+00:00"/>
    <s v="2024-01-14T20:40:0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RGO PACE"/>
    <s v="PU"/>
    <n v="61040"/>
    <s v="IT"/>
    <m/>
    <m/>
    <m/>
    <m/>
    <m/>
    <m/>
    <m/>
  </r>
  <r>
    <s v="402-3631942-4030764"/>
    <s v="402-3631942-4030764"/>
    <s v="2024-01-13T08:28:17+00:00"/>
    <s v="2024-01-14T00:41:18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reviso"/>
    <s v="treviso"/>
    <n v="31100"/>
    <s v="IT"/>
    <m/>
    <m/>
    <m/>
    <m/>
    <m/>
    <m/>
    <m/>
  </r>
  <r>
    <s v="171-8062273-3747533"/>
    <m/>
    <s v="2024-01-13T08:21:00+00:00"/>
    <s v="2024-01-15T15:59:13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Siena"/>
    <s v="SI"/>
    <n v="53100"/>
    <s v="IT"/>
    <m/>
    <m/>
    <m/>
    <m/>
    <m/>
    <m/>
    <m/>
  </r>
  <r>
    <s v="407-7722031-2389145"/>
    <s v="407-7722031-2389145"/>
    <s v="2024-01-13T08:17:11+00:00"/>
    <s v="2024-01-18T16:25:24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Napoli"/>
    <s v="Napoli"/>
    <n v="80141"/>
    <s v="IT"/>
    <m/>
    <m/>
    <m/>
    <m/>
    <m/>
    <m/>
    <m/>
  </r>
  <r>
    <s v="405-6171544-2816360"/>
    <s v="405-6171544-2816360"/>
    <s v="2024-01-13T06:11:44+00:00"/>
    <s v="2024-01-14T13:21:12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Carisio"/>
    <s v="Vercelli"/>
    <n v="13040"/>
    <s v="IT"/>
    <m/>
    <m/>
    <m/>
    <m/>
    <s v="IT01904070024"/>
    <s v="IT"/>
    <s v="VAT"/>
  </r>
  <r>
    <s v="402-5484807-0120357"/>
    <s v="402-5484807-0120357"/>
    <s v="2024-01-13T01:19:22+00:00"/>
    <s v="2024-01-13T21:35:29+00:00"/>
    <s v="Shipped"/>
    <x v="0"/>
    <x v="3"/>
    <m/>
    <m/>
    <s v="Expedited"/>
    <s v="Beper BC.261 Vaporiera da 5 litri - Vaporiera Elettrica Con Timer per Cottura al Vapore di Riso, Pesce, Ravioli, Verdure, Carne - BFA Free"/>
    <s v="BC.261_FBA"/>
    <x v="3"/>
    <s v="Shipped"/>
    <n v="1"/>
    <s v="EUR"/>
    <n v="32.9"/>
    <n v="5.93"/>
    <m/>
    <m/>
    <m/>
    <m/>
    <m/>
    <m/>
    <s v="Faenza"/>
    <s v="Ravenna"/>
    <n v="48018"/>
    <s v="IT"/>
    <m/>
    <m/>
    <m/>
    <m/>
    <m/>
    <m/>
    <m/>
  </r>
  <r>
    <s v="402-6411209-8521954"/>
    <s v="402-6411209-8521954"/>
    <s v="2024-01-12T23:18:02+00:00"/>
    <s v="2024-01-13T02:23:5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ESTRE"/>
    <s v="Venezia"/>
    <n v="30173"/>
    <s v="IT"/>
    <m/>
    <m/>
    <m/>
    <m/>
    <m/>
    <m/>
    <m/>
  </r>
  <r>
    <s v="403-0167870-5157133"/>
    <s v="403-0167870-5157133"/>
    <s v="2024-01-12T22:22:27+00:00"/>
    <s v="2024-01-14T12:49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ALERMO"/>
    <m/>
    <n v="90139"/>
    <s v="IT"/>
    <m/>
    <m/>
    <m/>
    <m/>
    <m/>
    <m/>
    <m/>
  </r>
  <r>
    <s v="405-2620806-2481148"/>
    <s v="405-2620806-2481148"/>
    <s v="2024-01-12T21:41:05+00:00"/>
    <s v="2024-01-13T18:19:3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FRANCO EMILIA"/>
    <s v="Modena"/>
    <n v="41013"/>
    <s v="IT"/>
    <m/>
    <m/>
    <m/>
    <m/>
    <m/>
    <m/>
    <m/>
  </r>
  <r>
    <s v="171-7893698-9639530"/>
    <s v="171-7893698-9639530"/>
    <s v="2024-01-12T21:14:39+00:00"/>
    <s v="2024-01-18T21:19:36+00:00"/>
    <s v="Shipped"/>
    <x v="0"/>
    <x v="3"/>
    <m/>
    <m/>
    <s v="Standard"/>
    <s v="Beper 40.500 Massaggiatore Anticellulite Donna 4 in 1, Massaggio a Raggi Infrarossi, Tripla Azione Circolare, Tonificante e Rassodante, Potenza Regola"/>
    <s v="40.500_FBA"/>
    <x v="8"/>
    <s v="Shipped"/>
    <n v="1"/>
    <s v="EUR"/>
    <n v="26.97"/>
    <m/>
    <n v="1.74"/>
    <m/>
    <m/>
    <m/>
    <m/>
    <n v="1.74"/>
    <s v="Breganzona"/>
    <s v="Lugano"/>
    <n v="6932"/>
    <s v="CH"/>
    <m/>
    <m/>
    <m/>
    <m/>
    <m/>
    <m/>
    <m/>
  </r>
  <r>
    <s v="171-4020469-8283523"/>
    <m/>
    <s v="2024-01-12T20:08:31+00:00"/>
    <s v="2024-01-15T16:38:1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Trieste"/>
    <s v="TS"/>
    <n v="34151"/>
    <s v="IT"/>
    <m/>
    <m/>
    <m/>
    <m/>
    <m/>
    <m/>
    <m/>
  </r>
  <r>
    <s v="404-8818601-4097900"/>
    <s v="404-8818601-4097900"/>
    <s v="2024-01-12T20:04:13+00:00"/>
    <s v="2024-01-13T01:51:27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poli"/>
    <n v="80122"/>
    <s v="IT"/>
    <m/>
    <m/>
    <m/>
    <m/>
    <m/>
    <m/>
    <m/>
  </r>
  <r>
    <s v="408-2001126-4081146"/>
    <s v="408-2001126-4081146"/>
    <s v="2024-01-12T20:03:11+00:00"/>
    <s v="2024-01-13T00:52:03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priate San Gervasio"/>
    <s v="Bergamo"/>
    <n v="24042"/>
    <s v="IT"/>
    <m/>
    <m/>
    <m/>
    <m/>
    <m/>
    <m/>
    <m/>
  </r>
  <r>
    <s v="406-4568948-7334704"/>
    <m/>
    <s v="2024-01-12T19:23:52+00:00"/>
    <s v="2024-01-15T15:59:2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Oppeano"/>
    <s v="Verona"/>
    <n v="37050"/>
    <s v="IT"/>
    <m/>
    <m/>
    <m/>
    <m/>
    <m/>
    <m/>
    <m/>
  </r>
  <r>
    <s v="407-6406923-5022724"/>
    <s v="407-6406923-5022724"/>
    <s v="2024-01-12T18:39:35+00:00"/>
    <s v="2024-01-13T01:02:31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ICENZA"/>
    <s v="Vicenza"/>
    <n v="36100"/>
    <s v="IT"/>
    <m/>
    <m/>
    <m/>
    <m/>
    <m/>
    <m/>
    <m/>
  </r>
  <r>
    <s v="402-9257297-8131518"/>
    <s v="402-9257297-8131518"/>
    <s v="2024-01-12T18:35:43+00:00"/>
    <s v="2024-01-13T17:18:3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sano delle Murge"/>
    <s v="Bari"/>
    <n v="70020"/>
    <s v="IT"/>
    <m/>
    <m/>
    <m/>
    <m/>
    <m/>
    <m/>
    <m/>
  </r>
  <r>
    <s v="402-7359953-9321931"/>
    <s v="402-7359953-9321931"/>
    <s v="2024-01-12T18:25:35+00:00"/>
    <s v="2024-01-13T02:32:4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37"/>
    <s v="IT"/>
    <m/>
    <m/>
    <m/>
    <m/>
    <m/>
    <m/>
    <m/>
  </r>
  <r>
    <s v="402-0106876-3070707"/>
    <s v="402-0106876-3070707"/>
    <s v="2024-01-12T18:22:06+00:00"/>
    <s v="2024-01-12T18:23:49+00:00"/>
    <s v="Cancelled"/>
    <x v="0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Roma"/>
    <s v="RM"/>
    <n v="137"/>
    <s v="IT"/>
    <m/>
    <m/>
    <m/>
    <m/>
    <m/>
    <m/>
    <m/>
  </r>
  <r>
    <s v="406-8163855-7766706"/>
    <s v="406-8163855-7766706"/>
    <s v="2024-01-12T18:19:40+00:00"/>
    <s v="2024-01-15T08:52:29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Cagliari"/>
    <s v="CA"/>
    <n v="9125"/>
    <s v="IT"/>
    <m/>
    <m/>
    <m/>
    <m/>
    <m/>
    <m/>
    <m/>
  </r>
  <r>
    <s v="171-6377266-1118733"/>
    <s v="171-6377266-1118733"/>
    <s v="2024-01-12T17:57:17+00:00"/>
    <s v="2024-01-14T12:50:55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MICHELE DI GANZARIA"/>
    <s v="Catania"/>
    <n v="95040"/>
    <s v="IT"/>
    <m/>
    <m/>
    <m/>
    <m/>
    <m/>
    <m/>
    <m/>
  </r>
  <r>
    <s v="407-1902763-1052322"/>
    <m/>
    <s v="2024-01-12T17:06:03+00:00"/>
    <s v="2024-01-15T15:59:57+00:00"/>
    <s v="Shipped"/>
    <x v="1"/>
    <x v="3"/>
    <s v="WebsiteOrderChannel"/>
    <m/>
    <s v="Standard"/>
    <s v="Beper 50.161 Ferro da Stiro Cordless, Ferro da stiro Senza Fili, Dispositivo di Auto-pulizia, Anti-calcare, Anti-goccia, Colpo Super Vapore, Stirare in Verticale Bianco/Ottanio"/>
    <n v="50161"/>
    <x v="33"/>
    <s v="Shipped"/>
    <n v="1"/>
    <s v="EUR"/>
    <n v="49.9"/>
    <n v="9"/>
    <n v="3"/>
    <n v="0.54"/>
    <m/>
    <m/>
    <m/>
    <m/>
    <s v="Fermo"/>
    <s v="Fermo"/>
    <n v="63900"/>
    <s v="IT"/>
    <m/>
    <m/>
    <m/>
    <m/>
    <m/>
    <m/>
    <m/>
  </r>
  <r>
    <s v="408-7647122-0246702"/>
    <s v="408-7647122-0246702"/>
    <s v="2024-01-12T17:01:17+00:00"/>
    <s v="2024-01-14T14:38:24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 Goffredo"/>
    <s v="Mantova"/>
    <n v="46042"/>
    <s v="IT"/>
    <m/>
    <m/>
    <m/>
    <m/>
    <m/>
    <m/>
    <m/>
  </r>
  <r>
    <s v="402-4513891-7731512"/>
    <s v="402-4513891-7731512"/>
    <s v="2024-01-12T16:35:23+00:00"/>
    <s v="2024-01-12T23:32:0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ROMA"/>
    <s v="RM"/>
    <n v="199"/>
    <s v="IT"/>
    <m/>
    <m/>
    <m/>
    <m/>
    <m/>
    <m/>
    <m/>
  </r>
  <r>
    <s v="404-1202509-3652324"/>
    <m/>
    <s v="2024-01-12T16:29:22+00:00"/>
    <s v="2024-01-15T16:27:3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Roma"/>
    <s v="RM"/>
    <n v="185"/>
    <s v="IT"/>
    <m/>
    <m/>
    <m/>
    <m/>
    <m/>
    <m/>
    <m/>
  </r>
  <r>
    <s v="171-2612435-8141961"/>
    <s v="171-2612435-8141961"/>
    <s v="2024-01-12T15:50:44+00:00"/>
    <s v="2024-01-13T16:05:02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rascati"/>
    <s v="Roma"/>
    <n v="44"/>
    <s v="IT"/>
    <m/>
    <m/>
    <m/>
    <m/>
    <m/>
    <m/>
    <m/>
  </r>
  <r>
    <s v="407-4519498-0013114"/>
    <s v="407-4519498-0013114"/>
    <s v="2024-01-12T15:37:38+00:00"/>
    <s v="2024-01-14T17:27:0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27"/>
    <m/>
    <m/>
    <m/>
    <m/>
    <n v="3.27"/>
    <s v="Manfredonia"/>
    <s v="Foggia"/>
    <n v="71043"/>
    <s v="IT"/>
    <s v="PAWS-V2-24410021917-91-  DPWS"/>
    <m/>
    <m/>
    <m/>
    <m/>
    <m/>
    <m/>
  </r>
  <r>
    <s v="404-0022926-5525907"/>
    <m/>
    <s v="2024-01-12T15:27:17+00:00"/>
    <s v="2024-01-15T16:37:35+00:00"/>
    <s v="Shipped"/>
    <x v="1"/>
    <x v="3"/>
    <s v="WebsiteOrderChannel"/>
    <m/>
    <s v="Standard"/>
    <s v="Beper BC.261 Vaporiera da 5 litri - Vaporiera Elettrica Con Timer per Cottura al Vapore di Riso, Pesce, Ravioli, Verdure, Carne - BFA Free"/>
    <s v="BC.261"/>
    <x v="3"/>
    <s v="Shipped"/>
    <n v="1"/>
    <s v="EUR"/>
    <n v="29.9"/>
    <n v="5.39"/>
    <n v="3"/>
    <n v="0.54"/>
    <m/>
    <m/>
    <m/>
    <m/>
    <s v="Roma"/>
    <s v="RM"/>
    <n v="168"/>
    <s v="IT"/>
    <m/>
    <m/>
    <m/>
    <m/>
    <m/>
    <m/>
    <m/>
  </r>
  <r>
    <s v="404-3177878-0658727"/>
    <m/>
    <s v="2024-01-12T15:01:32+00:00"/>
    <s v="2024-01-15T15:48:38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Parabiago"/>
    <s v="Italia"/>
    <n v="20015"/>
    <s v="IT"/>
    <m/>
    <m/>
    <m/>
    <m/>
    <m/>
    <m/>
    <m/>
  </r>
  <r>
    <s v="404-6606579-0303557"/>
    <s v="404-6606579-0303557"/>
    <s v="2024-01-12T14:54:19+00:00"/>
    <s v="2024-01-12T20:19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23"/>
    <s v="IT"/>
    <m/>
    <m/>
    <m/>
    <m/>
    <m/>
    <m/>
    <m/>
  </r>
  <r>
    <s v="408-5053439-2338747"/>
    <m/>
    <s v="2024-01-12T14:49:09+00:00"/>
    <s v="2024-01-15T15:49:50+00:00"/>
    <s v="Shipped"/>
    <x v="1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milano"/>
    <s v="MI"/>
    <n v="20154"/>
    <s v="IT"/>
    <m/>
    <m/>
    <m/>
    <m/>
    <m/>
    <m/>
    <m/>
  </r>
  <r>
    <s v="402-2654931-0700342"/>
    <m/>
    <s v="2024-01-12T14:39:16+00:00"/>
    <s v="2024-01-15T15:29:32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Pisa"/>
    <s v="PI"/>
    <n v="56124"/>
    <s v="IT"/>
    <m/>
    <m/>
    <m/>
    <m/>
    <m/>
    <m/>
    <m/>
  </r>
  <r>
    <s v="404-2463437-3355534"/>
    <s v="404-2463437-3355534"/>
    <s v="2024-01-12T13:44:17+00:00"/>
    <s v="2024-01-12T17:47:26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naso"/>
    <s v="BO"/>
    <n v="40055"/>
    <s v="IT"/>
    <m/>
    <m/>
    <m/>
    <m/>
    <m/>
    <m/>
    <m/>
  </r>
  <r>
    <s v="407-0655316-9816344"/>
    <m/>
    <s v="2024-01-12T13:30:36+00:00"/>
    <s v="2024-01-15T15:59:13+00:00"/>
    <s v="Shipped"/>
    <x v="1"/>
    <x v="3"/>
    <s v="WebsiteOrderChannel"/>
    <m/>
    <s v="Standard"/>
    <s v="Beper BC.261 Vaporiera da 5 litri - Vaporiera Elettrica Con Timer per Cottura al Vapore di Riso, Pesce, Ravioli, Verdure, Carne - BFA Free"/>
    <s v="BC.261"/>
    <x v="3"/>
    <s v="Shipped"/>
    <n v="1"/>
    <s v="EUR"/>
    <n v="29.9"/>
    <n v="5.39"/>
    <n v="3"/>
    <n v="0.54"/>
    <m/>
    <m/>
    <m/>
    <m/>
    <s v="Ragusa"/>
    <s v="Ragusa"/>
    <n v="97100"/>
    <s v="IT"/>
    <m/>
    <m/>
    <m/>
    <m/>
    <m/>
    <m/>
    <m/>
  </r>
  <r>
    <s v="406-2994331-0742717"/>
    <m/>
    <s v="2024-01-12T12:51:48+00:00"/>
    <s v="2024-01-15T16:27:33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Cittadella"/>
    <s v="Padova"/>
    <n v="35013"/>
    <s v="IT"/>
    <m/>
    <m/>
    <m/>
    <m/>
    <m/>
    <m/>
    <m/>
  </r>
  <r>
    <s v="403-6675243-4485144"/>
    <m/>
    <s v="2024-01-12T12:18:27+00:00"/>
    <s v="2024-01-15T15:18:30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Massa"/>
    <s v="Massa-Carrara"/>
    <n v="54100"/>
    <s v="IT"/>
    <m/>
    <m/>
    <m/>
    <m/>
    <m/>
    <m/>
    <m/>
  </r>
  <r>
    <s v="408-8159821-6528354"/>
    <s v="408-8159821-6528354"/>
    <s v="2024-01-12T12:10:38+00:00"/>
    <s v="2024-01-12T23:52:2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62"/>
    <s v="IT"/>
    <m/>
    <m/>
    <m/>
    <m/>
    <m/>
    <m/>
    <m/>
  </r>
  <r>
    <s v="408-3326347-5977137"/>
    <s v="408-3326347-5977137"/>
    <s v="2024-01-12T10:57:39+00:00"/>
    <s v="2024-01-12T23:52:02+00:00"/>
    <s v="Shipped"/>
    <x v="0"/>
    <x v="3"/>
    <m/>
    <m/>
    <s v="Expedited"/>
    <s v="BEPER 40.490 Asciugacapelli Da Parete 2000 W - Phon da Parete con Cavo Lungo 2 Metri"/>
    <s v="40.490_FBA"/>
    <x v="26"/>
    <s v="Shipped"/>
    <n v="3"/>
    <s v="EUR"/>
    <n v="89.7"/>
    <n v="16.170000000000002"/>
    <m/>
    <m/>
    <m/>
    <m/>
    <m/>
    <m/>
    <s v="ROMA"/>
    <s v="RM"/>
    <n v="125"/>
    <s v="IT"/>
    <m/>
    <m/>
    <m/>
    <m/>
    <m/>
    <m/>
    <m/>
  </r>
  <r>
    <s v="403-6147401-4989134"/>
    <s v="403-6147401-4989134"/>
    <s v="2024-01-12T10:42:49+00:00"/>
    <s v="2024-01-12T20:53:14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genova"/>
    <s v="ge"/>
    <n v="16149"/>
    <s v="IT"/>
    <m/>
    <m/>
    <m/>
    <m/>
    <m/>
    <m/>
    <m/>
  </r>
  <r>
    <s v="406-7108598-3161116"/>
    <m/>
    <s v="2024-01-12T09:26:06+00:00"/>
    <s v="2024-01-15T15:59:4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Cadoneghe"/>
    <s v="Padova"/>
    <n v="35010"/>
    <s v="IT"/>
    <m/>
    <m/>
    <m/>
    <m/>
    <m/>
    <m/>
    <m/>
  </r>
  <r>
    <s v="405-2685257-4557136"/>
    <m/>
    <s v="2024-01-12T08:32:34+00:00"/>
    <s v="2024-01-15T16:09:10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Roma"/>
    <s v="RM"/>
    <n v="178"/>
    <s v="IT"/>
    <m/>
    <m/>
    <m/>
    <m/>
    <m/>
    <m/>
    <m/>
  </r>
  <r>
    <s v="404-7956930-7798710"/>
    <s v="404-7956930-7798710"/>
    <s v="2024-01-12T07:41:07+00:00"/>
    <s v="2024-01-14T19:24:51+00:00"/>
    <s v="Shipped"/>
    <x v="0"/>
    <x v="3"/>
    <m/>
    <m/>
    <s v="Expedited"/>
    <s v="Beper Friggitrice elettrica P101FRI100 1 L, 950 W, cestello in acciaio rimovibile, coperchio con oblò, filtro rimovibile lavabile, temperatura regola"/>
    <s v="P101FRI100_FBA"/>
    <x v="20"/>
    <s v="Shipped"/>
    <n v="1"/>
    <s v="EUR"/>
    <n v="39.9"/>
    <n v="7.2"/>
    <m/>
    <m/>
    <m/>
    <m/>
    <m/>
    <m/>
    <s v="Napoli"/>
    <s v="Napoli"/>
    <n v="80126"/>
    <s v="IT"/>
    <m/>
    <m/>
    <m/>
    <m/>
    <m/>
    <m/>
    <m/>
  </r>
  <r>
    <s v="171-7836609-8694733"/>
    <s v="171-7836609-8694733"/>
    <s v="2024-01-12T06:15:54+00:00"/>
    <s v="2024-01-12T18:18:40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alsamoggia località Savigno"/>
    <s v="Italia bologna emilia romagna"/>
    <n v="40053"/>
    <s v="IT"/>
    <m/>
    <m/>
    <m/>
    <m/>
    <m/>
    <m/>
    <m/>
  </r>
  <r>
    <s v="403-8616802-9705153"/>
    <s v="403-8616802-9705153"/>
    <s v="2024-01-11T23:14:31+00:00"/>
    <s v="2024-01-12T08:25:0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elvazzano Dentro"/>
    <s v="Padova"/>
    <n v="35030"/>
    <s v="IT"/>
    <m/>
    <m/>
    <m/>
    <m/>
    <m/>
    <m/>
    <m/>
  </r>
  <r>
    <s v="405-0717998-8285962"/>
    <s v="405-0717998-8285962"/>
    <s v="2024-01-11T21:32:03+00:00"/>
    <s v="2024-01-12T15:56:0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umiana"/>
    <s v="Torino"/>
    <n v="10040"/>
    <s v="IT"/>
    <m/>
    <m/>
    <m/>
    <m/>
    <m/>
    <m/>
    <m/>
  </r>
  <r>
    <s v="405-7426277-0267520"/>
    <m/>
    <s v="2024-01-11T21:29:25+00:00"/>
    <s v="2024-01-12T08:47:26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predappio"/>
    <s v="fc"/>
    <n v="47016"/>
    <s v="IT"/>
    <m/>
    <m/>
    <m/>
    <m/>
    <m/>
    <m/>
    <m/>
  </r>
  <r>
    <s v="405-3408069-4409132"/>
    <s v="405-3408069-4409132"/>
    <s v="2024-01-11T21:28:51+00:00"/>
    <s v="2024-01-12T18:34:11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Asciano"/>
    <s v="Si"/>
    <n v="53041"/>
    <s v="IT"/>
    <m/>
    <m/>
    <m/>
    <m/>
    <m/>
    <m/>
    <m/>
  </r>
  <r>
    <s v="403-8734736-8433940"/>
    <s v="403-8734736-8433940"/>
    <s v="2024-01-11T21:03:12+00:00"/>
    <s v="2024-01-12T15:54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Villanova sull'arda"/>
    <s v="PC"/>
    <n v="29010"/>
    <s v="IT"/>
    <m/>
    <m/>
    <m/>
    <m/>
    <m/>
    <m/>
    <m/>
  </r>
  <r>
    <s v="403-3788905-6337968"/>
    <s v="403-3788905-6337968"/>
    <s v="2024-01-11T21:02:13+00:00"/>
    <s v="2024-01-12T20:54:2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enova"/>
    <s v="Genova"/>
    <n v="16144"/>
    <s v="IT"/>
    <m/>
    <m/>
    <m/>
    <m/>
    <m/>
    <m/>
    <m/>
  </r>
  <r>
    <s v="403-7913074-6022735"/>
    <m/>
    <s v="2024-01-11T20:31:54+00:00"/>
    <s v="2024-01-12T09:06:4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2"/>
    <s v="EUR"/>
    <n v="45.8"/>
    <n v="8.26"/>
    <n v="6"/>
    <n v="1.08"/>
    <m/>
    <m/>
    <m/>
    <m/>
    <s v="Germignaga"/>
    <s v="Varese"/>
    <n v="21010"/>
    <s v="IT"/>
    <m/>
    <m/>
    <m/>
    <m/>
    <m/>
    <m/>
    <m/>
  </r>
  <r>
    <s v="404-4539968-3273148"/>
    <m/>
    <s v="2024-01-11T20:21:27+00:00"/>
    <s v="2024-01-12T09:45:4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Anzio"/>
    <s v="Roma"/>
    <n v="42"/>
    <s v="IT"/>
    <m/>
    <m/>
    <m/>
    <m/>
    <m/>
    <m/>
    <m/>
  </r>
  <r>
    <s v="405-0708353-8491539"/>
    <m/>
    <s v="2024-01-11T19:36:02+00:00"/>
    <s v="2024-01-12T18:14:45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Meta"/>
    <s v="Napoli"/>
    <n v="80062"/>
    <s v="IT"/>
    <m/>
    <m/>
    <m/>
    <m/>
    <m/>
    <m/>
    <m/>
  </r>
  <r>
    <s v="406-3359010-0203562"/>
    <s v="406-3359010-0203562"/>
    <s v="2024-01-11T19:17:39+00:00"/>
    <s v="2024-01-12T15:58:3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0.62"/>
    <n v="0.11"/>
    <m/>
    <m/>
    <m/>
    <m/>
    <s v="GIVOLETTO"/>
    <s v="Torino"/>
    <n v="10040"/>
    <s v="IT"/>
    <m/>
    <m/>
    <m/>
    <m/>
    <m/>
    <m/>
    <m/>
  </r>
  <r>
    <s v="402-2460169-8512320"/>
    <s v="402-2460169-8512320"/>
    <s v="2024-01-11T19:11:06+00:00"/>
    <s v="2024-01-15T14:52:2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Padova"/>
    <s v="Padova"/>
    <n v="35128"/>
    <s v="IT"/>
    <m/>
    <m/>
    <m/>
    <m/>
    <m/>
    <m/>
    <m/>
  </r>
  <r>
    <s v="404-0496449-5321154"/>
    <s v="404-0496449-5321154"/>
    <s v="2024-01-11T17:58:55+00:00"/>
    <s v="2024-01-12T01:11:20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ANCONA"/>
    <s v="Ancona"/>
    <n v="60129"/>
    <s v="IT"/>
    <m/>
    <m/>
    <m/>
    <m/>
    <m/>
    <m/>
    <m/>
  </r>
  <r>
    <s v="406-3903468-7897907"/>
    <s v="406-3903468-7897907"/>
    <s v="2024-01-11T17:49:35+00:00"/>
    <s v="2024-01-11T20:55:24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m/>
    <m/>
    <m/>
    <m/>
    <m/>
    <m/>
    <s v="segrate"/>
    <s v="Milano"/>
    <n v="20054"/>
    <s v="IT"/>
    <m/>
    <m/>
    <m/>
    <m/>
    <m/>
    <m/>
    <m/>
  </r>
  <r>
    <s v="402-3878839-4730747"/>
    <s v="402-3878839-4730747"/>
    <s v="2024-01-11T17:42:49+00:00"/>
    <s v="2024-01-12T02:21:24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Roma"/>
    <s v="RM"/>
    <n v="135"/>
    <s v="IT"/>
    <m/>
    <m/>
    <m/>
    <m/>
    <m/>
    <m/>
    <m/>
  </r>
  <r>
    <s v="404-7179402-3196328"/>
    <s v="404-7179402-3196328"/>
    <s v="2024-01-11T17:28:04+00:00"/>
    <s v="2024-01-28T07:14:55+00:00"/>
    <s v="Shipped"/>
    <x v="0"/>
    <x v="3"/>
    <m/>
    <m/>
    <s v="Expedited"/>
    <s v="Beper - Piastra per Waffle, Cialdiera, 5 Waffle Alla Volta, Piastra Antiaderente 18cm, 800-100W - Rosso/Bianco"/>
    <s v="BT.603Y_FBA"/>
    <x v="15"/>
    <s v="Shipped"/>
    <n v="1"/>
    <s v="EUR"/>
    <n v="29.9"/>
    <n v="5.39"/>
    <n v="0.47"/>
    <m/>
    <m/>
    <m/>
    <m/>
    <n v="0.47"/>
    <s v="Battipaglia"/>
    <s v="Salerno"/>
    <n v="84091"/>
    <s v="IT"/>
    <m/>
    <m/>
    <m/>
    <m/>
    <m/>
    <m/>
    <m/>
  </r>
  <r>
    <s v="402-0849197-7072307"/>
    <m/>
    <s v="2024-01-11T17:24:21+00:00"/>
    <s v="2024-01-12T09:06:4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annicola"/>
    <s v="Lecce"/>
    <n v="73017"/>
    <s v="IT"/>
    <m/>
    <m/>
    <m/>
    <m/>
    <m/>
    <m/>
    <m/>
  </r>
  <r>
    <s v="171-5268454-4465934"/>
    <s v="171-5268454-4465934"/>
    <s v="2024-01-11T16:52:53+00:00"/>
    <s v="2024-01-13T18:20:38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n v="3.27"/>
    <m/>
    <m/>
    <m/>
    <m/>
    <n v="3.27"/>
    <s v="firenze"/>
    <s v="Firenze"/>
    <n v="50121"/>
    <s v="IT"/>
    <m/>
    <m/>
    <m/>
    <m/>
    <m/>
    <m/>
    <m/>
  </r>
  <r>
    <s v="408-3714417-8030706"/>
    <s v="408-3714417-8030706"/>
    <s v="2024-01-11T16:42:26+00:00"/>
    <s v="2024-01-11T19:57:39+00:00"/>
    <s v="Cancell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Cancelled"/>
    <n v="0"/>
    <m/>
    <m/>
    <m/>
    <m/>
    <m/>
    <m/>
    <m/>
    <m/>
    <m/>
    <s v="CERASOLO"/>
    <s v="Rimini"/>
    <n v="47853"/>
    <s v="IT"/>
    <m/>
    <m/>
    <m/>
    <m/>
    <m/>
    <m/>
    <m/>
  </r>
  <r>
    <s v="406-5404195-9051537"/>
    <m/>
    <s v="2024-01-11T16:03:50+00:00"/>
    <s v="2024-01-12T08:37:43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28.9"/>
    <n v="5.21"/>
    <n v="3"/>
    <n v="0.54"/>
    <m/>
    <m/>
    <m/>
    <m/>
    <s v="Perugia"/>
    <s v="Perugia"/>
    <n v="6132"/>
    <s v="IT"/>
    <m/>
    <m/>
    <m/>
    <m/>
    <m/>
    <m/>
    <m/>
  </r>
  <r>
    <s v="402-9099464-3844364"/>
    <m/>
    <s v="2024-01-11T15:51:14+00:00"/>
    <s v="2024-01-12T12:41:0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SANT'ARPINO"/>
    <s v="Caserta"/>
    <n v="81030"/>
    <s v="IT"/>
    <m/>
    <m/>
    <m/>
    <m/>
    <m/>
    <m/>
    <m/>
  </r>
  <r>
    <s v="408-5378808-7556357"/>
    <m/>
    <s v="2024-01-11T14:05:03+00:00"/>
    <s v="2024-01-12T09:45:4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Frosinone"/>
    <s v="Frosinone"/>
    <n v="3100"/>
    <s v="IT"/>
    <m/>
    <m/>
    <m/>
    <m/>
    <m/>
    <m/>
    <m/>
  </r>
  <r>
    <s v="402-0357005-4521163"/>
    <s v="402-0357005-4521163"/>
    <s v="2024-01-11T13:42:22+00:00"/>
    <s v="2024-01-11T20:35:18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m/>
    <m/>
    <m/>
    <m/>
    <m/>
    <m/>
    <s v="Roma"/>
    <s v="RM"/>
    <n v="186"/>
    <s v="IT"/>
    <m/>
    <m/>
    <m/>
    <m/>
    <m/>
    <m/>
    <m/>
  </r>
  <r>
    <s v="402-3285180-3040332"/>
    <s v="402-3285180-3040332"/>
    <s v="2024-01-11T13:17:33+00:00"/>
    <s v="2024-01-17T00:00:0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4"/>
    <m/>
    <m/>
    <m/>
    <m/>
    <n v="1.64"/>
    <s v="Firenze"/>
    <s v="Firenze"/>
    <n v="50136"/>
    <s v="IT"/>
    <m/>
    <m/>
    <m/>
    <m/>
    <m/>
    <m/>
    <m/>
  </r>
  <r>
    <s v="408-0611381-4756313"/>
    <s v="408-0611381-4756313"/>
    <s v="2024-01-11T13:15:32+00:00"/>
    <s v="2024-01-11T20:22:5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aselice"/>
    <s v="Benevento"/>
    <n v="82020"/>
    <s v="IT"/>
    <m/>
    <m/>
    <m/>
    <m/>
    <m/>
    <m/>
    <m/>
  </r>
  <r>
    <s v="403-3169921-7197943"/>
    <s v="403-3169921-7197943"/>
    <s v="2024-01-11T12:51:00+00:00"/>
    <s v="2024-01-11T16:22:4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44"/>
    <s v="IT"/>
    <m/>
    <m/>
    <m/>
    <m/>
    <m/>
    <m/>
    <m/>
  </r>
  <r>
    <s v="406-4806940-6104343"/>
    <m/>
    <s v="2024-01-11T12:41:01+00:00"/>
    <s v="2024-01-16T12:45:59+00:00"/>
    <s v="Cancelled"/>
    <x v="1"/>
    <x v="3"/>
    <s v="WebsiteOrderChannel"/>
    <m/>
    <s v="Standard"/>
    <s v="BEPER 90.590Y Macchina per Popcorn, Popcorn in 3 Minuti, 1200 W, Circolazione di Aria Calda, Rosso"/>
    <s v="90.590Y"/>
    <x v="2"/>
    <m/>
    <n v="0"/>
    <m/>
    <m/>
    <m/>
    <m/>
    <m/>
    <m/>
    <m/>
    <m/>
    <m/>
    <s v="PALAZZOLO"/>
    <s v="Verona"/>
    <n v="37060"/>
    <s v="IT"/>
    <m/>
    <m/>
    <m/>
    <m/>
    <m/>
    <m/>
    <m/>
  </r>
  <r>
    <s v="404-7326078-4487535"/>
    <s v="404-7326078-4487535"/>
    <s v="2024-01-11T12:36:07+00:00"/>
    <s v="2024-01-15T17:42:1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0.5"/>
    <n v="0.09"/>
    <m/>
    <m/>
    <m/>
    <m/>
    <s v="Lamezia terme"/>
    <s v="Catanzaro"/>
    <n v="88046"/>
    <s v="IT"/>
    <m/>
    <m/>
    <m/>
    <m/>
    <m/>
    <m/>
    <m/>
  </r>
  <r>
    <s v="402-7070309-5857110"/>
    <m/>
    <s v="2024-01-11T12:28:44+00:00"/>
    <s v="2024-01-14T19:24:23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Montevarchi"/>
    <s v="Arezzo"/>
    <n v="52025"/>
    <s v="IT"/>
    <m/>
    <m/>
    <m/>
    <m/>
    <m/>
    <m/>
    <m/>
  </r>
  <r>
    <s v="404-4737153-4587523"/>
    <s v="404-4737153-4587523"/>
    <s v="2024-01-11T12:27:29+00:00"/>
    <s v="2024-01-11T17:23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lano"/>
    <n v="20138"/>
    <s v="IT"/>
    <m/>
    <m/>
    <m/>
    <m/>
    <m/>
    <m/>
    <m/>
  </r>
  <r>
    <s v="407-5719371-4746710"/>
    <s v="407-5719371-4746710"/>
    <s v="2024-01-11T12:00:03+00:00"/>
    <s v="2024-01-13T18:22:0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ranze"/>
    <s v="Padova"/>
    <n v="35040"/>
    <s v="IT"/>
    <m/>
    <m/>
    <m/>
    <m/>
    <m/>
    <m/>
    <m/>
  </r>
  <r>
    <s v="405-6458460-9841928"/>
    <m/>
    <s v="2024-01-11T11:15:08+00:00"/>
    <s v="2024-01-12T09:07:49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Carugate"/>
    <s v="MI"/>
    <n v="20061"/>
    <s v="IT"/>
    <m/>
    <m/>
    <m/>
    <m/>
    <m/>
    <m/>
    <m/>
  </r>
  <r>
    <s v="402-0912292-7159537"/>
    <m/>
    <s v="2024-01-11T10:41:48+00:00"/>
    <s v="2024-01-12T09:45:44+00:00"/>
    <s v="Shipped"/>
    <x v="1"/>
    <x v="3"/>
    <s v="WebsiteOrderChannel"/>
    <m/>
    <s v="Standard"/>
    <s v="Beper BC.261 Vaporiera da 5 litri - Vaporiera Elettrica Con Timer per Cottura al Vapore di Riso, Pesce, Ravioli, Verdure, Carne - BFA Free"/>
    <s v="BC.261"/>
    <x v="3"/>
    <s v="Shipped"/>
    <n v="1"/>
    <s v="EUR"/>
    <n v="29.9"/>
    <n v="5.39"/>
    <n v="3"/>
    <n v="0.54"/>
    <m/>
    <m/>
    <m/>
    <m/>
    <s v="Carpaneto"/>
    <s v="Piacenza"/>
    <n v="29013"/>
    <s v="IT"/>
    <m/>
    <m/>
    <m/>
    <m/>
    <m/>
    <m/>
    <m/>
  </r>
  <r>
    <s v="407-9771617-7224342"/>
    <m/>
    <s v="2024-01-11T10:28:55+00:00"/>
    <s v="2024-01-12T09:47:5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Fiesole"/>
    <s v="Firenze"/>
    <n v="50014"/>
    <s v="IT"/>
    <m/>
    <m/>
    <m/>
    <m/>
    <m/>
    <m/>
    <m/>
  </r>
  <r>
    <s v="407-8325569-1243553"/>
    <m/>
    <s v="2024-01-11T09:24:23+00:00"/>
    <s v="2024-01-12T09:45:42+00:00"/>
    <s v="Shipped"/>
    <x v="1"/>
    <x v="3"/>
    <s v="WebsiteOrderChannel"/>
    <m/>
    <s v="Standard"/>
    <s v="Beper 50.161 Ferro da Stiro Cordless, Ferro da stiro Senza Fili, Dispositivo di Auto-pulizia, Anti-calcare, Anti-goccia, Colpo Super Vapore, Stirare in Verticale Bianco/Ottanio"/>
    <n v="50161"/>
    <x v="33"/>
    <s v="Shipped"/>
    <n v="1"/>
    <s v="EUR"/>
    <n v="49.9"/>
    <n v="9"/>
    <n v="3"/>
    <n v="0.54"/>
    <m/>
    <m/>
    <m/>
    <m/>
    <s v="vimercate"/>
    <s v="Monza e Brianza"/>
    <n v="20871"/>
    <s v="IT"/>
    <m/>
    <m/>
    <m/>
    <m/>
    <m/>
    <m/>
    <m/>
  </r>
  <r>
    <s v="403-2725329-9594707"/>
    <m/>
    <s v="2024-01-11T09:22:44+00:00"/>
    <s v="2024-01-12T09:47:12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Palmoli"/>
    <s v="Chieti"/>
    <n v="66050"/>
    <s v="IT"/>
    <m/>
    <m/>
    <m/>
    <m/>
    <m/>
    <m/>
    <m/>
  </r>
  <r>
    <s v="408-6323848-8141157"/>
    <m/>
    <s v="2024-01-11T09:20:57+00:00"/>
    <s v="2024-01-12T09:18:0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GENZANO DI ROMA"/>
    <s v="Roma"/>
    <n v="45"/>
    <s v="IT"/>
    <m/>
    <m/>
    <m/>
    <m/>
    <m/>
    <m/>
    <m/>
  </r>
  <r>
    <s v="408-9090738-4762730"/>
    <s v="408-9090738-4762730"/>
    <s v="2024-01-11T08:17:56+00:00"/>
    <s v="2024-01-11T13:31:36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m/>
    <m/>
    <m/>
    <m/>
    <m/>
    <m/>
    <s v="ACI CATENA"/>
    <s v="Catania"/>
    <n v="95022"/>
    <s v="IT"/>
    <m/>
    <m/>
    <m/>
    <m/>
    <m/>
    <m/>
    <m/>
  </r>
  <r>
    <s v="407-5285122-2898768"/>
    <s v="407-5285122-2898768"/>
    <s v="2024-01-11T07:57:02+00:00"/>
    <s v="2024-01-14T09:56:03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PALERMO"/>
    <s v="PA"/>
    <n v="90143"/>
    <s v="IT"/>
    <m/>
    <m/>
    <m/>
    <m/>
    <m/>
    <m/>
    <m/>
  </r>
  <r>
    <s v="404-5413962-1873969"/>
    <s v="404-5413962-1873969"/>
    <s v="2024-01-11T07:40:45+00:00"/>
    <s v="2024-01-15T08:13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enne"/>
    <s v="Pescara"/>
    <n v="65017"/>
    <s v="IT"/>
    <m/>
    <m/>
    <m/>
    <m/>
    <m/>
    <m/>
    <m/>
  </r>
  <r>
    <s v="406-3880373-2421903"/>
    <m/>
    <s v="2024-01-11T00:46:38+00:00"/>
    <s v="2024-01-11T13:00:58+00:00"/>
    <s v="Shipped"/>
    <x v="1"/>
    <x v="3"/>
    <s v="WebsiteOrderChannel"/>
    <m/>
    <s v="Standard"/>
    <s v="BEPER C206UTI002 Copriscarpe Monouso Set 100 Sacchetti - Copriscarpe da Casa o Lavoro"/>
    <s v="C206UTI002"/>
    <x v="18"/>
    <s v="Shipped"/>
    <n v="2"/>
    <s v="EUR"/>
    <n v="29.8"/>
    <n v="5.38"/>
    <n v="6"/>
    <n v="1.08"/>
    <m/>
    <m/>
    <m/>
    <m/>
    <s v="CASTREZZATO"/>
    <s v="Brescia"/>
    <n v="25030"/>
    <s v="IT"/>
    <m/>
    <m/>
    <m/>
    <m/>
    <m/>
    <m/>
    <m/>
  </r>
  <r>
    <s v="171-5279633-6677907"/>
    <s v="171-5279633-6677907"/>
    <s v="2024-01-11T00:05:47+00:00"/>
    <s v="2024-01-11T17:38:0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Cipriano Po"/>
    <s v="Pavia"/>
    <n v="27043"/>
    <s v="IT"/>
    <m/>
    <m/>
    <m/>
    <m/>
    <m/>
    <m/>
    <m/>
  </r>
  <r>
    <s v="404-5037789-7135557"/>
    <s v="404-5037789-7135557"/>
    <s v="2024-01-10T23:43:09+00:00"/>
    <s v="2024-01-11T02:27:0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67"/>
    <s v="IT"/>
    <m/>
    <m/>
    <m/>
    <m/>
    <s v="VLLMLR76T71Z600N"/>
    <s v="IT"/>
    <s v="CitizenId"/>
  </r>
  <r>
    <s v="408-9348615-3654711"/>
    <s v="408-9348615-3654711"/>
    <s v="2024-01-10T23:34:07+00:00"/>
    <s v="2024-01-11T17:25:1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ovate milanese"/>
    <s v="Milano"/>
    <n v="20026"/>
    <s v="IT"/>
    <m/>
    <m/>
    <m/>
    <m/>
    <m/>
    <m/>
    <m/>
  </r>
  <r>
    <s v="408-3830164-6066714"/>
    <m/>
    <s v="2024-01-10T23:25:37+00:00"/>
    <s v="2024-01-11T12:19:0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Roma"/>
    <s v="RM"/>
    <n v="151"/>
    <s v="IT"/>
    <m/>
    <m/>
    <m/>
    <m/>
    <m/>
    <m/>
    <m/>
  </r>
  <r>
    <s v="404-0262836-1218728"/>
    <m/>
    <s v="2024-01-10T23:21:09+00:00"/>
    <s v="2024-01-13T22:18:5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Villa d'Ogna"/>
    <s v="Italia"/>
    <n v="24020"/>
    <s v="IT"/>
    <m/>
    <m/>
    <m/>
    <m/>
    <m/>
    <m/>
    <m/>
  </r>
  <r>
    <s v="403-0336363-2596315"/>
    <s v="403-0336363-2596315"/>
    <s v="2024-01-10T23:09:05+00:00"/>
    <s v="2024-01-11T06:33:4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NOVI LIGURE"/>
    <s v="Alessandria"/>
    <n v="15067"/>
    <s v="IT"/>
    <m/>
    <m/>
    <m/>
    <m/>
    <m/>
    <m/>
    <m/>
  </r>
  <r>
    <s v="406-5450201-6230726"/>
    <m/>
    <s v="2024-01-10T22:37:49+00:00"/>
    <s v="2024-01-11T12:57:5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aposele"/>
    <s v="Avellino"/>
    <n v="83040"/>
    <s v="IT"/>
    <m/>
    <m/>
    <m/>
    <m/>
    <m/>
    <m/>
    <m/>
  </r>
  <r>
    <s v="406-3095492-1023524"/>
    <s v="406-3095492-1023524"/>
    <s v="2024-01-10T22:08:39+00:00"/>
    <s v="2024-01-11T17:24:47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Clitumno"/>
    <s v="MI"/>
    <n v="20131"/>
    <s v="IT"/>
    <m/>
    <m/>
    <m/>
    <m/>
    <m/>
    <m/>
    <m/>
  </r>
  <r>
    <s v="404-8811302-8993909"/>
    <m/>
    <s v="2024-01-10T22:02:18+00:00"/>
    <s v="2024-01-11T12:18:58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Rezzonico"/>
    <s v="Como"/>
    <n v="22010"/>
    <s v="IT"/>
    <m/>
    <m/>
    <m/>
    <m/>
    <m/>
    <m/>
    <m/>
  </r>
  <r>
    <s v="171-7247616-6569100"/>
    <m/>
    <s v="2024-01-10T21:18:00+00:00"/>
    <s v="2024-01-11T12:58:0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Assemini"/>
    <s v="Cagliari"/>
    <n v="9032"/>
    <s v="IT"/>
    <m/>
    <m/>
    <m/>
    <m/>
    <m/>
    <m/>
    <m/>
  </r>
  <r>
    <s v="402-3530782-1521956"/>
    <s v="402-3530782-1521956"/>
    <s v="2024-01-10T19:51:25+00:00"/>
    <s v="2024-01-11T04:50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Fiastra"/>
    <s v="Macerata"/>
    <n v="62035"/>
    <s v="IT"/>
    <m/>
    <m/>
    <m/>
    <m/>
    <m/>
    <m/>
    <m/>
  </r>
  <r>
    <s v="406-4022731-6173134"/>
    <m/>
    <s v="2024-01-10T19:46:49+00:00"/>
    <s v="2024-01-11T12:59:0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Pula"/>
    <s v="ITALIA"/>
    <n v="9050"/>
    <s v="IT"/>
    <m/>
    <m/>
    <m/>
    <m/>
    <m/>
    <m/>
    <m/>
  </r>
  <r>
    <s v="402-6447036-0394730"/>
    <s v="402-6447036-0394730"/>
    <s v="2024-01-10T18:51:31+00:00"/>
    <s v="2024-01-11T07:47:20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hiusa Sclafani"/>
    <s v="Palermo"/>
    <n v="90033"/>
    <s v="IT"/>
    <m/>
    <m/>
    <m/>
    <m/>
    <m/>
    <m/>
    <m/>
  </r>
  <r>
    <s v="405-2932221-1448343"/>
    <s v="405-2932221-1448343"/>
    <s v="2024-01-10T18:11:18+00:00"/>
    <s v="2024-01-11T15:52:5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PIEMONTE"/>
    <n v="10144"/>
    <s v="IT"/>
    <m/>
    <m/>
    <m/>
    <m/>
    <m/>
    <m/>
    <m/>
  </r>
  <r>
    <s v="407-4830266-8218741"/>
    <m/>
    <s v="2024-01-10T17:45:40+00:00"/>
    <s v="2024-01-11T12:58:02+00:00"/>
    <s v="Shipped"/>
    <x v="1"/>
    <x v="3"/>
    <s v="WebsiteOrderChannel"/>
    <m/>
    <s v="Standard"/>
    <s v="Beper BC.261 Vaporiera da 5 litri - Vaporiera Elettrica Con Timer per Cottura al Vapore di Riso, Pesce, Ravioli, Verdure, Carne - BFA Free"/>
    <s v="BC.261"/>
    <x v="3"/>
    <s v="Shipped"/>
    <n v="1"/>
    <s v="EUR"/>
    <n v="29.9"/>
    <n v="5.39"/>
    <n v="3"/>
    <n v="0.54"/>
    <m/>
    <m/>
    <m/>
    <m/>
    <s v="bologna"/>
    <s v="bologna"/>
    <n v="40125"/>
    <s v="IT"/>
    <m/>
    <m/>
    <m/>
    <m/>
    <m/>
    <m/>
    <m/>
  </r>
  <r>
    <s v="404-6022033-5147511"/>
    <m/>
    <s v="2024-01-10T17:31:24+00:00"/>
    <s v="2024-01-11T12:18:5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Barletta"/>
    <s v="Bt"/>
    <n v="76121"/>
    <s v="IT"/>
    <m/>
    <m/>
    <m/>
    <m/>
    <m/>
    <m/>
    <m/>
  </r>
  <r>
    <s v="408-9900853-6727533"/>
    <s v="408-9900853-6727533"/>
    <s v="2024-01-10T17:29:23+00:00"/>
    <s v="2024-01-10T23:11:1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42"/>
    <s v="IT"/>
    <m/>
    <m/>
    <m/>
    <m/>
    <m/>
    <m/>
    <m/>
  </r>
  <r>
    <s v="403-9441389-4676310"/>
    <m/>
    <s v="2024-01-10T15:30:30+00:00"/>
    <s v="2024-02-08T09:50:14+00:00"/>
    <s v="Shipped"/>
    <x v="1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0"/>
    <s v="Shipped"/>
    <n v="1"/>
    <s v="EUR"/>
    <n v="15.9"/>
    <n v="2.87"/>
    <n v="3"/>
    <n v="0.54"/>
    <m/>
    <m/>
    <m/>
    <m/>
    <s v="Montemurlo"/>
    <s v="PO"/>
    <n v="59013"/>
    <s v="IT"/>
    <m/>
    <m/>
    <m/>
    <m/>
    <m/>
    <m/>
    <m/>
  </r>
  <r>
    <s v="403-4514708-4026738"/>
    <s v="403-4514708-4026738"/>
    <s v="2024-01-10T15:26:11+00:00"/>
    <s v="2024-01-10T23:12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oma"/>
    <n v="166"/>
    <s v="IT"/>
    <m/>
    <m/>
    <m/>
    <m/>
    <m/>
    <m/>
    <m/>
  </r>
  <r>
    <s v="408-4171195-8930742"/>
    <m/>
    <s v="2024-01-10T14:09:53+00:00"/>
    <s v="2024-01-12T08:37:30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Agira"/>
    <s v="Enna"/>
    <n v="94011"/>
    <s v="IT"/>
    <m/>
    <m/>
    <m/>
    <m/>
    <m/>
    <m/>
    <m/>
  </r>
  <r>
    <s v="405-4313774-4279557"/>
    <m/>
    <s v="2024-01-10T13:59:16+00:00"/>
    <s v="2024-01-11T12:20:50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Mentana"/>
    <s v="Roma"/>
    <n v="13"/>
    <s v="IT"/>
    <m/>
    <m/>
    <m/>
    <m/>
    <m/>
    <m/>
    <m/>
  </r>
  <r>
    <s v="406-1751340-7950733"/>
    <s v="406-1751340-7950733"/>
    <s v="2024-01-10T13:27:05+00:00"/>
    <s v="2024-01-11T15:52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lpignano"/>
    <s v="Torino"/>
    <n v="10091"/>
    <s v="IT"/>
    <m/>
    <m/>
    <m/>
    <m/>
    <m/>
    <m/>
    <m/>
  </r>
  <r>
    <s v="408-0167793-9270756"/>
    <m/>
    <s v="2024-01-10T12:16:39+00:00"/>
    <s v="2024-01-12T18:46:36+00:00"/>
    <s v="Shipped"/>
    <x v="1"/>
    <x v="3"/>
    <s v="WebsiteOrderChannel"/>
    <m/>
    <s v="Standard"/>
    <s v="Beper Pulitore a Vapore Igenizzante, Caldaia in Alluminio da 350 Ml, Pulsante Vapore Continuo, Pressione 3.2 Bar, 30 G/Min, Cavo da 3 M Giallo/Nero"/>
    <n v="50700"/>
    <x v="24"/>
    <s v="Shipped"/>
    <n v="1"/>
    <s v="EUR"/>
    <n v="44.9"/>
    <n v="8.1"/>
    <n v="3"/>
    <n v="0.54"/>
    <m/>
    <m/>
    <m/>
    <m/>
    <s v="Napoli"/>
    <s v="Napoli"/>
    <n v="80125"/>
    <s v="IT"/>
    <m/>
    <m/>
    <m/>
    <m/>
    <m/>
    <m/>
    <m/>
  </r>
  <r>
    <s v="171-3189473-7208301"/>
    <m/>
    <s v="2024-01-10T12:13:51+00:00"/>
    <s v="2024-01-11T12:00:10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Carpaneto piacentino"/>
    <s v="Piacenza"/>
    <n v="29013"/>
    <s v="IT"/>
    <m/>
    <m/>
    <m/>
    <m/>
    <m/>
    <m/>
    <m/>
  </r>
  <r>
    <s v="406-0161332-2145124"/>
    <s v="406-0161332-2145124"/>
    <s v="2024-01-10T11:55:18+00:00"/>
    <s v="2024-01-14T16:00:34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SCHIO"/>
    <m/>
    <n v="36015"/>
    <s v="IT"/>
    <m/>
    <m/>
    <m/>
    <m/>
    <m/>
    <m/>
    <m/>
  </r>
  <r>
    <s v="407-1795351-7405934"/>
    <s v="407-1795351-7405934"/>
    <s v="2024-01-10T11:35:20+00:00"/>
    <s v="2024-01-12T13:46:49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Senago"/>
    <s v="MI"/>
    <n v="20030"/>
    <s v="IT"/>
    <m/>
    <m/>
    <m/>
    <m/>
    <m/>
    <m/>
    <m/>
  </r>
  <r>
    <s v="408-7040093-3843558"/>
    <m/>
    <s v="2024-01-10T10:44:35+00:00"/>
    <s v="2024-01-11T12:58:02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CASTEL MAGGIORE"/>
    <s v="Bologna"/>
    <n v="40013"/>
    <s v="IT"/>
    <m/>
    <m/>
    <m/>
    <m/>
    <m/>
    <m/>
    <m/>
  </r>
  <r>
    <s v="171-7288181-2853115"/>
    <s v="171-7288181-2853115"/>
    <s v="2024-01-10T09:38:21+00:00"/>
    <s v="2024-01-10T20:16:17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n v="1.0900000000000001"/>
    <m/>
    <m/>
    <m/>
    <m/>
    <n v="1.0900000000000001"/>
    <s v="Rimini"/>
    <s v="RIMINI"/>
    <n v="47923"/>
    <s v="IT"/>
    <m/>
    <m/>
    <m/>
    <m/>
    <m/>
    <m/>
    <m/>
  </r>
  <r>
    <s v="171-4538768-4349909"/>
    <s v="171-4538768-4349909"/>
    <s v="2024-01-10T09:33:58+00:00"/>
    <s v="2024-01-10T17:22:4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PAVIA"/>
    <s v="PV"/>
    <n v="27100"/>
    <s v="IT"/>
    <m/>
    <m/>
    <m/>
    <m/>
    <m/>
    <m/>
    <m/>
  </r>
  <r>
    <s v="404-6886760-0428347"/>
    <m/>
    <s v="2024-01-10T09:19:58+00:00"/>
    <s v="2024-01-11T12:59:08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Macerata"/>
    <s v="MC"/>
    <n v="62100"/>
    <s v="IT"/>
    <m/>
    <m/>
    <m/>
    <m/>
    <s v="MNDGRL54B24B474N"/>
    <s v="IT"/>
    <s v="CitizenId"/>
  </r>
  <r>
    <s v="171-8224559-7083525"/>
    <s v="171-8224559-7083525"/>
    <s v="2024-01-10T09:04:58+00:00"/>
    <s v="2024-01-13T11:04:14+00:00"/>
    <s v="Cancell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Cancelled"/>
    <n v="0"/>
    <m/>
    <m/>
    <m/>
    <m/>
    <m/>
    <m/>
    <m/>
    <m/>
    <m/>
    <s v="Forlimpopoli"/>
    <s v="Fc"/>
    <n v="47034"/>
    <s v="IT"/>
    <m/>
    <m/>
    <m/>
    <m/>
    <m/>
    <m/>
    <m/>
  </r>
  <r>
    <s v="407-8191098-4913945"/>
    <m/>
    <s v="2024-01-10T09:03:33+00:00"/>
    <s v="2024-01-13T11:26:39+00:00"/>
    <s v="Cancelled"/>
    <x v="1"/>
    <x v="3"/>
    <s v="WebsiteOrderChannel"/>
    <m/>
    <s v="Standard"/>
    <s v="BEPER 40.490 Asciugacapelli Da Parete 2000 W - Phon da Parete con Cavo Lungo 2 Metri"/>
    <n v="40490"/>
    <x v="26"/>
    <m/>
    <n v="0"/>
    <m/>
    <m/>
    <m/>
    <m/>
    <m/>
    <m/>
    <m/>
    <m/>
    <m/>
    <s v="foggia"/>
    <s v="Foggia"/>
    <n v="71121"/>
    <s v="IT"/>
    <m/>
    <m/>
    <m/>
    <m/>
    <m/>
    <m/>
    <m/>
  </r>
  <r>
    <s v="407-4559303-5744341"/>
    <s v="407-4559303-5744341"/>
    <s v="2024-01-10T08:25:08+00:00"/>
    <s v="2024-01-10T15:46:49+00:00"/>
    <s v="Shipped"/>
    <x v="0"/>
    <x v="3"/>
    <m/>
    <m/>
    <s v="Expedited"/>
    <s v="BEPER 40.490 Asciugacapelli Da Parete 2000 W - Phon da Parete con Cavo Lungo 2 Metri"/>
    <s v="40.490_FBA"/>
    <x v="26"/>
    <s v="Shipped"/>
    <n v="5"/>
    <s v="EUR"/>
    <n v="149.5"/>
    <n v="26.95"/>
    <n v="4.99"/>
    <n v="0.9"/>
    <m/>
    <m/>
    <m/>
    <m/>
    <s v="Valperga"/>
    <s v="Torino"/>
    <n v="10087"/>
    <s v="IT"/>
    <m/>
    <m/>
    <m/>
    <m/>
    <m/>
    <m/>
    <m/>
  </r>
  <r>
    <s v="407-8390609-7679528"/>
    <s v="407-8390609-7679528"/>
    <s v="2024-01-10T08:20:07+00:00"/>
    <s v="2024-01-12T00:37:0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ccolongo"/>
    <s v="Padova"/>
    <n v="35030"/>
    <s v="IT"/>
    <m/>
    <m/>
    <m/>
    <m/>
    <m/>
    <m/>
    <m/>
  </r>
  <r>
    <s v="408-7079935-0010729"/>
    <m/>
    <s v="2024-01-10T08:01:49+00:00"/>
    <s v="2024-01-11T12:18:59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Merano"/>
    <s v="Bolzano"/>
    <n v="39012"/>
    <s v="IT"/>
    <m/>
    <m/>
    <m/>
    <m/>
    <m/>
    <m/>
    <m/>
  </r>
  <r>
    <s v="403-3917418-2941106"/>
    <m/>
    <s v="2024-01-10T07:28:36+00:00"/>
    <s v="2024-01-11T11:59:2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bressanone"/>
    <s v="bolzano"/>
    <n v="39042"/>
    <s v="IT"/>
    <m/>
    <m/>
    <m/>
    <m/>
    <m/>
    <m/>
    <m/>
  </r>
  <r>
    <s v="402-5209169-7710764"/>
    <s v="402-5209169-7710764"/>
    <s v="2024-01-10T07:12:33+00:00"/>
    <s v="2024-01-11T02:22:04+00:00"/>
    <s v="Shipped"/>
    <x v="0"/>
    <x v="3"/>
    <m/>
    <m/>
    <s v="Expedited"/>
    <s v="BEPER 40.490 Asciugacapelli Da Parete 2000 W - Phon da Parete con Cavo Lungo 2 Metri"/>
    <s v="40.490_FBA"/>
    <x v="26"/>
    <s v="Shipped"/>
    <n v="2"/>
    <s v="EUR"/>
    <n v="59.8"/>
    <n v="10.78"/>
    <m/>
    <m/>
    <m/>
    <m/>
    <m/>
    <m/>
    <s v="Latina"/>
    <s v="LT"/>
    <n v="4100"/>
    <s v="IT"/>
    <m/>
    <m/>
    <m/>
    <m/>
    <m/>
    <m/>
    <m/>
  </r>
  <r>
    <s v="405-0165842-9649948"/>
    <s v="405-0165842-9649948"/>
    <s v="2024-01-10T05:41:01+00:00"/>
    <s v="2024-01-10T21:28:4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2.4900000000000002"/>
    <n v="0.45"/>
    <m/>
    <m/>
    <m/>
    <m/>
    <s v="Aymavilles"/>
    <s v="Aosta"/>
    <n v="11010"/>
    <s v="IT"/>
    <m/>
    <m/>
    <m/>
    <m/>
    <m/>
    <m/>
    <m/>
  </r>
  <r>
    <s v="407-9308864-8554756"/>
    <s v="407-9308864-8554756"/>
    <s v="2024-01-09T22:33:37+00:00"/>
    <s v="2024-01-13T02:39:0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ivitavecchia"/>
    <s v="Roma"/>
    <n v="53"/>
    <s v="IT"/>
    <m/>
    <m/>
    <m/>
    <m/>
    <m/>
    <m/>
    <m/>
  </r>
  <r>
    <s v="403-8285493-8993959"/>
    <s v="403-8285493-8993959"/>
    <s v="2024-01-09T22:22:55+00:00"/>
    <s v="2024-01-10T17:26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nteroni di Lecce"/>
    <s v="Lecce"/>
    <n v="73047"/>
    <s v="IT"/>
    <m/>
    <m/>
    <m/>
    <m/>
    <m/>
    <m/>
    <m/>
  </r>
  <r>
    <s v="405-5588114-6604364"/>
    <s v="405-5588114-6604364"/>
    <s v="2024-01-09T21:54:54+00:00"/>
    <s v="2024-01-10T01:26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27"/>
    <s v="IT"/>
    <m/>
    <m/>
    <m/>
    <m/>
    <m/>
    <m/>
    <m/>
  </r>
  <r>
    <s v="404-7575352-6021169"/>
    <m/>
    <s v="2024-01-09T21:40:16+00:00"/>
    <s v="2024-01-09T21:44:32+00:00"/>
    <s v="Cancelled"/>
    <x v="1"/>
    <x v="3"/>
    <s v="WebsiteOrderChannel"/>
    <m/>
    <s v="Standard"/>
    <s v="BEPER 90.590Y Macchina per Popcorn, Popcorn in 3 Minuti, 1200 W, Circolazione di Aria Calda, Rosso"/>
    <s v="90.590Y"/>
    <x v="2"/>
    <m/>
    <n v="0"/>
    <m/>
    <m/>
    <m/>
    <m/>
    <m/>
    <m/>
    <m/>
    <m/>
    <m/>
    <s v="Marino"/>
    <s v="Roma"/>
    <n v="47"/>
    <s v="IT"/>
    <m/>
    <m/>
    <m/>
    <m/>
    <n v="14646101007"/>
    <s v="IT"/>
    <s v="VAT"/>
  </r>
  <r>
    <s v="404-3937956-0340338"/>
    <m/>
    <s v="2024-01-09T21:38:09+00:00"/>
    <s v="2024-01-10T13:12:08+00:00"/>
    <s v="Shipped"/>
    <x v="1"/>
    <x v="3"/>
    <s v="WebsiteOrderChannel"/>
    <m/>
    <s v="Standard"/>
    <s v="BEPER C206UTI002 Monouso Set 100 Sacchetti-Copriscarpe da Casa o Lavoro, ABS, Blu, Taglia Unica, unità"/>
    <s v="C206UTI002"/>
    <x v="18"/>
    <s v="Shipped"/>
    <n v="1"/>
    <s v="EUR"/>
    <n v="18.899999999999999"/>
    <n v="3.41"/>
    <n v="3"/>
    <n v="0.54"/>
    <m/>
    <m/>
    <m/>
    <m/>
    <s v="Ostuni"/>
    <s v="Brindisi"/>
    <n v="72017"/>
    <s v="IT"/>
    <m/>
    <m/>
    <m/>
    <m/>
    <m/>
    <m/>
    <m/>
  </r>
  <r>
    <s v="403-6678998-2517963"/>
    <m/>
    <s v="2024-01-09T21:35:06+00:00"/>
    <s v="2024-01-10T12:06:26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ASCOLI PICENO"/>
    <s v="AP"/>
    <n v="63100"/>
    <s v="IT"/>
    <m/>
    <m/>
    <m/>
    <m/>
    <s v="IT02211650441"/>
    <s v="IT"/>
    <s v="VAT"/>
  </r>
  <r>
    <s v="402-3824131-7813906"/>
    <m/>
    <s v="2024-01-09T21:31:56+00:00"/>
    <s v="2024-03-10T16:08:5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m/>
    <m/>
    <m/>
    <m/>
    <m/>
    <m/>
    <m/>
    <m/>
    <m/>
    <m/>
    <m/>
  </r>
  <r>
    <s v="171-6456180-3641950"/>
    <m/>
    <s v="2024-01-09T21:26:38+00:00"/>
    <s v="2024-01-10T12:03:03+00:00"/>
    <s v="Shipped"/>
    <x v="1"/>
    <x v="3"/>
    <s v="WebsiteOrderChannel"/>
    <m/>
    <s v="Standard"/>
    <s v="BEPER BT.602H Waffle Maker con Piastre Antiaderenti, Avvolgicavo e Piedini Antiscivolo - Piastra Waffle 780 W"/>
    <s v="BT.602H"/>
    <x v="11"/>
    <s v="Shipped"/>
    <n v="1"/>
    <s v="EUR"/>
    <n v="24.9"/>
    <n v="4.49"/>
    <n v="3"/>
    <n v="0.54"/>
    <m/>
    <m/>
    <m/>
    <m/>
    <s v="Flumeri"/>
    <s v="AV"/>
    <n v="83040"/>
    <s v="IT"/>
    <m/>
    <m/>
    <m/>
    <m/>
    <m/>
    <m/>
    <m/>
  </r>
  <r>
    <s v="403-8605613-3622702"/>
    <m/>
    <s v="2024-01-09T21:24:40+00:00"/>
    <s v="2024-01-10T12:03:06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Sant'Anna Marrubiu"/>
    <s v="Oristano"/>
    <n v="9094"/>
    <s v="IT"/>
    <m/>
    <m/>
    <m/>
    <m/>
    <m/>
    <m/>
    <m/>
  </r>
  <r>
    <s v="408-7810133-7012353"/>
    <m/>
    <s v="2024-01-09T21:09:53+00:00"/>
    <s v="2024-01-11T11:15:3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Lecce"/>
    <s v="LE"/>
    <n v="73100"/>
    <s v="IT"/>
    <m/>
    <m/>
    <m/>
    <m/>
    <m/>
    <m/>
    <m/>
  </r>
  <r>
    <s v="407-9015879-5586745"/>
    <m/>
    <s v="2024-01-09T20:42:59+00:00"/>
    <s v="2024-01-10T13:12:1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AN DONATO MILANESE"/>
    <s v="Milano"/>
    <n v="20097"/>
    <s v="IT"/>
    <m/>
    <m/>
    <m/>
    <m/>
    <m/>
    <m/>
    <m/>
  </r>
  <r>
    <s v="408-7008271-2958747"/>
    <m/>
    <s v="2024-01-09T20:41:00+00:00"/>
    <s v="2024-01-10T12:33:0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ilano"/>
    <s v="Milano"/>
    <n v="20159"/>
    <s v="IT"/>
    <m/>
    <m/>
    <m/>
    <m/>
    <m/>
    <m/>
    <m/>
  </r>
  <r>
    <s v="406-2424977-7929142"/>
    <m/>
    <s v="2024-01-09T19:53:03+00:00"/>
    <s v="2024-01-10T12:03:15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29.9"/>
    <n v="5.39"/>
    <n v="3"/>
    <n v="0.54"/>
    <m/>
    <m/>
    <m/>
    <m/>
    <s v="foiano della chiana"/>
    <s v="arezzo"/>
    <n v="52045"/>
    <s v="IT"/>
    <m/>
    <m/>
    <m/>
    <m/>
    <m/>
    <m/>
    <m/>
  </r>
  <r>
    <s v="403-3687331-5166724"/>
    <s v="403-3687331-5166724"/>
    <s v="2024-01-09T18:06:58+00:00"/>
    <s v="2024-01-10T15:49:18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busseto"/>
    <s v="pr"/>
    <n v="43011"/>
    <s v="IT"/>
    <m/>
    <m/>
    <m/>
    <m/>
    <m/>
    <m/>
    <m/>
  </r>
  <r>
    <s v="403-1673712-4126765"/>
    <m/>
    <s v="2024-01-09T16:43:26+00:00"/>
    <s v="2024-01-10T13:12:08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Olgiate comasco"/>
    <s v="CO"/>
    <n v="22077"/>
    <s v="IT"/>
    <m/>
    <m/>
    <m/>
    <m/>
    <m/>
    <m/>
    <m/>
  </r>
  <r>
    <s v="406-0781814-3883566"/>
    <s v="406-0781814-3883566"/>
    <s v="2024-01-09T16:18:56+00:00"/>
    <s v="2024-01-10T06:32:5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rinzio, Italy"/>
    <s v="VA"/>
    <n v="21030"/>
    <s v="IT"/>
    <m/>
    <m/>
    <m/>
    <m/>
    <m/>
    <m/>
    <m/>
  </r>
  <r>
    <s v="407-1056670-9173941"/>
    <s v="407-1056670-9173941"/>
    <s v="2024-01-09T15:55:44+00:00"/>
    <s v="2024-01-10T06:23:00+00:00"/>
    <s v="Shipped"/>
    <x v="0"/>
    <x v="3"/>
    <m/>
    <m/>
    <s v="Expedited"/>
    <s v="BEPER BT.150Y Macchina per Hot Dog, 5 Livelli di Cottura, 750 Watt, Design Vintage, Rosso"/>
    <s v="BT.150Y_FBA"/>
    <x v="5"/>
    <s v="Shipped"/>
    <n v="1"/>
    <s v="EUR"/>
    <n v="39.9"/>
    <n v="7.2"/>
    <m/>
    <m/>
    <m/>
    <m/>
    <m/>
    <m/>
    <s v="Piove di Sacco"/>
    <s v="Padova"/>
    <n v="35028"/>
    <s v="IT"/>
    <m/>
    <m/>
    <m/>
    <m/>
    <m/>
    <m/>
    <m/>
  </r>
  <r>
    <s v="407-3990509-3036359"/>
    <s v="407-3990509-3036359"/>
    <s v="2024-01-09T14:57:08+00:00"/>
    <s v="2024-01-09T23:44:4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22"/>
    <s v="IT"/>
    <m/>
    <m/>
    <m/>
    <m/>
    <m/>
    <m/>
    <m/>
  </r>
  <r>
    <s v="171-4681150-5394754"/>
    <s v="171-4681150-5394754"/>
    <s v="2024-01-09T14:11:27+00:00"/>
    <s v="2024-01-09T19:48:1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55"/>
    <s v="IT"/>
    <m/>
    <m/>
    <m/>
    <m/>
    <m/>
    <m/>
    <m/>
  </r>
  <r>
    <s v="404-9145495-8001936"/>
    <s v="404-9145495-8001936"/>
    <s v="2024-01-09T14:01:30+00:00"/>
    <s v="2024-01-11T17:25:25+00:00"/>
    <s v="Shipped"/>
    <x v="0"/>
    <x v="3"/>
    <m/>
    <m/>
    <s v="Standar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TO"/>
    <n v="10136"/>
    <s v="IT"/>
    <s v="Free Shipping 2017/03/07 18-55-47-776"/>
    <m/>
    <m/>
    <m/>
    <m/>
    <m/>
    <m/>
  </r>
  <r>
    <s v="404-1391871-1598700"/>
    <m/>
    <s v="2024-01-09T13:54:53+00:00"/>
    <s v="2024-01-10T12:03:03+00:00"/>
    <s v="Shipped"/>
    <x v="1"/>
    <x v="3"/>
    <s v="WebsiteOrderChannel"/>
    <m/>
    <s v="Standard"/>
    <s v="BEPER C206UTI002 Monouso Set 100 Sacchetti-Copriscarpe da Casa o Lavoro, ABS, Blu, Taglia Unica, unità"/>
    <s v="C206UTI002"/>
    <x v="18"/>
    <s v="Shipped"/>
    <n v="2"/>
    <s v="EUR"/>
    <n v="37.799999999999997"/>
    <n v="6.82"/>
    <n v="6"/>
    <n v="1.08"/>
    <m/>
    <m/>
    <m/>
    <m/>
    <s v="Gallicano"/>
    <s v="LU"/>
    <n v="55027"/>
    <s v="IT"/>
    <m/>
    <m/>
    <m/>
    <m/>
    <s v="IT02445970466"/>
    <s v="IT"/>
    <s v="VAT"/>
  </r>
  <r>
    <s v="403-6770832-4662765"/>
    <m/>
    <s v="2024-01-09T13:45:03+00:00"/>
    <s v="2024-01-10T13:13:47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Sorisole"/>
    <s v="Bergamo"/>
    <n v="24010"/>
    <s v="IT"/>
    <m/>
    <m/>
    <m/>
    <m/>
    <m/>
    <m/>
    <m/>
  </r>
  <r>
    <s v="405-8325170-5458723"/>
    <s v="405-8325170-5458723"/>
    <s v="2024-01-09T13:25:47+00:00"/>
    <s v="2024-01-09T21:33:2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rato"/>
    <s v="Prato"/>
    <n v="59100"/>
    <s v="IT"/>
    <m/>
    <m/>
    <m/>
    <m/>
    <m/>
    <m/>
    <m/>
  </r>
  <r>
    <s v="402-4680326-7581912"/>
    <m/>
    <s v="2024-01-09T12:48:44+00:00"/>
    <s v="2024-01-10T12:06:20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BAGNACAVALLO"/>
    <s v="Ravenna"/>
    <n v="48012"/>
    <s v="IT"/>
    <m/>
    <m/>
    <m/>
    <m/>
    <s v="IT02491090391"/>
    <s v="IT"/>
    <s v="VAT"/>
  </r>
  <r>
    <s v="403-0396080-0485922"/>
    <s v="403-0396080-0485922"/>
    <s v="2024-01-09T12:05:34+00:00"/>
    <s v="2024-01-09T18:33:4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4"/>
    <m/>
    <m/>
    <m/>
    <m/>
    <n v="1.64"/>
    <s v="Dueville"/>
    <s v="Vicenza"/>
    <n v="36031"/>
    <s v="IT"/>
    <m/>
    <m/>
    <m/>
    <m/>
    <m/>
    <m/>
    <m/>
  </r>
  <r>
    <s v="406-4895107-3573928"/>
    <s v="406-4895107-3573928"/>
    <s v="2024-01-09T11:12:41+00:00"/>
    <s v="2024-01-10T06:24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FOEN"/>
    <s v="BL"/>
    <n v="32032"/>
    <s v="IT"/>
    <m/>
    <m/>
    <m/>
    <m/>
    <m/>
    <m/>
    <m/>
  </r>
  <r>
    <s v="406-7006420-5207516"/>
    <m/>
    <s v="2024-01-09T10:42:50+00:00"/>
    <s v="2024-01-10T13:22:21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Roma"/>
    <s v="Roma"/>
    <n v="158"/>
    <s v="IT"/>
    <m/>
    <m/>
    <m/>
    <m/>
    <s v="DCPNGL74C51Z114N"/>
    <s v="IT"/>
    <s v="CitizenId"/>
  </r>
  <r>
    <s v="403-5158228-6932316"/>
    <m/>
    <s v="2024-01-09T09:56:08+00:00"/>
    <s v="2024-01-09T09:59:52+00:00"/>
    <s v="Cancelled"/>
    <x v="1"/>
    <x v="3"/>
    <s v="WebsiteOrderChannel"/>
    <m/>
    <s v="Standard"/>
    <s v="Beper P203TFO001, Borsa acqua calda elettrica, ‎Nero, 7.5 x 25 x 16 cm"/>
    <s v="P203TFO001"/>
    <x v="14"/>
    <m/>
    <n v="0"/>
    <m/>
    <m/>
    <m/>
    <m/>
    <m/>
    <m/>
    <m/>
    <m/>
    <m/>
    <s v="Roma"/>
    <s v="Roma"/>
    <n v="199"/>
    <s v="IT"/>
    <m/>
    <m/>
    <m/>
    <m/>
    <m/>
    <m/>
    <m/>
  </r>
  <r>
    <s v="402-7123069-4589932"/>
    <s v="402-7123069-4589932"/>
    <s v="2024-01-09T09:38:52+00:00"/>
    <s v="2024-01-09T13:20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lpago"/>
    <s v="Belluno"/>
    <n v="32016"/>
    <s v="IT"/>
    <m/>
    <m/>
    <m/>
    <m/>
    <m/>
    <m/>
    <m/>
  </r>
  <r>
    <s v="402-1681806-7905123"/>
    <m/>
    <s v="2024-01-09T09:29:58+00:00"/>
    <s v="2024-01-10T12:33:0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GRIGNANO"/>
    <s v="Bergamo"/>
    <n v="24041"/>
    <s v="IT"/>
    <m/>
    <m/>
    <m/>
    <m/>
    <m/>
    <m/>
    <m/>
  </r>
  <r>
    <s v="403-0919254-4265920"/>
    <s v="403-0919254-4265920"/>
    <s v="2024-01-09T09:03:55+00:00"/>
    <s v="2024-01-09T16:33:1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ilano"/>
    <s v="MI"/>
    <n v="20151"/>
    <s v="IT"/>
    <m/>
    <m/>
    <m/>
    <m/>
    <m/>
    <m/>
    <m/>
  </r>
  <r>
    <s v="405-6787881-9707549"/>
    <s v="405-6787881-9707549"/>
    <s v="2024-01-09T08:23:38+00:00"/>
    <s v="2024-01-09T23:25:08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Roma"/>
    <s v="RM"/>
    <n v="154"/>
    <s v="IT"/>
    <m/>
    <m/>
    <m/>
    <m/>
    <m/>
    <m/>
    <m/>
  </r>
  <r>
    <s v="402-0730929-4489902"/>
    <s v="402-0730929-4489902"/>
    <s v="2024-01-08T23:55:29+00:00"/>
    <s v="2024-01-10T02:21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IO SALICETO"/>
    <s v="Reggio Emilia"/>
    <n v="42010"/>
    <s v="IT"/>
    <m/>
    <m/>
    <m/>
    <m/>
    <m/>
    <m/>
    <m/>
  </r>
  <r>
    <s v="404-9726585-6564364"/>
    <s v="404-9726585-6564364"/>
    <s v="2024-01-08T23:48:31+00:00"/>
    <s v="2024-01-09T20:32:3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gaggiano"/>
    <s v="Milano"/>
    <n v="20083"/>
    <s v="IT"/>
    <m/>
    <m/>
    <m/>
    <m/>
    <m/>
    <m/>
    <m/>
  </r>
  <r>
    <s v="404-6934103-9856369"/>
    <s v="404-6934103-9856369"/>
    <s v="2024-01-08T22:16:54+00:00"/>
    <s v="2024-01-09T09:16:2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REMONA"/>
    <m/>
    <n v="26100"/>
    <s v="IT"/>
    <m/>
    <m/>
    <m/>
    <m/>
    <m/>
    <m/>
    <m/>
  </r>
  <r>
    <s v="402-1358588-9433148"/>
    <m/>
    <s v="2024-01-08T21:23:11+00:00"/>
    <s v="2024-01-09T09:31:49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ARCENE"/>
    <s v="Bergamo"/>
    <n v="24040"/>
    <s v="IT"/>
    <m/>
    <m/>
    <m/>
    <m/>
    <m/>
    <m/>
    <m/>
  </r>
  <r>
    <s v="403-7656596-2017167"/>
    <m/>
    <s v="2024-01-08T21:17:18+00:00"/>
    <s v="2024-01-09T09:01:51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Terni"/>
    <s v="TR"/>
    <n v="5100"/>
    <s v="IT"/>
    <m/>
    <m/>
    <m/>
    <m/>
    <m/>
    <m/>
    <m/>
  </r>
  <r>
    <s v="404-9498243-3932333"/>
    <s v="404-9498243-3932333"/>
    <s v="2024-01-08T21:13:59+00:00"/>
    <s v="2024-01-09T03:29:3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Giorgio delle Pertiche"/>
    <s v="PD"/>
    <n v="35010"/>
    <s v="IT"/>
    <m/>
    <m/>
    <m/>
    <m/>
    <m/>
    <m/>
    <m/>
  </r>
  <r>
    <s v="404-8939411-1106743"/>
    <s v="404-8939411-1106743"/>
    <s v="2024-01-08T21:01:53+00:00"/>
    <s v="2024-01-09T03:29:5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pinea"/>
    <s v="Venezia"/>
    <n v="30038"/>
    <s v="IT"/>
    <m/>
    <m/>
    <m/>
    <m/>
    <m/>
    <m/>
    <m/>
  </r>
  <r>
    <s v="405-7676774-7417163"/>
    <s v="405-7676774-7417163"/>
    <s v="2024-01-08T20:10:00+00:00"/>
    <s v="2024-01-11T15:57:29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3"/>
    <m/>
    <m/>
    <m/>
    <m/>
    <n v="1.63"/>
    <s v="Borgo Virgilio"/>
    <s v="Mantova"/>
    <n v="46034"/>
    <s v="IT"/>
    <m/>
    <m/>
    <m/>
    <m/>
    <m/>
    <m/>
    <m/>
  </r>
  <r>
    <s v="404-5591043-3970760"/>
    <s v="404-5591043-3970760"/>
    <s v="2024-01-08T19:53:29+00:00"/>
    <s v="2024-01-09T17:39:07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m/>
    <m/>
    <m/>
    <m/>
    <m/>
    <m/>
    <s v="Castions Di Strada"/>
    <s v="UD"/>
    <n v="33050"/>
    <s v="IT"/>
    <m/>
    <m/>
    <m/>
    <m/>
    <m/>
    <m/>
    <m/>
  </r>
  <r>
    <s v="171-7972498-4016314"/>
    <m/>
    <s v="2024-01-08T19:35:15+00:00"/>
    <s v="2024-01-09T10:10:5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Roma"/>
    <s v="RM"/>
    <n v="165"/>
    <s v="IT"/>
    <m/>
    <m/>
    <m/>
    <m/>
    <m/>
    <m/>
    <m/>
  </r>
  <r>
    <s v="403-1319292-5509947"/>
    <m/>
    <s v="2024-01-08T18:43:13+00:00"/>
    <s v="2024-01-09T10:10:54+00:00"/>
    <s v="Shipped"/>
    <x v="1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s v="BF.640"/>
    <x v="6"/>
    <s v="Shipped"/>
    <n v="1"/>
    <s v="EUR"/>
    <n v="79.900000000000006"/>
    <n v="14.41"/>
    <n v="3"/>
    <n v="0.54"/>
    <m/>
    <m/>
    <m/>
    <m/>
    <s v="SACCA"/>
    <s v="Brescia"/>
    <n v="25040"/>
    <s v="IT"/>
    <m/>
    <m/>
    <m/>
    <m/>
    <m/>
    <m/>
    <m/>
  </r>
  <r>
    <s v="405-2840999-5683555"/>
    <s v="405-2840999-5683555"/>
    <s v="2024-01-08T18:10:31+00:00"/>
    <s v="2024-01-08T20:27:57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Napoli"/>
    <s v="NA"/>
    <n v="80131"/>
    <s v="IT"/>
    <m/>
    <m/>
    <m/>
    <m/>
    <s v="NGLGTN74A21F839F"/>
    <s v="IT"/>
    <s v="CitizenId"/>
  </r>
  <r>
    <s v="407-7308906-2342753"/>
    <m/>
    <s v="2024-01-08T18:07:27+00:00"/>
    <s v="2024-01-09T10:10:5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piana degli albanesi"/>
    <s v="Palermo"/>
    <n v="90037"/>
    <s v="IT"/>
    <m/>
    <m/>
    <m/>
    <m/>
    <m/>
    <m/>
    <m/>
  </r>
  <r>
    <s v="402-1413884-1922720"/>
    <s v="402-1413884-1922720"/>
    <s v="2024-01-08T17:35:54+00:00"/>
    <s v="2024-01-09T09:26:5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Zogno"/>
    <s v="BG"/>
    <n v="24019"/>
    <s v="IT"/>
    <m/>
    <m/>
    <m/>
    <m/>
    <m/>
    <m/>
    <m/>
  </r>
  <r>
    <s v="405-5583606-2301168"/>
    <s v="405-5583606-2301168"/>
    <s v="2024-01-08T16:52:22+00:00"/>
    <s v="2024-01-09T03:28:0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VALLINO - TREPOTI"/>
    <s v="VE"/>
    <n v="30013"/>
    <s v="IT"/>
    <m/>
    <m/>
    <m/>
    <m/>
    <m/>
    <m/>
    <m/>
  </r>
  <r>
    <s v="407-4416469-3269116"/>
    <m/>
    <s v="2024-01-08T16:17:03+00:00"/>
    <s v="2024-01-09T10:11:0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Udine"/>
    <s v="Ud"/>
    <n v="33100"/>
    <s v="IT"/>
    <m/>
    <m/>
    <m/>
    <m/>
    <m/>
    <m/>
    <m/>
  </r>
  <r>
    <s v="408-0400012-0984307"/>
    <m/>
    <s v="2024-01-08T16:08:52+00:00"/>
    <s v="2024-01-09T10:21:59+00:00"/>
    <s v="Shipped"/>
    <x v="1"/>
    <x v="3"/>
    <s v="WebsiteOrderChannel"/>
    <m/>
    <s v="Standard"/>
    <s v="BEPER C206UTI002 Monouso Set 100 Sacchetti-Copriscarpe da Casa o Lavoro, ABS, Blu, Taglia Unica, unità"/>
    <s v="C206UTI002"/>
    <x v="18"/>
    <s v="Shipped"/>
    <n v="1"/>
    <s v="EUR"/>
    <n v="18.899999999999999"/>
    <n v="3.41"/>
    <n v="3"/>
    <n v="0.54"/>
    <m/>
    <m/>
    <m/>
    <m/>
    <s v="Varese"/>
    <s v="Varese"/>
    <n v="21100"/>
    <s v="IT"/>
    <m/>
    <m/>
    <m/>
    <m/>
    <m/>
    <m/>
    <m/>
  </r>
  <r>
    <s v="403-1469341-5654739"/>
    <s v="403-1469341-5654739"/>
    <s v="2024-01-08T15:56:32+00:00"/>
    <s v="2024-01-09T01:25:0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ariano"/>
    <s v="Roma"/>
    <n v="76"/>
    <s v="IT"/>
    <m/>
    <m/>
    <m/>
    <m/>
    <m/>
    <m/>
    <m/>
  </r>
  <r>
    <s v="406-0915025-3755527"/>
    <s v="406-0915025-3755527"/>
    <s v="2024-01-08T15:53:56+00:00"/>
    <s v="2024-01-08T20:28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vellino"/>
    <s v="Avellino"/>
    <n v="83100"/>
    <s v="IT"/>
    <m/>
    <m/>
    <m/>
    <m/>
    <m/>
    <m/>
    <m/>
  </r>
  <r>
    <s v="171-8476309-3130724"/>
    <m/>
    <s v="2024-01-08T15:48:29+00:00"/>
    <s v="2024-01-09T10:21:12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San Martino Di Venezze"/>
    <s v="Rovigo"/>
    <n v="45030"/>
    <s v="IT"/>
    <m/>
    <m/>
    <m/>
    <m/>
    <m/>
    <m/>
    <m/>
  </r>
  <r>
    <s v="402-0513933-7028345"/>
    <s v="402-0513933-7028345"/>
    <s v="2024-01-08T15:46:35+00:00"/>
    <s v="2024-01-08T18:18:21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n v="4.99"/>
    <n v="0.9"/>
    <m/>
    <m/>
    <m/>
    <m/>
    <s v="Reggio Calabria"/>
    <s v="Reggio Calabria"/>
    <n v="89134"/>
    <s v="IT"/>
    <m/>
    <m/>
    <m/>
    <m/>
    <m/>
    <m/>
    <m/>
  </r>
  <r>
    <s v="402-7593096-4761953"/>
    <s v="402-7593096-4761953"/>
    <s v="2024-01-08T15:27:25+00:00"/>
    <s v="2024-01-08T18:14:1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ussi sul Tirino"/>
    <s v="Pescara"/>
    <n v="65022"/>
    <s v="IT"/>
    <m/>
    <m/>
    <m/>
    <m/>
    <m/>
    <m/>
    <m/>
  </r>
  <r>
    <s v="171-2126567-7365126"/>
    <s v="171-2126567-7365126"/>
    <s v="2024-01-08T15:19:19+00:00"/>
    <s v="2024-01-09T09:20:0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equile"/>
    <s v="Lecce"/>
    <n v="73010"/>
    <s v="IT"/>
    <m/>
    <m/>
    <m/>
    <m/>
    <m/>
    <m/>
    <m/>
  </r>
  <r>
    <s v="408-7196934-3164357"/>
    <s v="408-7196934-3164357"/>
    <s v="2024-01-08T15:13:14+00:00"/>
    <s v="2024-01-10T04:37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Fusignano"/>
    <s v="RA"/>
    <n v="48034"/>
    <s v="IT"/>
    <m/>
    <m/>
    <m/>
    <m/>
    <m/>
    <m/>
    <m/>
  </r>
  <r>
    <s v="408-6871628-7610734"/>
    <m/>
    <s v="2024-01-08T15:09:38+00:00"/>
    <s v="2024-01-09T20:58:04+00:00"/>
    <s v="Shipped"/>
    <x v="1"/>
    <x v="3"/>
    <s v="WebsiteOrderChannel"/>
    <m/>
    <s v="Standard"/>
    <s v="Beper - Piastra per Waffle, Cialdiera, 5 Waffle Alla Volta, Piastra Antiaderente 18cm, 800-100W - Rosso/Bianco"/>
    <s v="BT.603Y"/>
    <x v="15"/>
    <s v="Shipped"/>
    <n v="1"/>
    <s v="EUR"/>
    <n v="34.9"/>
    <n v="6.29"/>
    <n v="3"/>
    <n v="0.54"/>
    <m/>
    <m/>
    <m/>
    <m/>
    <s v="Silanus"/>
    <s v="Nuoro"/>
    <n v="8017"/>
    <s v="IT"/>
    <m/>
    <m/>
    <m/>
    <m/>
    <m/>
    <m/>
    <m/>
  </r>
  <r>
    <s v="402-3887225-4342733"/>
    <m/>
    <s v="2024-01-08T15:07:26+00:00"/>
    <s v="2024-01-09T10:10:5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Roma"/>
    <s v="RM"/>
    <n v="156"/>
    <s v="IT"/>
    <m/>
    <m/>
    <m/>
    <m/>
    <m/>
    <m/>
    <m/>
  </r>
  <r>
    <s v="407-5759673-4783500"/>
    <m/>
    <s v="2024-01-08T14:45:55+00:00"/>
    <s v="2024-01-09T10:10:5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Udine"/>
    <s v="Ud"/>
    <n v="33100"/>
    <s v="IT"/>
    <m/>
    <m/>
    <m/>
    <m/>
    <m/>
    <m/>
    <m/>
  </r>
  <r>
    <s v="403-8579456-6397959"/>
    <s v="403-8579456-6397959"/>
    <s v="2024-01-08T14:12:48+00:00"/>
    <s v="2024-01-11T18:26:17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2"/>
    <s v="EUR"/>
    <n v="49.8"/>
    <n v="8.98"/>
    <n v="3.27"/>
    <m/>
    <m/>
    <m/>
    <m/>
    <n v="3.27"/>
    <s v="PRATOVECCHIO"/>
    <s v="Arezzo"/>
    <n v="52015"/>
    <s v="IT"/>
    <m/>
    <m/>
    <m/>
    <m/>
    <m/>
    <m/>
    <m/>
  </r>
  <r>
    <s v="402-1763403-3177110"/>
    <m/>
    <s v="2024-01-08T13:28:50+00:00"/>
    <s v="2024-01-09T09:12:1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Milano"/>
    <s v="Milano"/>
    <n v="20145"/>
    <s v="IT"/>
    <m/>
    <m/>
    <m/>
    <m/>
    <m/>
    <m/>
    <m/>
  </r>
  <r>
    <s v="403-7612818-2437139"/>
    <m/>
    <s v="2024-01-08T12:45:57+00:00"/>
    <s v="2024-01-09T09:01:46+00:00"/>
    <s v="Shipped"/>
    <x v="1"/>
    <x v="3"/>
    <s v="WebsiteOrderChannel"/>
    <m/>
    <s v="Standard"/>
    <s v="BEPER P202VAL001 Scopa a Vapore e Pulitore a Vapore Completo di 10 Accessori per Tappeti, Divani, Pavimenti, Superfici"/>
    <s v="P202VAL001"/>
    <x v="34"/>
    <s v="Shipped"/>
    <n v="1"/>
    <s v="EUR"/>
    <n v="69.900000000000006"/>
    <n v="12.6"/>
    <n v="3"/>
    <n v="0.54"/>
    <m/>
    <m/>
    <m/>
    <m/>
    <s v="Vecchiano"/>
    <s v="Pisa"/>
    <n v="56019"/>
    <s v="IT"/>
    <m/>
    <m/>
    <m/>
    <m/>
    <m/>
    <m/>
    <m/>
  </r>
  <r>
    <s v="171-3905954-2613153"/>
    <s v="171-3905954-2613153"/>
    <s v="2024-01-08T12:44:56+00:00"/>
    <s v="2024-01-08T20:35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RDEA"/>
    <s v="RM"/>
    <n v="40"/>
    <s v="IT"/>
    <m/>
    <m/>
    <m/>
    <m/>
    <m/>
    <m/>
    <m/>
  </r>
  <r>
    <s v="403-2206350-8429147"/>
    <s v="403-2206350-8429147"/>
    <s v="2024-01-08T12:38:26+00:00"/>
    <s v="2024-01-08T12:43:36+00:00"/>
    <s v="Cancelled"/>
    <x v="0"/>
    <x v="3"/>
    <m/>
    <m/>
    <s v="Expedited"/>
    <s v="BEPER P201UTP200 Fontana Zen con Luce Led Rilassante - Fontana Zen da Interno a Cascata, Nero/Resina, Piccolo"/>
    <s v="P201UTP200_FBA"/>
    <x v="32"/>
    <s v="Cancelled"/>
    <n v="0"/>
    <m/>
    <m/>
    <m/>
    <m/>
    <m/>
    <m/>
    <m/>
    <m/>
    <m/>
    <s v="Bibbiena"/>
    <s v="Arezzo"/>
    <n v="52011"/>
    <s v="IT"/>
    <m/>
    <m/>
    <m/>
    <m/>
    <m/>
    <m/>
    <m/>
  </r>
  <r>
    <s v="403-2189645-3606721"/>
    <s v="403-2189645-3606721"/>
    <s v="2024-01-08T12:06:00+00:00"/>
    <s v="2024-01-09T15:46:1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Brescia"/>
    <s v="Brescia"/>
    <n v="25124"/>
    <s v="IT"/>
    <m/>
    <m/>
    <m/>
    <m/>
    <m/>
    <m/>
    <m/>
  </r>
  <r>
    <s v="402-2180069-9554733"/>
    <m/>
    <s v="2024-01-08T11:38:55+00:00"/>
    <s v="2024-01-09T10:10:51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Capoterra"/>
    <s v="Cagliari"/>
    <n v="9012"/>
    <s v="IT"/>
    <m/>
    <m/>
    <m/>
    <m/>
    <m/>
    <m/>
    <m/>
  </r>
  <r>
    <s v="407-3208497-1890712"/>
    <m/>
    <s v="2024-01-08T11:08:10+00:00"/>
    <s v="2024-01-09T09:31:49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Pulsano"/>
    <s v="Taranto"/>
    <n v="74026"/>
    <s v="IT"/>
    <m/>
    <m/>
    <m/>
    <m/>
    <m/>
    <m/>
    <m/>
  </r>
  <r>
    <s v="408-1859684-3037134"/>
    <s v="408-1859684-3037134"/>
    <s v="2024-01-08T09:42:51+00:00"/>
    <s v="2024-01-09T18:03:4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Olgiate Comasco"/>
    <s v="como"/>
    <n v="22077"/>
    <s v="IT"/>
    <m/>
    <m/>
    <m/>
    <m/>
    <m/>
    <m/>
    <m/>
  </r>
  <r>
    <s v="403-3706701-9740362"/>
    <s v="403-3706701-9740362"/>
    <s v="2024-01-08T09:13:59+00:00"/>
    <s v="2024-01-08T19:31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Olevano romano"/>
    <s v="Roma"/>
    <n v="35"/>
    <s v="IT"/>
    <m/>
    <m/>
    <m/>
    <m/>
    <m/>
    <m/>
    <m/>
  </r>
  <r>
    <s v="402-5540219-8548353"/>
    <s v="402-5540219-8548353"/>
    <s v="2024-01-08T09:06:55+00:00"/>
    <s v="2024-01-09T05:15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ontjovet"/>
    <s v="Aosta"/>
    <n v="11020"/>
    <s v="IT"/>
    <m/>
    <m/>
    <m/>
    <m/>
    <m/>
    <m/>
    <m/>
  </r>
  <r>
    <s v="406-4696007-5387522"/>
    <m/>
    <s v="2024-01-08T08:13:55+00:00"/>
    <s v="2024-01-09T09:31:50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Monza"/>
    <s v="MB"/>
    <n v="20900"/>
    <s v="IT"/>
    <m/>
    <m/>
    <m/>
    <m/>
    <m/>
    <m/>
    <m/>
  </r>
  <r>
    <s v="404-6655956-5391526"/>
    <m/>
    <s v="2024-01-08T08:00:50+00:00"/>
    <s v="2024-01-09T09:42:4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olonnella"/>
    <s v="Teramo"/>
    <n v="64010"/>
    <s v="IT"/>
    <m/>
    <m/>
    <m/>
    <m/>
    <m/>
    <m/>
    <m/>
  </r>
  <r>
    <s v="404-5487996-3893147"/>
    <s v="404-5487996-3893147"/>
    <s v="2024-01-08T07:44:06+00:00"/>
    <s v="2024-01-08T18:16:39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ROMA"/>
    <s v="RM"/>
    <n v="141"/>
    <s v="IT"/>
    <m/>
    <m/>
    <m/>
    <m/>
    <m/>
    <m/>
    <m/>
  </r>
  <r>
    <s v="407-2266530-2669105"/>
    <m/>
    <s v="2024-01-08T06:33:48+00:00"/>
    <s v="2024-01-08T07:58:48+00:00"/>
    <s v="Cancelled"/>
    <x v="1"/>
    <x v="3"/>
    <s v="WebsiteOrderChannel"/>
    <m/>
    <s v="Standard"/>
    <s v="Beper P203TFO001, Borsa acqua calda elettrica, ‎Nero, 7.5 x 25 x 16 cm"/>
    <s v="P203TFO001"/>
    <x v="14"/>
    <m/>
    <n v="0"/>
    <m/>
    <m/>
    <m/>
    <m/>
    <m/>
    <m/>
    <m/>
    <m/>
    <m/>
    <s v="Quartucciu"/>
    <s v="Cagliari"/>
    <n v="9044"/>
    <s v="IT"/>
    <m/>
    <m/>
    <m/>
    <m/>
    <m/>
    <m/>
    <m/>
  </r>
  <r>
    <s v="407-6935023-6277132"/>
    <m/>
    <s v="2024-01-07T21:06:31+00:00"/>
    <s v="2024-01-08T15:45:0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Enna"/>
    <s v="EN"/>
    <n v="94100"/>
    <s v="IT"/>
    <m/>
    <m/>
    <m/>
    <m/>
    <s v="IT01305340869"/>
    <s v="IT"/>
    <s v="VAT"/>
  </r>
  <r>
    <s v="171-2391050-9986760"/>
    <m/>
    <s v="2024-01-07T20:46:47+00:00"/>
    <s v="2024-01-08T15:51:31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32.9"/>
    <n v="5.93"/>
    <n v="3"/>
    <n v="0.54"/>
    <m/>
    <m/>
    <m/>
    <m/>
    <s v="FONTANELLATO"/>
    <s v="Parma"/>
    <n v="43012"/>
    <s v="IT"/>
    <m/>
    <m/>
    <m/>
    <m/>
    <m/>
    <m/>
    <m/>
  </r>
  <r>
    <s v="406-5827639-1961142"/>
    <s v="406-5827639-1961142"/>
    <s v="2024-01-07T20:30:07+00:00"/>
    <s v="2024-01-08T18:15:2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N SEVERO"/>
    <s v="FG"/>
    <n v="71016"/>
    <s v="IT"/>
    <m/>
    <m/>
    <m/>
    <m/>
    <m/>
    <m/>
    <m/>
  </r>
  <r>
    <s v="405-0430015-8983548"/>
    <m/>
    <s v="2024-01-07T20:23:15+00:00"/>
    <s v="2024-01-08T16:54:04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n v="3"/>
    <n v="0.54"/>
    <m/>
    <m/>
    <m/>
    <m/>
    <s v="VILLA ADRIANA"/>
    <s v="Roma"/>
    <n v="19"/>
    <s v="IT"/>
    <m/>
    <m/>
    <m/>
    <m/>
    <m/>
    <m/>
    <m/>
  </r>
  <r>
    <s v="171-9114296-6510717"/>
    <s v="171-9114296-6510717"/>
    <s v="2024-01-07T20:21:21+00:00"/>
    <s v="2024-01-10T19:12:2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ACQUAVIVA DELLE FONTI"/>
    <m/>
    <n v="70021"/>
    <s v="IT"/>
    <m/>
    <m/>
    <m/>
    <m/>
    <m/>
    <m/>
    <m/>
  </r>
  <r>
    <s v="408-0990314-5205152"/>
    <m/>
    <s v="2024-01-07T20:07:23+00:00"/>
    <s v="2024-01-16T09:15:17+00:00"/>
    <s v="Shipped"/>
    <x v="1"/>
    <x v="3"/>
    <s v="WebsiteOrderChannel"/>
    <m/>
    <s v="Standard"/>
    <s v="Beper 50.161 Ferro da Stiro Cordless, Ferro da stiro Senza Fili, Dispositivo di Auto-pulizia, Anti-calcare, Anti-goccia, Colpo Super Vapore, Stirare in Verticale Bianco/Ottanio"/>
    <n v="50161"/>
    <x v="33"/>
    <s v="Shipped"/>
    <n v="1"/>
    <s v="EUR"/>
    <n v="49.9"/>
    <n v="9"/>
    <n v="3"/>
    <n v="0.54"/>
    <m/>
    <m/>
    <m/>
    <m/>
    <s v="RIVALTA DI TORINO"/>
    <s v="Torino"/>
    <n v="10040"/>
    <s v="IT"/>
    <m/>
    <m/>
    <m/>
    <m/>
    <m/>
    <m/>
    <m/>
  </r>
  <r>
    <s v="407-1175743-6617116"/>
    <m/>
    <s v="2024-01-07T19:49:01+00:00"/>
    <s v="2024-01-08T16:56:16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32.9"/>
    <n v="5.93"/>
    <n v="3"/>
    <n v="0.54"/>
    <m/>
    <m/>
    <m/>
    <m/>
    <s v="BIVIGLIANO"/>
    <s v="Firenze"/>
    <n v="50036"/>
    <s v="IT"/>
    <m/>
    <m/>
    <m/>
    <m/>
    <m/>
    <m/>
    <m/>
  </r>
  <r>
    <s v="406-5082480-2438710"/>
    <s v="406-5082480-2438710"/>
    <s v="2024-01-07T19:47:33+00:00"/>
    <s v="2024-01-09T21:10:1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ologna"/>
    <s v="Bologna"/>
    <n v="40137"/>
    <s v="IT"/>
    <m/>
    <m/>
    <m/>
    <m/>
    <m/>
    <m/>
    <m/>
  </r>
  <r>
    <s v="402-4404021-3836353"/>
    <s v="402-4404021-3836353"/>
    <s v="2024-01-07T18:21:53+00:00"/>
    <s v="2024-01-08T11:14:45+00:00"/>
    <s v="Shipped"/>
    <x v="0"/>
    <x v="3"/>
    <m/>
    <m/>
    <s v="Expedited"/>
    <s v="BEPER 40.490 Asciugacapelli Da Parete 2000 W - Phon da Parete con Cavo Lungo 2 Metri"/>
    <s v="40.490_FBA"/>
    <x v="26"/>
    <s v="Shipped"/>
    <n v="4"/>
    <s v="EUR"/>
    <n v="119.6"/>
    <n v="21.56"/>
    <n v="2"/>
    <n v="0.36"/>
    <m/>
    <m/>
    <m/>
    <m/>
    <s v="PALERMO"/>
    <s v="Palermo"/>
    <n v="90146"/>
    <s v="IT"/>
    <m/>
    <m/>
    <m/>
    <m/>
    <s v="IT04750550826"/>
    <s v="IT"/>
    <s v="VAT"/>
  </r>
  <r>
    <s v="403-4554907-0676324"/>
    <m/>
    <s v="2024-01-07T18:19:09+00:00"/>
    <s v="2024-01-08T19:00:56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Olbia"/>
    <s v="SS"/>
    <n v="7026"/>
    <s v="IT"/>
    <m/>
    <m/>
    <m/>
    <m/>
    <m/>
    <m/>
    <m/>
  </r>
  <r>
    <s v="171-4755063-7255532"/>
    <m/>
    <s v="2024-01-07T18:12:59+00:00"/>
    <s v="2024-01-08T16:54:05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Villadossola"/>
    <s v="Verbano-Cusio-Ossola"/>
    <n v="28844"/>
    <s v="IT"/>
    <m/>
    <m/>
    <m/>
    <m/>
    <m/>
    <m/>
    <m/>
  </r>
  <r>
    <s v="407-6989101-8974763"/>
    <s v="407-6989101-8974763"/>
    <s v="2024-01-07T17:33:39+00:00"/>
    <s v="2024-01-10T19:32:22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PALERMO"/>
    <s v="PA"/>
    <n v="90143"/>
    <s v="IT"/>
    <m/>
    <m/>
    <m/>
    <m/>
    <m/>
    <m/>
    <m/>
  </r>
  <r>
    <s v="402-9052540-6114754"/>
    <s v="402-9052540-6114754"/>
    <s v="2024-01-07T16:53:19+00:00"/>
    <s v="2024-01-07T21:40:30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budrio loc. vedrana"/>
    <s v="bo"/>
    <n v="40054"/>
    <s v="IT"/>
    <m/>
    <m/>
    <m/>
    <m/>
    <m/>
    <m/>
    <m/>
  </r>
  <r>
    <s v="171-6552656-7071525"/>
    <m/>
    <s v="2024-01-07T16:37:28+00:00"/>
    <s v="2024-01-08T16:54:04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32.9"/>
    <n v="5.93"/>
    <n v="3"/>
    <n v="0.54"/>
    <m/>
    <m/>
    <m/>
    <m/>
    <s v="Fucecchio"/>
    <s v="Firenze"/>
    <n v="50054"/>
    <s v="IT"/>
    <m/>
    <m/>
    <m/>
    <m/>
    <m/>
    <m/>
    <m/>
  </r>
  <r>
    <s v="171-4720717-5243541"/>
    <m/>
    <s v="2024-01-07T15:53:13+00:00"/>
    <s v="2024-01-08T15:45:0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San Pietro in casale"/>
    <s v="Bologna"/>
    <n v="40018"/>
    <s v="IT"/>
    <m/>
    <m/>
    <m/>
    <m/>
    <m/>
    <m/>
    <m/>
  </r>
  <r>
    <s v="407-4972583-3390728"/>
    <m/>
    <s v="2024-01-07T15:30:22+00:00"/>
    <s v="2024-01-08T15:56:33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VALROVINA"/>
    <s v="Vicenza"/>
    <n v="36061"/>
    <s v="IT"/>
    <m/>
    <m/>
    <m/>
    <m/>
    <m/>
    <m/>
    <m/>
  </r>
  <r>
    <s v="405-8507233-5627566"/>
    <s v="405-8507233-5627566"/>
    <s v="2024-01-07T14:57:54+00:00"/>
    <s v="2024-01-08T07:52:2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GLIARI"/>
    <m/>
    <n v="9127"/>
    <s v="IT"/>
    <m/>
    <m/>
    <m/>
    <m/>
    <m/>
    <m/>
    <m/>
  </r>
  <r>
    <s v="405-1959432-5870748"/>
    <m/>
    <s v="2024-01-07T13:31:52+00:00"/>
    <s v="2024-01-08T16:54:07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Rome"/>
    <s v="Italy"/>
    <n v="191"/>
    <s v="IT"/>
    <m/>
    <m/>
    <m/>
    <m/>
    <m/>
    <m/>
    <m/>
  </r>
  <r>
    <s v="171-1526288-0333163"/>
    <s v="171-1526288-0333163"/>
    <s v="2024-01-07T13:23:05+00:00"/>
    <s v="2024-01-07T20:33:3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astra a Signa"/>
    <s v="Firenze"/>
    <n v="50055"/>
    <s v="IT"/>
    <m/>
    <m/>
    <m/>
    <m/>
    <m/>
    <m/>
    <m/>
  </r>
  <r>
    <s v="403-0972418-3013962"/>
    <m/>
    <s v="2024-01-07T12:45:03+00:00"/>
    <s v="2024-01-08T16:54:03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Napoli"/>
    <s v="Napoli"/>
    <n v="80142"/>
    <s v="IT"/>
    <m/>
    <m/>
    <m/>
    <m/>
    <m/>
    <m/>
    <m/>
  </r>
  <r>
    <s v="405-6653973-6573129"/>
    <s v="405-6653973-6573129"/>
    <s v="2024-01-07T11:44:48+00:00"/>
    <s v="2024-01-07T18:21:1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a Spezia"/>
    <s v="SP"/>
    <n v="19126"/>
    <s v="IT"/>
    <m/>
    <m/>
    <m/>
    <m/>
    <m/>
    <m/>
    <m/>
  </r>
  <r>
    <s v="405-8425535-6904313"/>
    <s v="405-8425535-6904313"/>
    <s v="2024-01-07T11:33:15+00:00"/>
    <s v="2024-01-08T16:18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Saronno"/>
    <s v="Varese"/>
    <n v="21047"/>
    <s v="IT"/>
    <m/>
    <m/>
    <m/>
    <m/>
    <m/>
    <m/>
    <m/>
  </r>
  <r>
    <s v="407-5121947-9731567"/>
    <m/>
    <s v="2024-01-07T10:18:03+00:00"/>
    <s v="2024-01-08T16:25:5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Amalfi"/>
    <s v="Salerno"/>
    <n v="84011"/>
    <s v="IT"/>
    <m/>
    <m/>
    <m/>
    <m/>
    <m/>
    <m/>
    <m/>
  </r>
  <r>
    <s v="404-6331382-5859508"/>
    <s v="404-6331382-5859508"/>
    <s v="2024-01-07T09:40:33+00:00"/>
    <s v="2024-01-08T00:29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57"/>
    <s v="IT"/>
    <m/>
    <m/>
    <m/>
    <m/>
    <m/>
    <m/>
    <m/>
  </r>
  <r>
    <s v="408-2644428-6819502"/>
    <m/>
    <s v="2024-01-07T09:29:49+00:00"/>
    <s v="2024-01-08T16:54:0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L'Aquila"/>
    <s v="L'Aquila"/>
    <n v="67100"/>
    <s v="IT"/>
    <m/>
    <m/>
    <m/>
    <m/>
    <m/>
    <m/>
    <m/>
  </r>
  <r>
    <s v="405-8802712-4401126"/>
    <s v="405-8802712-4401126"/>
    <s v="2024-01-07T08:16:16+00:00"/>
    <s v="2024-01-08T07:22:34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63"/>
    <m/>
    <m/>
    <m/>
    <m/>
    <n v="1.63"/>
    <s v="BETTOLA DI POZZO D'ADDA"/>
    <s v="MI"/>
    <n v="20060"/>
    <s v="IT"/>
    <m/>
    <m/>
    <m/>
    <m/>
    <m/>
    <m/>
    <m/>
  </r>
  <r>
    <s v="406-8467109-5995535"/>
    <s v="406-8467109-5995535"/>
    <s v="2024-01-07T04:32:15+00:00"/>
    <s v="2024-01-14T11:34:1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1.95"/>
    <m/>
    <m/>
    <m/>
    <m/>
    <n v="1.95"/>
    <s v="Lamezia Terme"/>
    <s v="Catanzaro"/>
    <n v="88046"/>
    <s v="IT"/>
    <m/>
    <m/>
    <m/>
    <m/>
    <m/>
    <m/>
    <m/>
  </r>
  <r>
    <s v="408-6527970-5373108"/>
    <s v="408-6527970-5373108"/>
    <s v="2024-01-06T22:33:12+00:00"/>
    <s v="2024-01-07T18:20:2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mbiate"/>
    <s v="MB"/>
    <n v="20812"/>
    <s v="IT"/>
    <m/>
    <m/>
    <m/>
    <m/>
    <m/>
    <m/>
    <m/>
  </r>
  <r>
    <s v="407-8074610-2921125"/>
    <s v="407-8074610-2921125"/>
    <s v="2024-01-06T21:54:40+00:00"/>
    <s v="2024-01-09T20:31:3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Firenze"/>
    <s v="Firenze"/>
    <n v="50142"/>
    <s v="IT"/>
    <m/>
    <m/>
    <m/>
    <m/>
    <m/>
    <m/>
    <m/>
  </r>
  <r>
    <s v="171-1964951-4009909"/>
    <m/>
    <s v="2024-01-06T21:32:42+00:00"/>
    <s v="2024-01-08T16:55:05+00:00"/>
    <s v="Shipped"/>
    <x v="1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4"/>
    <s v="Shipped"/>
    <n v="1"/>
    <s v="EUR"/>
    <n v="39.9"/>
    <n v="7.2"/>
    <n v="3"/>
    <n v="0.54"/>
    <m/>
    <m/>
    <m/>
    <m/>
    <s v="Potenza Picena"/>
    <s v="Macerata"/>
    <n v="62018"/>
    <s v="IT"/>
    <m/>
    <m/>
    <m/>
    <m/>
    <m/>
    <m/>
    <m/>
  </r>
  <r>
    <s v="171-7620031-4893900"/>
    <s v="171-7620031-4893900"/>
    <s v="2024-01-06T20:59:02+00:00"/>
    <s v="2024-01-08T01:19:1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44"/>
    <s v="IT"/>
    <m/>
    <m/>
    <m/>
    <m/>
    <m/>
    <m/>
    <m/>
  </r>
  <r>
    <s v="404-6216688-8377163"/>
    <m/>
    <s v="2024-01-06T20:58:21+00:00"/>
    <s v="2024-01-08T16:54:07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n v="3"/>
    <n v="0.54"/>
    <m/>
    <m/>
    <m/>
    <m/>
    <s v="capurso"/>
    <s v="BA"/>
    <n v="70010"/>
    <s v="IT"/>
    <m/>
    <m/>
    <m/>
    <m/>
    <m/>
    <m/>
    <m/>
  </r>
  <r>
    <s v="408-5772866-0009930"/>
    <s v="408-5772866-0009930"/>
    <s v="2024-01-06T20:58:01+00:00"/>
    <s v="2024-01-08T02:35:12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Parma"/>
    <s v="PR"/>
    <n v="43123"/>
    <s v="IT"/>
    <m/>
    <m/>
    <m/>
    <m/>
    <m/>
    <m/>
    <m/>
  </r>
  <r>
    <s v="406-4620753-1175560"/>
    <m/>
    <s v="2024-01-06T20:55:09+00:00"/>
    <s v="2024-01-08T16:54:11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Torino"/>
    <s v="Torino"/>
    <n v="10153"/>
    <s v="IT"/>
    <m/>
    <m/>
    <m/>
    <m/>
    <m/>
    <m/>
    <m/>
  </r>
  <r>
    <s v="406-1511439-7862721"/>
    <m/>
    <s v="2024-01-06T20:23:12+00:00"/>
    <s v="2024-01-08T18:51:0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ilano"/>
    <s v="MI"/>
    <n v="20124"/>
    <s v="IT"/>
    <m/>
    <m/>
    <m/>
    <m/>
    <m/>
    <m/>
    <m/>
  </r>
  <r>
    <s v="406-8575205-3391518"/>
    <s v="406-8575205-3391518"/>
    <s v="2024-01-06T20:06:56+00:00"/>
    <s v="2024-01-09T20:45:4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n v="0.47"/>
    <m/>
    <m/>
    <m/>
    <m/>
    <n v="0.47"/>
    <s v="Rivoli"/>
    <s v="Torino"/>
    <n v="10098"/>
    <s v="IT"/>
    <m/>
    <m/>
    <m/>
    <m/>
    <m/>
    <m/>
    <m/>
  </r>
  <r>
    <s v="405-6757271-3892367"/>
    <s v="405-6757271-3892367"/>
    <s v="2024-01-06T19:59:33+00:00"/>
    <s v="2024-01-08T00:28:2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71"/>
    <s v="IT"/>
    <m/>
    <m/>
    <m/>
    <m/>
    <m/>
    <m/>
    <m/>
  </r>
  <r>
    <s v="171-9268338-7969965"/>
    <m/>
    <s v="2024-01-06T19:51:45+00:00"/>
    <s v="2024-01-08T16:54:05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SENIGALLIA"/>
    <s v="Ancona"/>
    <n v="60019"/>
    <s v="IT"/>
    <m/>
    <m/>
    <m/>
    <m/>
    <m/>
    <m/>
    <m/>
  </r>
  <r>
    <s v="404-9630977-4017914"/>
    <s v="404-9630977-4017914"/>
    <s v="2024-01-06T19:51:41+00:00"/>
    <s v="2024-01-07T21:39:0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NAPOLI"/>
    <m/>
    <n v="80121"/>
    <s v="IT"/>
    <m/>
    <m/>
    <m/>
    <m/>
    <m/>
    <m/>
    <m/>
  </r>
  <r>
    <s v="405-1046072-3025156"/>
    <s v="405-1046072-3025156"/>
    <s v="2024-01-06T19:31:39+00:00"/>
    <s v="2024-01-07T16:18:1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Pellegrino Terme"/>
    <s v="Bergamo"/>
    <n v="24016"/>
    <s v="IT"/>
    <m/>
    <m/>
    <m/>
    <m/>
    <m/>
    <m/>
    <m/>
  </r>
  <r>
    <s v="402-4847040-3249910"/>
    <s v="402-4847040-3249910"/>
    <s v="2024-01-06T19:29:09+00:00"/>
    <s v="2024-01-08T03:41:0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orino"/>
    <s v="Torino"/>
    <n v="10123"/>
    <s v="IT"/>
    <m/>
    <m/>
    <m/>
    <m/>
    <m/>
    <m/>
    <m/>
  </r>
  <r>
    <s v="405-8137891-0881136"/>
    <s v="405-8137891-0881136"/>
    <s v="2024-01-06T19:10:11+00:00"/>
    <s v="2024-01-07T17:17:4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enova"/>
    <s v="genova"/>
    <n v="16146"/>
    <s v="IT"/>
    <m/>
    <m/>
    <m/>
    <m/>
    <m/>
    <m/>
    <m/>
  </r>
  <r>
    <s v="403-1641142-0141149"/>
    <s v="403-1641142-0141149"/>
    <s v="2024-01-06T18:47:38+00:00"/>
    <s v="2024-01-07T19:02:08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San Quirico D'orcia"/>
    <s v="SIENA"/>
    <n v="53027"/>
    <s v="IT"/>
    <m/>
    <m/>
    <m/>
    <m/>
    <m/>
    <m/>
    <m/>
  </r>
  <r>
    <s v="406-9814238-8309123"/>
    <m/>
    <s v="2024-01-06T18:35:20+00:00"/>
    <s v="2024-01-08T16:54:0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Cerro Maggiore"/>
    <s v="MI"/>
    <n v="20023"/>
    <s v="IT"/>
    <m/>
    <m/>
    <m/>
    <m/>
    <m/>
    <m/>
    <m/>
  </r>
  <r>
    <s v="405-2904142-0478768"/>
    <s v="405-2904142-0478768"/>
    <s v="2024-01-06T18:11:52+00:00"/>
    <s v="2024-01-09T09:25:51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Narni"/>
    <s v="Terni"/>
    <n v="5035"/>
    <s v="IT"/>
    <m/>
    <m/>
    <m/>
    <m/>
    <m/>
    <m/>
    <m/>
  </r>
  <r>
    <s v="403-7882845-3873939"/>
    <s v="403-7882845-3873939"/>
    <s v="2024-01-06T17:06:12+00:00"/>
    <s v="2024-01-07T17:17:03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USSANA"/>
    <s v="Imperia"/>
    <n v="18038"/>
    <s v="IT"/>
    <m/>
    <m/>
    <m/>
    <m/>
    <m/>
    <m/>
    <m/>
  </r>
  <r>
    <s v="403-7777678-8527565"/>
    <s v="403-7777678-8527565"/>
    <s v="2024-01-06T16:34:31+00:00"/>
    <s v="2024-01-07T08:55:5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Terlago"/>
    <s v="Trento"/>
    <n v="38070"/>
    <s v="IT"/>
    <m/>
    <m/>
    <m/>
    <m/>
    <m/>
    <m/>
    <m/>
  </r>
  <r>
    <s v="408-8334566-3137968"/>
    <s v="408-8334566-3137968"/>
    <s v="2024-01-06T16:33:03+00:00"/>
    <s v="2024-01-08T20:28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BRINDISI"/>
    <m/>
    <n v="72100"/>
    <s v="IT"/>
    <m/>
    <m/>
    <m/>
    <m/>
    <m/>
    <m/>
    <m/>
  </r>
  <r>
    <s v="171-5289649-7419567"/>
    <m/>
    <s v="2024-01-06T16:31:33+00:00"/>
    <s v="2024-01-08T16:54:05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Milano"/>
    <s v="Milano"/>
    <n v="20126"/>
    <s v="IT"/>
    <m/>
    <m/>
    <m/>
    <m/>
    <m/>
    <m/>
    <m/>
  </r>
  <r>
    <s v="408-5804486-7170707"/>
    <m/>
    <s v="2024-01-06T16:21:36+00:00"/>
    <s v="2024-01-08T17:05:00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32.9"/>
    <n v="5.93"/>
    <n v="3"/>
    <n v="0.54"/>
    <m/>
    <m/>
    <m/>
    <m/>
    <s v="Formia"/>
    <s v="Lt"/>
    <n v="4023"/>
    <s v="IT"/>
    <m/>
    <m/>
    <m/>
    <m/>
    <m/>
    <m/>
    <m/>
  </r>
  <r>
    <s v="406-1625706-3044302"/>
    <s v="406-1625706-3044302"/>
    <s v="2024-01-06T16:13:22+00:00"/>
    <s v="2024-01-07T13:24:21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iccione"/>
    <s v="Rimini"/>
    <n v="47838"/>
    <s v="IT"/>
    <m/>
    <m/>
    <m/>
    <m/>
    <m/>
    <m/>
    <m/>
  </r>
  <r>
    <s v="403-2747930-7966727"/>
    <m/>
    <s v="2024-01-06T15:57:37+00:00"/>
    <s v="2024-01-08T16:54:0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arina di Camerota"/>
    <s v="SA"/>
    <n v="84059"/>
    <s v="IT"/>
    <m/>
    <m/>
    <m/>
    <m/>
    <m/>
    <m/>
    <m/>
  </r>
  <r>
    <s v="403-4231452-5137156"/>
    <s v="403-4231452-5137156"/>
    <s v="2024-01-06T15:50:48+00:00"/>
    <s v="2024-01-08T16:20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Fagnano olona"/>
    <s v="Varese"/>
    <n v="21054"/>
    <s v="IT"/>
    <m/>
    <m/>
    <m/>
    <m/>
    <m/>
    <m/>
    <m/>
  </r>
  <r>
    <s v="171-2691185-7975536"/>
    <s v="171-2691185-7975536"/>
    <s v="2024-01-06T15:24:47+00:00"/>
    <s v="2024-01-07T20:53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4.99"/>
    <n v="0.9"/>
    <m/>
    <m/>
    <m/>
    <m/>
    <s v="Montefiascone"/>
    <s v="Viterbo"/>
    <n v="1027"/>
    <s v="IT"/>
    <m/>
    <m/>
    <m/>
    <m/>
    <m/>
    <m/>
    <m/>
  </r>
  <r>
    <s v="402-0540909-9894714"/>
    <m/>
    <s v="2024-01-06T14:32:44+00:00"/>
    <s v="2024-01-08T16:54:22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Roma"/>
    <s v="Rm"/>
    <n v="125"/>
    <s v="IT"/>
    <m/>
    <m/>
    <m/>
    <m/>
    <m/>
    <m/>
    <m/>
  </r>
  <r>
    <s v="404-3889079-6268332"/>
    <m/>
    <s v="2024-01-06T13:25:14+00:00"/>
    <s v="2024-01-08T16:15:0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Lauro"/>
    <s v="Avellino"/>
    <n v="83023"/>
    <s v="IT"/>
    <m/>
    <m/>
    <m/>
    <m/>
    <m/>
    <m/>
    <m/>
  </r>
  <r>
    <s v="171-6808984-4873966"/>
    <s v="171-6808984-4873966"/>
    <s v="2024-01-06T13:11:38+00:00"/>
    <s v="2024-01-07T12:34:14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GRESSONEY-SAINT-JEAN"/>
    <s v="Aosta"/>
    <n v="11025"/>
    <s v="IT"/>
    <m/>
    <m/>
    <m/>
    <m/>
    <m/>
    <m/>
    <m/>
  </r>
  <r>
    <s v="404-7459533-9284368"/>
    <s v="404-7459533-9284368"/>
    <s v="2024-01-06T11:03:11+00:00"/>
    <s v="2024-01-07T21:28:13+00:00"/>
    <s v="Shipped"/>
    <x v="0"/>
    <x v="3"/>
    <m/>
    <m/>
    <s v="Expedited"/>
    <s v="BEPER P201UTP200 Fontana Zen con Luce Led Rilassante - Fontana Zen da Interno a Cascata, Nero/Resina, Piccolo"/>
    <s v="P201UTP200_FBA"/>
    <x v="32"/>
    <s v="Shipped"/>
    <n v="1"/>
    <s v="EUR"/>
    <n v="24.9"/>
    <n v="4.49"/>
    <m/>
    <m/>
    <m/>
    <m/>
    <m/>
    <m/>
    <s v="Treviso"/>
    <s v="TV"/>
    <n v="31100"/>
    <s v="IT"/>
    <m/>
    <m/>
    <m/>
    <m/>
    <m/>
    <m/>
    <m/>
  </r>
  <r>
    <s v="408-7810492-0675531"/>
    <s v="408-7810492-0675531"/>
    <s v="2024-01-06T10:57:07+00:00"/>
    <s v="2024-01-08T01:25:09+00:00"/>
    <s v="Shipped"/>
    <x v="0"/>
    <x v="3"/>
    <m/>
    <s v="http://www.amazon.it"/>
    <s v="Expedited"/>
    <s v="Beper Friggitrice elettrica P101FRI100 1 L, 950 W, cestello in acciaio rimovibile, coperchio con oblò, filtro rimovibile lavabile, temperatura regola"/>
    <s v="P101FRI100_FBA"/>
    <x v="20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4-6473027-6655551"/>
    <m/>
    <s v="2024-01-06T10:47:42+00:00"/>
    <s v="2024-01-08T16:26:1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PALERMO"/>
    <s v="PA"/>
    <n v="90142"/>
    <s v="IT"/>
    <m/>
    <m/>
    <m/>
    <m/>
    <m/>
    <m/>
    <m/>
  </r>
  <r>
    <s v="407-0602019-2940364"/>
    <s v="407-0602019-2940364"/>
    <s v="2024-01-06T10:44:52+00:00"/>
    <s v="2024-01-07T08:44:21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Bolzano"/>
    <s v="Bolzano"/>
    <n v="39100"/>
    <s v="IT"/>
    <m/>
    <m/>
    <m/>
    <m/>
    <m/>
    <m/>
    <m/>
  </r>
  <r>
    <s v="402-5723275-0462714"/>
    <s v="402-5723275-0462714"/>
    <s v="2024-01-06T10:39:39+00:00"/>
    <s v="2024-01-07T12:11:01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Dorno"/>
    <s v="PV"/>
    <n v="27020"/>
    <s v="IT"/>
    <m/>
    <m/>
    <m/>
    <m/>
    <m/>
    <m/>
    <m/>
  </r>
  <r>
    <s v="405-5431472-3770738"/>
    <s v="405-5431472-3770738"/>
    <s v="2024-01-06T10:15:00+00:00"/>
    <s v="2024-01-23T21:23:5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0.49"/>
    <m/>
    <m/>
    <m/>
    <m/>
    <n v="0.49"/>
    <s v="Milano"/>
    <s v="Milano"/>
    <n v="20142"/>
    <s v="IT"/>
    <m/>
    <m/>
    <m/>
    <m/>
    <m/>
    <m/>
    <m/>
  </r>
  <r>
    <s v="404-9875775-2826759"/>
    <s v="404-9875775-2826759"/>
    <s v="2024-01-06T09:38:54+00:00"/>
    <s v="2024-01-07T11:18:4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AGO-TORBOLE"/>
    <s v="Trento"/>
    <n v="38069"/>
    <s v="IT"/>
    <m/>
    <m/>
    <m/>
    <m/>
    <m/>
    <m/>
    <m/>
  </r>
  <r>
    <s v="171-0658018-9951563"/>
    <s v="171-0658018-9951563"/>
    <s v="2024-01-06T09:16:43+00:00"/>
    <s v="2024-01-07T16:06:28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ACQUAVIVA DELLE FONTI"/>
    <m/>
    <n v="70021"/>
    <s v="IT"/>
    <m/>
    <m/>
    <m/>
    <m/>
    <m/>
    <m/>
    <m/>
  </r>
  <r>
    <s v="408-8723655-0773920"/>
    <m/>
    <s v="2024-01-06T06:16:15+00:00"/>
    <s v="2024-01-08T16:54:02+00:00"/>
    <s v="Shipped"/>
    <x v="1"/>
    <x v="3"/>
    <s v="WebsiteOrderChannel"/>
    <m/>
    <s v="Standard"/>
    <s v="BEPER P202VAL001 Scopa a Vapore e Pulitore a Vapore Completo di 10 Accessori per Tappeti, Divani, Pavimenti, Superfici"/>
    <s v="P202VAL001"/>
    <x v="34"/>
    <s v="Shipped"/>
    <n v="1"/>
    <s v="EUR"/>
    <n v="69.900000000000006"/>
    <n v="12.6"/>
    <n v="3"/>
    <n v="0.54"/>
    <m/>
    <m/>
    <m/>
    <m/>
    <s v="Nonantola"/>
    <s v="Modena"/>
    <n v="41015"/>
    <s v="IT"/>
    <m/>
    <m/>
    <m/>
    <m/>
    <m/>
    <m/>
    <m/>
  </r>
  <r>
    <s v="402-7949868-5075527"/>
    <s v="402-7949868-5075527"/>
    <s v="2024-01-05T23:34:15+00:00"/>
    <s v="2024-01-07T16:51:07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Cotignola"/>
    <s v="Ravenna"/>
    <n v="48033"/>
    <s v="IT"/>
    <m/>
    <m/>
    <m/>
    <m/>
    <m/>
    <m/>
    <m/>
  </r>
  <r>
    <s v="405-8241639-3995533"/>
    <s v="405-8241639-3995533"/>
    <s v="2024-01-05T23:32:41+00:00"/>
    <s v="2024-01-08T08:07:14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GONE"/>
    <s v="Torino"/>
    <n v="10067"/>
    <s v="IT"/>
    <m/>
    <m/>
    <m/>
    <m/>
    <m/>
    <m/>
    <m/>
  </r>
  <r>
    <s v="408-7659695-7186708"/>
    <s v="408-7659695-7186708"/>
    <s v="2024-01-05T21:46:28+00:00"/>
    <s v="2024-01-08T12:42:45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eboli"/>
    <s v="Salerno"/>
    <n v="84025"/>
    <s v="IT"/>
    <m/>
    <m/>
    <m/>
    <m/>
    <m/>
    <m/>
    <m/>
  </r>
  <r>
    <s v="171-8940150-9996326"/>
    <s v="171-8940150-9996326"/>
    <s v="2024-01-05T21:33:18+00:00"/>
    <s v="2024-01-07T12:33:05+00:00"/>
    <s v="Shipped"/>
    <x v="0"/>
    <x v="3"/>
    <m/>
    <m/>
    <s v="Expedited"/>
    <s v="BEPER P302VIS050 Specchio con Luci, Ingranditore 1x / 2x / 5x - Make-Up per Postazione Trucco, 35x24 cm"/>
    <s v="P302VIS050_FBA"/>
    <x v="25"/>
    <s v="Shipped"/>
    <n v="1"/>
    <s v="EUR"/>
    <n v="24.9"/>
    <n v="4.49"/>
    <m/>
    <m/>
    <m/>
    <m/>
    <m/>
    <m/>
    <s v="Milano"/>
    <s v="MI"/>
    <n v="20161"/>
    <s v="IT"/>
    <m/>
    <m/>
    <m/>
    <m/>
    <m/>
    <m/>
    <m/>
  </r>
  <r>
    <s v="402-2328363-2550730"/>
    <s v="402-2328363-2550730"/>
    <s v="2024-01-05T21:28:15+00:00"/>
    <s v="2024-01-07T13:15:0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Palermo"/>
    <s v="PA"/>
    <n v="90126"/>
    <s v="IT"/>
    <m/>
    <m/>
    <m/>
    <m/>
    <m/>
    <m/>
    <m/>
  </r>
  <r>
    <s v="403-1312672-1440309"/>
    <m/>
    <s v="2024-01-05T21:26:25+00:00"/>
    <s v="2024-01-08T18:50:48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Lomazzo"/>
    <s v="Como"/>
    <n v="22074"/>
    <s v="IT"/>
    <m/>
    <m/>
    <m/>
    <m/>
    <m/>
    <m/>
    <m/>
  </r>
  <r>
    <s v="408-5043899-9634723"/>
    <s v="408-5043899-9634723"/>
    <s v="2024-01-05T20:34:10+00:00"/>
    <s v="2024-01-07T11:46:4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resicce-Acquarica"/>
    <s v="Lecce"/>
    <n v="73054"/>
    <s v="IT"/>
    <m/>
    <m/>
    <m/>
    <m/>
    <m/>
    <m/>
    <m/>
  </r>
  <r>
    <s v="407-9961938-6321915"/>
    <m/>
    <s v="2024-01-05T20:19:19+00:00"/>
    <s v="2024-01-08T16:54:0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Masate"/>
    <s v="MI"/>
    <n v="20060"/>
    <s v="IT"/>
    <m/>
    <m/>
    <m/>
    <m/>
    <m/>
    <m/>
    <m/>
  </r>
  <r>
    <s v="408-1071135-2200302"/>
    <m/>
    <s v="2024-01-05T19:44:49+00:00"/>
    <s v="2024-01-08T17:05:23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6.9"/>
    <n v="6.65"/>
    <n v="3"/>
    <n v="0.54"/>
    <m/>
    <m/>
    <m/>
    <m/>
    <s v="Roma"/>
    <s v="Roma"/>
    <n v="186"/>
    <s v="IT"/>
    <m/>
    <m/>
    <m/>
    <m/>
    <m/>
    <m/>
    <m/>
  </r>
  <r>
    <s v="403-8779563-0680353"/>
    <s v="403-8779563-0680353"/>
    <s v="2024-01-05T18:03:46+00:00"/>
    <s v="2024-01-08T12:05:00+00:00"/>
    <s v="Shipped"/>
    <x v="0"/>
    <x v="3"/>
    <m/>
    <m/>
    <s v="Expedited"/>
    <s v="BEPER 40.490 Asciugacapelli Da Parete 2000 W - Phon da Parete con Cavo Lungo 2 Metri"/>
    <s v="40.490_FBA"/>
    <x v="26"/>
    <s v="Shipped"/>
    <n v="5"/>
    <s v="EUR"/>
    <n v="149.5"/>
    <n v="26.95"/>
    <n v="3.29"/>
    <m/>
    <m/>
    <m/>
    <m/>
    <n v="3.29"/>
    <s v="SAN MARTINO DI CASTROZZA"/>
    <s v="Trento"/>
    <n v="38054"/>
    <s v="IT"/>
    <m/>
    <m/>
    <m/>
    <m/>
    <s v="IT01251250229"/>
    <s v="IT"/>
    <s v="VAT"/>
  </r>
  <r>
    <s v="402-6510609-3625947"/>
    <s v="402-6510609-3625947"/>
    <s v="2024-01-05T17:52:30+00:00"/>
    <s v="2024-01-08T03:44:17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LISSONE"/>
    <s v="MB"/>
    <n v="20851"/>
    <s v="IT"/>
    <m/>
    <m/>
    <m/>
    <m/>
    <m/>
    <m/>
    <m/>
  </r>
  <r>
    <s v="407-1097579-7199517"/>
    <s v="407-1097579-7199517"/>
    <s v="2024-01-05T17:34:29+00:00"/>
    <s v="2024-01-07T09:13:1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remona"/>
    <s v="Cremona"/>
    <n v="26100"/>
    <s v="IT"/>
    <m/>
    <m/>
    <m/>
    <m/>
    <m/>
    <m/>
    <m/>
  </r>
  <r>
    <s v="405-8202639-4943501"/>
    <m/>
    <s v="2024-01-05T16:54:45+00:00"/>
    <s v="2024-01-08T17:04:5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n v="3"/>
    <n v="0.54"/>
    <m/>
    <m/>
    <m/>
    <m/>
    <s v="roma"/>
    <s v="Roma"/>
    <n v="178"/>
    <s v="IT"/>
    <m/>
    <m/>
    <m/>
    <m/>
    <m/>
    <m/>
    <m/>
  </r>
  <r>
    <s v="408-8405643-4226704"/>
    <m/>
    <s v="2024-01-05T16:32:47+00:00"/>
    <s v="2024-01-08T16:54:13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tolfa"/>
    <s v="roma"/>
    <n v="59"/>
    <s v="IT"/>
    <m/>
    <m/>
    <m/>
    <m/>
    <m/>
    <m/>
    <m/>
  </r>
  <r>
    <s v="404-6125187-8753941"/>
    <s v="404-6125187-8753941"/>
    <s v="2024-01-05T16:25:52+00:00"/>
    <s v="2024-01-07T18:19:41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Padova"/>
    <s v="Padova"/>
    <n v="35124"/>
    <s v="IT"/>
    <m/>
    <m/>
    <m/>
    <m/>
    <m/>
    <m/>
    <m/>
  </r>
  <r>
    <s v="404-8249536-9534744"/>
    <s v="404-8249536-9534744"/>
    <s v="2024-01-05T16:00:24+00:00"/>
    <s v="2024-01-06T00:04:39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etteville nord Guidonia Montecelio"/>
    <s v="Roma"/>
    <n v="12"/>
    <s v="IT"/>
    <m/>
    <m/>
    <m/>
    <m/>
    <m/>
    <m/>
    <m/>
  </r>
  <r>
    <s v="406-1941953-2217115"/>
    <s v="406-1941953-2217115"/>
    <s v="2024-01-05T16:00:22+00:00"/>
    <s v="2024-01-05T20:29:43+00:00"/>
    <s v="Shipped"/>
    <x v="0"/>
    <x v="3"/>
    <m/>
    <m/>
    <s v="Expedited"/>
    <s v="BEPER P102ROB001 Tritatutto in vetro, Contenitore in vetro, Corpo in Abs, Doppia coppia di lame in acciaio,2 velocità, base antiscivolo, Capacità di"/>
    <s v="P102ROB001_FBA"/>
    <x v="4"/>
    <s v="Shipped"/>
    <n v="1"/>
    <s v="EUR"/>
    <n v="39.9"/>
    <n v="7.2"/>
    <m/>
    <m/>
    <m/>
    <m/>
    <m/>
    <m/>
    <s v="monza"/>
    <s v="MB"/>
    <n v="20900"/>
    <s v="IT"/>
    <m/>
    <m/>
    <m/>
    <m/>
    <m/>
    <m/>
    <m/>
  </r>
  <r>
    <s v="403-9057520-9839560"/>
    <s v="403-9057520-9839560"/>
    <s v="2024-01-05T15:30:49+00:00"/>
    <s v="2024-01-09T19:34:58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Roma"/>
    <s v="RM"/>
    <n v="158"/>
    <s v="IT"/>
    <m/>
    <m/>
    <m/>
    <m/>
    <m/>
    <m/>
    <m/>
  </r>
  <r>
    <s v="402-4725748-3171559"/>
    <s v="402-4725748-3171559"/>
    <s v="2024-01-05T15:26:47+00:00"/>
    <s v="2024-01-05T18:18:48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nedolo"/>
    <s v="Brescia"/>
    <n v="25014"/>
    <s v="IT"/>
    <m/>
    <m/>
    <m/>
    <m/>
    <m/>
    <m/>
    <m/>
  </r>
  <r>
    <s v="171-0706188-4508360"/>
    <s v="171-0706188-4508360"/>
    <s v="2024-01-05T15:20:17+00:00"/>
    <s v="2024-01-05T18:19:22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licoro"/>
    <s v="Matera"/>
    <n v="75025"/>
    <s v="IT"/>
    <m/>
    <m/>
    <m/>
    <m/>
    <m/>
    <m/>
    <m/>
  </r>
  <r>
    <s v="407-0038532-2893105"/>
    <s v="407-0038532-2893105"/>
    <s v="2024-01-05T15:18:46+00:00"/>
    <s v="2024-01-07T09:54:34+00:00"/>
    <s v="Shipped"/>
    <x v="0"/>
    <x v="3"/>
    <m/>
    <m/>
    <s v="Expedited"/>
    <s v="Beper P101TEM001 Scaldavivande per buffet, Acciaio inossidabile, 4 vassoi rimovibili, Termostato per la temperatura, Luce funzionamento, Ideale per bu"/>
    <s v="P101TEM001_FBA"/>
    <x v="16"/>
    <s v="Shipped"/>
    <n v="1"/>
    <s v="EUR"/>
    <n v="89.9"/>
    <n v="16.21"/>
    <m/>
    <m/>
    <m/>
    <m/>
    <m/>
    <m/>
    <s v="forio"/>
    <s v="NA"/>
    <n v="80075"/>
    <s v="IT"/>
    <m/>
    <m/>
    <m/>
    <m/>
    <s v="IT07009320636"/>
    <s v="IT"/>
    <s v="VAT"/>
  </r>
  <r>
    <s v="406-7519875-5152304"/>
    <s v="406-7519875-5152304"/>
    <s v="2024-01-05T14:20:37+00:00"/>
    <s v="2024-01-07T08:46:40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n v="3.99"/>
    <n v="0.72"/>
    <m/>
    <m/>
    <m/>
    <m/>
    <s v="San Michele al Tagliamento"/>
    <s v="Venezia"/>
    <n v="30028"/>
    <s v="IT"/>
    <m/>
    <m/>
    <m/>
    <m/>
    <m/>
    <m/>
    <m/>
  </r>
  <r>
    <s v="408-6140309-5750760"/>
    <m/>
    <s v="2024-01-05T13:58:21+00:00"/>
    <s v="2024-01-08T16:54:01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piove di sacco"/>
    <s v="pd"/>
    <n v="35028"/>
    <s v="IT"/>
    <m/>
    <m/>
    <m/>
    <m/>
    <m/>
    <m/>
    <m/>
  </r>
  <r>
    <s v="404-0183138-6279561"/>
    <s v="404-0183138-6279561"/>
    <s v="2024-01-05T13:49:34+00:00"/>
    <s v="2024-01-07T11:08:56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Mazze'"/>
    <s v="Torino"/>
    <n v="10035"/>
    <s v="IT"/>
    <m/>
    <m/>
    <m/>
    <m/>
    <m/>
    <m/>
    <m/>
  </r>
  <r>
    <s v="408-0961261-6744345"/>
    <s v="408-0961261-6744345"/>
    <s v="2024-01-05T13:29:29+00:00"/>
    <s v="2024-01-07T12:18:49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n v="3.27"/>
    <m/>
    <m/>
    <m/>
    <m/>
    <n v="3.27"/>
    <s v="Orco Feglino"/>
    <s v="Savona"/>
    <n v="17024"/>
    <s v="IT"/>
    <m/>
    <m/>
    <m/>
    <m/>
    <m/>
    <m/>
    <m/>
  </r>
  <r>
    <s v="171-7645873-5176365"/>
    <s v="171-7645873-5176365"/>
    <s v="2024-01-05T13:13:51+00:00"/>
    <s v="2024-01-05T17:27:05+00:00"/>
    <s v="Cancell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Cancelled"/>
    <n v="0"/>
    <m/>
    <m/>
    <m/>
    <m/>
    <m/>
    <m/>
    <m/>
    <m/>
    <m/>
    <s v="ACQUAVIVA DELLE FONTI"/>
    <s v="BA"/>
    <n v="70021"/>
    <s v="IT"/>
    <m/>
    <m/>
    <m/>
    <m/>
    <m/>
    <m/>
    <m/>
  </r>
  <r>
    <s v="406-0956592-5543516"/>
    <m/>
    <s v="2024-01-05T12:32:14+00:00"/>
    <s v="2024-01-08T15:55:58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32.9"/>
    <n v="5.93"/>
    <n v="3"/>
    <n v="0.54"/>
    <m/>
    <m/>
    <m/>
    <m/>
    <s v="Piove di sacco"/>
    <s v="Padova"/>
    <n v="35028"/>
    <s v="IT"/>
    <m/>
    <m/>
    <m/>
    <m/>
    <m/>
    <m/>
    <m/>
  </r>
  <r>
    <s v="406-4793354-1403536"/>
    <s v="406-4793354-1403536"/>
    <s v="2024-01-05T12:20:30+00:00"/>
    <s v="2024-01-05T23:11:53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55"/>
    <s v="IT"/>
    <m/>
    <m/>
    <m/>
    <m/>
    <m/>
    <m/>
    <m/>
  </r>
  <r>
    <s v="405-1716793-6914744"/>
    <s v="405-1716793-6914744"/>
    <s v="2024-01-05T12:12:16+00:00"/>
    <s v="2024-01-07T06:47:58+00:00"/>
    <s v="Shipped"/>
    <x v="0"/>
    <x v="3"/>
    <m/>
    <m/>
    <s v="Expedited"/>
    <s v="Beper Friggitrice elettrica P101FRI100 1 L, 950 W, cestello in acciaio rimovibile, coperchio con oblò, filtro rimovibile lavabile, temperatura regola"/>
    <s v="P101FRI100_FBA"/>
    <x v="20"/>
    <s v="Shipped"/>
    <n v="1"/>
    <s v="EUR"/>
    <n v="39.9"/>
    <n v="7.2"/>
    <m/>
    <m/>
    <m/>
    <m/>
    <m/>
    <m/>
    <s v="cadoneghe"/>
    <s v="PD"/>
    <n v="35010"/>
    <s v="IT"/>
    <m/>
    <m/>
    <m/>
    <m/>
    <m/>
    <m/>
    <m/>
  </r>
  <r>
    <s v="406-8522173-5301113"/>
    <m/>
    <s v="2024-01-05T11:28:54+00:00"/>
    <s v="2024-01-08T16:05:55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Luzzi"/>
    <s v="Cosenza"/>
    <n v="87040"/>
    <s v="IT"/>
    <m/>
    <m/>
    <m/>
    <m/>
    <m/>
    <m/>
    <m/>
  </r>
  <r>
    <s v="171-2907203-8252360"/>
    <s v="171-2907203-8252360"/>
    <s v="2024-01-05T11:11:05+00:00"/>
    <s v="2024-01-05T20:29:47+00:00"/>
    <s v="Shipped"/>
    <x v="0"/>
    <x v="3"/>
    <m/>
    <m/>
    <s v="Expedited"/>
    <s v="BEPER 40.490 Asciugacapelli Da Parete 2000 W - Phon da Parete con Cavo Lungo 2 Metri"/>
    <s v="40.490_FBA"/>
    <x v="26"/>
    <s v="Shipped"/>
    <n v="1"/>
    <s v="EUR"/>
    <n v="29.9"/>
    <n v="5.39"/>
    <m/>
    <m/>
    <m/>
    <m/>
    <m/>
    <m/>
    <s v="Lacchiarella"/>
    <s v="Milano"/>
    <n v="20084"/>
    <s v="IT"/>
    <m/>
    <m/>
    <m/>
    <m/>
    <m/>
    <m/>
    <m/>
  </r>
  <r>
    <s v="407-6328358-7238738"/>
    <s v="407-6328358-7238738"/>
    <s v="2024-01-05T11:00:52+00:00"/>
    <s v="2024-01-07T18:18:52+00:00"/>
    <s v="Shipped"/>
    <x v="0"/>
    <x v="3"/>
    <m/>
    <m/>
    <s v="Expedited"/>
    <s v="Beper 40.500 Massaggiatore Anticellulite Donna 4 in 1, Massaggio a Raggi Infrarossi, Tripla Azione Circolare, Tonificante e Rassodante, Potenza Regola"/>
    <s v="40.500_FBA"/>
    <x v="8"/>
    <s v="Shipped"/>
    <n v="1"/>
    <s v="EUR"/>
    <n v="32.9"/>
    <n v="5.93"/>
    <m/>
    <m/>
    <m/>
    <m/>
    <m/>
    <m/>
    <s v="Capo Vaticano"/>
    <s v="Vibo Valentia"/>
    <n v="89866"/>
    <s v="IT"/>
    <m/>
    <m/>
    <m/>
    <m/>
    <m/>
    <m/>
    <m/>
  </r>
  <r>
    <s v="403-5685549-6513151"/>
    <s v="403-5685549-6513151"/>
    <s v="2024-01-05T10:27:31+00:00"/>
    <s v="2024-01-05T18:19:07+00:00"/>
    <s v="Shipped"/>
    <x v="0"/>
    <x v="3"/>
    <m/>
    <m/>
    <s v="Expedited"/>
    <s v="BEPER 40.490 Asciugacapelli Da Parete 2000 W - Phon da Parete con Cavo Lungo 2 Metri"/>
    <s v="40.490_FBA"/>
    <x v="26"/>
    <s v="Shipped"/>
    <n v="3"/>
    <s v="EUR"/>
    <n v="89.7"/>
    <n v="16.170000000000002"/>
    <m/>
    <m/>
    <m/>
    <m/>
    <m/>
    <m/>
    <s v="ROMA"/>
    <s v="RM"/>
    <n v="185"/>
    <s v="IT"/>
    <m/>
    <m/>
    <m/>
    <m/>
    <s v="IT12828861000"/>
    <s v="IT"/>
    <s v="VAT"/>
  </r>
  <r>
    <s v="406-6457002-1848325"/>
    <m/>
    <s v="2024-01-05T10:19:44+00:00"/>
    <s v="2024-01-08T16:54:13+00:00"/>
    <s v="Shipped"/>
    <x v="1"/>
    <x v="3"/>
    <s v="WebsiteOrderChannel"/>
    <m/>
    <s v="Standard"/>
    <s v="BEPER P302VIS050 Specchio con Luci, Ingranditore 1x / 2x / 5x - Make-Up per Postazione Trucco, 35x24 cm"/>
    <s v="P302VIS050"/>
    <x v="25"/>
    <s v="Shipped"/>
    <n v="1"/>
    <s v="EUR"/>
    <n v="24.9"/>
    <n v="4.49"/>
    <n v="3"/>
    <n v="0.54"/>
    <m/>
    <m/>
    <m/>
    <m/>
    <s v="San Giorgio di piano"/>
    <s v="BO"/>
    <n v="40016"/>
    <s v="IT"/>
    <m/>
    <m/>
    <m/>
    <m/>
    <m/>
    <m/>
    <m/>
  </r>
  <r>
    <s v="171-3056523-1268363"/>
    <s v="171-3056523-1268363"/>
    <s v="2024-01-05T08:54:50+00:00"/>
    <s v="2024-01-05T09:04:38+00:00"/>
    <s v="Cancell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Cancelled"/>
    <n v="0"/>
    <m/>
    <m/>
    <m/>
    <m/>
    <m/>
    <m/>
    <m/>
    <m/>
    <m/>
    <s v="PONZANO VENETO"/>
    <s v="VENETO"/>
    <n v="31050"/>
    <s v="IT"/>
    <m/>
    <m/>
    <m/>
    <m/>
    <s v="IT04793090269"/>
    <s v="IT"/>
    <s v="VAT"/>
  </r>
  <r>
    <s v="171-9124608-5005141"/>
    <s v="171-9124608-5005141"/>
    <s v="2024-01-05T08:54:40+00:00"/>
    <s v="2024-01-08T08:02:53+00:00"/>
    <s v="Shipped"/>
    <x v="0"/>
    <x v="3"/>
    <m/>
    <m/>
    <s v="Expedited"/>
    <s v="Beper BF.640 - Forno Ventilato Multifunzione 12L, Anello di Prolungamento per Capienza Totale 18L, Timer 60 Minuti, Temperatura Regolabile fino a 250 "/>
    <s v="BF.640_FBA"/>
    <x v="6"/>
    <s v="Shipped"/>
    <n v="1"/>
    <s v="EUR"/>
    <n v="79.900000000000006"/>
    <n v="14.41"/>
    <m/>
    <m/>
    <m/>
    <m/>
    <m/>
    <m/>
    <s v="PONZANO VENETO"/>
    <s v="VENETO"/>
    <n v="31050"/>
    <s v="IT"/>
    <m/>
    <m/>
    <m/>
    <m/>
    <s v="IT04793090269"/>
    <s v="IT"/>
    <s v="VAT"/>
  </r>
  <r>
    <s v="407-4274176-4864301"/>
    <m/>
    <s v="2024-01-05T08:16:40+00:00"/>
    <s v="2024-01-08T17:04:40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Conegliano"/>
    <s v="Treviso"/>
    <n v="31015"/>
    <s v="IT"/>
    <m/>
    <m/>
    <m/>
    <m/>
    <m/>
    <m/>
    <m/>
  </r>
  <r>
    <s v="407-0846142-3324354"/>
    <s v="407-0846142-3324354"/>
    <s v="2024-01-04T21:50:10+00:00"/>
    <s v="2024-01-05T21:29:37+00:00"/>
    <s v="Shipped"/>
    <x v="0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"/>
    <n v="20133"/>
    <s v="IT"/>
    <m/>
    <m/>
    <m/>
    <m/>
    <m/>
    <m/>
    <m/>
  </r>
  <r>
    <s v="402-5800438-1135537"/>
    <m/>
    <s v="2024-01-04T20:54:39+00:00"/>
    <s v="2024-01-05T10:56:28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Spinea"/>
    <s v="Venezia"/>
    <n v="30038"/>
    <s v="IT"/>
    <m/>
    <m/>
    <m/>
    <m/>
    <m/>
    <m/>
    <m/>
  </r>
  <r>
    <s v="406-4587120-5792302"/>
    <s v="406-4587120-5792302"/>
    <s v="2024-01-04T20:30:18+00:00"/>
    <s v="2024-01-12T18:23:09+00:00"/>
    <s v="Shipped"/>
    <x v="0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OCI"/>
    <m/>
    <n v="70015"/>
    <s v="IT"/>
    <m/>
    <m/>
    <m/>
    <m/>
    <m/>
    <m/>
    <m/>
  </r>
  <r>
    <s v="408-6523577-1956332"/>
    <m/>
    <s v="2024-01-04T19:52:53+00:00"/>
    <s v="2024-01-05T09:58:31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n v="3"/>
    <n v="0.54"/>
    <m/>
    <m/>
    <m/>
    <m/>
    <s v="Buccinasco"/>
    <s v="Mi"/>
    <n v="20090"/>
    <s v="IT"/>
    <m/>
    <m/>
    <m/>
    <m/>
    <m/>
    <m/>
    <m/>
  </r>
  <r>
    <s v="406-1295477-4928319"/>
    <m/>
    <s v="2024-01-04T19:24:12+00:00"/>
    <s v="2024-01-05T09:47:22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moncalvo"/>
    <s v="asti"/>
    <n v="14036"/>
    <s v="IT"/>
    <m/>
    <m/>
    <m/>
    <m/>
    <m/>
    <m/>
    <m/>
  </r>
  <r>
    <s v="403-7076649-6841146"/>
    <m/>
    <s v="2024-01-04T19:07:19+00:00"/>
    <s v="2024-01-17T09:33:08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ISCHIA"/>
    <s v="Napoli"/>
    <n v="80077"/>
    <s v="IT"/>
    <m/>
    <m/>
    <m/>
    <m/>
    <s v="IT05684051211"/>
    <s v="IT"/>
    <s v="VAT"/>
  </r>
  <r>
    <s v="406-2806018-4915546"/>
    <m/>
    <s v="2024-01-04T18:52:11+00:00"/>
    <s v="2024-01-05T10:28:37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5"/>
    <s v="EUR"/>
    <n v="149.5"/>
    <n v="26.95"/>
    <n v="15"/>
    <n v="2.7"/>
    <m/>
    <m/>
    <m/>
    <m/>
    <s v="Catania"/>
    <s v="Catania"/>
    <n v="95123"/>
    <s v="IT"/>
    <m/>
    <m/>
    <m/>
    <m/>
    <m/>
    <m/>
    <m/>
  </r>
  <r>
    <s v="407-1216996-2806706"/>
    <m/>
    <s v="2024-01-04T18:05:02+00:00"/>
    <s v="2024-01-05T10:08:2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MAZZANO ROMANO"/>
    <s v="Roma"/>
    <n v="60"/>
    <s v="IT"/>
    <m/>
    <m/>
    <m/>
    <m/>
    <m/>
    <m/>
    <m/>
  </r>
  <r>
    <s v="403-8105314-3552325"/>
    <m/>
    <s v="2024-01-04T17:24:35+00:00"/>
    <s v="2024-01-05T09:48:3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2"/>
    <s v="EUR"/>
    <n v="45.8"/>
    <n v="8.26"/>
    <n v="6"/>
    <n v="1.08"/>
    <m/>
    <m/>
    <m/>
    <m/>
    <s v="BAGNO A RIPOLI CANDELI"/>
    <s v="FI"/>
    <n v="50012"/>
    <s v="IT"/>
    <m/>
    <m/>
    <m/>
    <m/>
    <s v="IT04413050487"/>
    <s v="IT"/>
    <s v="VAT"/>
  </r>
  <r>
    <s v="402-1075362-2753936"/>
    <m/>
    <s v="2024-01-04T17:02:42+00:00"/>
    <s v="2024-01-05T10:27:53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Paullo"/>
    <s v="Milano"/>
    <n v="20067"/>
    <s v="IT"/>
    <m/>
    <m/>
    <m/>
    <m/>
    <m/>
    <m/>
    <m/>
  </r>
  <r>
    <s v="171-1192143-4485147"/>
    <s v="171-1192143-4485147"/>
    <s v="2024-01-04T16:11:26+00:00"/>
    <s v="2024-01-14T01:54:43+00:00"/>
    <s v="Shipped"/>
    <x v="0"/>
    <x v="3"/>
    <m/>
    <m/>
    <s v="Standard"/>
    <s v="BEPER 90.590Y Macchina per Popcorn, Popcorn in 3 Minuti, 1200 W, Circolazione di Aria Calda, Rosso"/>
    <s v="90.590Y_FBA"/>
    <x v="2"/>
    <s v="Shipped"/>
    <n v="1"/>
    <s v="EUR"/>
    <n v="28.61"/>
    <m/>
    <n v="0.57999999999999996"/>
    <m/>
    <m/>
    <m/>
    <m/>
    <n v="0.57999999999999996"/>
    <s v="Breganzona"/>
    <s v="Canton Ticino"/>
    <n v="6932"/>
    <s v="CH"/>
    <m/>
    <m/>
    <m/>
    <m/>
    <m/>
    <m/>
    <m/>
  </r>
  <r>
    <s v="408-2769969-6172337"/>
    <m/>
    <s v="2024-01-04T15:51:12+00:00"/>
    <s v="2024-01-05T09:47:2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n v="3"/>
    <n v="0.54"/>
    <m/>
    <m/>
    <m/>
    <m/>
    <s v="Frattamaggiore"/>
    <m/>
    <n v="80027"/>
    <s v="IT"/>
    <m/>
    <m/>
    <m/>
    <m/>
    <m/>
    <m/>
    <m/>
  </r>
  <r>
    <s v="171-1646224-7226713"/>
    <m/>
    <s v="2024-01-04T13:53:50+00:00"/>
    <s v="2024-01-05T09:47:1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SAN LEO"/>
    <s v="Rimini"/>
    <n v="47865"/>
    <s v="IT"/>
    <m/>
    <m/>
    <m/>
    <m/>
    <m/>
    <m/>
    <m/>
  </r>
  <r>
    <s v="408-5844012-6224347"/>
    <m/>
    <s v="2024-01-04T13:43:05+00:00"/>
    <s v="2024-01-05T10:56:24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Milano"/>
    <s v="Milano"/>
    <n v="20159"/>
    <s v="IT"/>
    <m/>
    <m/>
    <m/>
    <m/>
    <m/>
    <m/>
    <m/>
  </r>
  <r>
    <s v="407-3503261-6333103"/>
    <m/>
    <s v="2024-01-04T13:15:50+00:00"/>
    <s v="2024-01-05T10:17:22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Napoli"/>
    <s v="Napoli"/>
    <n v="80124"/>
    <s v="IT"/>
    <m/>
    <m/>
    <m/>
    <m/>
    <m/>
    <m/>
    <m/>
  </r>
  <r>
    <s v="407-7321930-8979514"/>
    <m/>
    <s v="2024-01-04T13:04:19+00:00"/>
    <s v="2024-01-04T13:05:34+00:00"/>
    <s v="Cancelled"/>
    <x v="1"/>
    <x v="3"/>
    <s v="WebsiteOrderChannel"/>
    <m/>
    <s v="Standard"/>
    <s v="BEPER 90.590Y Macchina per Popcorn, Popcorn in 3 Minuti, 1200 W, Circolazione di Aria Calda, Rosso"/>
    <s v="90.590Y"/>
    <x v="2"/>
    <m/>
    <n v="0"/>
    <m/>
    <m/>
    <m/>
    <m/>
    <m/>
    <m/>
    <m/>
    <m/>
    <m/>
    <s v="Napoli"/>
    <s v="Napoli"/>
    <n v="80124"/>
    <s v="IT"/>
    <m/>
    <m/>
    <m/>
    <m/>
    <m/>
    <m/>
    <m/>
  </r>
  <r>
    <s v="404-1711107-2095551"/>
    <m/>
    <s v="2024-01-04T12:38:34+00:00"/>
    <s v="2024-01-05T09:47:18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San Pietro in Trento"/>
    <s v="Ravenna"/>
    <n v="48125"/>
    <s v="IT"/>
    <m/>
    <m/>
    <m/>
    <m/>
    <m/>
    <m/>
    <m/>
  </r>
  <r>
    <s v="403-4302097-7630763"/>
    <m/>
    <s v="2024-01-04T12:27:39+00:00"/>
    <s v="2024-01-05T10:56:22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Fiano"/>
    <s v="Torino"/>
    <n v="10070"/>
    <s v="IT"/>
    <m/>
    <m/>
    <m/>
    <m/>
    <m/>
    <m/>
    <m/>
  </r>
  <r>
    <s v="406-2864259-7567559"/>
    <m/>
    <s v="2024-01-04T11:38:26+00:00"/>
    <s v="2024-01-05T10:56:26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m/>
    <m/>
    <m/>
    <m/>
    <m/>
    <m/>
    <s v="Carrara"/>
    <s v="Ms"/>
    <n v="54033"/>
    <s v="IT"/>
    <m/>
    <m/>
    <m/>
    <m/>
    <m/>
    <m/>
    <m/>
  </r>
  <r>
    <s v="402-8493005-3210714"/>
    <m/>
    <s v="2024-01-04T10:39:09+00:00"/>
    <s v="2024-01-05T10:56:2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TERRANUOVA BRACCIOLINI"/>
    <s v="AREZZO"/>
    <n v="52028"/>
    <s v="IT"/>
    <m/>
    <m/>
    <m/>
    <m/>
    <m/>
    <m/>
    <m/>
  </r>
  <r>
    <s v="404-1511992-1408341"/>
    <m/>
    <s v="2024-01-04T10:35:47+00:00"/>
    <s v="2024-01-05T09:47:16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m/>
    <m/>
    <m/>
    <m/>
    <m/>
    <m/>
    <s v="ALA"/>
    <s v="Trento"/>
    <n v="38061"/>
    <s v="IT"/>
    <m/>
    <m/>
    <m/>
    <m/>
    <s v="IT02405920220"/>
    <s v="IT"/>
    <s v="VAT"/>
  </r>
  <r>
    <s v="404-2968862-3120311"/>
    <m/>
    <s v="2024-01-04T10:26:34+00:00"/>
    <s v="2024-01-05T09:47:15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32.9"/>
    <n v="5.93"/>
    <m/>
    <m/>
    <m/>
    <m/>
    <m/>
    <m/>
    <s v="Perugia"/>
    <s v="Perugia"/>
    <n v="6132"/>
    <s v="IT"/>
    <m/>
    <m/>
    <m/>
    <m/>
    <s v="IT03149130548"/>
    <s v="IT"/>
    <s v="VAT"/>
  </r>
  <r>
    <s v="402-8588284-3847501"/>
    <m/>
    <s v="2024-01-04T10:14:35+00:00"/>
    <s v="2024-01-05T10:56:23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San Cesareo"/>
    <s v="Roma"/>
    <n v="30"/>
    <s v="IT"/>
    <m/>
    <m/>
    <m/>
    <m/>
    <m/>
    <m/>
    <m/>
  </r>
  <r>
    <s v="403-7684373-1135544"/>
    <m/>
    <s v="2024-01-04T09:51:46+00:00"/>
    <s v="2024-01-05T10:17:2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Lecco"/>
    <s v="LC"/>
    <n v="23900"/>
    <s v="IT"/>
    <m/>
    <m/>
    <m/>
    <m/>
    <m/>
    <m/>
    <m/>
  </r>
  <r>
    <s v="402-7868842-0223554"/>
    <m/>
    <s v="2024-01-04T09:42:20+00:00"/>
    <s v="2024-01-05T10:17:22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Pastrengo"/>
    <s v="Verona"/>
    <n v="37010"/>
    <s v="IT"/>
    <m/>
    <m/>
    <m/>
    <m/>
    <m/>
    <m/>
    <m/>
  </r>
  <r>
    <s v="171-7314617-6791537"/>
    <m/>
    <s v="2024-01-04T09:12:01+00:00"/>
    <s v="2024-01-05T09:47:18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m/>
    <m/>
    <m/>
    <m/>
    <m/>
    <m/>
    <s v="COSENZA"/>
    <s v="Cosenza"/>
    <n v="87100"/>
    <s v="IT"/>
    <m/>
    <m/>
    <m/>
    <m/>
    <m/>
    <m/>
    <m/>
  </r>
  <r>
    <s v="171-3747192-4822748"/>
    <m/>
    <s v="2024-01-04T08:29:19+00:00"/>
    <s v="2024-01-05T10:56:31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Fiumicino"/>
    <s v="Roma"/>
    <n v="54"/>
    <s v="IT"/>
    <m/>
    <m/>
    <m/>
    <m/>
    <m/>
    <m/>
    <m/>
  </r>
  <r>
    <s v="408-6519884-7147531"/>
    <m/>
    <s v="2024-01-04T08:09:02+00:00"/>
    <s v="2024-02-19T15:52:30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m/>
    <m/>
    <m/>
    <m/>
    <m/>
    <m/>
    <m/>
    <m/>
    <m/>
    <m/>
    <m/>
  </r>
  <r>
    <s v="171-0586764-8242760"/>
    <m/>
    <s v="2024-01-04T00:26:29+00:00"/>
    <s v="2024-01-04T12:35:46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Urbania"/>
    <s v="Pesaro e Urbino"/>
    <n v="61049"/>
    <s v="IT"/>
    <m/>
    <m/>
    <m/>
    <m/>
    <m/>
    <m/>
    <m/>
  </r>
  <r>
    <s v="405-9734942-6885926"/>
    <m/>
    <s v="2024-01-03T22:52:32+00:00"/>
    <s v="2024-01-04T12:34:32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Andrano"/>
    <s v="Lecce"/>
    <n v="73032"/>
    <s v="IT"/>
    <m/>
    <m/>
    <m/>
    <m/>
    <m/>
    <m/>
    <m/>
  </r>
  <r>
    <s v="404-6753400-6636355"/>
    <m/>
    <s v="2024-01-03T22:47:01+00:00"/>
    <s v="2024-01-04T12:34:29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Travagliato"/>
    <s v="Brescia"/>
    <n v="25039"/>
    <s v="IT"/>
    <m/>
    <m/>
    <m/>
    <m/>
    <m/>
    <m/>
    <m/>
  </r>
  <r>
    <s v="408-0912854-2466744"/>
    <m/>
    <s v="2024-01-03T22:38:23+00:00"/>
    <s v="2024-01-04T13:04:36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Roncadelle"/>
    <s v="Brescia"/>
    <n v="25030"/>
    <s v="IT"/>
    <m/>
    <m/>
    <m/>
    <m/>
    <m/>
    <m/>
    <m/>
  </r>
  <r>
    <s v="404-1709467-8089959"/>
    <m/>
    <s v="2024-01-03T22:02:32+00:00"/>
    <s v="2024-01-04T13:43:34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SESTO ULTERIANO"/>
    <s v="MI"/>
    <n v="20098"/>
    <s v="IT"/>
    <m/>
    <m/>
    <m/>
    <m/>
    <m/>
    <m/>
    <m/>
  </r>
  <r>
    <s v="404-7758844-1115527"/>
    <m/>
    <s v="2024-01-03T21:46:43+00:00"/>
    <s v="2024-01-05T12:34:37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Padova"/>
    <s v="Padova"/>
    <n v="35128"/>
    <s v="IT"/>
    <m/>
    <m/>
    <m/>
    <m/>
    <m/>
    <m/>
    <m/>
  </r>
  <r>
    <s v="403-9064979-1141125"/>
    <m/>
    <s v="2024-01-03T21:37:08+00:00"/>
    <s v="2024-01-04T13:04:3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Leggiuno"/>
    <s v="Varese"/>
    <n v="21038"/>
    <s v="IT"/>
    <m/>
    <m/>
    <m/>
    <m/>
    <m/>
    <m/>
    <m/>
  </r>
  <r>
    <s v="404-2854695-2244328"/>
    <m/>
    <s v="2024-01-03T21:32:31+00:00"/>
    <s v="2024-01-04T13:43:3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reggio emilia"/>
    <s v="reggio emilia"/>
    <n v="42124"/>
    <s v="IT"/>
    <m/>
    <m/>
    <m/>
    <m/>
    <m/>
    <m/>
    <m/>
  </r>
  <r>
    <s v="404-8914359-0525144"/>
    <m/>
    <s v="2024-01-03T21:17:44+00:00"/>
    <s v="2024-01-04T13:04:38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Camponogara"/>
    <s v="Venezia"/>
    <n v="30010"/>
    <s v="IT"/>
    <m/>
    <m/>
    <m/>
    <m/>
    <m/>
    <m/>
    <m/>
  </r>
  <r>
    <s v="407-9787771-1169961"/>
    <m/>
    <s v="2024-01-03T19:06:57+00:00"/>
    <s v="2024-01-04T13:43:36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Savignano sul Rubicone"/>
    <s v="Italia/Forli-Cesena/Emilia-Romagna"/>
    <n v="47039"/>
    <s v="IT"/>
    <m/>
    <m/>
    <m/>
    <m/>
    <m/>
    <m/>
    <m/>
  </r>
  <r>
    <s v="403-5064511-5641133"/>
    <m/>
    <s v="2024-01-03T17:50:29+00:00"/>
    <s v="2024-01-04T12:44:56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m/>
    <m/>
    <m/>
    <m/>
    <m/>
    <m/>
    <s v="Frascati"/>
    <s v="Roma"/>
    <n v="44"/>
    <s v="IT"/>
    <m/>
    <m/>
    <m/>
    <m/>
    <s v="IT14991541005"/>
    <s v="IT"/>
    <s v="VAT"/>
  </r>
  <r>
    <s v="171-3599754-5618703"/>
    <m/>
    <s v="2024-01-03T17:29:40+00:00"/>
    <s v="2024-01-04T13:43:34+00:00"/>
    <s v="Shipped"/>
    <x v="1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4"/>
    <s v="Shipped"/>
    <n v="1"/>
    <s v="EUR"/>
    <n v="39.9"/>
    <n v="7.2"/>
    <m/>
    <m/>
    <m/>
    <m/>
    <m/>
    <m/>
    <s v="Orzinuovi"/>
    <s v="Brescia"/>
    <n v="25034"/>
    <s v="IT"/>
    <m/>
    <m/>
    <m/>
    <m/>
    <m/>
    <m/>
    <m/>
  </r>
  <r>
    <s v="407-7754444-2757912"/>
    <m/>
    <s v="2024-01-03T16:57:42+00:00"/>
    <s v="2024-01-04T13:04:33+00:00"/>
    <s v="Shipped"/>
    <x v="1"/>
    <x v="3"/>
    <s v="WebsiteOrderChannel"/>
    <m/>
    <s v="Standard"/>
    <s v="BEPER C206UTI002 Monouso Set 100 Sacchetti-Copriscarpe da Casa o Lavoro, ABS, Blu, Taglia Unica, unità"/>
    <s v="C206UTI002"/>
    <x v="18"/>
    <s v="Shipped"/>
    <n v="1"/>
    <s v="EUR"/>
    <n v="18.899999999999999"/>
    <n v="3.41"/>
    <m/>
    <m/>
    <m/>
    <m/>
    <m/>
    <m/>
    <s v="Roma"/>
    <s v="RM"/>
    <n v="199"/>
    <s v="IT"/>
    <m/>
    <m/>
    <m/>
    <m/>
    <m/>
    <m/>
    <m/>
  </r>
  <r>
    <s v="406-9992547-0411530"/>
    <m/>
    <s v="2024-01-03T16:52:14+00:00"/>
    <s v="2024-01-04T12:45:40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CECCHINA"/>
    <s v="Roma"/>
    <n v="41"/>
    <s v="IT"/>
    <m/>
    <m/>
    <m/>
    <m/>
    <m/>
    <m/>
    <m/>
  </r>
  <r>
    <s v="402-2890702-4132354"/>
    <m/>
    <s v="2024-01-03T16:31:32+00:00"/>
    <s v="2024-01-04T12:36:43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Firenze"/>
    <s v="Firenze"/>
    <n v="50126"/>
    <s v="IT"/>
    <m/>
    <m/>
    <m/>
    <m/>
    <m/>
    <m/>
    <m/>
  </r>
  <r>
    <s v="405-7869197-1851545"/>
    <m/>
    <s v="2024-01-03T16:29:24+00:00"/>
    <s v="2024-01-04T12:45:06+00:00"/>
    <s v="Shipped"/>
    <x v="1"/>
    <x v="3"/>
    <s v="WebsiteOrderChannel"/>
    <m/>
    <s v="Standard"/>
    <s v="Beper C206UTI001 Dispenser Casa e Ufficio, 100 Copriscarpe Monouso Inclusi C206UTI001-Distributore Automatico, ABS, Bianco, 42.5 x 22.5 x 13.5 cm"/>
    <s v="C206UTI001"/>
    <x v="17"/>
    <s v="Shipped"/>
    <n v="1"/>
    <s v="EUR"/>
    <n v="44.9"/>
    <n v="8.1"/>
    <m/>
    <m/>
    <m/>
    <m/>
    <m/>
    <m/>
    <s v="Baragiano"/>
    <s v="Potenza"/>
    <n v="85050"/>
    <s v="IT"/>
    <m/>
    <m/>
    <m/>
    <m/>
    <m/>
    <m/>
    <m/>
  </r>
  <r>
    <s v="405-2572811-7837120"/>
    <m/>
    <s v="2024-01-03T16:00:01+00:00"/>
    <s v="2024-01-04T13:43:36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m/>
    <m/>
    <m/>
    <m/>
    <m/>
    <m/>
    <s v="Torino"/>
    <s v="TO"/>
    <n v="10128"/>
    <s v="IT"/>
    <m/>
    <m/>
    <m/>
    <m/>
    <m/>
    <m/>
    <m/>
  </r>
  <r>
    <s v="404-2001288-8518707"/>
    <m/>
    <s v="2024-01-03T15:54:24+00:00"/>
    <s v="2024-01-04T13:43:36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m/>
    <m/>
    <m/>
    <m/>
    <m/>
    <m/>
    <s v="MALMANTILE"/>
    <s v="Firenze"/>
    <n v="50055"/>
    <s v="IT"/>
    <m/>
    <m/>
    <m/>
    <m/>
    <m/>
    <m/>
    <m/>
  </r>
  <r>
    <s v="171-2795085-9997959"/>
    <m/>
    <s v="2024-01-03T15:54:02+00:00"/>
    <s v="2024-01-04T13:43:41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Roma"/>
    <s v="RM"/>
    <n v="132"/>
    <s v="IT"/>
    <m/>
    <m/>
    <m/>
    <m/>
    <m/>
    <m/>
    <m/>
  </r>
  <r>
    <s v="404-1666404-0640328"/>
    <m/>
    <s v="2024-01-03T15:08:50+00:00"/>
    <s v="2024-01-04T12:34:31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32.9"/>
    <n v="5.93"/>
    <m/>
    <m/>
    <m/>
    <m/>
    <m/>
    <m/>
    <s v="Varese"/>
    <s v="Varese"/>
    <n v="21100"/>
    <s v="IT"/>
    <m/>
    <m/>
    <m/>
    <m/>
    <s v="IT10906000962"/>
    <s v="IT"/>
    <s v="VAT"/>
  </r>
  <r>
    <s v="407-6035590-2855528"/>
    <m/>
    <s v="2024-01-03T15:03:14+00:00"/>
    <s v="2024-01-04T13:04:3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Marigliano"/>
    <s v="Napoli"/>
    <n v="80034"/>
    <s v="IT"/>
    <m/>
    <m/>
    <m/>
    <m/>
    <m/>
    <m/>
    <m/>
  </r>
  <r>
    <s v="171-5487535-7277959"/>
    <m/>
    <s v="2024-01-03T14:59:18+00:00"/>
    <s v="2024-01-04T13:43:3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Roma"/>
    <s v="Rm"/>
    <n v="144"/>
    <s v="IT"/>
    <m/>
    <m/>
    <m/>
    <m/>
    <m/>
    <m/>
    <m/>
  </r>
  <r>
    <s v="407-2372447-0720347"/>
    <m/>
    <s v="2024-01-03T14:20:00+00:00"/>
    <s v="2024-01-05T09:47:2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CASTEL D'ARIO"/>
    <s v="Mantova"/>
    <n v="46033"/>
    <s v="IT"/>
    <m/>
    <m/>
    <m/>
    <m/>
    <m/>
    <m/>
    <m/>
  </r>
  <r>
    <s v="407-7534801-6449946"/>
    <m/>
    <s v="2024-01-03T13:49:15+00:00"/>
    <s v="2024-01-04T12:34:33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m/>
    <m/>
    <m/>
    <m/>
    <m/>
    <m/>
    <s v="ROMA"/>
    <s v="Roma"/>
    <n v="134"/>
    <s v="IT"/>
    <m/>
    <m/>
    <m/>
    <m/>
    <s v="IT16190631008"/>
    <s v="IT"/>
    <s v="VAT"/>
  </r>
  <r>
    <s v="402-9510845-1929165"/>
    <m/>
    <s v="2024-01-03T13:38:22+00:00"/>
    <s v="2024-01-04T13:04:32+00:00"/>
    <s v="Shipped"/>
    <x v="1"/>
    <x v="3"/>
    <s v="WebsiteOrderChannel"/>
    <m/>
    <s v="Standard"/>
    <s v="BEPER P101CUD100 Waffle Maker a Forma di Stecco - Piastra Waffle per 6 Mini Waffle in pochi Minuti"/>
    <s v="P101CUD100"/>
    <x v="29"/>
    <s v="Shipped"/>
    <n v="1"/>
    <s v="EUR"/>
    <n v="39.9"/>
    <n v="7.2"/>
    <m/>
    <m/>
    <m/>
    <m/>
    <m/>
    <m/>
    <s v="paterno"/>
    <s v="CT"/>
    <n v="95047"/>
    <s v="IT"/>
    <m/>
    <m/>
    <m/>
    <m/>
    <m/>
    <m/>
    <m/>
  </r>
  <r>
    <s v="402-0921021-7377956"/>
    <m/>
    <s v="2024-01-03T13:36:32+00:00"/>
    <s v="2024-01-04T13:04:35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32.9"/>
    <n v="5.93"/>
    <m/>
    <m/>
    <m/>
    <m/>
    <m/>
    <m/>
    <s v="Tresivio"/>
    <s v="Sondrio"/>
    <n v="23020"/>
    <s v="IT"/>
    <m/>
    <m/>
    <m/>
    <m/>
    <m/>
    <m/>
    <m/>
  </r>
  <r>
    <s v="402-6384663-1607556"/>
    <m/>
    <s v="2024-01-03T12:30:53+00:00"/>
    <s v="2024-01-04T13:43:36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m/>
    <m/>
    <m/>
    <m/>
    <m/>
    <m/>
    <s v="Favara"/>
    <s v="AG"/>
    <n v="92026"/>
    <s v="IT"/>
    <m/>
    <m/>
    <m/>
    <m/>
    <m/>
    <m/>
    <m/>
  </r>
  <r>
    <s v="171-5930832-3529156"/>
    <m/>
    <s v="2024-01-03T12:28:40+00:00"/>
    <s v="2024-01-04T13:43:34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Cave"/>
    <s v="Roma"/>
    <n v="33"/>
    <s v="IT"/>
    <m/>
    <m/>
    <m/>
    <m/>
    <m/>
    <m/>
    <m/>
  </r>
  <r>
    <s v="408-9465841-3827502"/>
    <m/>
    <s v="2024-01-03T12:26:03+00:00"/>
    <s v="2024-01-04T13:04:36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m/>
    <m/>
    <m/>
    <m/>
    <m/>
    <m/>
    <s v="Casatenovo"/>
    <s v="Lecco"/>
    <n v="23880"/>
    <s v="IT"/>
    <m/>
    <m/>
    <m/>
    <m/>
    <m/>
    <m/>
    <m/>
  </r>
  <r>
    <s v="406-9705885-1880324"/>
    <m/>
    <s v="2024-01-03T10:13:41+00:00"/>
    <s v="2024-01-04T13:43:38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VERONA"/>
    <s v="VR"/>
    <n v="37126"/>
    <s v="IT"/>
    <m/>
    <m/>
    <m/>
    <m/>
    <m/>
    <m/>
    <m/>
  </r>
  <r>
    <s v="406-3263409-3089109"/>
    <m/>
    <s v="2024-01-03T10:12:50+00:00"/>
    <s v="2024-01-04T13:06:27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Civitaquana"/>
    <s v="Pescara"/>
    <n v="65010"/>
    <s v="IT"/>
    <m/>
    <m/>
    <m/>
    <m/>
    <m/>
    <m/>
    <m/>
  </r>
  <r>
    <s v="408-8260120-5829106"/>
    <m/>
    <s v="2024-01-03T09:51:05+00:00"/>
    <s v="2024-01-04T12:34:3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GEMINI"/>
    <s v="Lecce"/>
    <n v="73059"/>
    <s v="IT"/>
    <m/>
    <m/>
    <m/>
    <m/>
    <m/>
    <m/>
    <m/>
  </r>
  <r>
    <s v="406-6938016-1937140"/>
    <m/>
    <s v="2024-01-03T09:19:27+00:00"/>
    <s v="2024-01-04T13:43:3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Noepoli"/>
    <s v="Italia, Potenza, Basilicata"/>
    <n v="85035"/>
    <s v="IT"/>
    <m/>
    <m/>
    <m/>
    <m/>
    <m/>
    <m/>
    <m/>
  </r>
  <r>
    <s v="404-4856587-5345934"/>
    <m/>
    <s v="2024-01-03T09:14:38+00:00"/>
    <s v="2024-01-04T13:06:5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Roma"/>
    <s v="Roma"/>
    <n v="155"/>
    <s v="IT"/>
    <m/>
    <m/>
    <m/>
    <m/>
    <m/>
    <m/>
    <m/>
  </r>
  <r>
    <s v="407-3479390-9135534"/>
    <m/>
    <s v="2024-01-03T09:04:46+00:00"/>
    <s v="2024-01-04T13:43:3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LIDO DI CAMAIORE"/>
    <s v="LU"/>
    <n v="55041"/>
    <s v="IT"/>
    <m/>
    <m/>
    <m/>
    <m/>
    <m/>
    <m/>
    <m/>
  </r>
  <r>
    <s v="405-4757326-6777136"/>
    <m/>
    <s v="2024-01-03T09:01:59+00:00"/>
    <s v="2024-01-04T12:34:36+00:00"/>
    <s v="Shipped"/>
    <x v="1"/>
    <x v="3"/>
    <s v="WebsiteOrderChannel"/>
    <m/>
    <s v="Standard"/>
    <s v="BEPER 40.979 Asciugacapelli 2000 Watt, con Diffusore e Concentratore inclusi, Manico antiscivolo, Nero"/>
    <n v="40979"/>
    <x v="35"/>
    <s v="Shipped"/>
    <n v="1"/>
    <s v="EUR"/>
    <n v="18.899999999999999"/>
    <n v="3.41"/>
    <m/>
    <m/>
    <m/>
    <m/>
    <m/>
    <m/>
    <s v="Bergamo"/>
    <s v="Bergamo"/>
    <n v="24121"/>
    <s v="IT"/>
    <m/>
    <m/>
    <m/>
    <m/>
    <m/>
    <m/>
    <m/>
  </r>
  <r>
    <s v="406-7112508-2511531"/>
    <m/>
    <s v="2024-01-03T08:40:12+00:00"/>
    <s v="2024-01-17T09:42:37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muravera"/>
    <s v="ca"/>
    <n v="9043"/>
    <s v="IT"/>
    <m/>
    <m/>
    <m/>
    <m/>
    <m/>
    <m/>
    <m/>
  </r>
  <r>
    <s v="403-3141777-6847532"/>
    <m/>
    <s v="2024-01-02T23:32:55+00:00"/>
    <s v="2024-01-04T14:16:51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REANA DEL ROJALE"/>
    <s v="Udine"/>
    <n v="33010"/>
    <s v="IT"/>
    <m/>
    <m/>
    <m/>
    <m/>
    <m/>
    <m/>
    <m/>
  </r>
  <r>
    <s v="408-1913703-9302761"/>
    <m/>
    <s v="2024-01-02T22:55:11+00:00"/>
    <s v="2024-01-03T10:41:45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1"/>
    <s v="EUR"/>
    <n v="29.9"/>
    <n v="5.39"/>
    <m/>
    <m/>
    <m/>
    <m/>
    <m/>
    <m/>
    <s v="MILANO"/>
    <s v="Milano"/>
    <n v="20159"/>
    <s v="IT"/>
    <m/>
    <m/>
    <m/>
    <m/>
    <m/>
    <m/>
    <m/>
  </r>
  <r>
    <s v="404-3388477-7717154"/>
    <m/>
    <s v="2024-01-02T22:26:41+00:00"/>
    <s v="2024-01-03T10:41:35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Milano"/>
    <s v="Milano"/>
    <n v="20121"/>
    <s v="IT"/>
    <m/>
    <m/>
    <m/>
    <m/>
    <m/>
    <m/>
    <m/>
  </r>
  <r>
    <s v="408-5495857-0563549"/>
    <m/>
    <s v="2024-01-02T22:07:56+00:00"/>
    <s v="2024-01-03T11:39:43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Campobello di Licata"/>
    <s v="Agrigento"/>
    <n v="92023"/>
    <s v="IT"/>
    <m/>
    <m/>
    <m/>
    <m/>
    <m/>
    <m/>
    <m/>
  </r>
  <r>
    <s v="406-8642712-5242769"/>
    <m/>
    <s v="2024-01-02T21:56:07+00:00"/>
    <s v="2024-01-03T10:30:41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Foggia"/>
    <s v="FG"/>
    <n v="71121"/>
    <s v="IT"/>
    <m/>
    <m/>
    <m/>
    <m/>
    <m/>
    <m/>
    <m/>
  </r>
  <r>
    <s v="406-0426682-4045964"/>
    <m/>
    <s v="2024-01-02T21:43:41+00:00"/>
    <s v="2024-01-03T10:30:43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Casavatore"/>
    <s v="Napoli"/>
    <n v="80020"/>
    <s v="IT"/>
    <m/>
    <m/>
    <m/>
    <m/>
    <m/>
    <m/>
    <m/>
  </r>
  <r>
    <s v="406-2145557-2637107"/>
    <m/>
    <s v="2024-01-02T21:30:58+00:00"/>
    <s v="2024-01-02T22:10:09+00:00"/>
    <s v="Cancelled"/>
    <x v="1"/>
    <x v="3"/>
    <s v="WebsiteOrderChannel"/>
    <m/>
    <s v="Standard"/>
    <s v="BEPER 90.590Y Macchina per Popcorn, Popcorn in 3 Minuti, 1200 W, Circolazione di Aria Calda, Rosso"/>
    <s v="90.590Y"/>
    <x v="2"/>
    <m/>
    <n v="0"/>
    <m/>
    <m/>
    <m/>
    <m/>
    <m/>
    <m/>
    <m/>
    <m/>
    <m/>
    <s v="Foggia"/>
    <s v="FG"/>
    <n v="71121"/>
    <s v="IT"/>
    <m/>
    <m/>
    <m/>
    <m/>
    <m/>
    <m/>
    <m/>
  </r>
  <r>
    <s v="171-4015984-6761105"/>
    <m/>
    <s v="2024-01-02T21:30:00+00:00"/>
    <s v="2024-01-03T10:41:5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Busto Arsizio"/>
    <s v="Varese"/>
    <n v="21052"/>
    <s v="IT"/>
    <m/>
    <m/>
    <m/>
    <m/>
    <m/>
    <m/>
    <m/>
  </r>
  <r>
    <s v="406-2032609-7250710"/>
    <m/>
    <s v="2024-01-02T21:13:44+00:00"/>
    <s v="2024-01-03T10:30:41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olmi"/>
    <s v="treviso"/>
    <n v="31048"/>
    <s v="IT"/>
    <m/>
    <m/>
    <m/>
    <m/>
    <m/>
    <m/>
    <m/>
  </r>
  <r>
    <s v="408-0286418-6065101"/>
    <m/>
    <s v="2024-01-02T20:41:25+00:00"/>
    <s v="2024-01-03T11:39:53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Nichelino"/>
    <s v="Torino"/>
    <n v="10042"/>
    <s v="IT"/>
    <m/>
    <m/>
    <m/>
    <m/>
    <m/>
    <m/>
    <m/>
  </r>
  <r>
    <s v="405-9231926-8114746"/>
    <m/>
    <s v="2024-01-02T19:35:41+00:00"/>
    <s v="2024-01-03T10:41:01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Torino"/>
    <s v="Torino"/>
    <n v="10155"/>
    <s v="IT"/>
    <m/>
    <m/>
    <m/>
    <m/>
    <m/>
    <m/>
    <m/>
  </r>
  <r>
    <s v="407-3177582-7375556"/>
    <m/>
    <s v="2024-01-02T19:20:36+00:00"/>
    <s v="2024-01-03T10:42:0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Milano"/>
    <s v="Milano"/>
    <n v="20141"/>
    <s v="IT"/>
    <m/>
    <m/>
    <m/>
    <m/>
    <m/>
    <m/>
    <m/>
  </r>
  <r>
    <s v="171-4825809-6961926"/>
    <m/>
    <s v="2024-01-02T19:01:11+00:00"/>
    <s v="2024-01-03T10:30:4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CIVITA DI BAGNO"/>
    <s v="AQ"/>
    <n v="67100"/>
    <s v="IT"/>
    <m/>
    <m/>
    <m/>
    <m/>
    <m/>
    <m/>
    <m/>
  </r>
  <r>
    <s v="407-5521538-4185941"/>
    <m/>
    <s v="2024-01-02T19:00:48+00:00"/>
    <s v="2024-01-03T10:30:46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Montecchia di crosara"/>
    <s v="Verona"/>
    <n v="37030"/>
    <s v="IT"/>
    <m/>
    <m/>
    <m/>
    <m/>
    <m/>
    <m/>
    <m/>
  </r>
  <r>
    <s v="171-1360583-1516335"/>
    <m/>
    <s v="2024-01-02T18:54:27+00:00"/>
    <s v="2024-01-03T10:30:39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GUIDONIA MONTECELIO"/>
    <s v="Roma"/>
    <n v="12"/>
    <s v="IT"/>
    <m/>
    <m/>
    <m/>
    <m/>
    <m/>
    <m/>
    <m/>
  </r>
  <r>
    <s v="408-0725773-0993933"/>
    <m/>
    <s v="2024-01-02T18:38:30+00:00"/>
    <s v="2024-01-03T10:41:40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Montelabbate"/>
    <s v="Pesaro e Urbino"/>
    <n v="61025"/>
    <s v="IT"/>
    <m/>
    <m/>
    <m/>
    <m/>
    <m/>
    <m/>
    <m/>
  </r>
  <r>
    <s v="403-5639295-0333132"/>
    <m/>
    <s v="2024-01-02T18:27:00+00:00"/>
    <s v="2024-01-03T11:00:46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Cagliari"/>
    <s v="Cagliari"/>
    <n v="9134"/>
    <s v="IT"/>
    <m/>
    <m/>
    <m/>
    <m/>
    <m/>
    <m/>
    <m/>
  </r>
  <r>
    <s v="403-5485946-2248316"/>
    <m/>
    <s v="2024-01-02T17:43:29+00:00"/>
    <s v="2024-01-09T18:21:12+00:00"/>
    <s v="Cancelled"/>
    <x v="1"/>
    <x v="3"/>
    <s v="WebsiteOrderChannel"/>
    <m/>
    <s v="Standard"/>
    <s v="BEPER 40.490 Asciugacapelli Da Parete 2000 W - Phon da Parete con Cavo Lungo 2 Metri"/>
    <n v="40490"/>
    <x v="26"/>
    <m/>
    <n v="0"/>
    <m/>
    <m/>
    <m/>
    <m/>
    <m/>
    <m/>
    <m/>
    <m/>
    <m/>
    <s v="roma"/>
    <s v="roma"/>
    <n v="123"/>
    <s v="IT"/>
    <m/>
    <m/>
    <m/>
    <m/>
    <s v="IT13482361006"/>
    <s v="IT"/>
    <s v="VAT"/>
  </r>
  <r>
    <s v="171-8630722-7194725"/>
    <m/>
    <s v="2024-01-02T17:10:52+00:00"/>
    <s v="2024-01-03T10:30:42+00:00"/>
    <s v="Shipped"/>
    <x v="1"/>
    <x v="3"/>
    <s v="WebsiteOrderChannel"/>
    <m/>
    <s v="Standard"/>
    <s v="BEPER 40.979 Asciugacapelli 2000 Watt, con Diffusore e Concentratore inclusi, Manico antiscivolo, Nero"/>
    <n v="40979"/>
    <x v="35"/>
    <s v="Shipped"/>
    <n v="1"/>
    <s v="EUR"/>
    <n v="18.899999999999999"/>
    <n v="3.41"/>
    <m/>
    <m/>
    <m/>
    <m/>
    <m/>
    <m/>
    <s v="Gargnano"/>
    <s v="Brescia"/>
    <n v="25084"/>
    <s v="IT"/>
    <m/>
    <m/>
    <m/>
    <m/>
    <m/>
    <m/>
    <m/>
  </r>
  <r>
    <s v="407-4099986-6990726"/>
    <m/>
    <s v="2024-01-02T16:52:47+00:00"/>
    <s v="2024-01-03T11:39:47+00:00"/>
    <s v="Shipped"/>
    <x v="1"/>
    <x v="3"/>
    <s v="WebsiteOrderChannel"/>
    <m/>
    <s v="Standard"/>
    <s v="BEPER P302VIS050 Specchio con Luci, Ingranditore 1x / 2x / 5x - Make-Up per Postazione Trucco, 35x24 cm"/>
    <s v="P302VIS050"/>
    <x v="25"/>
    <s v="Shipped"/>
    <n v="1"/>
    <s v="EUR"/>
    <n v="24.9"/>
    <n v="4.49"/>
    <m/>
    <m/>
    <m/>
    <m/>
    <m/>
    <m/>
    <s v="Cernusco sul naviglio"/>
    <s v="Milano"/>
    <n v="20063"/>
    <s v="IT"/>
    <m/>
    <m/>
    <m/>
    <m/>
    <m/>
    <m/>
    <m/>
  </r>
  <r>
    <s v="407-5427797-2844338"/>
    <m/>
    <s v="2024-01-02T16:41:52+00:00"/>
    <s v="2024-01-03T11:39:46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Zevio"/>
    <s v="VR"/>
    <n v="37059"/>
    <s v="IT"/>
    <m/>
    <m/>
    <m/>
    <m/>
    <m/>
    <m/>
    <m/>
  </r>
  <r>
    <s v="171-3706588-0359551"/>
    <m/>
    <s v="2024-01-02T16:33:32+00:00"/>
    <s v="2024-01-03T11:39:45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Catania"/>
    <s v="Catania"/>
    <n v="95124"/>
    <s v="IT"/>
    <m/>
    <m/>
    <m/>
    <m/>
    <m/>
    <m/>
    <m/>
  </r>
  <r>
    <s v="405-4334016-5673923"/>
    <m/>
    <s v="2024-01-02T16:15:35+00:00"/>
    <s v="2024-01-03T11:00:49+00:00"/>
    <s v="Shipped"/>
    <x v="1"/>
    <x v="3"/>
    <s v="WebsiteOrderChannel"/>
    <m/>
    <s v="Standard"/>
    <s v="Beper Pulitore a Vapore Igenizzante, Caldaia in Alluminio da 350 Ml, Pulsante Vapore Continuo, Pressione 3.2 Bar, 30 G/Min, Cavo da 3 M Giallo/Nero"/>
    <n v="50700"/>
    <x v="24"/>
    <s v="Shipped"/>
    <n v="1"/>
    <s v="EUR"/>
    <n v="44.9"/>
    <n v="8.1"/>
    <m/>
    <m/>
    <m/>
    <m/>
    <m/>
    <m/>
    <s v="Villa D'adda"/>
    <s v="Bergamo"/>
    <n v="24030"/>
    <s v="IT"/>
    <m/>
    <m/>
    <m/>
    <m/>
    <m/>
    <m/>
    <m/>
  </r>
  <r>
    <s v="407-7155841-8753110"/>
    <m/>
    <s v="2024-01-02T16:14:51+00:00"/>
    <s v="2024-01-03T11:42:15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ASCOLI SATRIANO"/>
    <s v="Foggia"/>
    <n v="71022"/>
    <s v="IT"/>
    <m/>
    <m/>
    <m/>
    <m/>
    <m/>
    <m/>
    <m/>
  </r>
  <r>
    <s v="406-2285612-5458745"/>
    <m/>
    <s v="2024-01-02T15:25:35+00:00"/>
    <s v="2024-01-03T10:30:42+00:00"/>
    <s v="Shipped"/>
    <x v="1"/>
    <x v="3"/>
    <s v="WebsiteOrderChannel"/>
    <m/>
    <s v="Standard"/>
    <s v="BEPER BT.150Y Macchina per Hot Dog, 5 Livelli di Cottura, 750 Watt, Design Vintage, Rosso"/>
    <s v="BT.150Y"/>
    <x v="5"/>
    <s v="Shipped"/>
    <n v="1"/>
    <s v="EUR"/>
    <n v="39.9"/>
    <n v="7.2"/>
    <m/>
    <m/>
    <m/>
    <m/>
    <m/>
    <m/>
    <s v="Urbino"/>
    <s v="Pu"/>
    <n v="61029"/>
    <s v="IT"/>
    <m/>
    <m/>
    <m/>
    <m/>
    <m/>
    <m/>
    <m/>
  </r>
  <r>
    <s v="403-8674602-0261158"/>
    <m/>
    <s v="2024-01-02T13:53:06+00:00"/>
    <s v="2024-01-07T13:58:59+00:00"/>
    <s v="Cancelled"/>
    <x v="1"/>
    <x v="3"/>
    <s v="WebsiteOrderChannel"/>
    <m/>
    <s v="Standard"/>
    <s v="BEPER 90.590Y Macchina per Popcorn, Popcorn in 3 Minuti, 1200 W, Circolazione di Aria Calda, Rosso"/>
    <s v="90.590Y"/>
    <x v="2"/>
    <m/>
    <n v="0"/>
    <m/>
    <m/>
    <m/>
    <m/>
    <m/>
    <m/>
    <m/>
    <m/>
    <m/>
    <s v="Ancona"/>
    <s v="Ancona"/>
    <n v="60131"/>
    <s v="IT"/>
    <m/>
    <m/>
    <m/>
    <m/>
    <m/>
    <m/>
    <m/>
  </r>
  <r>
    <s v="405-0145411-9187544"/>
    <m/>
    <s v="2024-01-02T13:51:10+00:00"/>
    <s v="2024-01-03T11:39:4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Giaveno"/>
    <s v="TO"/>
    <n v="10094"/>
    <s v="IT"/>
    <m/>
    <m/>
    <m/>
    <m/>
    <m/>
    <m/>
    <m/>
  </r>
  <r>
    <s v="171-0296717-8344358"/>
    <m/>
    <s v="2024-01-02T12:49:06+00:00"/>
    <s v="2024-01-02T12:58:38+00:00"/>
    <s v="Cancell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m/>
    <n v="0"/>
    <m/>
    <m/>
    <m/>
    <m/>
    <m/>
    <m/>
    <m/>
    <m/>
    <m/>
    <s v="Talsano"/>
    <s v="Taranto"/>
    <n v="74122"/>
    <s v="IT"/>
    <m/>
    <m/>
    <m/>
    <m/>
    <m/>
    <m/>
    <m/>
  </r>
  <r>
    <s v="402-1193269-9003536"/>
    <m/>
    <s v="2024-01-02T12:43:07+00:00"/>
    <s v="2024-01-03T10:41:20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Pomezia"/>
    <s v="Roma"/>
    <n v="71"/>
    <s v="IT"/>
    <m/>
    <m/>
    <m/>
    <m/>
    <s v="IT13851911001"/>
    <s v="IT"/>
    <s v="VAT"/>
  </r>
  <r>
    <s v="406-8636089-9565165"/>
    <m/>
    <s v="2024-01-02T12:19:15+00:00"/>
    <s v="2024-01-03T11:39:46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CASTEL LAGOPESOLE"/>
    <s v="Potenza"/>
    <n v="85021"/>
    <s v="IT"/>
    <m/>
    <m/>
    <m/>
    <m/>
    <m/>
    <m/>
    <m/>
  </r>
  <r>
    <s v="406-0722634-4745109"/>
    <m/>
    <s v="2024-01-02T12:18:37+00:00"/>
    <s v="2024-01-03T10:30:4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Vescovato"/>
    <s v="Cremona"/>
    <n v="26039"/>
    <s v="IT"/>
    <m/>
    <m/>
    <m/>
    <m/>
    <m/>
    <m/>
    <m/>
  </r>
  <r>
    <s v="406-2940557-7240331"/>
    <m/>
    <s v="2024-01-02T12:17:43+00:00"/>
    <s v="2024-01-03T11:39:46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Castel Guelfo di Bologna"/>
    <s v="Bologna"/>
    <n v="40023"/>
    <s v="IT"/>
    <m/>
    <m/>
    <m/>
    <m/>
    <m/>
    <m/>
    <m/>
  </r>
  <r>
    <s v="403-4789450-3076349"/>
    <m/>
    <s v="2024-01-02T11:49:39+00:00"/>
    <s v="2024-01-03T10:30:39+00:00"/>
    <s v="Shipped"/>
    <x v="1"/>
    <x v="3"/>
    <s v="WebsiteOrderChannel"/>
    <m/>
    <s v="Standard"/>
    <s v="BEPER Macchina per Popcorn, Popcorn in 3 Minuti, No Grassi, Circolazione di Aria Calda, Senza Olio Potenza 1200 W, Rosso/ Oro"/>
    <s v="BT.651Y"/>
    <x v="7"/>
    <s v="Shipped"/>
    <n v="1"/>
    <s v="EUR"/>
    <n v="49.9"/>
    <n v="9"/>
    <m/>
    <m/>
    <m/>
    <m/>
    <m/>
    <m/>
    <s v="San clemente"/>
    <s v="Rimini"/>
    <n v="47832"/>
    <s v="IT"/>
    <m/>
    <m/>
    <m/>
    <m/>
    <m/>
    <m/>
    <m/>
  </r>
  <r>
    <s v="171-9063189-9328316"/>
    <m/>
    <s v="2024-01-02T11:32:35+00:00"/>
    <s v="2024-01-03T11:00:46+00:00"/>
    <s v="Shipped"/>
    <x v="1"/>
    <x v="3"/>
    <s v="WebsiteOrderChannel"/>
    <m/>
    <s v="Standard"/>
    <s v="BEPER P202VAL001 Scopa a Vapore e Pulitore a Vapore Completo di 10 Accessori per Tappeti, Divani, Pavimenti, Superfici"/>
    <s v="P202VAL001"/>
    <x v="34"/>
    <s v="Shipped"/>
    <n v="1"/>
    <s v="EUR"/>
    <n v="69.900000000000006"/>
    <n v="12.6"/>
    <m/>
    <m/>
    <m/>
    <m/>
    <m/>
    <m/>
    <s v="Pescara"/>
    <s v="Italy"/>
    <n v="65127"/>
    <s v="IT"/>
    <m/>
    <m/>
    <m/>
    <m/>
    <m/>
    <m/>
    <m/>
  </r>
  <r>
    <s v="402-9583141-0309123"/>
    <m/>
    <s v="2024-01-02T11:15:37+00:00"/>
    <s v="2024-01-03T11:02:0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ponzano veneto"/>
    <s v="treviso"/>
    <n v="31050"/>
    <s v="IT"/>
    <m/>
    <m/>
    <m/>
    <m/>
    <m/>
    <m/>
    <m/>
  </r>
  <r>
    <s v="406-3884128-1456360"/>
    <m/>
    <s v="2024-01-02T11:15:01+00:00"/>
    <s v="2024-01-03T10:30:43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m/>
    <m/>
    <m/>
    <m/>
    <m/>
    <m/>
    <s v="Roma"/>
    <s v="RM"/>
    <n v="124"/>
    <s v="IT"/>
    <m/>
    <m/>
    <m/>
    <m/>
    <n v="9121400585"/>
    <s v="IT"/>
    <s v="VAT"/>
  </r>
  <r>
    <s v="405-8104880-2087561"/>
    <m/>
    <s v="2024-01-02T10:58:01+00:00"/>
    <s v="2024-01-03T10:40:58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Orgiano"/>
    <s v="Vicenza"/>
    <n v="36040"/>
    <s v="IT"/>
    <m/>
    <m/>
    <m/>
    <m/>
    <m/>
    <m/>
    <m/>
  </r>
  <r>
    <s v="407-1722836-5390745"/>
    <m/>
    <s v="2024-01-02T10:52:14+00:00"/>
    <s v="2024-01-03T10:30:40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Avigliana"/>
    <s v="Torino"/>
    <n v="10051"/>
    <s v="IT"/>
    <m/>
    <m/>
    <m/>
    <m/>
    <m/>
    <m/>
    <m/>
  </r>
  <r>
    <s v="403-3666810-8198718"/>
    <m/>
    <s v="2024-01-02T10:52:09+00:00"/>
    <s v="2024-01-03T11:50:08+00:00"/>
    <s v="Shipped"/>
    <x v="1"/>
    <x v="3"/>
    <s v="WebsiteOrderChannel"/>
    <m/>
    <s v="Standard"/>
    <s v="BEPER P201UTP100 Lampada di Sale con Intensità di Luce Regolabile - Lampada Unica, Intagliata a Mano con Base in Legno"/>
    <s v="P201UTP100"/>
    <x v="27"/>
    <s v="Shipped"/>
    <n v="1"/>
    <s v="EUR"/>
    <n v="24.9"/>
    <n v="4.49"/>
    <m/>
    <m/>
    <m/>
    <m/>
    <m/>
    <m/>
    <s v="FORLI'"/>
    <s v="FC"/>
    <n v="47122"/>
    <s v="IT"/>
    <m/>
    <m/>
    <m/>
    <m/>
    <m/>
    <m/>
    <m/>
  </r>
  <r>
    <s v="403-2561609-2400356"/>
    <m/>
    <s v="2024-01-02T10:32:22+00:00"/>
    <s v="2024-01-03T11:11:02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Grosseto"/>
    <s v="GR"/>
    <n v="58100"/>
    <s v="IT"/>
    <m/>
    <m/>
    <m/>
    <m/>
    <m/>
    <m/>
    <m/>
  </r>
  <r>
    <s v="402-7011838-5469914"/>
    <m/>
    <s v="2024-01-02T10:29:34+00:00"/>
    <s v="2024-01-03T11:39:48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Castellammare del Golfo"/>
    <s v="Trapani"/>
    <n v="91014"/>
    <s v="IT"/>
    <m/>
    <m/>
    <m/>
    <m/>
    <m/>
    <m/>
    <m/>
  </r>
  <r>
    <s v="405-7645359-8180315"/>
    <m/>
    <s v="2024-01-02T10:28:48+00:00"/>
    <s v="2024-01-03T11:00:42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Roma"/>
    <s v="RM"/>
    <n v="191"/>
    <s v="IT"/>
    <m/>
    <m/>
    <m/>
    <m/>
    <m/>
    <m/>
    <m/>
  </r>
  <r>
    <s v="407-5493714-7793952"/>
    <m/>
    <s v="2024-01-02T09:14:29+00:00"/>
    <s v="2024-01-02T09:24:53+00:00"/>
    <s v="Cancelled"/>
    <x v="1"/>
    <x v="3"/>
    <s v="WebsiteOrderChannel"/>
    <m/>
    <s v="Standard"/>
    <s v="BEPER Macchina per Popcorn, Popcorn in 3 Minuti, No Grassi, Circolazione di Aria Calda, Senza Olio Potenza 1200 W, Rosso/ Oro"/>
    <s v="BT.651Y"/>
    <x v="7"/>
    <m/>
    <n v="0"/>
    <m/>
    <m/>
    <m/>
    <m/>
    <m/>
    <m/>
    <m/>
    <m/>
    <m/>
    <s v="Roma"/>
    <s v="Roma"/>
    <n v="133"/>
    <s v="IT"/>
    <m/>
    <m/>
    <m/>
    <m/>
    <m/>
    <m/>
    <m/>
  </r>
  <r>
    <s v="402-2953892-9775548"/>
    <m/>
    <s v="2024-01-02T08:59:48+00:00"/>
    <s v="2024-01-03T11:39:42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Bisaccia"/>
    <s v="AV"/>
    <n v="83044"/>
    <s v="IT"/>
    <m/>
    <m/>
    <m/>
    <m/>
    <m/>
    <m/>
    <m/>
  </r>
  <r>
    <s v="407-8343710-8544327"/>
    <m/>
    <s v="2024-01-02T08:29:12+00:00"/>
    <s v="2024-01-03T11:50:33+00:00"/>
    <s v="Shipped"/>
    <x v="1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9"/>
    <s v="Shipped"/>
    <n v="1"/>
    <s v="EUR"/>
    <n v="49.9"/>
    <n v="9"/>
    <m/>
    <m/>
    <m/>
    <m/>
    <m/>
    <m/>
    <s v="Verona"/>
    <s v="VR"/>
    <n v="37139"/>
    <s v="IT"/>
    <m/>
    <m/>
    <m/>
    <m/>
    <m/>
    <m/>
    <m/>
  </r>
  <r>
    <s v="404-6453018-0462703"/>
    <m/>
    <s v="2024-01-02T08:28:06+00:00"/>
    <s v="2024-01-03T10:41:33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Rovigo"/>
    <s v="RO"/>
    <n v="45100"/>
    <s v="IT"/>
    <m/>
    <m/>
    <m/>
    <m/>
    <m/>
    <m/>
    <m/>
  </r>
  <r>
    <s v="404-6076633-7418728"/>
    <m/>
    <s v="2024-01-02T06:46:53+00:00"/>
    <s v="2024-01-03T11:41:16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Sanremo"/>
    <s v="Imperia"/>
    <n v="18038"/>
    <s v="IT"/>
    <m/>
    <m/>
    <m/>
    <m/>
    <m/>
    <m/>
    <m/>
  </r>
  <r>
    <s v="404-0857973-2650736"/>
    <m/>
    <s v="2024-01-02T06:38:52+00:00"/>
    <s v="2024-01-02T15:57:13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2"/>
    <s v="EUR"/>
    <n v="45.8"/>
    <n v="8.26"/>
    <m/>
    <m/>
    <m/>
    <m/>
    <m/>
    <m/>
    <s v="Siracusa"/>
    <s v="Siracusa"/>
    <n v="96100"/>
    <s v="IT"/>
    <m/>
    <m/>
    <m/>
    <m/>
    <m/>
    <m/>
    <m/>
  </r>
  <r>
    <s v="171-3794323-2000356"/>
    <m/>
    <s v="2024-01-02T06:14:25+00:00"/>
    <s v="2024-02-05T11:22:41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VENEZIA"/>
    <s v="Venezia"/>
    <n v="30141"/>
    <s v="IT"/>
    <m/>
    <m/>
    <m/>
    <m/>
    <m/>
    <m/>
    <m/>
  </r>
  <r>
    <s v="402-0507016-9286762"/>
    <m/>
    <s v="2024-01-01T22:07:31+00:00"/>
    <s v="2024-01-02T15:56:10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ALESSANDRIA"/>
    <s v="Alessandria"/>
    <n v="15122"/>
    <s v="IT"/>
    <m/>
    <m/>
    <m/>
    <m/>
    <m/>
    <m/>
    <m/>
  </r>
  <r>
    <s v="406-4272484-3929903"/>
    <m/>
    <s v="2024-01-01T21:31:36+00:00"/>
    <s v="2024-01-02T14:47:0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Dueville"/>
    <s v="VI"/>
    <n v="36031"/>
    <s v="IT"/>
    <m/>
    <m/>
    <m/>
    <m/>
    <m/>
    <m/>
    <m/>
  </r>
  <r>
    <s v="403-3256584-4410749"/>
    <m/>
    <s v="2024-01-01T21:27:19+00:00"/>
    <s v="2024-01-02T15:56:10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Roma"/>
    <s v="Rm"/>
    <n v="161"/>
    <s v="IT"/>
    <m/>
    <m/>
    <m/>
    <m/>
    <m/>
    <m/>
    <m/>
  </r>
  <r>
    <s v="408-0329905-2822778"/>
    <m/>
    <s v="2024-01-01T21:04:00+00:00"/>
    <s v="2024-01-02T16:07:19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Reggio calabria"/>
    <s v="Reggio calabria"/>
    <n v="89133"/>
    <s v="IT"/>
    <m/>
    <m/>
    <m/>
    <m/>
    <m/>
    <m/>
    <m/>
  </r>
  <r>
    <s v="404-4798477-4365107"/>
    <m/>
    <s v="2024-01-01T21:02:30+00:00"/>
    <s v="2024-01-02T14:47:04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Lizzano"/>
    <s v="Taranto"/>
    <n v="74020"/>
    <s v="IT"/>
    <m/>
    <m/>
    <m/>
    <m/>
    <m/>
    <m/>
    <m/>
  </r>
  <r>
    <s v="404-5606665-3633927"/>
    <m/>
    <s v="2024-01-01T20:46:31+00:00"/>
    <s v="2024-01-02T15:56:07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COTIGNOLA"/>
    <s v="Ravenna"/>
    <n v="48033"/>
    <s v="IT"/>
    <m/>
    <m/>
    <m/>
    <m/>
    <m/>
    <m/>
    <m/>
  </r>
  <r>
    <s v="404-0684939-2286718"/>
    <m/>
    <s v="2024-01-01T20:24:31+00:00"/>
    <s v="2024-01-02T14:58:14+00:00"/>
    <s v="Shipped"/>
    <x v="1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4"/>
    <s v="Shipped"/>
    <n v="1"/>
    <s v="EUR"/>
    <n v="39.9"/>
    <n v="7.2"/>
    <m/>
    <m/>
    <m/>
    <m/>
    <m/>
    <m/>
    <s v="LOZIO"/>
    <s v="Brescia"/>
    <n v="25040"/>
    <s v="IT"/>
    <m/>
    <m/>
    <m/>
    <m/>
    <m/>
    <m/>
    <m/>
  </r>
  <r>
    <s v="171-7667629-4841943"/>
    <m/>
    <s v="2024-01-01T20:21:11+00:00"/>
    <s v="2024-01-02T15:56:08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32.9"/>
    <n v="5.93"/>
    <m/>
    <m/>
    <m/>
    <m/>
    <m/>
    <m/>
    <s v="roma"/>
    <s v="Roma"/>
    <n v="141"/>
    <s v="IT"/>
    <m/>
    <m/>
    <m/>
    <m/>
    <m/>
    <m/>
    <m/>
  </r>
  <r>
    <s v="171-7829660-2888342"/>
    <m/>
    <s v="2024-01-01T20:06:40+00:00"/>
    <s v="2024-01-02T15:56:13+00:00"/>
    <s v="Shipped"/>
    <x v="1"/>
    <x v="3"/>
    <s v="WebsiteOrderChannel"/>
    <m/>
    <s v="Standard"/>
    <s v="BEPER 40.979 Asciugacapelli 2000 Watt, con Diffusore e Concentratore inclusi, Manico antiscivolo, Nero"/>
    <n v="40979"/>
    <x v="35"/>
    <s v="Shipped"/>
    <n v="1"/>
    <s v="EUR"/>
    <n v="22.9"/>
    <n v="4.13"/>
    <m/>
    <m/>
    <m/>
    <m/>
    <m/>
    <m/>
    <s v="messina"/>
    <s v="Messina"/>
    <n v="98164"/>
    <s v="IT"/>
    <m/>
    <m/>
    <m/>
    <m/>
    <m/>
    <m/>
    <m/>
  </r>
  <r>
    <s v="406-2327557-8568340"/>
    <m/>
    <s v="2024-01-01T19:11:22+00:00"/>
    <s v="2024-01-02T15:56:08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Anguillara Sabazia"/>
    <s v="Roma"/>
    <n v="61"/>
    <s v="IT"/>
    <m/>
    <m/>
    <m/>
    <m/>
    <m/>
    <m/>
    <m/>
  </r>
  <r>
    <s v="406-0241787-0849903"/>
    <m/>
    <s v="2024-01-01T19:06:09+00:00"/>
    <s v="2024-01-02T14:57:12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Folgarida di Dimaro"/>
    <s v="TN"/>
    <n v="38025"/>
    <s v="IT"/>
    <m/>
    <m/>
    <m/>
    <m/>
    <m/>
    <m/>
    <m/>
  </r>
  <r>
    <s v="402-8070080-2260337"/>
    <m/>
    <s v="2024-01-01T17:41:21+00:00"/>
    <s v="2024-01-02T15:56:08+00:00"/>
    <s v="Shipped"/>
    <x v="1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4"/>
    <s v="Shipped"/>
    <n v="1"/>
    <s v="EUR"/>
    <n v="39.9"/>
    <n v="7.2"/>
    <m/>
    <m/>
    <m/>
    <m/>
    <m/>
    <m/>
    <s v="Genova"/>
    <s v="Genova"/>
    <n v="16154"/>
    <s v="IT"/>
    <m/>
    <m/>
    <m/>
    <m/>
    <m/>
    <m/>
    <m/>
  </r>
  <r>
    <s v="171-9436690-7779510"/>
    <m/>
    <s v="2024-01-01T17:40:48+00:00"/>
    <s v="2024-01-06T17:44:06+00:00"/>
    <s v="Cancelled"/>
    <x v="1"/>
    <x v="3"/>
    <s v="WebsiteOrderChannel"/>
    <m/>
    <s v="Standard"/>
    <s v="BEPER BT.710Y Crepiera elettrica con Manico, 800 W, Piastra in Alluminio con Rivestimento Antiaderente"/>
    <s v="BT.710Y"/>
    <x v="0"/>
    <m/>
    <n v="0"/>
    <m/>
    <m/>
    <m/>
    <m/>
    <m/>
    <m/>
    <m/>
    <m/>
    <m/>
    <s v="Bellona"/>
    <s v="caserta"/>
    <n v="81041"/>
    <s v="IT"/>
    <m/>
    <m/>
    <m/>
    <m/>
    <m/>
    <m/>
    <m/>
  </r>
  <r>
    <s v="402-6707256-7242727"/>
    <m/>
    <s v="2024-01-01T17:37:42+00:00"/>
    <s v="2024-01-02T16:03:14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32.9"/>
    <n v="5.93"/>
    <m/>
    <m/>
    <m/>
    <m/>
    <m/>
    <m/>
    <s v="roncegno terme"/>
    <s v="Trento"/>
    <n v="38050"/>
    <s v="IT"/>
    <m/>
    <m/>
    <m/>
    <m/>
    <m/>
    <m/>
    <m/>
  </r>
  <r>
    <s v="404-2584925-1567502"/>
    <m/>
    <s v="2024-01-01T17:19:04+00:00"/>
    <s v="2024-01-02T15:52:26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2"/>
    <s v="EUR"/>
    <n v="59.8"/>
    <n v="10.78"/>
    <m/>
    <m/>
    <m/>
    <m/>
    <m/>
    <m/>
    <s v="Pace del mela"/>
    <s v="Messina"/>
    <n v="98042"/>
    <s v="IT"/>
    <m/>
    <m/>
    <m/>
    <m/>
    <m/>
    <m/>
    <m/>
  </r>
  <r>
    <s v="404-0844753-8478760"/>
    <m/>
    <s v="2024-01-01T16:35:37+00:00"/>
    <s v="2024-01-02T15:24:47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CAORLE"/>
    <s v="Veneto"/>
    <n v="30021"/>
    <s v="IT"/>
    <m/>
    <m/>
    <m/>
    <m/>
    <s v="CFFGPP87L23E791M"/>
    <s v="IT"/>
    <s v="CitizenId"/>
  </r>
  <r>
    <s v="405-2503960-5758718"/>
    <m/>
    <s v="2024-01-01T16:04:01+00:00"/>
    <s v="2024-01-02T15:52:28+00:00"/>
    <s v="Shipped"/>
    <x v="1"/>
    <x v="3"/>
    <s v="WebsiteOrderChannel"/>
    <m/>
    <s v="Standard"/>
    <s v="BEPER BP.961 Mescolatore Automatico"/>
    <s v="BP.961"/>
    <x v="21"/>
    <s v="Shipped"/>
    <n v="1"/>
    <s v="EUR"/>
    <n v="59.9"/>
    <n v="10.8"/>
    <m/>
    <m/>
    <m/>
    <m/>
    <m/>
    <m/>
    <s v="Massa lubrense"/>
    <s v="Napoli"/>
    <n v="80061"/>
    <s v="IT"/>
    <m/>
    <m/>
    <m/>
    <m/>
    <m/>
    <m/>
    <m/>
  </r>
  <r>
    <s v="406-5376339-9409913"/>
    <m/>
    <s v="2024-01-01T16:02:33+00:00"/>
    <s v="2024-01-02T14:53:52+00:00"/>
    <s v="Shipped"/>
    <x v="1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22"/>
    <s v="Shipped"/>
    <n v="1"/>
    <s v="EUR"/>
    <n v="32.9"/>
    <n v="5.93"/>
    <m/>
    <m/>
    <m/>
    <m/>
    <m/>
    <m/>
    <s v="Torino"/>
    <s v="TO"/>
    <n v="10152"/>
    <s v="IT"/>
    <m/>
    <m/>
    <m/>
    <m/>
    <m/>
    <m/>
    <m/>
  </r>
  <r>
    <s v="404-9163220-6385117"/>
    <m/>
    <s v="2024-01-01T15:30:31+00:00"/>
    <s v="2024-01-02T15:13:25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ALDENO"/>
    <s v="Trento"/>
    <n v="38060"/>
    <s v="IT"/>
    <m/>
    <m/>
    <m/>
    <m/>
    <m/>
    <m/>
    <m/>
  </r>
  <r>
    <s v="408-7660595-5029157"/>
    <m/>
    <s v="2024-01-01T15:28:35+00:00"/>
    <s v="2024-01-02T14:43:21+00:00"/>
    <s v="Shipped"/>
    <x v="1"/>
    <x v="3"/>
    <s v="WebsiteOrderChannel"/>
    <m/>
    <s v="Standard"/>
    <s v="BEPER 40.490 Asciugacapelli Da Parete 2000 W - Phon da Parete con Cavo Lungo 2 Metri"/>
    <n v="40490"/>
    <x v="26"/>
    <s v="Shipped"/>
    <n v="2"/>
    <s v="EUR"/>
    <n v="59.8"/>
    <n v="10.78"/>
    <m/>
    <m/>
    <m/>
    <m/>
    <m/>
    <m/>
    <s v="Grugliasco"/>
    <s v="Torino"/>
    <n v="10095"/>
    <s v="IT"/>
    <m/>
    <m/>
    <m/>
    <m/>
    <s v="IT11320030015"/>
    <s v="IT"/>
    <s v="VAT"/>
  </r>
  <r>
    <s v="404-6137874-2826703"/>
    <m/>
    <s v="2024-01-01T15:23:08+00:00"/>
    <s v="2024-01-02T15:52:29+00:00"/>
    <s v="Shipped"/>
    <x v="1"/>
    <x v="3"/>
    <s v="WebsiteOrderChannel"/>
    <m/>
    <s v="Standard"/>
    <s v="BEPER BP.790 Coltello elettrico da cucina, 150 W, ABS, Bianco/Rosso"/>
    <s v="BP.790"/>
    <x v="36"/>
    <s v="Shipped"/>
    <n v="1"/>
    <s v="EUR"/>
    <n v="29.9"/>
    <n v="5.39"/>
    <m/>
    <m/>
    <m/>
    <m/>
    <m/>
    <m/>
    <s v="meta"/>
    <s v="NA"/>
    <n v="80062"/>
    <s v="IT"/>
    <m/>
    <m/>
    <m/>
    <m/>
    <m/>
    <m/>
    <m/>
  </r>
  <r>
    <s v="171-8946273-4884303"/>
    <m/>
    <s v="2024-01-01T15:02:55+00:00"/>
    <s v="2024-01-02T14:43:27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Milazzo"/>
    <s v="Messina"/>
    <n v="98057"/>
    <s v="IT"/>
    <m/>
    <m/>
    <m/>
    <m/>
    <m/>
    <m/>
    <m/>
  </r>
  <r>
    <s v="405-5934731-2887528"/>
    <m/>
    <s v="2024-01-01T14:18:13+00:00"/>
    <s v="2024-01-02T15:52:30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Roverbella"/>
    <s v="Mantova"/>
    <n v="46048"/>
    <s v="IT"/>
    <m/>
    <m/>
    <m/>
    <m/>
    <m/>
    <m/>
    <m/>
  </r>
  <r>
    <s v="406-5342373-2972306"/>
    <m/>
    <s v="2024-01-01T13:59:16+00:00"/>
    <s v="2024-01-02T14:45:22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Pergine Valdarno, Loc. Montalto"/>
    <s v="Arezzo"/>
    <n v="52019"/>
    <s v="IT"/>
    <m/>
    <m/>
    <m/>
    <m/>
    <m/>
    <m/>
    <m/>
  </r>
  <r>
    <s v="406-7247172-2487504"/>
    <m/>
    <s v="2024-01-01T13:48:35+00:00"/>
    <s v="2024-01-02T16:02:31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san daniele del friuli"/>
    <s v="udine"/>
    <n v="33038"/>
    <s v="IT"/>
    <m/>
    <m/>
    <m/>
    <m/>
    <m/>
    <m/>
    <m/>
  </r>
  <r>
    <s v="403-5921619-3586764"/>
    <m/>
    <s v="2024-01-01T12:42:24+00:00"/>
    <s v="2024-01-01T12:58:44+00:00"/>
    <s v="Cancelled"/>
    <x v="1"/>
    <x v="3"/>
    <s v="WebsiteOrderChannel"/>
    <m/>
    <s v="Standard"/>
    <s v="BEPER BP.790 Coltello elettrico da cucina, 150 W, ABS, Bianco/Rosso"/>
    <s v="BP.790"/>
    <x v="36"/>
    <m/>
    <n v="0"/>
    <m/>
    <m/>
    <m/>
    <m/>
    <m/>
    <m/>
    <m/>
    <m/>
    <m/>
    <s v="sirolo"/>
    <s v="Ancona"/>
    <n v="60020"/>
    <s v="IT"/>
    <m/>
    <m/>
    <m/>
    <m/>
    <m/>
    <m/>
    <m/>
  </r>
  <r>
    <s v="406-0099686-0570702"/>
    <m/>
    <s v="2024-01-01T11:59:45+00:00"/>
    <s v="2024-01-02T14:43:27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Taranto"/>
    <s v="Taranto"/>
    <n v="74123"/>
    <s v="IT"/>
    <m/>
    <m/>
    <m/>
    <m/>
    <m/>
    <m/>
    <m/>
  </r>
  <r>
    <s v="171-5393080-3419523"/>
    <m/>
    <s v="2024-01-01T11:12:30+00:00"/>
    <s v="2024-01-02T15:52:2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algund"/>
    <m/>
    <n v="39022"/>
    <s v="IT"/>
    <m/>
    <m/>
    <m/>
    <m/>
    <m/>
    <m/>
    <m/>
  </r>
  <r>
    <s v="405-0132535-8936361"/>
    <m/>
    <s v="2024-01-01T10:36:15+00:00"/>
    <s v="2024-01-02T15:52:27+00:00"/>
    <s v="Shipped"/>
    <x v="1"/>
    <x v="3"/>
    <s v="WebsiteOrderChannel"/>
    <m/>
    <s v="Standard"/>
    <s v="BEPER P202VAL001 Scopa a Vapore e Pulitore a Vapore Completo di 10 Accessori per Tappeti, Divani, Pavimenti, Superfici"/>
    <s v="P202VAL001"/>
    <x v="34"/>
    <s v="Shipped"/>
    <n v="1"/>
    <s v="EUR"/>
    <n v="69.900000000000006"/>
    <n v="12.6"/>
    <m/>
    <m/>
    <m/>
    <m/>
    <m/>
    <m/>
    <s v="Castellammare di stabia"/>
    <s v="Na"/>
    <n v="80053"/>
    <s v="IT"/>
    <m/>
    <m/>
    <m/>
    <m/>
    <m/>
    <m/>
    <m/>
  </r>
  <r>
    <s v="408-3750298-7339560"/>
    <m/>
    <s v="2024-01-01T10:27:52+00:00"/>
    <s v="2024-01-10T10:41:48+00:00"/>
    <s v="Shipped"/>
    <x v="1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8"/>
    <s v="Shipped"/>
    <n v="1"/>
    <s v="EUR"/>
    <n v="32.9"/>
    <n v="5.93"/>
    <m/>
    <m/>
    <m/>
    <m/>
    <m/>
    <m/>
    <s v="Roma"/>
    <s v="Rm"/>
    <n v="131"/>
    <s v="IT"/>
    <m/>
    <m/>
    <m/>
    <m/>
    <m/>
    <m/>
    <m/>
  </r>
  <r>
    <s v="402-5265073-8019502"/>
    <m/>
    <s v="2024-01-01T10:27:30+00:00"/>
    <s v="2024-01-02T14:43:24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VILLANTERIO"/>
    <s v="Pavia"/>
    <n v="27019"/>
    <s v="IT"/>
    <m/>
    <m/>
    <m/>
    <m/>
    <m/>
    <m/>
    <m/>
  </r>
  <r>
    <s v="403-9983562-1213167"/>
    <m/>
    <s v="2024-01-01T09:17:26+00:00"/>
    <s v="2024-01-02T15:52:29+00:00"/>
    <s v="Shipped"/>
    <x v="1"/>
    <x v="3"/>
    <s v="WebsiteOrderChannel"/>
    <m/>
    <s v="Standard"/>
    <s v="Beper P203TFO001, Borsa acqua calda elettrica, ‎Nero, 7.5 x 25 x 16 cm"/>
    <s v="P203TFO001"/>
    <x v="14"/>
    <s v="Shipped"/>
    <n v="1"/>
    <s v="EUR"/>
    <n v="22.9"/>
    <n v="4.13"/>
    <m/>
    <m/>
    <m/>
    <m/>
    <m/>
    <m/>
    <s v="Vimercate"/>
    <s v="MB"/>
    <n v="20871"/>
    <s v="IT"/>
    <m/>
    <m/>
    <m/>
    <m/>
    <m/>
    <m/>
    <m/>
  </r>
  <r>
    <s v="402-6741634-8470744"/>
    <m/>
    <s v="2024-01-01T07:50:55+00:00"/>
    <s v="2024-01-02T15:52:26+00:00"/>
    <s v="Shipped"/>
    <x v="1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m/>
    <m/>
    <m/>
    <m/>
    <m/>
    <m/>
    <s v="figline e incisa valdarno"/>
    <s v="firenze"/>
    <n v="50063"/>
    <s v="IT"/>
    <m/>
    <m/>
    <m/>
    <m/>
    <m/>
    <m/>
    <m/>
  </r>
  <r>
    <s v="408-2809672-4126700"/>
    <m/>
    <s v="2024-01-01T01:44:51+00:00"/>
    <s v="2024-01-02T15:52:24+00:00"/>
    <s v="Shipped"/>
    <x v="1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m/>
    <m/>
    <m/>
    <m/>
    <m/>
    <m/>
    <s v="Reggio calabria"/>
    <s v="Reggio calabria"/>
    <n v="89133"/>
    <s v="IT"/>
    <m/>
    <m/>
    <m/>
    <m/>
    <m/>
    <m/>
    <m/>
  </r>
  <r>
    <s v="404-7090449-9225106"/>
    <m/>
    <s v="2024-01-01T01:31:36+00:00"/>
    <s v="2024-01-02T16:03:35+00:00"/>
    <s v="Shipped"/>
    <x v="1"/>
    <x v="3"/>
    <s v="WebsiteOrderChannel"/>
    <m/>
    <s v="Standard"/>
    <s v="Beper RI.080 - Termoventilatore Ceramico a Basso Consumo - Stufetta Elettrica con Protezione Anti-Surriscaldamento"/>
    <s v="RI.080"/>
    <x v="30"/>
    <s v="Shipped"/>
    <n v="1"/>
    <s v="EUR"/>
    <n v="32.9"/>
    <n v="5.93"/>
    <m/>
    <m/>
    <m/>
    <m/>
    <m/>
    <m/>
    <s v="CELLOLE"/>
    <s v="CE"/>
    <n v="81030"/>
    <s v="IT"/>
    <m/>
    <m/>
    <m/>
    <m/>
    <m/>
    <m/>
    <m/>
  </r>
  <r>
    <s v="406-1154726-6412303"/>
    <m/>
    <s v="2024-01-01T01:26:01+00:00"/>
    <s v="2024-01-02T14:43:26+00:00"/>
    <s v="Shipped"/>
    <x v="1"/>
    <x v="3"/>
    <s v="WebsiteOrderChannel"/>
    <m/>
    <s v="Standard"/>
    <s v="BEPER P202VAL001 Scopa a Vapore e Pulitore a Vapore Completo di 10 Accessori per Tappeti, Divani, Pavimenti, Superfici"/>
    <s v="P202VAL001"/>
    <x v="34"/>
    <s v="Shipped"/>
    <n v="1"/>
    <s v="EUR"/>
    <n v="69.900000000000006"/>
    <n v="12.6"/>
    <m/>
    <m/>
    <m/>
    <m/>
    <m/>
    <m/>
    <s v="Pomigliano d'Arco"/>
    <s v="Napoli"/>
    <n v="80038"/>
    <s v="IT"/>
    <m/>
    <m/>
    <m/>
    <m/>
    <m/>
    <m/>
    <m/>
  </r>
  <r>
    <s v="404-7447350-1257932"/>
    <m/>
    <s v="2024-01-01T00:48:43+00:00"/>
    <s v="2024-01-02T15:52:26+00:00"/>
    <s v="Shipped"/>
    <x v="1"/>
    <x v="3"/>
    <s v="WebsiteOrderChannel"/>
    <m/>
    <s v="Standard"/>
    <s v="BEPER Macchina per Popcorn, Popcorn in 3 Minuti, No Grassi, Circolazione di Aria Calda, Senza Olio Potenza 1200 W, Rosso/ Oro"/>
    <s v="BT.651Y"/>
    <x v="7"/>
    <s v="Shipped"/>
    <n v="1"/>
    <s v="EUR"/>
    <n v="49.9"/>
    <n v="9"/>
    <m/>
    <m/>
    <m/>
    <m/>
    <m/>
    <m/>
    <s v="Sessa Aurunca"/>
    <s v="Caserta"/>
    <n v="81037"/>
    <s v="IT"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x v="0"/>
    <x v="0"/>
    <n v="1183"/>
    <n v="16822.21"/>
    <n v="3"/>
    <n v="60.699999999999996"/>
    <n v="3.5953517491948959E-3"/>
    <n v="1186"/>
    <n v="16882.91"/>
    <n v="14"/>
    <n v="182.42"/>
    <n v="1172"/>
    <n v="16700.490000000002"/>
    <n v="91.549665606841373"/>
  </r>
  <r>
    <x v="1"/>
    <x v="1"/>
    <n v="1"/>
    <n v="5.03"/>
    <n v="0"/>
    <n v="0"/>
    <n v="0"/>
    <n v="1"/>
    <n v="5.03"/>
    <n v="0"/>
    <n v="0"/>
    <n v="1"/>
    <n v="5.03"/>
    <m/>
  </r>
  <r>
    <x v="2"/>
    <x v="2"/>
    <n v="10"/>
    <n v="127.35"/>
    <n v="0"/>
    <n v="0"/>
    <n v="0"/>
    <n v="10"/>
    <n v="127.35"/>
    <n v="1"/>
    <n v="20.59"/>
    <n v="9"/>
    <n v="106.75999999999999"/>
    <n v="5.1850412821758134"/>
  </r>
  <r>
    <x v="3"/>
    <x v="3"/>
    <n v="1"/>
    <n v="15.18"/>
    <n v="0"/>
    <n v="0"/>
    <n v="0"/>
    <n v="1"/>
    <n v="15.18"/>
    <n v="2"/>
    <n v="34.18"/>
    <n v="-1"/>
    <n v="-19"/>
    <n v="-0.5558806319485079"/>
  </r>
  <r>
    <x v="4"/>
    <x v="4"/>
    <n v="48"/>
    <n v="271.81"/>
    <n v="0"/>
    <n v="0"/>
    <n v="0"/>
    <n v="48"/>
    <n v="271.81"/>
    <n v="119"/>
    <n v="828.55000000000007"/>
    <n v="-71"/>
    <n v="-556.74"/>
    <n v="-0.67194496409389892"/>
  </r>
  <r>
    <x v="5"/>
    <x v="5"/>
    <n v="0"/>
    <n v="0"/>
    <n v="0"/>
    <n v="0"/>
    <m/>
    <n v="0"/>
    <n v="0"/>
    <n v="13"/>
    <n v="104.24"/>
    <n v="-13"/>
    <n v="-104.24"/>
    <n v="-1"/>
  </r>
  <r>
    <x v="6"/>
    <x v="6"/>
    <n v="0"/>
    <n v="0"/>
    <n v="0"/>
    <n v="0"/>
    <m/>
    <n v="0"/>
    <n v="0"/>
    <n v="0"/>
    <n v="0"/>
    <n v="0"/>
    <n v="0"/>
    <m/>
  </r>
  <r>
    <x v="7"/>
    <x v="7"/>
    <n v="6"/>
    <n v="147.9"/>
    <n v="0"/>
    <n v="0"/>
    <n v="0"/>
    <n v="6"/>
    <n v="147.9"/>
    <n v="20"/>
    <n v="325.83999999999997"/>
    <n v="-14"/>
    <n v="-177.93999999999997"/>
    <n v="-0.54609624355511899"/>
  </r>
  <r>
    <x v="8"/>
    <x v="8"/>
    <n v="275"/>
    <n v="5023.29"/>
    <n v="0"/>
    <n v="0"/>
    <n v="0"/>
    <n v="275"/>
    <n v="5023.29"/>
    <n v="573"/>
    <n v="9291.39"/>
    <n v="-298"/>
    <n v="-4268.0999999999995"/>
    <n v="-0.45936076302899781"/>
  </r>
  <r>
    <x v="9"/>
    <x v="9"/>
    <n v="1"/>
    <n v="20.41"/>
    <n v="48"/>
    <n v="1440.2000000000007"/>
    <n v="0.98602638623588768"/>
    <n v="49"/>
    <n v="1460.6100000000008"/>
    <n v="400"/>
    <n v="8213.58"/>
    <n v="-351"/>
    <n v="-6752.9699999999993"/>
    <n v="-0.8221713308934715"/>
  </r>
  <r>
    <x v="10"/>
    <x v="10"/>
    <n v="2"/>
    <n v="98.08"/>
    <n v="0"/>
    <n v="0"/>
    <n v="0"/>
    <n v="2"/>
    <n v="98.08"/>
    <n v="8"/>
    <n v="425.01"/>
    <n v="-6"/>
    <n v="-326.93"/>
    <n v="-0.76922895931860436"/>
  </r>
  <r>
    <x v="11"/>
    <x v="11"/>
    <n v="1"/>
    <n v="7.43"/>
    <n v="0"/>
    <n v="0"/>
    <n v="0"/>
    <n v="1"/>
    <n v="7.43"/>
    <n v="0"/>
    <n v="0"/>
    <n v="1"/>
    <n v="7.43"/>
    <m/>
  </r>
  <r>
    <x v="12"/>
    <x v="12"/>
    <n v="2"/>
    <n v="12.96"/>
    <n v="0"/>
    <n v="0"/>
    <n v="0"/>
    <n v="2"/>
    <n v="12.96"/>
    <n v="0"/>
    <n v="0"/>
    <n v="2"/>
    <n v="12.96"/>
    <m/>
  </r>
  <r>
    <x v="13"/>
    <x v="13"/>
    <n v="19"/>
    <n v="686.19"/>
    <n v="0"/>
    <n v="0"/>
    <n v="0"/>
    <n v="19"/>
    <n v="686.19"/>
    <n v="99"/>
    <n v="2832.39"/>
    <n v="-80"/>
    <n v="-2146.1999999999998"/>
    <n v="-0.75773463400167351"/>
  </r>
  <r>
    <x v="14"/>
    <x v="14"/>
    <n v="15"/>
    <n v="209.45"/>
    <n v="0"/>
    <n v="0"/>
    <n v="0"/>
    <n v="15"/>
    <n v="209.45"/>
    <n v="1584"/>
    <n v="20644.509999999998"/>
    <n v="-1569"/>
    <n v="-20435.059999999998"/>
    <n v="-0.98985444556446234"/>
  </r>
  <r>
    <x v="15"/>
    <x v="15"/>
    <n v="1"/>
    <n v="15.05"/>
    <n v="0"/>
    <n v="0"/>
    <n v="0"/>
    <n v="1"/>
    <n v="15.05"/>
    <n v="0"/>
    <n v="0"/>
    <n v="1"/>
    <n v="15.05"/>
    <m/>
  </r>
  <r>
    <x v="16"/>
    <x v="16"/>
    <n v="1"/>
    <n v="18.03"/>
    <n v="0"/>
    <n v="0"/>
    <n v="0"/>
    <n v="1"/>
    <n v="18.03"/>
    <n v="0"/>
    <n v="0"/>
    <n v="1"/>
    <n v="18.03"/>
    <m/>
  </r>
  <r>
    <x v="17"/>
    <x v="17"/>
    <n v="3"/>
    <n v="17.190000000000001"/>
    <n v="0"/>
    <n v="0"/>
    <n v="0"/>
    <n v="3"/>
    <n v="17.190000000000001"/>
    <n v="0"/>
    <n v="0"/>
    <n v="3"/>
    <n v="17.190000000000001"/>
    <m/>
  </r>
  <r>
    <x v="18"/>
    <x v="18"/>
    <n v="9"/>
    <n v="199.98"/>
    <n v="0"/>
    <n v="0"/>
    <n v="0"/>
    <n v="9"/>
    <n v="199.98"/>
    <n v="75"/>
    <n v="1575.73"/>
    <n v="-66"/>
    <n v="-1375.75"/>
    <n v="-0.87308739441401761"/>
  </r>
  <r>
    <x v="19"/>
    <x v="19"/>
    <n v="1"/>
    <n v="22.97"/>
    <n v="6"/>
    <n v="281.39999999999998"/>
    <n v="0.92453264119328438"/>
    <n v="7"/>
    <n v="304.37"/>
    <n v="8"/>
    <n v="319.21999999999997"/>
    <n v="-1"/>
    <n v="-14.849999999999966"/>
    <n v="-4.6519641626464402E-2"/>
  </r>
  <r>
    <x v="20"/>
    <x v="20"/>
    <n v="12"/>
    <n v="1075.69"/>
    <n v="0"/>
    <n v="0"/>
    <n v="0"/>
    <n v="12"/>
    <n v="1075.69"/>
    <n v="13"/>
    <n v="973.92"/>
    <n v="-1"/>
    <n v="101.7700000000001"/>
    <n v="0.10449523574831619"/>
  </r>
  <r>
    <x v="21"/>
    <x v="21"/>
    <n v="3"/>
    <n v="10.49"/>
    <n v="0"/>
    <n v="0"/>
    <n v="0"/>
    <n v="3"/>
    <n v="10.49"/>
    <n v="13"/>
    <n v="44.07"/>
    <n v="-10"/>
    <n v="-33.58"/>
    <n v="-0.76196959382800089"/>
  </r>
  <r>
    <x v="22"/>
    <x v="22"/>
    <n v="23"/>
    <n v="410.8"/>
    <n v="534"/>
    <n v="10674.529999999895"/>
    <n v="0.96294201435590976"/>
    <n v="557"/>
    <n v="11085.329999999894"/>
    <n v="3002"/>
    <n v="35627.11"/>
    <n v="-2445"/>
    <n v="-24541.780000000108"/>
    <n v="-0.68885127084403164"/>
  </r>
  <r>
    <x v="23"/>
    <x v="23"/>
    <n v="14"/>
    <n v="58.41"/>
    <n v="0"/>
    <n v="0"/>
    <n v="0"/>
    <n v="14"/>
    <n v="58.41"/>
    <n v="9"/>
    <n v="37.22"/>
    <n v="5"/>
    <n v="21.189999999999998"/>
    <n v="0.56931757119828041"/>
  </r>
  <r>
    <x v="24"/>
    <x v="24"/>
    <n v="6"/>
    <n v="36.93"/>
    <n v="0"/>
    <n v="0"/>
    <n v="0"/>
    <n v="6"/>
    <n v="36.93"/>
    <n v="9"/>
    <n v="54.099999999999994"/>
    <n v="-3"/>
    <n v="-17.169999999999995"/>
    <n v="-0.31737523105360438"/>
  </r>
  <r>
    <x v="25"/>
    <x v="25"/>
    <n v="9"/>
    <n v="267.95999999999998"/>
    <n v="394"/>
    <n v="14503.529999999904"/>
    <n v="0.98185964990667829"/>
    <n v="403"/>
    <n v="14771.489999999903"/>
    <n v="1143"/>
    <n v="33655.870000000003"/>
    <n v="-740"/>
    <n v="-18884.380000000099"/>
    <n v="-0.56110211977881119"/>
  </r>
  <r>
    <x v="26"/>
    <x v="26"/>
    <n v="66"/>
    <n v="1357.8700000000001"/>
    <n v="0"/>
    <n v="0"/>
    <n v="0"/>
    <n v="66"/>
    <n v="1357.8700000000001"/>
    <n v="72"/>
    <n v="1646.1000000000001"/>
    <n v="-6"/>
    <n v="-288.23"/>
    <n v="-0.17509871818237044"/>
  </r>
  <r>
    <x v="27"/>
    <x v="27"/>
    <n v="0"/>
    <n v="0"/>
    <n v="8"/>
    <n v="432.79999999999995"/>
    <n v="1"/>
    <n v="8"/>
    <n v="432.79999999999995"/>
    <n v="266"/>
    <n v="7610.26"/>
    <n v="-258"/>
    <n v="-7177.46"/>
    <n v="-0.94312940687965985"/>
  </r>
  <r>
    <x v="28"/>
    <x v="28"/>
    <n v="11"/>
    <n v="45.739999999999995"/>
    <n v="0"/>
    <n v="0"/>
    <n v="0"/>
    <n v="11"/>
    <n v="45.739999999999995"/>
    <n v="0"/>
    <n v="0"/>
    <n v="11"/>
    <n v="45.739999999999995"/>
    <m/>
  </r>
  <r>
    <x v="29"/>
    <x v="29"/>
    <n v="2"/>
    <n v="27.28"/>
    <n v="0"/>
    <n v="0"/>
    <n v="0"/>
    <n v="2"/>
    <n v="27.28"/>
    <n v="8"/>
    <n v="100.16"/>
    <n v="-6"/>
    <n v="-72.88"/>
    <n v="-0.72763578274760377"/>
  </r>
  <r>
    <x v="30"/>
    <x v="30"/>
    <n v="4"/>
    <n v="51.29"/>
    <n v="0"/>
    <n v="0"/>
    <n v="0"/>
    <n v="4"/>
    <n v="51.29"/>
    <n v="6"/>
    <n v="98.39"/>
    <n v="-2"/>
    <n v="-47.1"/>
    <n v="-0.47870718568960263"/>
  </r>
  <r>
    <x v="31"/>
    <x v="31"/>
    <n v="36"/>
    <n v="3.64"/>
    <n v="0"/>
    <n v="0"/>
    <n v="0"/>
    <n v="36"/>
    <n v="3.64"/>
    <n v="17"/>
    <n v="72.960000000000008"/>
    <n v="19"/>
    <n v="-69.320000000000007"/>
    <n v="-0.95010964912280704"/>
  </r>
  <r>
    <x v="32"/>
    <x v="32"/>
    <n v="0"/>
    <n v="0"/>
    <n v="0"/>
    <n v="0"/>
    <m/>
    <n v="0"/>
    <n v="0"/>
    <n v="0"/>
    <n v="0"/>
    <n v="0"/>
    <n v="0"/>
    <m/>
  </r>
  <r>
    <x v="33"/>
    <x v="33"/>
    <n v="0"/>
    <n v="0"/>
    <n v="0"/>
    <n v="0"/>
    <m/>
    <n v="0"/>
    <n v="0"/>
    <n v="0"/>
    <n v="0"/>
    <n v="0"/>
    <n v="0"/>
    <m/>
  </r>
  <r>
    <x v="34"/>
    <x v="34"/>
    <n v="0"/>
    <n v="0"/>
    <n v="0"/>
    <n v="0"/>
    <m/>
    <n v="0"/>
    <n v="0"/>
    <n v="0"/>
    <n v="0"/>
    <n v="0"/>
    <n v="0"/>
    <m/>
  </r>
  <r>
    <x v="35"/>
    <x v="35"/>
    <n v="49"/>
    <n v="1395.95"/>
    <n v="1"/>
    <n v="0"/>
    <n v="0"/>
    <n v="50"/>
    <n v="1395.95"/>
    <n v="633"/>
    <n v="15925.61"/>
    <n v="-583"/>
    <n v="-14529.66"/>
    <n v="-0.91234558676245359"/>
  </r>
  <r>
    <x v="36"/>
    <x v="36"/>
    <n v="1"/>
    <n v="31.06"/>
    <n v="18"/>
    <n v="898.1999999999997"/>
    <n v="0.96657555474248336"/>
    <n v="19"/>
    <n v="929.25999999999965"/>
    <n v="17"/>
    <n v="651.91000000000008"/>
    <n v="2"/>
    <n v="277.34999999999957"/>
    <n v="0.42544216226166115"/>
  </r>
  <r>
    <x v="37"/>
    <x v="37"/>
    <n v="15"/>
    <n v="942.38"/>
    <n v="0"/>
    <n v="0"/>
    <n v="0"/>
    <n v="15"/>
    <n v="942.38"/>
    <n v="68"/>
    <n v="3790.13"/>
    <n v="-53"/>
    <n v="-2847.75"/>
    <n v="-0.7513594520504574"/>
  </r>
  <r>
    <x v="38"/>
    <x v="38"/>
    <n v="1"/>
    <n v="66.58"/>
    <n v="0"/>
    <n v="0"/>
    <n v="0"/>
    <n v="1"/>
    <n v="66.58"/>
    <n v="0"/>
    <n v="0"/>
    <n v="1"/>
    <n v="66.58"/>
    <m/>
  </r>
  <r>
    <x v="39"/>
    <x v="39"/>
    <n v="25"/>
    <n v="1858.24"/>
    <n v="0"/>
    <n v="0"/>
    <n v="0"/>
    <n v="25"/>
    <n v="1858.24"/>
    <n v="43"/>
    <n v="3112.52"/>
    <n v="-18"/>
    <n v="-1254.28"/>
    <n v="-0.40297893668153134"/>
  </r>
  <r>
    <x v="40"/>
    <x v="40"/>
    <n v="1"/>
    <n v="26.97"/>
    <n v="388"/>
    <n v="12795.269999999911"/>
    <n v="0.99789662336689999"/>
    <n v="389"/>
    <n v="12822.239999999911"/>
    <n v="803"/>
    <n v="20999.620000000003"/>
    <n v="-414"/>
    <n v="-8177.380000000092"/>
    <n v="-0.38940609401503889"/>
  </r>
  <r>
    <x v="41"/>
    <x v="41"/>
    <n v="3"/>
    <n v="101.14"/>
    <n v="0"/>
    <n v="0"/>
    <n v="0"/>
    <n v="3"/>
    <n v="101.14"/>
    <n v="4"/>
    <n v="139.68"/>
    <n v="-1"/>
    <n v="-38.540000000000006"/>
    <n v="-0.27591638029782362"/>
  </r>
  <r>
    <x v="42"/>
    <x v="42"/>
    <n v="2"/>
    <n v="40.82"/>
    <n v="0"/>
    <n v="0"/>
    <n v="0"/>
    <n v="2"/>
    <n v="40.82"/>
    <n v="-1"/>
    <n v="-14.75"/>
    <n v="3"/>
    <n v="55.57"/>
    <n v="-3.767457627118644"/>
  </r>
  <r>
    <x v="43"/>
    <x v="43"/>
    <n v="5"/>
    <n v="129.21"/>
    <n v="0"/>
    <n v="0"/>
    <n v="0"/>
    <n v="5"/>
    <n v="129.21"/>
    <n v="19"/>
    <n v="465.69"/>
    <n v="-14"/>
    <n v="-336.48"/>
    <n v="-0.72254074598982154"/>
  </r>
  <r>
    <x v="44"/>
    <x v="44"/>
    <n v="0"/>
    <n v="0"/>
    <n v="0"/>
    <n v="0"/>
    <m/>
    <n v="0"/>
    <n v="0"/>
    <n v="2"/>
    <n v="49.02"/>
    <n v="-2"/>
    <n v="-49.02"/>
    <n v="-1"/>
  </r>
  <r>
    <x v="45"/>
    <x v="45"/>
    <n v="7"/>
    <n v="257.01"/>
    <n v="0"/>
    <n v="0"/>
    <n v="0"/>
    <n v="7"/>
    <n v="257.01"/>
    <n v="11"/>
    <n v="311.01"/>
    <n v="-4"/>
    <n v="-54"/>
    <n v="-0.17362785762515676"/>
  </r>
  <r>
    <x v="46"/>
    <x v="46"/>
    <n v="4"/>
    <n v="156.28"/>
    <n v="1"/>
    <n v="36.99"/>
    <n v="0.19139028302374916"/>
    <n v="5"/>
    <n v="193.27"/>
    <n v="43"/>
    <n v="1264.96"/>
    <n v="-38"/>
    <n v="-1071.69"/>
    <n v="-0.84721256008095125"/>
  </r>
  <r>
    <x v="47"/>
    <x v="47"/>
    <n v="6"/>
    <n v="150.78"/>
    <n v="0"/>
    <n v="0"/>
    <n v="0"/>
    <n v="6"/>
    <n v="150.78"/>
    <n v="7"/>
    <n v="169.26"/>
    <n v="-1"/>
    <n v="-18.47999999999999"/>
    <n v="-0.1091811414392059"/>
  </r>
  <r>
    <x v="48"/>
    <x v="48"/>
    <n v="5"/>
    <n v="103.55"/>
    <n v="36"/>
    <n v="906.39999999999952"/>
    <n v="0.89747017179068267"/>
    <n v="41"/>
    <n v="1009.9499999999995"/>
    <n v="573"/>
    <n v="11649.880000000001"/>
    <n v="-532"/>
    <n v="-10639.930000000002"/>
    <n v="-0.91330811991196481"/>
  </r>
  <r>
    <x v="49"/>
    <x v="49"/>
    <n v="19"/>
    <n v="922.48"/>
    <n v="0"/>
    <n v="0"/>
    <n v="0"/>
    <n v="19"/>
    <n v="922.48"/>
    <n v="23"/>
    <n v="1319.95"/>
    <n v="-4"/>
    <n v="-397.47"/>
    <n v="-0.30112504261525058"/>
  </r>
  <r>
    <x v="50"/>
    <x v="50"/>
    <n v="1"/>
    <n v="19.59"/>
    <n v="0"/>
    <n v="0"/>
    <n v="0"/>
    <n v="1"/>
    <n v="19.59"/>
    <n v="2"/>
    <n v="49.42"/>
    <n v="-1"/>
    <n v="-29.830000000000002"/>
    <n v="-0.60360178065560499"/>
  </r>
  <r>
    <x v="51"/>
    <x v="51"/>
    <n v="-1"/>
    <n v="-5.12"/>
    <n v="0"/>
    <n v="0"/>
    <n v="0"/>
    <n v="-1"/>
    <n v="-5.12"/>
    <n v="0"/>
    <n v="0"/>
    <n v="-1"/>
    <n v="-5.12"/>
    <m/>
  </r>
  <r>
    <x v="52"/>
    <x v="52"/>
    <n v="3"/>
    <n v="130.44"/>
    <n v="0"/>
    <n v="0"/>
    <n v="0"/>
    <n v="3"/>
    <n v="130.44"/>
    <n v="4"/>
    <n v="167.39"/>
    <n v="-1"/>
    <n v="-36.949999999999989"/>
    <n v="-0.22074197980763482"/>
  </r>
  <r>
    <x v="53"/>
    <x v="53"/>
    <n v="43"/>
    <n v="1896.1"/>
    <n v="0"/>
    <n v="0"/>
    <n v="0"/>
    <n v="43"/>
    <n v="1896.1"/>
    <n v="244"/>
    <n v="9958.3100000000013"/>
    <n v="-201"/>
    <n v="-8062.2100000000009"/>
    <n v="-0.80959620658525389"/>
  </r>
  <r>
    <x v="54"/>
    <x v="54"/>
    <n v="170"/>
    <n v="2082.7000000000003"/>
    <n v="0"/>
    <n v="0"/>
    <n v="0"/>
    <n v="170"/>
    <n v="2082.7000000000003"/>
    <n v="4"/>
    <n v="67.509999999999991"/>
    <n v="166"/>
    <n v="2015.1900000000003"/>
    <n v="29.850244408235824"/>
  </r>
  <r>
    <x v="55"/>
    <x v="55"/>
    <n v="52"/>
    <n v="763.70999999999992"/>
    <n v="0"/>
    <n v="0"/>
    <n v="0"/>
    <n v="52"/>
    <n v="763.70999999999992"/>
    <n v="212"/>
    <n v="3204.1000000000004"/>
    <n v="-160"/>
    <n v="-2440.3900000000003"/>
    <n v="-0.76164601604194626"/>
  </r>
  <r>
    <x v="56"/>
    <x v="56"/>
    <n v="7"/>
    <n v="325.84000000000003"/>
    <n v="0"/>
    <n v="0"/>
    <n v="0"/>
    <n v="7"/>
    <n v="325.84000000000003"/>
    <n v="401"/>
    <n v="13128.1"/>
    <n v="-394"/>
    <n v="-12802.26"/>
    <n v="-0.97517995749575337"/>
  </r>
  <r>
    <x v="57"/>
    <x v="57"/>
    <n v="1"/>
    <n v="117.41"/>
    <n v="0"/>
    <n v="0"/>
    <n v="0"/>
    <n v="1"/>
    <n v="117.41"/>
    <n v="0"/>
    <n v="0"/>
    <n v="1"/>
    <n v="117.41"/>
    <m/>
  </r>
  <r>
    <x v="58"/>
    <x v="58"/>
    <n v="46"/>
    <n v="2537.23"/>
    <n v="0"/>
    <n v="0"/>
    <n v="0"/>
    <n v="46"/>
    <n v="2537.23"/>
    <n v="30"/>
    <n v="1541.3400000000001"/>
    <n v="16"/>
    <n v="995.88999999999987"/>
    <n v="0.64611961020929831"/>
  </r>
  <r>
    <x v="59"/>
    <x v="59"/>
    <n v="47"/>
    <n v="1409.6499999999999"/>
    <n v="13"/>
    <n v="626.89999999999986"/>
    <n v="0.30782450713215975"/>
    <n v="60"/>
    <n v="2036.5499999999997"/>
    <n v="67"/>
    <n v="1995.43"/>
    <n v="-7"/>
    <n v="41.119999999999663"/>
    <n v="2.0607087194238666E-2"/>
  </r>
  <r>
    <x v="60"/>
    <x v="60"/>
    <n v="32"/>
    <n v="372.1"/>
    <n v="0"/>
    <n v="0"/>
    <n v="0"/>
    <n v="32"/>
    <n v="372.1"/>
    <n v="32"/>
    <n v="241.24"/>
    <n v="0"/>
    <n v="130.86000000000001"/>
    <n v="0.54244735533079091"/>
  </r>
  <r>
    <x v="61"/>
    <x v="61"/>
    <n v="0"/>
    <n v="0"/>
    <n v="0"/>
    <n v="0"/>
    <m/>
    <n v="0"/>
    <n v="0"/>
    <n v="0"/>
    <n v="0"/>
    <n v="0"/>
    <n v="0"/>
    <m/>
  </r>
  <r>
    <x v="62"/>
    <x v="62"/>
    <n v="9"/>
    <n v="206.62"/>
    <n v="0"/>
    <n v="0"/>
    <n v="0"/>
    <n v="9"/>
    <n v="206.62"/>
    <n v="0"/>
    <n v="0"/>
    <n v="9"/>
    <n v="206.62"/>
    <m/>
  </r>
  <r>
    <x v="63"/>
    <x v="63"/>
    <n v="3"/>
    <n v="14.35"/>
    <n v="0"/>
    <n v="0"/>
    <n v="0"/>
    <n v="3"/>
    <n v="14.35"/>
    <n v="0"/>
    <n v="0"/>
    <n v="3"/>
    <n v="14.35"/>
    <m/>
  </r>
  <r>
    <x v="64"/>
    <x v="64"/>
    <n v="1"/>
    <n v="29.03"/>
    <n v="0"/>
    <n v="0"/>
    <n v="0"/>
    <n v="1"/>
    <n v="29.03"/>
    <n v="0"/>
    <n v="0"/>
    <n v="1"/>
    <n v="29.03"/>
    <m/>
  </r>
  <r>
    <x v="65"/>
    <x v="65"/>
    <n v="1"/>
    <n v="55.62"/>
    <n v="0"/>
    <n v="0"/>
    <n v="0"/>
    <n v="1"/>
    <n v="55.62"/>
    <n v="0"/>
    <n v="0"/>
    <n v="1"/>
    <n v="55.62"/>
    <m/>
  </r>
  <r>
    <x v="66"/>
    <x v="66"/>
    <n v="1"/>
    <n v="41.58"/>
    <n v="0"/>
    <n v="0"/>
    <n v="0"/>
    <n v="1"/>
    <n v="41.58"/>
    <n v="15"/>
    <n v="623.70000000000005"/>
    <n v="-14"/>
    <n v="-582.12"/>
    <n v="-0.93333333333333324"/>
  </r>
  <r>
    <x v="67"/>
    <x v="67"/>
    <n v="0"/>
    <n v="0"/>
    <n v="0"/>
    <n v="0"/>
    <m/>
    <n v="0"/>
    <n v="0"/>
    <n v="0"/>
    <n v="0"/>
    <n v="0"/>
    <n v="0"/>
    <m/>
  </r>
  <r>
    <x v="68"/>
    <x v="68"/>
    <n v="10"/>
    <n v="253.92"/>
    <n v="17"/>
    <n v="542.9899999999999"/>
    <n v="0.6813692888782924"/>
    <n v="27"/>
    <n v="796.90999999999985"/>
    <n v="100"/>
    <n v="2466.4"/>
    <n v="-73"/>
    <n v="-1669.4900000000002"/>
    <n v="-0.67689344794031792"/>
  </r>
  <r>
    <x v="69"/>
    <x v="69"/>
    <n v="199"/>
    <n v="2973.83"/>
    <n v="0"/>
    <n v="0"/>
    <n v="0"/>
    <n v="199"/>
    <n v="2973.83"/>
    <n v="17"/>
    <n v="261.64999999999998"/>
    <n v="182"/>
    <n v="2712.18"/>
    <n v="10.365679342633289"/>
  </r>
  <r>
    <x v="70"/>
    <x v="70"/>
    <n v="30"/>
    <n v="665.80000000000007"/>
    <n v="0"/>
    <n v="0"/>
    <n v="0"/>
    <n v="30"/>
    <n v="665.80000000000007"/>
    <n v="37"/>
    <n v="878.32"/>
    <n v="-7"/>
    <n v="-212.51999999999998"/>
    <n v="-0.24196192731578464"/>
  </r>
  <r>
    <x v="71"/>
    <x v="71"/>
    <n v="8"/>
    <n v="196.7"/>
    <n v="0"/>
    <n v="0"/>
    <n v="0"/>
    <n v="8"/>
    <n v="196.7"/>
    <n v="0"/>
    <n v="0"/>
    <n v="8"/>
    <n v="196.7"/>
    <m/>
  </r>
  <r>
    <x v="72"/>
    <x v="70"/>
    <n v="2"/>
    <n v="22.14"/>
    <n v="45"/>
    <n v="672.80999999999949"/>
    <n v="0.96814159292035395"/>
    <n v="47"/>
    <n v="694.94999999999948"/>
    <n v="85"/>
    <n v="1021.69"/>
    <n v="-38"/>
    <n v="-326.74000000000058"/>
    <n v="-0.31980346288991823"/>
  </r>
  <r>
    <x v="73"/>
    <x v="72"/>
    <n v="4"/>
    <n v="64.509999999999991"/>
    <n v="0"/>
    <n v="0"/>
    <n v="0"/>
    <n v="4"/>
    <n v="64.509999999999991"/>
    <n v="0"/>
    <n v="0"/>
    <n v="4"/>
    <n v="64.509999999999991"/>
    <m/>
  </r>
  <r>
    <x v="74"/>
    <x v="73"/>
    <n v="1"/>
    <n v="91.6"/>
    <n v="0"/>
    <n v="0"/>
    <n v="0"/>
    <n v="1"/>
    <n v="91.6"/>
    <n v="0"/>
    <n v="0"/>
    <n v="1"/>
    <n v="91.6"/>
    <m/>
  </r>
  <r>
    <x v="75"/>
    <x v="74"/>
    <n v="203"/>
    <n v="2645.87"/>
    <n v="0"/>
    <n v="0"/>
    <n v="0"/>
    <n v="203"/>
    <n v="2645.87"/>
    <n v="164"/>
    <n v="2010.57"/>
    <n v="39"/>
    <n v="635.29999999999995"/>
    <n v="0.31598004545974523"/>
  </r>
  <r>
    <x v="76"/>
    <x v="75"/>
    <n v="72"/>
    <n v="2028.94"/>
    <n v="365"/>
    <n v="12257.319999999916"/>
    <n v="0.85797962517831727"/>
    <n v="437"/>
    <n v="14286.259999999917"/>
    <n v="375"/>
    <n v="11812.32"/>
    <n v="62"/>
    <n v="2473.9399999999168"/>
    <n v="0.20943726549906511"/>
  </r>
  <r>
    <x v="77"/>
    <x v="76"/>
    <n v="5"/>
    <n v="186.48000000000002"/>
    <n v="20"/>
    <n v="1037.9999999999998"/>
    <n v="0.84770678165425317"/>
    <n v="25"/>
    <n v="1224.4799999999998"/>
    <n v="287"/>
    <n v="10625.77"/>
    <n v="-262"/>
    <n v="-9401.2900000000009"/>
    <n v="-0.88476317480991973"/>
  </r>
  <r>
    <x v="78"/>
    <x v="77"/>
    <n v="62"/>
    <n v="2621.2599999999998"/>
    <n v="19"/>
    <n v="1138.0999999999999"/>
    <n v="0.30273770003404837"/>
    <n v="81"/>
    <n v="3759.3599999999997"/>
    <n v="62"/>
    <n v="2954.2999999999997"/>
    <n v="19"/>
    <n v="805.06"/>
    <n v="0.27250448498798363"/>
  </r>
  <r>
    <x v="79"/>
    <x v="78"/>
    <n v="1"/>
    <n v="13.81"/>
    <n v="0"/>
    <n v="0"/>
    <n v="0"/>
    <n v="1"/>
    <n v="13.81"/>
    <n v="1"/>
    <n v="18.239999999999998"/>
    <n v="0"/>
    <n v="-4.4299999999999979"/>
    <n v="-0.24287280701754377"/>
  </r>
  <r>
    <x v="80"/>
    <x v="79"/>
    <n v="1"/>
    <n v="33.25"/>
    <n v="0"/>
    <n v="0"/>
    <n v="0"/>
    <n v="1"/>
    <n v="33.25"/>
    <n v="2"/>
    <n v="71.099999999999994"/>
    <n v="-1"/>
    <n v="-37.849999999999994"/>
    <n v="-0.53234880450070321"/>
  </r>
  <r>
    <x v="81"/>
    <x v="80"/>
    <n v="1"/>
    <n v="54.9"/>
    <n v="0"/>
    <n v="0"/>
    <n v="0"/>
    <n v="1"/>
    <n v="54.9"/>
    <n v="0"/>
    <n v="0"/>
    <n v="1"/>
    <n v="54.9"/>
    <m/>
  </r>
  <r>
    <x v="82"/>
    <x v="81"/>
    <n v="178"/>
    <n v="3604.5600000000004"/>
    <n v="0"/>
    <n v="0"/>
    <n v="0"/>
    <n v="178"/>
    <n v="3604.5600000000004"/>
    <n v="491"/>
    <n v="10102.950000000001"/>
    <n v="-313"/>
    <n v="-6498.39"/>
    <n v="-0.64321708015975532"/>
  </r>
  <r>
    <x v="83"/>
    <x v="82"/>
    <n v="3"/>
    <n v="72.88"/>
    <n v="0"/>
    <n v="0"/>
    <n v="0"/>
    <n v="3"/>
    <n v="72.88"/>
    <n v="6"/>
    <n v="134.09"/>
    <n v="-3"/>
    <n v="-61.210000000000008"/>
    <n v="-0.45648445074203897"/>
  </r>
  <r>
    <x v="84"/>
    <x v="83"/>
    <n v="1"/>
    <n v="17.07"/>
    <n v="0"/>
    <n v="0"/>
    <n v="0"/>
    <n v="1"/>
    <n v="17.07"/>
    <n v="0"/>
    <n v="0"/>
    <n v="1"/>
    <n v="17.07"/>
    <m/>
  </r>
  <r>
    <x v="85"/>
    <x v="84"/>
    <n v="93"/>
    <n v="687.96"/>
    <n v="0"/>
    <n v="0"/>
    <n v="0"/>
    <n v="93"/>
    <n v="687.96"/>
    <n v="31"/>
    <n v="255.23999999999998"/>
    <n v="62"/>
    <n v="432.72"/>
    <n v="1.6953455571227083"/>
  </r>
  <r>
    <x v="86"/>
    <x v="85"/>
    <n v="24"/>
    <n v="339.75"/>
    <n v="0"/>
    <n v="0"/>
    <n v="0"/>
    <n v="24"/>
    <n v="339.75"/>
    <n v="3"/>
    <n v="86.73"/>
    <n v="21"/>
    <n v="253.01999999999998"/>
    <n v="2.9173296437218954"/>
  </r>
  <r>
    <x v="87"/>
    <x v="86"/>
    <n v="2"/>
    <n v="151.86000000000001"/>
    <n v="0"/>
    <n v="0"/>
    <n v="0"/>
    <n v="2"/>
    <n v="151.86000000000001"/>
    <n v="2"/>
    <n v="162.30000000000001"/>
    <n v="0"/>
    <n v="-10.439999999999998"/>
    <n v="-6.4325323475046187E-2"/>
  </r>
  <r>
    <x v="88"/>
    <x v="87"/>
    <n v="7"/>
    <n v="332.73"/>
    <n v="0"/>
    <n v="0"/>
    <n v="0"/>
    <n v="7"/>
    <n v="332.73"/>
    <n v="11"/>
    <n v="525.08000000000004"/>
    <n v="-4"/>
    <n v="-192.35000000000002"/>
    <n v="-0.36632513140854728"/>
  </r>
  <r>
    <x v="89"/>
    <x v="88"/>
    <n v="361"/>
    <n v="5152.8799999999992"/>
    <n v="0"/>
    <n v="0"/>
    <n v="0"/>
    <n v="361"/>
    <n v="5152.8799999999992"/>
    <n v="187"/>
    <n v="2564.1999999999998"/>
    <n v="174"/>
    <n v="2588.6799999999994"/>
    <n v="1.0095468372201855"/>
  </r>
  <r>
    <x v="90"/>
    <x v="89"/>
    <n v="5"/>
    <n v="97.62"/>
    <n v="0"/>
    <n v="0"/>
    <n v="0"/>
    <n v="5"/>
    <n v="97.62"/>
    <n v="2"/>
    <n v="32.659999999999997"/>
    <n v="3"/>
    <n v="64.960000000000008"/>
    <n v="1.9889773423147585"/>
  </r>
  <r>
    <x v="91"/>
    <x v="90"/>
    <n v="8"/>
    <n v="198.65"/>
    <n v="0"/>
    <n v="0"/>
    <n v="0"/>
    <n v="8"/>
    <n v="198.65"/>
    <n v="22"/>
    <n v="544.95000000000005"/>
    <n v="-14"/>
    <n v="-346.30000000000007"/>
    <n v="-0.63547114414166439"/>
  </r>
  <r>
    <x v="92"/>
    <x v="91"/>
    <n v="0"/>
    <n v="0"/>
    <n v="0"/>
    <n v="0"/>
    <m/>
    <n v="0"/>
    <n v="0"/>
    <n v="835"/>
    <n v="10271.709999999999"/>
    <n v="-835"/>
    <n v="-10271.709999999999"/>
    <n v="-1"/>
  </r>
  <r>
    <x v="93"/>
    <x v="92"/>
    <n v="40"/>
    <n v="465.02000000000004"/>
    <n v="0"/>
    <n v="0"/>
    <n v="0"/>
    <n v="40"/>
    <n v="465.02000000000004"/>
    <n v="54"/>
    <n v="620.82000000000005"/>
    <n v="-14"/>
    <n v="-155.80000000000001"/>
    <n v="-0.25095840984504364"/>
  </r>
  <r>
    <x v="94"/>
    <x v="93"/>
    <n v="8"/>
    <n v="198.73000000000002"/>
    <n v="0"/>
    <n v="0"/>
    <n v="0"/>
    <n v="8"/>
    <n v="198.73000000000002"/>
    <n v="10"/>
    <n v="245.4"/>
    <n v="-2"/>
    <n v="-46.669999999999987"/>
    <n v="-0.19017929910350442"/>
  </r>
  <r>
    <x v="95"/>
    <x v="94"/>
    <n v="0"/>
    <n v="0"/>
    <n v="1"/>
    <n v="15.9"/>
    <n v="1"/>
    <n v="1"/>
    <n v="15.9"/>
    <n v="0"/>
    <n v="0"/>
    <n v="1"/>
    <n v="15.9"/>
    <m/>
  </r>
  <r>
    <x v="96"/>
    <x v="95"/>
    <n v="0"/>
    <n v="0"/>
    <n v="0"/>
    <n v="0"/>
    <m/>
    <n v="0"/>
    <n v="0"/>
    <n v="24"/>
    <n v="184.5"/>
    <n v="-24"/>
    <n v="-184.5"/>
    <n v="-1"/>
  </r>
  <r>
    <x v="97"/>
    <x v="96"/>
    <n v="172"/>
    <n v="4167.01"/>
    <n v="104"/>
    <n v="3109.6000000000017"/>
    <n v="0.42734185286830001"/>
    <n v="276"/>
    <n v="7276.6100000000024"/>
    <n v="352"/>
    <n v="8344.1"/>
    <n v="-76"/>
    <n v="-1067.489999999998"/>
    <n v="-0.12793350990520222"/>
  </r>
  <r>
    <x v="98"/>
    <x v="97"/>
    <n v="25"/>
    <n v="993.72"/>
    <n v="0"/>
    <n v="0"/>
    <n v="0"/>
    <n v="25"/>
    <n v="993.72"/>
    <n v="21"/>
    <n v="998.34"/>
    <n v="4"/>
    <n v="-4.6200000000000045"/>
    <n v="-4.6276819520403916E-3"/>
  </r>
  <r>
    <x v="99"/>
    <x v="98"/>
    <n v="1"/>
    <n v="157.5"/>
    <n v="0"/>
    <n v="0"/>
    <n v="0"/>
    <n v="1"/>
    <n v="157.5"/>
    <n v="0"/>
    <n v="0"/>
    <n v="1"/>
    <n v="157.5"/>
    <m/>
  </r>
  <r>
    <x v="100"/>
    <x v="99"/>
    <n v="16"/>
    <n v="317.03000000000003"/>
    <n v="0"/>
    <n v="0"/>
    <n v="0"/>
    <n v="16"/>
    <n v="317.03000000000003"/>
    <n v="20"/>
    <n v="398.11"/>
    <n v="-4"/>
    <n v="-81.079999999999984"/>
    <n v="-0.20366230438823435"/>
  </r>
  <r>
    <x v="101"/>
    <x v="100"/>
    <n v="0"/>
    <n v="0"/>
    <n v="0"/>
    <n v="0"/>
    <m/>
    <n v="0"/>
    <n v="0"/>
    <n v="2"/>
    <n v="54.879999999999995"/>
    <n v="-2"/>
    <n v="-54.879999999999995"/>
    <n v="-1"/>
  </r>
  <r>
    <x v="102"/>
    <x v="101"/>
    <n v="0"/>
    <n v="0"/>
    <n v="0"/>
    <n v="0"/>
    <m/>
    <n v="0"/>
    <n v="0"/>
    <n v="0"/>
    <n v="0"/>
    <n v="0"/>
    <n v="0"/>
    <m/>
  </r>
  <r>
    <x v="103"/>
    <x v="102"/>
    <n v="0"/>
    <n v="0"/>
    <n v="28"/>
    <n v="2275.400000000001"/>
    <n v="1"/>
    <n v="28"/>
    <n v="2275.400000000001"/>
    <n v="10"/>
    <n v="710.11"/>
    <n v="18"/>
    <n v="1565.2900000000009"/>
    <n v="2.204292292743379"/>
  </r>
  <r>
    <x v="104"/>
    <x v="103"/>
    <n v="9"/>
    <n v="384.04"/>
    <n v="3"/>
    <n v="149.69999999999999"/>
    <n v="0.28047363885037657"/>
    <n v="12"/>
    <n v="533.74"/>
    <n v="69"/>
    <n v="3127.7400000000002"/>
    <n v="-57"/>
    <n v="-2594"/>
    <n v="-0.82935282344440386"/>
  </r>
  <r>
    <x v="105"/>
    <x v="104"/>
    <n v="6"/>
    <n v="165.58"/>
    <n v="0"/>
    <n v="0"/>
    <n v="0"/>
    <n v="6"/>
    <n v="165.58"/>
    <n v="48"/>
    <n v="1180.17"/>
    <n v="-42"/>
    <n v="-1014.59"/>
    <n v="-0.85969817907589585"/>
  </r>
  <r>
    <x v="106"/>
    <x v="105"/>
    <n v="-4"/>
    <n v="-230.16"/>
    <n v="0"/>
    <n v="0"/>
    <n v="0"/>
    <n v="-4"/>
    <n v="-230.16"/>
    <n v="180"/>
    <n v="10892.220000000001"/>
    <n v="-184"/>
    <n v="-11122.380000000001"/>
    <n v="-1.0211306785944463"/>
  </r>
  <r>
    <x v="107"/>
    <x v="106"/>
    <n v="1"/>
    <n v="78.16"/>
    <n v="0"/>
    <n v="0"/>
    <n v="0"/>
    <n v="1"/>
    <n v="78.16"/>
    <n v="1"/>
    <n v="37.97"/>
    <n v="0"/>
    <n v="40.19"/>
    <n v="1.0584672109560178"/>
  </r>
  <r>
    <x v="108"/>
    <x v="107"/>
    <n v="41"/>
    <n v="2246.3200000000002"/>
    <n v="0"/>
    <n v="0"/>
    <n v="0"/>
    <n v="41"/>
    <n v="2246.3200000000002"/>
    <n v="45"/>
    <n v="2654.8399999999997"/>
    <n v="-4"/>
    <n v="-408.51999999999953"/>
    <n v="-0.15387744647511697"/>
  </r>
  <r>
    <x v="109"/>
    <x v="108"/>
    <n v="120"/>
    <n v="1506.88"/>
    <n v="0"/>
    <n v="0"/>
    <n v="0"/>
    <n v="120"/>
    <n v="1506.88"/>
    <n v="3622"/>
    <n v="44366.180000000008"/>
    <n v="-3502"/>
    <n v="-42859.30000000001"/>
    <n v="-0.9660353900200559"/>
  </r>
  <r>
    <x v="110"/>
    <x v="109"/>
    <n v="5"/>
    <n v="100.64000000000001"/>
    <n v="0"/>
    <n v="0"/>
    <n v="0"/>
    <n v="5"/>
    <n v="100.64000000000001"/>
    <n v="5"/>
    <n v="102.22"/>
    <n v="0"/>
    <n v="-1.5799999999999841"/>
    <n v="-1.5456857757777187E-2"/>
  </r>
  <r>
    <x v="111"/>
    <x v="110"/>
    <n v="0"/>
    <n v="0"/>
    <n v="31"/>
    <n v="1866.900000000001"/>
    <n v="1"/>
    <n v="31"/>
    <n v="1866.900000000001"/>
    <n v="98"/>
    <n v="5258.27"/>
    <n v="-67"/>
    <n v="-3391.3699999999994"/>
    <n v="-0.64495927367746408"/>
  </r>
  <r>
    <x v="112"/>
    <x v="111"/>
    <n v="1"/>
    <n v="24.88"/>
    <n v="42"/>
    <n v="1333.8200000000004"/>
    <n v="0.98168837859718838"/>
    <n v="43"/>
    <n v="1358.7000000000005"/>
    <n v="955"/>
    <n v="20195.070000000003"/>
    <n v="-912"/>
    <n v="-18836.370000000003"/>
    <n v="-0.93272120373932843"/>
  </r>
  <r>
    <x v="113"/>
    <x v="112"/>
    <n v="30"/>
    <n v="726.79"/>
    <n v="0"/>
    <n v="0"/>
    <n v="0"/>
    <n v="30"/>
    <n v="726.79"/>
    <n v="427"/>
    <n v="10551.099999999999"/>
    <n v="-397"/>
    <n v="-9824.3099999999977"/>
    <n v="-0.93111713470633384"/>
  </r>
  <r>
    <x v="114"/>
    <x v="113"/>
    <n v="6"/>
    <n v="31"/>
    <n v="0"/>
    <n v="0"/>
    <n v="0"/>
    <n v="6"/>
    <n v="31"/>
    <n v="7"/>
    <n v="41.82"/>
    <n v="-1"/>
    <n v="-10.82"/>
    <n v="-0.25872788139646102"/>
  </r>
  <r>
    <x v="115"/>
    <x v="114"/>
    <n v="1"/>
    <n v="7.62"/>
    <n v="0"/>
    <n v="0"/>
    <n v="0"/>
    <n v="1"/>
    <n v="7.62"/>
    <n v="94"/>
    <n v="642.25000000000011"/>
    <n v="-93"/>
    <n v="-634.63000000000011"/>
    <n v="-0.98813546126897622"/>
  </r>
  <r>
    <x v="116"/>
    <x v="115"/>
    <n v="62"/>
    <n v="393.92"/>
    <n v="0"/>
    <n v="0"/>
    <n v="0"/>
    <n v="62"/>
    <n v="393.92"/>
    <n v="17"/>
    <n v="112.24"/>
    <n v="45"/>
    <n v="281.68"/>
    <n v="2.5096222380612976"/>
  </r>
  <r>
    <x v="117"/>
    <x v="116"/>
    <n v="82"/>
    <n v="542.86000000000013"/>
    <n v="0"/>
    <n v="0"/>
    <n v="0"/>
    <n v="82"/>
    <n v="542.86000000000013"/>
    <n v="126"/>
    <n v="754.6"/>
    <n v="-44"/>
    <n v="-211.7399999999999"/>
    <n v="-0.28059899284389067"/>
  </r>
  <r>
    <x v="118"/>
    <x v="117"/>
    <n v="110"/>
    <n v="709.19"/>
    <n v="0"/>
    <n v="0"/>
    <n v="0"/>
    <n v="110"/>
    <n v="709.19"/>
    <n v="73"/>
    <n v="467.90000000000003"/>
    <n v="37"/>
    <n v="241.29000000000002"/>
    <n v="0.51568711263090405"/>
  </r>
  <r>
    <x v="119"/>
    <x v="118"/>
    <n v="0"/>
    <n v="0"/>
    <n v="0"/>
    <n v="0"/>
    <m/>
    <n v="0"/>
    <n v="0"/>
    <n v="0"/>
    <n v="0"/>
    <n v="0"/>
    <n v="0"/>
    <m/>
  </r>
  <r>
    <x v="120"/>
    <x v="119"/>
    <n v="95"/>
    <n v="1248.69"/>
    <n v="0"/>
    <n v="0"/>
    <n v="0"/>
    <n v="95"/>
    <n v="1248.69"/>
    <n v="52"/>
    <n v="818.72"/>
    <n v="43"/>
    <n v="429.97"/>
    <n v="0.52517344146961109"/>
  </r>
  <r>
    <x v="121"/>
    <x v="120"/>
    <n v="1"/>
    <n v="5.98"/>
    <n v="0"/>
    <n v="0"/>
    <n v="0"/>
    <n v="1"/>
    <n v="5.98"/>
    <n v="0"/>
    <n v="0"/>
    <n v="1"/>
    <n v="5.98"/>
    <m/>
  </r>
  <r>
    <x v="122"/>
    <x v="121"/>
    <n v="51"/>
    <n v="1264.3"/>
    <n v="1"/>
    <n v="29.9"/>
    <n v="2.3103075258847163E-2"/>
    <n v="52"/>
    <n v="1294.2"/>
    <n v="110"/>
    <n v="2772.9399999999996"/>
    <n v="-58"/>
    <n v="-1478.7399999999996"/>
    <n v="-0.53327515200473141"/>
  </r>
  <r>
    <x v="123"/>
    <x v="122"/>
    <n v="8"/>
    <n v="131.02999999999997"/>
    <n v="0"/>
    <n v="0"/>
    <n v="0"/>
    <n v="8"/>
    <n v="131.02999999999997"/>
    <n v="0"/>
    <n v="0"/>
    <n v="8"/>
    <n v="131.02999999999997"/>
    <m/>
  </r>
  <r>
    <x v="124"/>
    <x v="123"/>
    <n v="0"/>
    <n v="0"/>
    <n v="0"/>
    <n v="0"/>
    <m/>
    <n v="0"/>
    <n v="0"/>
    <n v="0"/>
    <n v="0"/>
    <n v="0"/>
    <n v="0"/>
    <m/>
  </r>
  <r>
    <x v="125"/>
    <x v="124"/>
    <n v="65"/>
    <n v="429.35999999999996"/>
    <n v="0"/>
    <n v="0"/>
    <n v="0"/>
    <n v="65"/>
    <n v="429.35999999999996"/>
    <n v="240"/>
    <n v="1751.42"/>
    <n v="-175"/>
    <n v="-1322.0600000000002"/>
    <n v="-0.75485035000171297"/>
  </r>
  <r>
    <x v="126"/>
    <x v="125"/>
    <n v="99"/>
    <n v="1328.46"/>
    <n v="0"/>
    <n v="0"/>
    <n v="0"/>
    <n v="99"/>
    <n v="1328.46"/>
    <n v="1211"/>
    <n v="15347.37"/>
    <n v="-1112"/>
    <n v="-14018.91"/>
    <n v="-0.91344054388471763"/>
  </r>
  <r>
    <x v="127"/>
    <x v="126"/>
    <n v="18"/>
    <n v="414.31"/>
    <n v="0"/>
    <n v="0"/>
    <n v="0"/>
    <n v="18"/>
    <n v="414.31"/>
    <n v="0"/>
    <n v="0"/>
    <n v="18"/>
    <n v="414.31"/>
    <m/>
  </r>
  <r>
    <x v="128"/>
    <x v="127"/>
    <n v="55"/>
    <n v="269.98"/>
    <n v="0"/>
    <n v="0"/>
    <n v="0"/>
    <n v="55"/>
    <n v="269.98"/>
    <n v="223"/>
    <n v="1083.48"/>
    <n v="-168"/>
    <n v="-813.5"/>
    <n v="-0.75082142725292578"/>
  </r>
  <r>
    <x v="129"/>
    <x v="128"/>
    <n v="4"/>
    <n v="42.46"/>
    <n v="0"/>
    <n v="0"/>
    <n v="0"/>
    <n v="4"/>
    <n v="42.46"/>
    <n v="9"/>
    <n v="107.09"/>
    <n v="-5"/>
    <n v="-64.63"/>
    <n v="-0.60351106545895972"/>
  </r>
  <r>
    <x v="130"/>
    <x v="129"/>
    <n v="83"/>
    <n v="1386.3000000000002"/>
    <n v="0"/>
    <n v="0"/>
    <n v="0"/>
    <n v="83"/>
    <n v="1386.3000000000002"/>
    <n v="497"/>
    <n v="7835.1800000000012"/>
    <n v="-414"/>
    <n v="-6448.880000000001"/>
    <n v="-0.82306724287125499"/>
  </r>
  <r>
    <x v="131"/>
    <x v="130"/>
    <n v="17"/>
    <n v="336.87"/>
    <n v="0"/>
    <n v="0"/>
    <n v="0"/>
    <n v="17"/>
    <n v="336.87"/>
    <n v="4"/>
    <n v="71.260000000000005"/>
    <n v="13"/>
    <n v="265.61"/>
    <n v="3.7273365141734494"/>
  </r>
  <r>
    <x v="132"/>
    <x v="131"/>
    <n v="4"/>
    <n v="103.27"/>
    <n v="0"/>
    <n v="0"/>
    <n v="0"/>
    <n v="4"/>
    <n v="103.27"/>
    <n v="0"/>
    <n v="0"/>
    <n v="4"/>
    <n v="103.27"/>
    <m/>
  </r>
  <r>
    <x v="133"/>
    <x v="132"/>
    <n v="13"/>
    <n v="685.82999999999993"/>
    <n v="0"/>
    <n v="0"/>
    <n v="0"/>
    <n v="13"/>
    <n v="685.82999999999993"/>
    <n v="0"/>
    <n v="0"/>
    <n v="13"/>
    <n v="685.82999999999993"/>
    <m/>
  </r>
  <r>
    <x v="134"/>
    <x v="133"/>
    <n v="5"/>
    <n v="165.45"/>
    <n v="0"/>
    <n v="0"/>
    <n v="0"/>
    <n v="5"/>
    <n v="165.45"/>
    <n v="0"/>
    <n v="0"/>
    <n v="5"/>
    <n v="165.45"/>
    <m/>
  </r>
  <r>
    <x v="135"/>
    <x v="134"/>
    <n v="37"/>
    <n v="452.17"/>
    <n v="0"/>
    <n v="0"/>
    <n v="0"/>
    <n v="37"/>
    <n v="452.17"/>
    <n v="20"/>
    <n v="300.42"/>
    <n v="17"/>
    <n v="151.75"/>
    <n v="0.50512615671393379"/>
  </r>
  <r>
    <x v="136"/>
    <x v="135"/>
    <n v="0"/>
    <n v="0"/>
    <n v="0"/>
    <n v="0"/>
    <m/>
    <n v="0"/>
    <n v="0"/>
    <n v="27"/>
    <n v="637.74000000000012"/>
    <n v="-27"/>
    <n v="-637.74000000000012"/>
    <n v="-1"/>
  </r>
  <r>
    <x v="137"/>
    <x v="136"/>
    <n v="0"/>
    <n v="0"/>
    <n v="0"/>
    <n v="0"/>
    <m/>
    <n v="0"/>
    <n v="0"/>
    <n v="454"/>
    <n v="5565.4"/>
    <n v="-454"/>
    <n v="-5565.4"/>
    <n v="-1"/>
  </r>
  <r>
    <x v="138"/>
    <x v="137"/>
    <n v="10"/>
    <n v="327.83000000000004"/>
    <n v="0"/>
    <n v="0"/>
    <n v="0"/>
    <n v="10"/>
    <n v="327.83000000000004"/>
    <n v="19"/>
    <n v="624.26"/>
    <n v="-9"/>
    <n v="-296.42999999999995"/>
    <n v="-0.47485022266363369"/>
  </r>
  <r>
    <x v="139"/>
    <x v="138"/>
    <n v="35"/>
    <n v="465.99"/>
    <n v="0"/>
    <n v="0"/>
    <n v="0"/>
    <n v="35"/>
    <n v="465.99"/>
    <n v="58"/>
    <n v="708.18"/>
    <n v="-23"/>
    <n v="-242.18999999999994"/>
    <n v="-0.34198932474794536"/>
  </r>
  <r>
    <x v="140"/>
    <x v="139"/>
    <n v="6"/>
    <n v="133.04000000000002"/>
    <n v="0"/>
    <n v="0"/>
    <n v="0"/>
    <n v="6"/>
    <n v="133.04000000000002"/>
    <n v="23"/>
    <n v="292.07"/>
    <n v="-17"/>
    <n v="-159.02999999999997"/>
    <n v="-0.54449275858527058"/>
  </r>
  <r>
    <x v="141"/>
    <x v="140"/>
    <n v="2"/>
    <n v="19.579999999999998"/>
    <n v="0"/>
    <n v="0"/>
    <n v="0"/>
    <n v="2"/>
    <n v="19.579999999999998"/>
    <n v="3"/>
    <n v="32.47"/>
    <n v="-1"/>
    <n v="-12.89"/>
    <n v="-0.3969818293809671"/>
  </r>
  <r>
    <x v="142"/>
    <x v="141"/>
    <n v="11"/>
    <n v="229.16"/>
    <n v="0"/>
    <n v="0"/>
    <n v="0"/>
    <n v="11"/>
    <n v="229.16"/>
    <n v="11"/>
    <n v="250.83999999999997"/>
    <n v="0"/>
    <n v="-21.679999999999978"/>
    <n v="-8.6429596555573196E-2"/>
  </r>
  <r>
    <x v="143"/>
    <x v="142"/>
    <n v="1"/>
    <n v="10.45"/>
    <n v="0"/>
    <n v="0"/>
    <n v="0"/>
    <n v="1"/>
    <n v="10.45"/>
    <n v="9"/>
    <n v="111.46"/>
    <n v="-8"/>
    <n v="-101.00999999999999"/>
    <n v="-0.90624439260721334"/>
  </r>
  <r>
    <x v="144"/>
    <x v="143"/>
    <n v="1"/>
    <n v="74.430000000000007"/>
    <n v="0"/>
    <n v="0"/>
    <n v="0"/>
    <n v="1"/>
    <n v="74.430000000000007"/>
    <n v="1"/>
    <n v="75.790000000000006"/>
    <n v="0"/>
    <n v="-1.3599999999999994"/>
    <n v="-1.7944319831112276E-2"/>
  </r>
  <r>
    <x v="145"/>
    <x v="144"/>
    <n v="65"/>
    <n v="1892.39"/>
    <n v="2"/>
    <n v="74.8"/>
    <n v="3.8023780112749657E-2"/>
    <n v="67"/>
    <n v="1967.19"/>
    <n v="160"/>
    <n v="4868.08"/>
    <n v="-93"/>
    <n v="-2900.89"/>
    <n v="-0.59590023171352979"/>
  </r>
  <r>
    <x v="146"/>
    <x v="145"/>
    <n v="2"/>
    <n v="54.55"/>
    <n v="0"/>
    <n v="0"/>
    <n v="0"/>
    <n v="2"/>
    <n v="54.55"/>
    <n v="6"/>
    <n v="154.09"/>
    <n v="-4"/>
    <n v="-99.54"/>
    <n v="-0.64598611201246026"/>
  </r>
  <r>
    <x v="147"/>
    <x v="146"/>
    <n v="19"/>
    <n v="152.1"/>
    <n v="0"/>
    <n v="0"/>
    <n v="0"/>
    <n v="19"/>
    <n v="152.1"/>
    <n v="13"/>
    <n v="190.86"/>
    <n v="6"/>
    <n v="-38.760000000000019"/>
    <n v="-0.20308079220370961"/>
  </r>
  <r>
    <x v="148"/>
    <x v="147"/>
    <n v="80"/>
    <n v="1377.6699999999998"/>
    <n v="0"/>
    <n v="0"/>
    <n v="0"/>
    <n v="80"/>
    <n v="1377.6699999999998"/>
    <n v="210"/>
    <n v="4153.5599999999995"/>
    <n v="-130"/>
    <n v="-2775.8899999999994"/>
    <n v="-0.6683158543514478"/>
  </r>
  <r>
    <x v="149"/>
    <x v="148"/>
    <n v="0"/>
    <n v="0"/>
    <n v="0"/>
    <n v="0"/>
    <m/>
    <n v="0"/>
    <n v="0"/>
    <n v="-3"/>
    <n v="-55.37"/>
    <n v="3"/>
    <n v="55.37"/>
    <n v="-1"/>
  </r>
  <r>
    <x v="150"/>
    <x v="149"/>
    <n v="133"/>
    <n v="2198.2800000000002"/>
    <n v="0"/>
    <n v="0"/>
    <n v="0"/>
    <n v="133"/>
    <n v="2198.2800000000002"/>
    <n v="317"/>
    <n v="5750.16"/>
    <n v="-184"/>
    <n v="-3551.8799999999997"/>
    <n v="-0.61770107266580399"/>
  </r>
  <r>
    <x v="151"/>
    <x v="150"/>
    <n v="0"/>
    <n v="0"/>
    <n v="0"/>
    <n v="0"/>
    <m/>
    <n v="0"/>
    <n v="0"/>
    <n v="10"/>
    <n v="166.36"/>
    <n v="-10"/>
    <n v="-166.36"/>
    <n v="-1"/>
  </r>
  <r>
    <x v="152"/>
    <x v="151"/>
    <n v="45"/>
    <n v="749.53"/>
    <n v="0"/>
    <n v="0"/>
    <n v="0"/>
    <n v="45"/>
    <n v="749.53"/>
    <n v="14"/>
    <n v="292.45999999999998"/>
    <n v="31"/>
    <n v="457.07"/>
    <n v="1.5628462011899065"/>
  </r>
  <r>
    <x v="153"/>
    <x v="152"/>
    <n v="311"/>
    <n v="4353.78"/>
    <n v="94"/>
    <n v="2171.3700000000031"/>
    <n v="0.332769361623871"/>
    <n v="405"/>
    <n v="6525.1500000000033"/>
    <n v="1816"/>
    <n v="34974.229999999996"/>
    <n v="-1411"/>
    <n v="-28449.079999999994"/>
    <n v="-0.81342977386492854"/>
  </r>
  <r>
    <x v="154"/>
    <x v="153"/>
    <n v="29"/>
    <n v="308.87"/>
    <n v="0"/>
    <n v="0"/>
    <n v="0"/>
    <n v="29"/>
    <n v="308.87"/>
    <n v="152"/>
    <n v="2186.64"/>
    <n v="-123"/>
    <n v="-1877.77"/>
    <n v="-0.85874675300918313"/>
  </r>
  <r>
    <x v="155"/>
    <x v="154"/>
    <n v="2"/>
    <n v="24.9"/>
    <n v="0"/>
    <n v="0"/>
    <n v="0"/>
    <n v="2"/>
    <n v="24.9"/>
    <n v="34"/>
    <n v="451.27000000000004"/>
    <n v="-32"/>
    <n v="-426.37000000000006"/>
    <n v="-0.94482239014337321"/>
  </r>
  <r>
    <x v="156"/>
    <x v="155"/>
    <n v="2"/>
    <n v="21.14"/>
    <n v="66"/>
    <n v="1051.3999999999994"/>
    <n v="0.98028977940216677"/>
    <n v="68"/>
    <n v="1072.5399999999995"/>
    <n v="536"/>
    <n v="6360.58"/>
    <n v="-468"/>
    <n v="-5288.0400000000009"/>
    <n v="-0.83137701278814213"/>
  </r>
  <r>
    <x v="157"/>
    <x v="156"/>
    <n v="164"/>
    <n v="1414.3200000000002"/>
    <n v="0"/>
    <n v="0"/>
    <n v="0"/>
    <n v="164"/>
    <n v="1414.3200000000002"/>
    <n v="459"/>
    <n v="4360.58"/>
    <n v="-295"/>
    <n v="-2946.2599999999998"/>
    <n v="-0.67565782533516183"/>
  </r>
  <r>
    <x v="158"/>
    <x v="157"/>
    <n v="0"/>
    <n v="0"/>
    <n v="0"/>
    <n v="0"/>
    <m/>
    <n v="0"/>
    <n v="0"/>
    <n v="18"/>
    <n v="239.75"/>
    <n v="-18"/>
    <n v="-239.75"/>
    <n v="-1"/>
  </r>
  <r>
    <x v="159"/>
    <x v="158"/>
    <n v="0"/>
    <n v="0"/>
    <n v="22"/>
    <n v="887.79999999999973"/>
    <n v="1"/>
    <n v="22"/>
    <n v="887.79999999999973"/>
    <n v="44"/>
    <n v="1196.7399999999998"/>
    <n v="-22"/>
    <n v="-308.94000000000005"/>
    <n v="-0.25815131106171774"/>
  </r>
  <r>
    <x v="160"/>
    <x v="159"/>
    <n v="12"/>
    <n v="509.98"/>
    <n v="0"/>
    <n v="0"/>
    <n v="0"/>
    <n v="12"/>
    <n v="509.98"/>
    <n v="236"/>
    <n v="10072.67"/>
    <n v="-224"/>
    <n v="-9562.69"/>
    <n v="-0.94936992872793413"/>
  </r>
  <r>
    <x v="161"/>
    <x v="160"/>
    <n v="46"/>
    <n v="2711.67"/>
    <n v="5"/>
    <n v="349.5"/>
    <n v="0.11417203226217426"/>
    <n v="51"/>
    <n v="3061.17"/>
    <n v="154"/>
    <n v="8345.619999999999"/>
    <n v="-103"/>
    <n v="-5284.4499999999989"/>
    <n v="-0.63320040931650368"/>
  </r>
  <r>
    <x v="162"/>
    <x v="161"/>
    <n v="2"/>
    <n v="9.82"/>
    <n v="0"/>
    <n v="0"/>
    <n v="0"/>
    <n v="2"/>
    <n v="9.82"/>
    <n v="17"/>
    <n v="68.34"/>
    <n v="-15"/>
    <n v="-58.52"/>
    <n v="-0.85630670178519164"/>
  </r>
  <r>
    <x v="163"/>
    <x v="162"/>
    <n v="7"/>
    <n v="114.85"/>
    <n v="0"/>
    <n v="0"/>
    <n v="0"/>
    <n v="7"/>
    <n v="114.85"/>
    <n v="4"/>
    <n v="73"/>
    <n v="3"/>
    <n v="41.849999999999994"/>
    <n v="0.57328767123287661"/>
  </r>
  <r>
    <x v="164"/>
    <x v="163"/>
    <n v="9"/>
    <n v="527.06999999999994"/>
    <n v="23"/>
    <n v="1820.7000000000005"/>
    <n v="0.77550185921108117"/>
    <n v="32"/>
    <n v="2347.7700000000004"/>
    <n v="189"/>
    <n v="12965.4"/>
    <n v="-157"/>
    <n v="-10617.63"/>
    <n v="-0.81892035725854961"/>
  </r>
  <r>
    <x v="165"/>
    <x v="164"/>
    <n v="5"/>
    <n v="103.59"/>
    <n v="0"/>
    <n v="0"/>
    <n v="0"/>
    <n v="5"/>
    <n v="103.59"/>
    <n v="13"/>
    <n v="376.60999999999996"/>
    <n v="-8"/>
    <n v="-273.02"/>
    <n v="-0.72494092031544577"/>
  </r>
  <r>
    <x v="166"/>
    <x v="165"/>
    <n v="34"/>
    <n v="389.38999999999993"/>
    <n v="0"/>
    <n v="0"/>
    <n v="0"/>
    <n v="34"/>
    <n v="389.38999999999993"/>
    <n v="154"/>
    <n v="1887.5"/>
    <n v="-120"/>
    <n v="-1498.1100000000001"/>
    <n v="-0.7937006622516557"/>
  </r>
  <r>
    <x v="167"/>
    <x v="166"/>
    <n v="1"/>
    <n v="21.6"/>
    <n v="0"/>
    <n v="0"/>
    <n v="0"/>
    <n v="1"/>
    <n v="21.6"/>
    <n v="35"/>
    <n v="1010.8199999999999"/>
    <n v="-34"/>
    <n v="-989.21999999999991"/>
    <n v="-0.97863121030450528"/>
  </r>
  <r>
    <x v="168"/>
    <x v="167"/>
    <n v="16"/>
    <n v="360.32000000000005"/>
    <n v="0"/>
    <n v="0"/>
    <n v="0"/>
    <n v="16"/>
    <n v="360.32000000000005"/>
    <n v="9"/>
    <n v="220.59"/>
    <n v="7"/>
    <n v="139.73000000000005"/>
    <n v="0.6334375991658735"/>
  </r>
  <r>
    <x v="169"/>
    <x v="168"/>
    <n v="0"/>
    <n v="0"/>
    <n v="0"/>
    <n v="0"/>
    <m/>
    <n v="0"/>
    <n v="0"/>
    <n v="21"/>
    <n v="172.9"/>
    <n v="-21"/>
    <n v="-172.9"/>
    <n v="-1"/>
  </r>
  <r>
    <x v="170"/>
    <x v="169"/>
    <n v="11"/>
    <n v="55.180000000000007"/>
    <n v="0"/>
    <n v="0"/>
    <n v="0"/>
    <n v="11"/>
    <n v="55.180000000000007"/>
    <n v="27"/>
    <n v="191.08"/>
    <n v="-16"/>
    <n v="-135.9"/>
    <n v="-0.71122043123299139"/>
  </r>
  <r>
    <x v="171"/>
    <x v="170"/>
    <n v="0"/>
    <n v="0"/>
    <n v="0"/>
    <n v="0"/>
    <m/>
    <n v="0"/>
    <n v="0"/>
    <n v="1"/>
    <n v="10.57"/>
    <n v="-1"/>
    <n v="-10.57"/>
    <n v="-1"/>
  </r>
  <r>
    <x v="172"/>
    <x v="171"/>
    <n v="3"/>
    <n v="135.37"/>
    <n v="0"/>
    <n v="0"/>
    <n v="0"/>
    <n v="3"/>
    <n v="135.37"/>
    <n v="5"/>
    <n v="194.29"/>
    <n v="-2"/>
    <n v="-58.919999999999987"/>
    <n v="-0.30325801636728594"/>
  </r>
  <r>
    <x v="173"/>
    <x v="172"/>
    <n v="3"/>
    <n v="47.239999999999995"/>
    <n v="0"/>
    <n v="0"/>
    <n v="0"/>
    <n v="3"/>
    <n v="47.239999999999995"/>
    <n v="4"/>
    <n v="45"/>
    <n v="-1"/>
    <n v="2.2399999999999949"/>
    <n v="4.9777777777777664E-2"/>
  </r>
  <r>
    <x v="174"/>
    <x v="173"/>
    <n v="0"/>
    <n v="0"/>
    <n v="0"/>
    <n v="0"/>
    <m/>
    <n v="0"/>
    <n v="0"/>
    <n v="0"/>
    <n v="0"/>
    <n v="0"/>
    <n v="0"/>
    <m/>
  </r>
  <r>
    <x v="175"/>
    <x v="174"/>
    <n v="8"/>
    <n v="464.51"/>
    <n v="0"/>
    <n v="0"/>
    <n v="0"/>
    <n v="8"/>
    <n v="464.51"/>
    <n v="0"/>
    <n v="0"/>
    <n v="8"/>
    <n v="464.51"/>
    <m/>
  </r>
  <r>
    <x v="176"/>
    <x v="175"/>
    <n v="2"/>
    <n v="35.200000000000003"/>
    <n v="0"/>
    <n v="0"/>
    <n v="0"/>
    <n v="2"/>
    <n v="35.200000000000003"/>
    <n v="0"/>
    <n v="0"/>
    <n v="2"/>
    <n v="35.200000000000003"/>
    <m/>
  </r>
  <r>
    <x v="177"/>
    <x v="176"/>
    <n v="0"/>
    <n v="0"/>
    <n v="0"/>
    <n v="0"/>
    <m/>
    <n v="0"/>
    <n v="0"/>
    <n v="0"/>
    <n v="0"/>
    <n v="0"/>
    <n v="0"/>
    <m/>
  </r>
  <r>
    <x v="178"/>
    <x v="177"/>
    <n v="648"/>
    <n v="6687.3600000000015"/>
    <n v="0"/>
    <n v="0"/>
    <n v="0"/>
    <n v="648"/>
    <n v="6687.3600000000015"/>
    <n v="4056"/>
    <n v="33322.03"/>
    <n v="-3408"/>
    <n v="-26634.67"/>
    <n v="-0.79931114640974754"/>
  </r>
  <r>
    <x v="179"/>
    <x v="178"/>
    <n v="0"/>
    <n v="0"/>
    <n v="0"/>
    <n v="0"/>
    <m/>
    <n v="0"/>
    <n v="0"/>
    <n v="3"/>
    <n v="168.63"/>
    <n v="-3"/>
    <n v="-168.63"/>
    <n v="-1"/>
  </r>
  <r>
    <x v="180"/>
    <x v="179"/>
    <n v="9"/>
    <n v="536.88"/>
    <n v="0"/>
    <n v="0"/>
    <n v="0"/>
    <n v="9"/>
    <n v="536.88"/>
    <n v="66"/>
    <n v="4251.6399999999994"/>
    <n v="-57"/>
    <n v="-3714.7599999999993"/>
    <n v="-0.87372402178923891"/>
  </r>
  <r>
    <x v="181"/>
    <x v="180"/>
    <n v="2"/>
    <n v="28.38"/>
    <n v="0"/>
    <n v="0"/>
    <n v="0"/>
    <n v="2"/>
    <n v="28.38"/>
    <n v="0"/>
    <n v="0"/>
    <n v="2"/>
    <n v="28.38"/>
    <m/>
  </r>
  <r>
    <x v="182"/>
    <x v="181"/>
    <n v="3"/>
    <n v="48.129999999999995"/>
    <n v="0"/>
    <n v="0"/>
    <n v="0"/>
    <n v="3"/>
    <n v="48.129999999999995"/>
    <n v="5"/>
    <n v="81.96"/>
    <n v="-2"/>
    <n v="-33.83"/>
    <n v="-0.41276232308443145"/>
  </r>
  <r>
    <x v="183"/>
    <x v="182"/>
    <n v="14"/>
    <n v="154.4"/>
    <n v="0"/>
    <n v="0"/>
    <n v="0"/>
    <n v="14"/>
    <n v="154.4"/>
    <n v="0"/>
    <n v="0"/>
    <n v="14"/>
    <n v="154.4"/>
    <m/>
  </r>
  <r>
    <x v="184"/>
    <x v="183"/>
    <n v="9"/>
    <n v="145.46"/>
    <n v="0"/>
    <n v="0"/>
    <n v="0"/>
    <n v="9"/>
    <n v="145.46"/>
    <n v="0"/>
    <n v="0"/>
    <n v="9"/>
    <n v="145.46"/>
    <m/>
  </r>
  <r>
    <x v="185"/>
    <x v="184"/>
    <n v="3"/>
    <n v="18.72"/>
    <n v="0"/>
    <n v="0"/>
    <n v="0"/>
    <n v="3"/>
    <n v="18.72"/>
    <n v="4"/>
    <n v="33"/>
    <n v="-1"/>
    <n v="-14.280000000000001"/>
    <n v="-0.43272727272727274"/>
  </r>
  <r>
    <x v="186"/>
    <x v="185"/>
    <n v="0"/>
    <n v="0"/>
    <n v="0"/>
    <n v="0"/>
    <m/>
    <n v="0"/>
    <n v="0"/>
    <n v="40"/>
    <n v="324.39999999999998"/>
    <n v="-40"/>
    <n v="-324.39999999999998"/>
    <n v="-1"/>
  </r>
  <r>
    <x v="187"/>
    <x v="186"/>
    <n v="42"/>
    <n v="608.13"/>
    <n v="0"/>
    <n v="0"/>
    <n v="0"/>
    <n v="42"/>
    <n v="608.13"/>
    <n v="71"/>
    <n v="1141.3999999999999"/>
    <n v="-29"/>
    <n v="-533.26999999999987"/>
    <n v="-0.46720693884702991"/>
  </r>
  <r>
    <x v="188"/>
    <x v="187"/>
    <n v="4"/>
    <n v="65.52"/>
    <n v="0"/>
    <n v="0"/>
    <n v="0"/>
    <n v="4"/>
    <n v="65.52"/>
    <n v="204"/>
    <n v="3245.7499999999995"/>
    <n v="-200"/>
    <n v="-3180.2299999999996"/>
    <n v="-0.97981360240314253"/>
  </r>
  <r>
    <x v="189"/>
    <x v="188"/>
    <n v="30"/>
    <n v="418.83"/>
    <n v="0"/>
    <n v="0"/>
    <n v="0"/>
    <n v="30"/>
    <n v="418.83"/>
    <n v="183"/>
    <n v="2226.5799999999995"/>
    <n v="-153"/>
    <n v="-1807.7499999999995"/>
    <n v="-0.81189537317320737"/>
  </r>
  <r>
    <x v="190"/>
    <x v="189"/>
    <n v="5"/>
    <n v="112.74000000000001"/>
    <n v="0"/>
    <n v="0"/>
    <n v="0"/>
    <n v="5"/>
    <n v="112.74000000000001"/>
    <n v="6"/>
    <n v="148.26"/>
    <n v="-1"/>
    <n v="-35.519999999999982"/>
    <n v="-0.23957911776608651"/>
  </r>
  <r>
    <x v="191"/>
    <x v="190"/>
    <n v="343"/>
    <n v="3486.6300000000006"/>
    <n v="0"/>
    <n v="0"/>
    <n v="0"/>
    <n v="343"/>
    <n v="3486.6300000000006"/>
    <n v="3244"/>
    <n v="26543.63"/>
    <n v="-2901"/>
    <n v="-23057"/>
    <n v="-0.86864532093010638"/>
  </r>
  <r>
    <x v="192"/>
    <x v="191"/>
    <n v="29"/>
    <n v="234.67000000000002"/>
    <n v="0"/>
    <n v="0"/>
    <n v="0"/>
    <n v="29"/>
    <n v="234.67000000000002"/>
    <n v="268"/>
    <n v="2067.6999999999998"/>
    <n v="-239"/>
    <n v="-1833.0299999999997"/>
    <n v="-0.8865067466266866"/>
  </r>
  <r>
    <x v="193"/>
    <x v="192"/>
    <n v="1"/>
    <n v="9.51"/>
    <n v="0"/>
    <n v="0"/>
    <n v="0"/>
    <n v="1"/>
    <n v="9.51"/>
    <n v="854"/>
    <n v="11391.91"/>
    <n v="-853"/>
    <n v="-11382.4"/>
    <n v="-0.99916519705650764"/>
  </r>
  <r>
    <x v="194"/>
    <x v="193"/>
    <n v="1"/>
    <n v="16.45"/>
    <n v="0"/>
    <n v="0"/>
    <n v="0"/>
    <n v="1"/>
    <n v="16.45"/>
    <n v="26"/>
    <n v="259.92"/>
    <n v="-25"/>
    <n v="-243.47000000000003"/>
    <n v="-0.93671129578331802"/>
  </r>
  <r>
    <x v="195"/>
    <x v="194"/>
    <n v="678"/>
    <n v="8596.59"/>
    <n v="71"/>
    <n v="1077.8999999999992"/>
    <n v="0.11141672584291257"/>
    <n v="749"/>
    <n v="9674.49"/>
    <n v="3859"/>
    <n v="47676.079999999994"/>
    <n v="-3110"/>
    <n v="-38001.589999999997"/>
    <n v="-0.79707874472901297"/>
  </r>
  <r>
    <x v="196"/>
    <x v="195"/>
    <n v="24"/>
    <n v="276.97000000000003"/>
    <n v="0"/>
    <n v="0"/>
    <n v="0"/>
    <n v="24"/>
    <n v="276.97000000000003"/>
    <n v="13"/>
    <n v="146.68"/>
    <n v="11"/>
    <n v="130.29000000000002"/>
    <n v="0.88826015816743942"/>
  </r>
  <r>
    <x v="197"/>
    <x v="196"/>
    <n v="1"/>
    <n v="5.42"/>
    <n v="0"/>
    <n v="0"/>
    <n v="0"/>
    <n v="1"/>
    <n v="5.42"/>
    <n v="1"/>
    <n v="12.65"/>
    <n v="0"/>
    <n v="-7.23"/>
    <n v="-0.57154150197628462"/>
  </r>
  <r>
    <x v="198"/>
    <x v="197"/>
    <n v="35"/>
    <n v="428.14"/>
    <n v="0"/>
    <n v="0"/>
    <n v="0"/>
    <n v="35"/>
    <n v="428.14"/>
    <n v="47"/>
    <n v="561.33000000000004"/>
    <n v="-12"/>
    <n v="-133.19000000000005"/>
    <n v="-0.2372757557942744"/>
  </r>
  <r>
    <x v="199"/>
    <x v="198"/>
    <n v="2"/>
    <n v="65.400000000000006"/>
    <n v="0"/>
    <n v="0"/>
    <n v="0"/>
    <n v="2"/>
    <n v="65.400000000000006"/>
    <n v="0"/>
    <n v="0"/>
    <n v="2"/>
    <n v="65.400000000000006"/>
    <m/>
  </r>
  <r>
    <x v="200"/>
    <x v="199"/>
    <n v="5"/>
    <n v="150.29"/>
    <n v="8"/>
    <n v="291.2"/>
    <n v="0.6595845885524021"/>
    <n v="13"/>
    <n v="441.49"/>
    <n v="220"/>
    <n v="6861.18"/>
    <n v="-207"/>
    <n v="-6419.6900000000005"/>
    <n v="-0.93565392541807679"/>
  </r>
  <r>
    <x v="201"/>
    <x v="200"/>
    <n v="22"/>
    <n v="1103.1299999999999"/>
    <n v="0"/>
    <n v="0"/>
    <n v="0"/>
    <n v="22"/>
    <n v="1103.1299999999999"/>
    <n v="3"/>
    <n v="196.47"/>
    <n v="19"/>
    <n v="906.65999999999985"/>
    <n v="4.6147503435639026"/>
  </r>
  <r>
    <x v="202"/>
    <x v="201"/>
    <n v="21"/>
    <n v="2.93"/>
    <n v="0"/>
    <n v="0"/>
    <n v="0"/>
    <n v="21"/>
    <n v="2.93"/>
    <n v="0"/>
    <n v="0"/>
    <n v="21"/>
    <n v="2.93"/>
    <m/>
  </r>
  <r>
    <x v="203"/>
    <x v="202"/>
    <n v="5"/>
    <n v="208.96"/>
    <n v="0"/>
    <n v="0"/>
    <n v="0"/>
    <n v="5"/>
    <n v="208.96"/>
    <n v="17"/>
    <n v="535.31000000000006"/>
    <n v="-12"/>
    <n v="-326.35000000000002"/>
    <n v="-0.60964674674487673"/>
  </r>
  <r>
    <x v="204"/>
    <x v="203"/>
    <n v="243"/>
    <n v="3443.5699999999997"/>
    <n v="0"/>
    <n v="0"/>
    <n v="0"/>
    <n v="243"/>
    <n v="3443.5699999999997"/>
    <n v="24"/>
    <n v="369.42999999999995"/>
    <n v="219"/>
    <n v="3074.14"/>
    <n v="8.3213057954145579"/>
  </r>
  <r>
    <x v="205"/>
    <x v="204"/>
    <n v="6"/>
    <n v="91.74"/>
    <n v="0"/>
    <n v="0"/>
    <n v="0"/>
    <n v="6"/>
    <n v="91.74"/>
    <n v="5"/>
    <n v="123.59"/>
    <n v="1"/>
    <n v="-31.850000000000009"/>
    <n v="-0.25770693421797886"/>
  </r>
  <r>
    <x v="206"/>
    <x v="205"/>
    <n v="9"/>
    <n v="194.04"/>
    <n v="0"/>
    <n v="0"/>
    <n v="0"/>
    <n v="9"/>
    <n v="194.04"/>
    <n v="41"/>
    <n v="1357.55"/>
    <n v="-32"/>
    <n v="-1163.51"/>
    <n v="-0.85706603808331183"/>
  </r>
  <r>
    <x v="207"/>
    <x v="206"/>
    <n v="79"/>
    <n v="2302.19"/>
    <n v="0"/>
    <n v="0"/>
    <n v="0"/>
    <n v="79"/>
    <n v="2302.19"/>
    <n v="166"/>
    <n v="4824.88"/>
    <n v="-87"/>
    <n v="-2522.69"/>
    <n v="-0.52285030923048859"/>
  </r>
  <r>
    <x v="208"/>
    <x v="207"/>
    <n v="1"/>
    <n v="61.57"/>
    <n v="0"/>
    <n v="0"/>
    <n v="0"/>
    <n v="1"/>
    <n v="61.57"/>
    <n v="1"/>
    <n v="56.23"/>
    <n v="0"/>
    <n v="5.3400000000000034"/>
    <n v="9.4967099413124728E-2"/>
  </r>
  <r>
    <x v="209"/>
    <x v="208"/>
    <n v="188"/>
    <n v="2349.3199999999997"/>
    <n v="0"/>
    <n v="0"/>
    <n v="0"/>
    <n v="188"/>
    <n v="2349.3199999999997"/>
    <n v="57"/>
    <n v="851.27"/>
    <n v="131"/>
    <n v="1498.0499999999997"/>
    <n v="1.7597824427032549"/>
  </r>
  <r>
    <x v="210"/>
    <x v="209"/>
    <n v="0"/>
    <n v="0"/>
    <n v="0"/>
    <n v="0"/>
    <m/>
    <n v="0"/>
    <n v="0"/>
    <n v="2"/>
    <n v="51.28"/>
    <n v="-2"/>
    <n v="-51.28"/>
    <n v="-1"/>
  </r>
  <r>
    <x v="211"/>
    <x v="210"/>
    <n v="16"/>
    <n v="1706.5"/>
    <n v="0"/>
    <n v="0"/>
    <n v="0"/>
    <n v="16"/>
    <n v="1706.5"/>
    <n v="12"/>
    <n v="1164.5"/>
    <n v="4"/>
    <n v="542"/>
    <n v="0.46543580936024043"/>
  </r>
  <r>
    <x v="212"/>
    <x v="211"/>
    <n v="10"/>
    <n v="852.7"/>
    <n v="0"/>
    <n v="0"/>
    <n v="0"/>
    <n v="10"/>
    <n v="852.7"/>
    <n v="20"/>
    <n v="1474.56"/>
    <n v="-10"/>
    <n v="-621.8599999999999"/>
    <n v="-0.42172580295138884"/>
  </r>
  <r>
    <x v="213"/>
    <x v="212"/>
    <n v="1"/>
    <n v="58.2"/>
    <n v="0"/>
    <n v="0"/>
    <n v="0"/>
    <n v="1"/>
    <n v="58.2"/>
    <n v="7"/>
    <n v="401.1"/>
    <n v="-6"/>
    <n v="-342.90000000000003"/>
    <n v="-0.85489902767389681"/>
  </r>
  <r>
    <x v="214"/>
    <x v="213"/>
    <n v="28"/>
    <n v="720.15000000000009"/>
    <n v="0"/>
    <n v="0"/>
    <n v="0"/>
    <n v="28"/>
    <n v="720.15000000000009"/>
    <n v="211"/>
    <n v="4333.54"/>
    <n v="-183"/>
    <n v="-3613.39"/>
    <n v="-0.83381946399479412"/>
  </r>
  <r>
    <x v="215"/>
    <x v="214"/>
    <n v="20"/>
    <n v="490.2"/>
    <n v="0"/>
    <n v="0"/>
    <n v="0"/>
    <n v="20"/>
    <n v="490.2"/>
    <n v="54"/>
    <n v="1323.3999999999999"/>
    <n v="-34"/>
    <n v="-833.19999999999982"/>
    <n v="-0.62959044884388693"/>
  </r>
  <r>
    <x v="216"/>
    <x v="215"/>
    <n v="121"/>
    <n v="2369.2999999999997"/>
    <n v="0"/>
    <n v="0"/>
    <n v="0"/>
    <n v="121"/>
    <n v="2369.2999999999997"/>
    <n v="179"/>
    <n v="2927.3399999999997"/>
    <n v="-58"/>
    <n v="-558.04"/>
    <n v="-0.19063040166157674"/>
  </r>
  <r>
    <x v="217"/>
    <x v="216"/>
    <n v="1"/>
    <n v="49.1"/>
    <n v="0"/>
    <n v="0"/>
    <n v="0"/>
    <n v="1"/>
    <n v="49.1"/>
    <n v="0"/>
    <n v="0"/>
    <n v="1"/>
    <n v="49.1"/>
    <m/>
  </r>
  <r>
    <x v="218"/>
    <x v="217"/>
    <n v="0"/>
    <n v="0"/>
    <n v="0"/>
    <n v="0"/>
    <m/>
    <n v="0"/>
    <n v="0"/>
    <n v="55"/>
    <n v="1090.33"/>
    <n v="-55"/>
    <n v="-1090.33"/>
    <n v="-1"/>
  </r>
  <r>
    <x v="219"/>
    <x v="218"/>
    <n v="2"/>
    <n v="12.32"/>
    <n v="0"/>
    <n v="0"/>
    <n v="0"/>
    <n v="2"/>
    <n v="12.32"/>
    <n v="1"/>
    <n v="11.83"/>
    <n v="1"/>
    <n v="0.49000000000000021"/>
    <n v="4.1420118343195284E-2"/>
  </r>
  <r>
    <x v="220"/>
    <x v="219"/>
    <n v="8"/>
    <n v="115.44"/>
    <n v="0"/>
    <n v="0"/>
    <n v="0"/>
    <n v="8"/>
    <n v="115.44"/>
    <n v="12"/>
    <n v="173.94"/>
    <n v="-4"/>
    <n v="-58.5"/>
    <n v="-0.33632286995515698"/>
  </r>
  <r>
    <x v="221"/>
    <x v="220"/>
    <n v="0"/>
    <n v="0"/>
    <n v="0"/>
    <n v="0"/>
    <m/>
    <n v="0"/>
    <n v="0"/>
    <n v="1"/>
    <n v="70.88"/>
    <n v="-1"/>
    <n v="-70.88"/>
    <n v="-1"/>
  </r>
  <r>
    <x v="222"/>
    <x v="221"/>
    <n v="0"/>
    <n v="0"/>
    <n v="0"/>
    <n v="0"/>
    <m/>
    <n v="0"/>
    <n v="0"/>
    <n v="1"/>
    <n v="30.37"/>
    <n v="-1"/>
    <n v="-30.37"/>
    <n v="-1"/>
  </r>
  <r>
    <x v="223"/>
    <x v="222"/>
    <n v="5"/>
    <n v="425.66999999999996"/>
    <n v="0"/>
    <n v="0"/>
    <n v="0"/>
    <n v="5"/>
    <n v="425.66999999999996"/>
    <n v="16"/>
    <n v="1195.8599999999999"/>
    <n v="-11"/>
    <n v="-770.18999999999994"/>
    <n v="-0.64404696201896539"/>
  </r>
  <r>
    <x v="224"/>
    <x v="223"/>
    <n v="3"/>
    <n v="106.26"/>
    <n v="0"/>
    <n v="0"/>
    <n v="0"/>
    <n v="3"/>
    <n v="106.26"/>
    <n v="0"/>
    <n v="0"/>
    <n v="3"/>
    <n v="106.26"/>
    <m/>
  </r>
  <r>
    <x v="225"/>
    <x v="224"/>
    <n v="110"/>
    <n v="1527.2000000000003"/>
    <n v="1"/>
    <n v="24.9"/>
    <n v="1.6042780748663096E-2"/>
    <n v="111"/>
    <n v="1552.1000000000004"/>
    <n v="354"/>
    <n v="5782.91"/>
    <n v="-243"/>
    <n v="-4230.8099999999995"/>
    <n v="-0.73160571407820618"/>
  </r>
  <r>
    <x v="226"/>
    <x v="225"/>
    <n v="2"/>
    <n v="21.41"/>
    <n v="0"/>
    <n v="0"/>
    <n v="0"/>
    <n v="2"/>
    <n v="21.41"/>
    <n v="3"/>
    <n v="37.090000000000003"/>
    <n v="-1"/>
    <n v="-15.680000000000003"/>
    <n v="-0.42275545969263956"/>
  </r>
  <r>
    <x v="227"/>
    <x v="226"/>
    <n v="44"/>
    <n v="1593.6399999999999"/>
    <n v="0"/>
    <n v="0"/>
    <n v="0"/>
    <n v="44"/>
    <n v="1593.6399999999999"/>
    <n v="69"/>
    <n v="2737.92"/>
    <n v="-25"/>
    <n v="-1144.2800000000002"/>
    <n v="-0.41793770453482942"/>
  </r>
  <r>
    <x v="228"/>
    <x v="227"/>
    <n v="15"/>
    <n v="379.73999999999995"/>
    <n v="0"/>
    <n v="0"/>
    <n v="0"/>
    <n v="15"/>
    <n v="379.73999999999995"/>
    <n v="23"/>
    <n v="567.01"/>
    <n v="-8"/>
    <n v="-187.27000000000004"/>
    <n v="-0.33027636196892479"/>
  </r>
  <r>
    <x v="229"/>
    <x v="228"/>
    <n v="520"/>
    <n v="5611.14"/>
    <n v="0"/>
    <n v="0"/>
    <n v="0"/>
    <n v="520"/>
    <n v="5611.14"/>
    <n v="2093"/>
    <n v="17037.66"/>
    <n v="-1573"/>
    <n v="-11426.52"/>
    <n v="-0.6706625205574005"/>
  </r>
  <r>
    <x v="230"/>
    <x v="229"/>
    <n v="16"/>
    <n v="526.41"/>
    <n v="0"/>
    <n v="0"/>
    <n v="0"/>
    <n v="16"/>
    <n v="526.41"/>
    <n v="81"/>
    <n v="2664.8700000000003"/>
    <n v="-65"/>
    <n v="-2138.4600000000005"/>
    <n v="-0.80246315955374947"/>
  </r>
  <r>
    <x v="231"/>
    <x v="230"/>
    <n v="4"/>
    <n v="187.86"/>
    <n v="0"/>
    <n v="0"/>
    <n v="0"/>
    <n v="4"/>
    <n v="187.86"/>
    <n v="2"/>
    <n v="97.539999999999992"/>
    <n v="2"/>
    <n v="90.320000000000022"/>
    <n v="0.92597908550338348"/>
  </r>
  <r>
    <x v="232"/>
    <x v="231"/>
    <n v="12"/>
    <n v="236.48000000000002"/>
    <n v="0"/>
    <n v="0"/>
    <n v="0"/>
    <n v="12"/>
    <n v="236.48000000000002"/>
    <n v="61"/>
    <n v="1012.73"/>
    <n v="-49"/>
    <n v="-776.25"/>
    <n v="-0.76649254984053006"/>
  </r>
  <r>
    <x v="233"/>
    <x v="232"/>
    <n v="20"/>
    <n v="366.40999999999997"/>
    <n v="0"/>
    <n v="0"/>
    <n v="0"/>
    <n v="20"/>
    <n v="366.40999999999997"/>
    <n v="58"/>
    <n v="961.99"/>
    <n v="-38"/>
    <n v="-595.58000000000004"/>
    <n v="-0.61911246478653625"/>
  </r>
  <r>
    <x v="234"/>
    <x v="233"/>
    <n v="32"/>
    <n v="608.34"/>
    <n v="14"/>
    <n v="348.6"/>
    <n v="0.36428616214182707"/>
    <n v="46"/>
    <n v="956.94"/>
    <n v="232"/>
    <n v="3824.8900000000003"/>
    <n v="-186"/>
    <n v="-2867.9500000000003"/>
    <n v="-0.7498124129059921"/>
  </r>
  <r>
    <x v="235"/>
    <x v="234"/>
    <n v="3"/>
    <n v="123.25999999999999"/>
    <n v="0"/>
    <n v="0"/>
    <n v="0"/>
    <n v="3"/>
    <n v="123.25999999999999"/>
    <n v="17"/>
    <n v="692.5"/>
    <n v="-14"/>
    <n v="-569.24"/>
    <n v="-0.82200722021660655"/>
  </r>
  <r>
    <x v="236"/>
    <x v="235"/>
    <n v="10"/>
    <n v="136.38999999999999"/>
    <n v="0"/>
    <n v="0"/>
    <n v="0"/>
    <n v="10"/>
    <n v="136.38999999999999"/>
    <n v="5"/>
    <n v="86.449999999999989"/>
    <n v="5"/>
    <n v="49.94"/>
    <n v="0.57767495662232504"/>
  </r>
  <r>
    <x v="237"/>
    <x v="236"/>
    <n v="114"/>
    <n v="1866.3"/>
    <n v="17"/>
    <n v="418.80999999999989"/>
    <n v="0.18327782907606197"/>
    <n v="131"/>
    <n v="2285.1099999999997"/>
    <n v="1061"/>
    <n v="17733.79"/>
    <n v="-930"/>
    <n v="-15448.68"/>
    <n v="-0.87114373182495108"/>
  </r>
  <r>
    <x v="238"/>
    <x v="237"/>
    <n v="88"/>
    <n v="3901.1"/>
    <n v="0"/>
    <n v="0"/>
    <n v="0"/>
    <n v="88"/>
    <n v="3901.1"/>
    <n v="3"/>
    <n v="122.7"/>
    <n v="85"/>
    <n v="3778.4"/>
    <n v="30.793806030969844"/>
  </r>
  <r>
    <x v="239"/>
    <x v="238"/>
    <n v="9"/>
    <n v="72.989999999999995"/>
    <n v="0"/>
    <n v="0"/>
    <n v="0"/>
    <n v="9"/>
    <n v="72.989999999999995"/>
    <n v="32"/>
    <n v="261.95999999999998"/>
    <n v="-23"/>
    <n v="-188.96999999999997"/>
    <n v="-0.7213696747595052"/>
  </r>
  <r>
    <x v="240"/>
    <x v="239"/>
    <n v="74"/>
    <n v="6564.6100000000006"/>
    <n v="0"/>
    <n v="0"/>
    <n v="0"/>
    <n v="74"/>
    <n v="6564.6100000000006"/>
    <n v="13"/>
    <n v="1278.33"/>
    <n v="61"/>
    <n v="5286.2800000000007"/>
    <n v="4.1353015262099779"/>
  </r>
  <r>
    <x v="241"/>
    <x v="240"/>
    <n v="4"/>
    <n v="380.8"/>
    <n v="0"/>
    <n v="0"/>
    <n v="0"/>
    <n v="4"/>
    <n v="380.8"/>
    <n v="55"/>
    <n v="4532.2699999999995"/>
    <n v="-51"/>
    <n v="-4151.4699999999993"/>
    <n v="-0.91598029243624046"/>
  </r>
  <r>
    <x v="242"/>
    <x v="241"/>
    <n v="148"/>
    <n v="1752.33"/>
    <n v="0"/>
    <n v="0"/>
    <n v="0"/>
    <n v="148"/>
    <n v="1752.33"/>
    <n v="654"/>
    <n v="6992"/>
    <n v="-506"/>
    <n v="-5239.67"/>
    <n v="-0.74938072082379859"/>
  </r>
  <r>
    <x v="243"/>
    <x v="242"/>
    <n v="1"/>
    <n v="58.74"/>
    <n v="0"/>
    <n v="0"/>
    <n v="0"/>
    <n v="1"/>
    <n v="58.74"/>
    <n v="0"/>
    <n v="0"/>
    <n v="1"/>
    <n v="58.74"/>
    <m/>
  </r>
  <r>
    <x v="244"/>
    <x v="243"/>
    <n v="2"/>
    <n v="88.34"/>
    <n v="0"/>
    <n v="0"/>
    <n v="0"/>
    <n v="2"/>
    <n v="88.34"/>
    <n v="9"/>
    <n v="345.89000000000004"/>
    <n v="-7"/>
    <n v="-257.55000000000007"/>
    <n v="-0.74460088467431851"/>
  </r>
  <r>
    <x v="245"/>
    <x v="244"/>
    <n v="623"/>
    <n v="10619.670000000002"/>
    <n v="0"/>
    <n v="0"/>
    <n v="0"/>
    <n v="623"/>
    <n v="10619.670000000002"/>
    <n v="1718"/>
    <n v="28242.18"/>
    <n v="-1095"/>
    <n v="-17622.509999999998"/>
    <n v="-0.62397838977019471"/>
  </r>
  <r>
    <x v="246"/>
    <x v="245"/>
    <n v="2"/>
    <n v="96.87"/>
    <n v="0"/>
    <n v="0"/>
    <n v="0"/>
    <n v="2"/>
    <n v="96.87"/>
    <n v="1"/>
    <n v="31.75"/>
    <n v="1"/>
    <n v="65.12"/>
    <n v="2.0510236220472442"/>
  </r>
  <r>
    <x v="247"/>
    <x v="246"/>
    <n v="1"/>
    <n v="160.65"/>
    <n v="0"/>
    <n v="0"/>
    <n v="0"/>
    <n v="1"/>
    <n v="160.65"/>
    <n v="0"/>
    <n v="0"/>
    <n v="1"/>
    <n v="160.65"/>
    <m/>
  </r>
  <r>
    <x v="248"/>
    <x v="247"/>
    <n v="569"/>
    <n v="2809.4100000000003"/>
    <n v="0"/>
    <n v="0"/>
    <n v="0"/>
    <n v="569"/>
    <n v="2809.4100000000003"/>
    <n v="686"/>
    <n v="2945.08"/>
    <n v="-117"/>
    <n v="-135.66999999999962"/>
    <n v="-4.6066660328412001E-2"/>
  </r>
  <r>
    <x v="249"/>
    <x v="248"/>
    <n v="144"/>
    <n v="920.59"/>
    <n v="0"/>
    <n v="0"/>
    <n v="0"/>
    <n v="144"/>
    <n v="920.59"/>
    <n v="2465"/>
    <n v="9950.2499999999982"/>
    <n v="-2321"/>
    <n v="-9029.659999999998"/>
    <n v="-0.90748071656491036"/>
  </r>
  <r>
    <x v="250"/>
    <x v="249"/>
    <n v="9"/>
    <n v="33.79"/>
    <n v="0"/>
    <n v="0"/>
    <n v="0"/>
    <n v="9"/>
    <n v="33.79"/>
    <n v="14"/>
    <n v="94.96"/>
    <n v="-5"/>
    <n v="-61.169999999999995"/>
    <n v="-0.64416596461668074"/>
  </r>
  <r>
    <x v="251"/>
    <x v="250"/>
    <n v="1"/>
    <n v="62.18"/>
    <n v="0"/>
    <n v="0"/>
    <n v="0"/>
    <n v="1"/>
    <n v="62.18"/>
    <n v="0"/>
    <n v="0"/>
    <n v="1"/>
    <n v="62.18"/>
    <m/>
  </r>
  <r>
    <x v="252"/>
    <x v="251"/>
    <n v="306"/>
    <n v="3686.1200000000003"/>
    <n v="0"/>
    <n v="0"/>
    <n v="0"/>
    <n v="306"/>
    <n v="3686.1200000000003"/>
    <n v="1"/>
    <n v="12.4"/>
    <n v="305"/>
    <n v="3673.7200000000003"/>
    <n v="296.26774193548385"/>
  </r>
  <r>
    <x v="253"/>
    <x v="252"/>
    <n v="13"/>
    <n v="546.92000000000007"/>
    <n v="0"/>
    <n v="0"/>
    <n v="0"/>
    <n v="13"/>
    <n v="546.92000000000007"/>
    <n v="5"/>
    <n v="242.62"/>
    <n v="8"/>
    <n v="304.30000000000007"/>
    <n v="1.2542247135438136"/>
  </r>
  <r>
    <x v="254"/>
    <x v="253"/>
    <n v="264"/>
    <n v="2285.4"/>
    <n v="0"/>
    <n v="0"/>
    <n v="0"/>
    <n v="264"/>
    <n v="2285.4"/>
    <n v="0"/>
    <n v="0"/>
    <n v="264"/>
    <n v="2285.4"/>
    <m/>
  </r>
  <r>
    <x v="255"/>
    <x v="254"/>
    <n v="22"/>
    <n v="908.24000000000012"/>
    <n v="0"/>
    <n v="0"/>
    <n v="0"/>
    <n v="22"/>
    <n v="908.24000000000012"/>
    <n v="0"/>
    <n v="0"/>
    <n v="22"/>
    <n v="908.24000000000012"/>
    <m/>
  </r>
  <r>
    <x v="256"/>
    <x v="255"/>
    <n v="35"/>
    <n v="1273.7199999999998"/>
    <n v="0"/>
    <n v="0"/>
    <n v="0"/>
    <n v="35"/>
    <n v="1273.7199999999998"/>
    <n v="0"/>
    <n v="0"/>
    <n v="35"/>
    <n v="1273.7199999999998"/>
    <m/>
  </r>
  <r>
    <x v="257"/>
    <x v="256"/>
    <n v="3"/>
    <n v="64.400000000000006"/>
    <n v="0"/>
    <n v="0"/>
    <n v="0"/>
    <n v="3"/>
    <n v="64.400000000000006"/>
    <n v="0"/>
    <n v="0"/>
    <n v="3"/>
    <n v="64.400000000000006"/>
    <m/>
  </r>
  <r>
    <x v="258"/>
    <x v="257"/>
    <n v="4"/>
    <n v="170.14999999999998"/>
    <n v="0"/>
    <n v="0"/>
    <n v="0"/>
    <n v="4"/>
    <n v="170.14999999999998"/>
    <n v="0"/>
    <n v="0"/>
    <n v="4"/>
    <n v="170.14999999999998"/>
    <m/>
  </r>
  <r>
    <x v="259"/>
    <x v="258"/>
    <n v="1"/>
    <n v="32.369999999999997"/>
    <n v="0"/>
    <n v="0"/>
    <n v="0"/>
    <n v="1"/>
    <n v="32.369999999999997"/>
    <n v="0"/>
    <n v="0"/>
    <n v="1"/>
    <n v="32.369999999999997"/>
    <m/>
  </r>
  <r>
    <x v="260"/>
    <x v="259"/>
    <n v="6"/>
    <n v="176.59"/>
    <n v="0"/>
    <n v="0"/>
    <n v="0"/>
    <n v="6"/>
    <n v="176.59"/>
    <n v="0"/>
    <n v="0"/>
    <n v="6"/>
    <n v="176.59"/>
    <m/>
  </r>
  <r>
    <x v="261"/>
    <x v="260"/>
    <n v="2"/>
    <n v="65.599999999999994"/>
    <n v="0"/>
    <n v="0"/>
    <n v="0"/>
    <n v="2"/>
    <n v="65.599999999999994"/>
    <n v="0"/>
    <n v="0"/>
    <n v="2"/>
    <n v="65.599999999999994"/>
    <m/>
  </r>
  <r>
    <x v="262"/>
    <x v="261"/>
    <n v="2"/>
    <n v="67.09"/>
    <n v="0"/>
    <n v="0"/>
    <n v="0"/>
    <n v="2"/>
    <n v="67.09"/>
    <n v="0"/>
    <n v="0"/>
    <n v="2"/>
    <n v="67.09"/>
    <m/>
  </r>
  <r>
    <x v="263"/>
    <x v="262"/>
    <n v="17"/>
    <n v="315.93"/>
    <n v="0"/>
    <n v="0"/>
    <n v="0"/>
    <n v="17"/>
    <n v="315.93"/>
    <n v="0"/>
    <n v="0"/>
    <n v="17"/>
    <n v="315.93"/>
    <m/>
  </r>
  <r>
    <x v="264"/>
    <x v="263"/>
    <n v="315"/>
    <n v="30.99"/>
    <n v="0"/>
    <n v="0"/>
    <n v="0"/>
    <n v="315"/>
    <n v="30.99"/>
    <n v="0"/>
    <n v="0"/>
    <n v="315"/>
    <n v="30.99"/>
    <m/>
  </r>
  <r>
    <x v="265"/>
    <x v="264"/>
    <n v="4"/>
    <n v="15.36"/>
    <n v="0"/>
    <n v="0"/>
    <n v="0"/>
    <n v="4"/>
    <n v="15.36"/>
    <n v="0"/>
    <n v="0"/>
    <n v="4"/>
    <n v="15.36"/>
    <m/>
  </r>
  <r>
    <x v="266"/>
    <x v="265"/>
    <n v="3"/>
    <n v="400.21"/>
    <n v="0"/>
    <n v="0"/>
    <n v="0"/>
    <n v="3"/>
    <n v="400.21"/>
    <n v="0"/>
    <n v="0"/>
    <n v="3"/>
    <n v="400.21"/>
    <m/>
  </r>
  <r>
    <x v="267"/>
    <x v="266"/>
    <n v="39"/>
    <n v="863.03000000000009"/>
    <n v="0"/>
    <n v="0"/>
    <n v="0"/>
    <n v="39"/>
    <n v="863.03000000000009"/>
    <n v="0"/>
    <n v="0"/>
    <n v="39"/>
    <n v="863.03000000000009"/>
    <m/>
  </r>
  <r>
    <x v="268"/>
    <x v="267"/>
    <n v="24"/>
    <n v="122.81"/>
    <n v="0"/>
    <n v="0"/>
    <n v="0"/>
    <n v="24"/>
    <n v="122.81"/>
    <n v="0"/>
    <n v="0"/>
    <n v="24"/>
    <n v="122.81"/>
    <m/>
  </r>
  <r>
    <x v="269"/>
    <x v="268"/>
    <n v="18"/>
    <n v="119.77"/>
    <n v="0"/>
    <n v="0"/>
    <n v="0"/>
    <n v="18"/>
    <n v="119.77"/>
    <n v="0"/>
    <n v="0"/>
    <n v="18"/>
    <n v="119.77"/>
    <m/>
  </r>
  <r>
    <x v="270"/>
    <x v="269"/>
    <n v="423"/>
    <n v="2621.3000000000002"/>
    <n v="0"/>
    <n v="0"/>
    <n v="0"/>
    <n v="423"/>
    <n v="2621.3000000000002"/>
    <n v="0"/>
    <n v="0"/>
    <n v="423"/>
    <n v="2621.3000000000002"/>
    <m/>
  </r>
  <r>
    <x v="271"/>
    <x v="270"/>
    <n v="93"/>
    <n v="2805.25"/>
    <n v="0"/>
    <n v="0"/>
    <n v="0"/>
    <n v="93"/>
    <n v="2805.25"/>
    <n v="0"/>
    <n v="0"/>
    <n v="93"/>
    <n v="2805.25"/>
    <m/>
  </r>
  <r>
    <x v="272"/>
    <x v="271"/>
    <n v="234"/>
    <n v="3595.7999999999997"/>
    <n v="0"/>
    <n v="0"/>
    <n v="0"/>
    <n v="234"/>
    <n v="3595.7999999999997"/>
    <n v="0"/>
    <n v="0"/>
    <n v="234"/>
    <n v="3595.7999999999997"/>
    <m/>
  </r>
  <r>
    <x v="273"/>
    <x v="272"/>
    <n v="2"/>
    <n v="102.32"/>
    <n v="0"/>
    <n v="0"/>
    <n v="0"/>
    <n v="2"/>
    <n v="102.32"/>
    <n v="0"/>
    <n v="0"/>
    <n v="2"/>
    <n v="102.32"/>
    <m/>
  </r>
  <r>
    <x v="274"/>
    <x v="273"/>
    <n v="21"/>
    <n v="869.78"/>
    <n v="0"/>
    <n v="0"/>
    <n v="0"/>
    <n v="21"/>
    <n v="869.78"/>
    <n v="0"/>
    <n v="0"/>
    <n v="21"/>
    <n v="869.78"/>
    <m/>
  </r>
  <r>
    <x v="275"/>
    <x v="274"/>
    <n v="101"/>
    <n v="1663.64"/>
    <n v="0"/>
    <n v="0"/>
    <n v="0"/>
    <n v="101"/>
    <n v="1663.64"/>
    <n v="0"/>
    <n v="0"/>
    <n v="101"/>
    <n v="1663.64"/>
    <m/>
  </r>
  <r>
    <x v="276"/>
    <x v="275"/>
    <n v="372"/>
    <n v="6196.29"/>
    <n v="0"/>
    <n v="0"/>
    <n v="0"/>
    <n v="372"/>
    <n v="6196.29"/>
    <n v="0"/>
    <n v="0"/>
    <n v="372"/>
    <n v="6196.29"/>
    <m/>
  </r>
  <r>
    <x v="277"/>
    <x v="276"/>
    <n v="137"/>
    <n v="2234.4699999999998"/>
    <n v="0"/>
    <n v="0"/>
    <n v="0"/>
    <n v="137"/>
    <n v="2234.4699999999998"/>
    <n v="0"/>
    <n v="0"/>
    <n v="137"/>
    <n v="2234.4699999999998"/>
    <m/>
  </r>
  <r>
    <x v="278"/>
    <x v="277"/>
    <n v="3"/>
    <n v="115.5"/>
    <n v="0"/>
    <n v="0"/>
    <n v="0"/>
    <n v="3"/>
    <n v="115.5"/>
    <n v="0"/>
    <n v="0"/>
    <n v="3"/>
    <n v="115.5"/>
    <m/>
  </r>
  <r>
    <x v="279"/>
    <x v="278"/>
    <n v="74"/>
    <n v="2091.16"/>
    <n v="0"/>
    <n v="0"/>
    <n v="0"/>
    <n v="74"/>
    <n v="2091.16"/>
    <n v="0"/>
    <n v="0"/>
    <n v="74"/>
    <n v="2091.16"/>
    <m/>
  </r>
  <r>
    <x v="280"/>
    <x v="279"/>
    <n v="13"/>
    <n v="191.48999999999998"/>
    <n v="0"/>
    <n v="0"/>
    <n v="0"/>
    <n v="13"/>
    <n v="191.48999999999998"/>
    <n v="0"/>
    <n v="0"/>
    <n v="13"/>
    <n v="191.48999999999998"/>
    <m/>
  </r>
  <r>
    <x v="281"/>
    <x v="280"/>
    <n v="0"/>
    <n v="0"/>
    <n v="0"/>
    <n v="0"/>
    <m/>
    <n v="0"/>
    <n v="0"/>
    <n v="8"/>
    <n v="121.8"/>
    <n v="13"/>
    <n v="-121.8"/>
    <n v="-1"/>
  </r>
  <r>
    <x v="282"/>
    <x v="281"/>
    <n v="0"/>
    <n v="0"/>
    <n v="0"/>
    <n v="0"/>
    <m/>
    <n v="0"/>
    <n v="0"/>
    <n v="0"/>
    <n v="0"/>
    <n v="-35714"/>
    <n v="0"/>
    <m/>
  </r>
  <r>
    <x v="283"/>
    <x v="282"/>
    <n v="0"/>
    <n v="0"/>
    <n v="0"/>
    <n v="0"/>
    <m/>
    <n v="0"/>
    <n v="0"/>
    <n v="1"/>
    <n v="119.51"/>
    <n v="-8"/>
    <n v="-119.51"/>
    <n v="-1"/>
  </r>
  <r>
    <x v="284"/>
    <x v="283"/>
    <n v="0"/>
    <n v="0"/>
    <n v="27"/>
    <n v="822.29999999999961"/>
    <n v="1"/>
    <n v="27"/>
    <n v="822.29999999999961"/>
    <n v="302"/>
    <n v="6543.9599999999991"/>
    <n v="0"/>
    <n v="-5721.66"/>
    <n v="-0.87434214145563249"/>
  </r>
  <r>
    <x v="285"/>
    <x v="284"/>
    <n v="0"/>
    <n v="0"/>
    <n v="0"/>
    <n v="0"/>
    <m/>
    <n v="0"/>
    <n v="0"/>
    <n v="1"/>
    <n v="28.03"/>
    <n v="-1"/>
    <n v="-28.03"/>
    <n v="-1"/>
  </r>
  <r>
    <x v="286"/>
    <x v="285"/>
    <n v="0"/>
    <n v="0"/>
    <n v="0"/>
    <n v="0"/>
    <m/>
    <n v="0"/>
    <n v="0"/>
    <n v="0"/>
    <n v="0"/>
    <n v="-275"/>
    <n v="0"/>
    <m/>
  </r>
  <r>
    <x v="287"/>
    <x v="286"/>
    <n v="0"/>
    <n v="0"/>
    <n v="0"/>
    <n v="0"/>
    <m/>
    <n v="0"/>
    <n v="0"/>
    <n v="7"/>
    <n v="71.13"/>
    <n v="-1"/>
    <n v="-71.13"/>
    <n v="-1"/>
  </r>
  <r>
    <x v="288"/>
    <x v="287"/>
    <n v="0"/>
    <n v="0"/>
    <n v="0"/>
    <n v="0"/>
    <m/>
    <n v="0"/>
    <n v="0"/>
    <n v="0"/>
    <n v="0"/>
    <n v="0"/>
    <n v="0"/>
    <m/>
  </r>
  <r>
    <x v="289"/>
    <x v="288"/>
    <n v="0"/>
    <n v="0"/>
    <n v="0"/>
    <n v="0"/>
    <m/>
    <n v="0"/>
    <n v="0"/>
    <n v="2"/>
    <n v="55.14"/>
    <n v="-7"/>
    <n v="-55.14"/>
    <n v="-1"/>
  </r>
  <r>
    <x v="290"/>
    <x v="289"/>
    <n v="0"/>
    <n v="0"/>
    <n v="0"/>
    <n v="0"/>
    <m/>
    <n v="0"/>
    <n v="0"/>
    <n v="4"/>
    <n v="27.55"/>
    <n v="0"/>
    <n v="-27.55"/>
    <n v="-1"/>
  </r>
  <r>
    <x v="291"/>
    <x v="290"/>
    <n v="0"/>
    <n v="0"/>
    <n v="0"/>
    <n v="0"/>
    <m/>
    <n v="0"/>
    <n v="0"/>
    <n v="-1"/>
    <n v="-16.97"/>
    <n v="-2"/>
    <n v="16.97"/>
    <n v="-1"/>
  </r>
  <r>
    <x v="292"/>
    <x v="291"/>
    <n v="0"/>
    <n v="0"/>
    <n v="0"/>
    <n v="0"/>
    <m/>
    <n v="0"/>
    <n v="0"/>
    <n v="1"/>
    <n v="31.23"/>
    <n v="-4"/>
    <n v="-31.23"/>
    <n v="-1"/>
  </r>
  <r>
    <x v="293"/>
    <x v="292"/>
    <n v="0"/>
    <n v="0"/>
    <n v="0"/>
    <n v="0"/>
    <m/>
    <n v="0"/>
    <n v="0"/>
    <n v="1"/>
    <n v="11.82"/>
    <n v="1"/>
    <n v="-11.82"/>
    <n v="-1"/>
  </r>
  <r>
    <x v="294"/>
    <x v="293"/>
    <n v="0"/>
    <n v="0"/>
    <n v="0"/>
    <n v="0"/>
    <m/>
    <n v="0"/>
    <n v="0"/>
    <n v="1"/>
    <n v="27.93"/>
    <n v="-1"/>
    <n v="-27.93"/>
    <n v="-1"/>
  </r>
  <r>
    <x v="295"/>
    <x v="294"/>
    <n v="0"/>
    <n v="0"/>
    <n v="0"/>
    <n v="0"/>
    <m/>
    <n v="0"/>
    <n v="0"/>
    <n v="0"/>
    <n v="0"/>
    <n v="-1"/>
    <n v="0"/>
    <m/>
  </r>
  <r>
    <x v="296"/>
    <x v="295"/>
    <n v="0"/>
    <n v="0"/>
    <n v="0"/>
    <n v="0"/>
    <m/>
    <n v="0"/>
    <n v="0"/>
    <n v="1"/>
    <n v="5.54"/>
    <n v="-1"/>
    <n v="-5.54"/>
    <n v="-1"/>
  </r>
  <r>
    <x v="297"/>
    <x v="296"/>
    <n v="0"/>
    <n v="0"/>
    <n v="0"/>
    <n v="0"/>
    <m/>
    <n v="0"/>
    <n v="0"/>
    <n v="43"/>
    <n v="284.53999999999996"/>
    <n v="0"/>
    <n v="-284.53999999999996"/>
    <n v="-1"/>
  </r>
  <r>
    <x v="298"/>
    <x v="297"/>
    <n v="0"/>
    <n v="0"/>
    <n v="0"/>
    <n v="0"/>
    <m/>
    <n v="0"/>
    <n v="0"/>
    <n v="1"/>
    <n v="24.92"/>
    <n v="-1"/>
    <n v="-24.92"/>
    <n v="-1"/>
  </r>
  <r>
    <x v="299"/>
    <x v="298"/>
    <n v="0"/>
    <n v="0"/>
    <n v="0"/>
    <n v="0"/>
    <m/>
    <n v="0"/>
    <n v="0"/>
    <n v="10"/>
    <n v="315.68"/>
    <n v="-43"/>
    <n v="-315.68"/>
    <n v="-1"/>
  </r>
  <r>
    <x v="300"/>
    <x v="299"/>
    <n v="0"/>
    <n v="0"/>
    <n v="0"/>
    <n v="0"/>
    <m/>
    <n v="0"/>
    <n v="0"/>
    <n v="-2"/>
    <n v="-16.5"/>
    <n v="-1"/>
    <n v="16.5"/>
    <n v="-1"/>
  </r>
  <r>
    <x v="301"/>
    <x v="300"/>
    <n v="0"/>
    <n v="0"/>
    <n v="0"/>
    <n v="0"/>
    <m/>
    <n v="0"/>
    <n v="0"/>
    <n v="8"/>
    <n v="137.27000000000001"/>
    <n v="-10"/>
    <n v="-137.27000000000001"/>
    <n v="-1"/>
  </r>
  <r>
    <x v="302"/>
    <x v="301"/>
    <n v="0"/>
    <n v="0"/>
    <n v="0"/>
    <n v="0"/>
    <m/>
    <n v="0"/>
    <n v="0"/>
    <n v="38"/>
    <n v="329.21000000000004"/>
    <n v="2"/>
    <n v="-329.21000000000004"/>
    <n v="-1"/>
  </r>
  <r>
    <x v="303"/>
    <x v="302"/>
    <n v="0"/>
    <n v="0"/>
    <n v="0"/>
    <n v="0"/>
    <m/>
    <n v="0"/>
    <n v="0"/>
    <n v="46"/>
    <n v="405.53999999999996"/>
    <n v="-8"/>
    <n v="-405.53999999999996"/>
    <n v="-1"/>
  </r>
  <r>
    <x v="304"/>
    <x v="303"/>
    <n v="0"/>
    <n v="0"/>
    <n v="0"/>
    <n v="0"/>
    <m/>
    <n v="0"/>
    <n v="0"/>
    <n v="1"/>
    <n v="13.06"/>
    <n v="-38"/>
    <n v="-13.06"/>
    <n v="-1"/>
  </r>
  <r>
    <x v="305"/>
    <x v="304"/>
    <n v="0"/>
    <n v="0"/>
    <n v="0"/>
    <n v="0"/>
    <m/>
    <n v="0"/>
    <n v="0"/>
    <n v="0"/>
    <n v="0"/>
    <n v="-46"/>
    <n v="0"/>
    <m/>
  </r>
  <r>
    <x v="306"/>
    <x v="305"/>
    <n v="0"/>
    <n v="0"/>
    <n v="0"/>
    <n v="0"/>
    <m/>
    <n v="0"/>
    <n v="0"/>
    <n v="-1"/>
    <n v="-11.39"/>
    <n v="-1"/>
    <n v="11.39"/>
    <n v="-1"/>
  </r>
  <r>
    <x v="307"/>
    <x v="306"/>
    <n v="0"/>
    <n v="0"/>
    <n v="0"/>
    <n v="0"/>
    <m/>
    <n v="0"/>
    <n v="0"/>
    <n v="0"/>
    <n v="0"/>
    <n v="0"/>
    <n v="0"/>
    <m/>
  </r>
  <r>
    <x v="308"/>
    <x v="307"/>
    <n v="0"/>
    <n v="0"/>
    <n v="0"/>
    <n v="0"/>
    <m/>
    <n v="0"/>
    <n v="0"/>
    <n v="0"/>
    <n v="0"/>
    <n v="1"/>
    <n v="0"/>
    <m/>
  </r>
  <r>
    <x v="309"/>
    <x v="308"/>
    <n v="0"/>
    <n v="0"/>
    <n v="0"/>
    <n v="0"/>
    <m/>
    <n v="0"/>
    <n v="0"/>
    <n v="2"/>
    <n v="23.6"/>
    <n v="0"/>
    <n v="-23.6"/>
    <n v="-1"/>
  </r>
  <r>
    <x v="310"/>
    <x v="309"/>
    <n v="0"/>
    <n v="0"/>
    <n v="0"/>
    <n v="0"/>
    <m/>
    <n v="0"/>
    <n v="0"/>
    <n v="3"/>
    <n v="325.48"/>
    <n v="0"/>
    <n v="-325.48"/>
    <n v="-1"/>
  </r>
  <r>
    <x v="311"/>
    <x v="310"/>
    <n v="0"/>
    <n v="0"/>
    <n v="0"/>
    <n v="0"/>
    <m/>
    <n v="0"/>
    <n v="0"/>
    <n v="1"/>
    <n v="21.51"/>
    <n v="-2"/>
    <n v="-21.51"/>
    <n v="-1"/>
  </r>
  <r>
    <x v="312"/>
    <x v="311"/>
    <n v="0"/>
    <n v="0"/>
    <n v="0"/>
    <n v="0"/>
    <m/>
    <n v="0"/>
    <n v="0"/>
    <n v="-1"/>
    <n v="-10.75"/>
    <n v="-3"/>
    <n v="10.75"/>
    <n v="-1"/>
  </r>
  <r>
    <x v="313"/>
    <x v="312"/>
    <n v="0"/>
    <n v="0"/>
    <n v="0"/>
    <n v="0"/>
    <m/>
    <n v="0"/>
    <n v="0"/>
    <n v="14"/>
    <n v="71.680000000000007"/>
    <n v="-1"/>
    <n v="-71.680000000000007"/>
    <n v="-1"/>
  </r>
  <r>
    <x v="314"/>
    <x v="313"/>
    <n v="0"/>
    <n v="0"/>
    <n v="0"/>
    <n v="0"/>
    <m/>
    <n v="0"/>
    <n v="0"/>
    <n v="1"/>
    <n v="64.61"/>
    <n v="1"/>
    <n v="-64.61"/>
    <n v="-1"/>
  </r>
  <r>
    <x v="315"/>
    <x v="314"/>
    <n v="0"/>
    <n v="0"/>
    <n v="0"/>
    <n v="0"/>
    <m/>
    <n v="0"/>
    <n v="0"/>
    <n v="0"/>
    <n v="0"/>
    <n v="-14"/>
    <n v="0"/>
    <m/>
  </r>
  <r>
    <x v="316"/>
    <x v="315"/>
    <n v="0"/>
    <n v="0"/>
    <n v="0"/>
    <n v="0"/>
    <m/>
    <n v="0"/>
    <n v="0"/>
    <n v="2"/>
    <n v="143.11000000000001"/>
    <n v="-1"/>
    <n v="-143.11000000000001"/>
    <n v="-1"/>
  </r>
  <r>
    <x v="317"/>
    <x v="316"/>
    <n v="0"/>
    <n v="0"/>
    <n v="0"/>
    <n v="0"/>
    <m/>
    <n v="0"/>
    <n v="0"/>
    <n v="2"/>
    <n v="49.02"/>
    <n v="0"/>
    <n v="-49.02"/>
    <n v="-1"/>
  </r>
  <r>
    <x v="318"/>
    <x v="317"/>
    <n v="0"/>
    <n v="0"/>
    <n v="0"/>
    <n v="0"/>
    <m/>
    <n v="0"/>
    <n v="0"/>
    <n v="1"/>
    <n v="20.41"/>
    <n v="-2"/>
    <n v="-20.41"/>
    <n v="-1"/>
  </r>
  <r>
    <x v="319"/>
    <x v="318"/>
    <n v="0"/>
    <n v="0"/>
    <n v="0"/>
    <n v="0"/>
    <m/>
    <n v="0"/>
    <n v="0"/>
    <n v="0"/>
    <n v="0"/>
    <n v="-2"/>
    <n v="0"/>
    <m/>
  </r>
  <r>
    <x v="320"/>
    <x v="319"/>
    <n v="0"/>
    <n v="0"/>
    <n v="0"/>
    <n v="0"/>
    <m/>
    <n v="0"/>
    <n v="0"/>
    <n v="2"/>
    <n v="139.94999999999999"/>
    <n v="-1"/>
    <n v="-139.94999999999999"/>
    <n v="-1"/>
  </r>
  <r>
    <x v="321"/>
    <x v="320"/>
    <n v="0"/>
    <n v="0"/>
    <n v="0"/>
    <n v="0"/>
    <m/>
    <n v="0"/>
    <n v="0"/>
    <n v="0"/>
    <n v="0"/>
    <n v="0"/>
    <n v="0"/>
    <m/>
  </r>
  <r>
    <x v="322"/>
    <x v="321"/>
    <n v="0"/>
    <n v="0"/>
    <n v="0"/>
    <n v="0"/>
    <m/>
    <n v="0"/>
    <n v="0"/>
    <n v="6"/>
    <n v="394.15999999999997"/>
    <n v="-2"/>
    <n v="-394.15999999999997"/>
    <n v="-1"/>
  </r>
  <r>
    <x v="323"/>
    <x v="322"/>
    <n v="0"/>
    <n v="0"/>
    <n v="0"/>
    <n v="0"/>
    <m/>
    <n v="0"/>
    <n v="0"/>
    <n v="1"/>
    <n v="28.84"/>
    <n v="0"/>
    <n v="-28.84"/>
    <n v="-1"/>
  </r>
  <r>
    <x v="324"/>
    <x v="323"/>
    <n v="0"/>
    <n v="0"/>
    <n v="0"/>
    <n v="0"/>
    <m/>
    <n v="0"/>
    <n v="0"/>
    <n v="1"/>
    <n v="44.57"/>
    <n v="-6"/>
    <n v="-44.57"/>
    <n v="-1"/>
  </r>
  <r>
    <x v="325"/>
    <x v="324"/>
    <n v="0"/>
    <n v="0"/>
    <n v="0"/>
    <n v="0"/>
    <m/>
    <n v="0"/>
    <n v="0"/>
    <n v="0"/>
    <n v="0"/>
    <n v="-1"/>
    <n v="0"/>
    <m/>
  </r>
  <r>
    <x v="326"/>
    <x v="325"/>
    <n v="0"/>
    <n v="0"/>
    <n v="0"/>
    <n v="0"/>
    <m/>
    <n v="0"/>
    <n v="0"/>
    <n v="8"/>
    <n v="156.72"/>
    <n v="-1"/>
    <n v="-156.72"/>
    <n v="-1"/>
  </r>
  <r>
    <x v="327"/>
    <x v="326"/>
    <n v="0"/>
    <n v="0"/>
    <n v="0"/>
    <n v="0"/>
    <m/>
    <n v="0"/>
    <n v="0"/>
    <n v="1"/>
    <n v="8.32"/>
    <n v="0"/>
    <n v="-8.32"/>
    <n v="-1"/>
  </r>
  <r>
    <x v="328"/>
    <x v="327"/>
    <n v="0"/>
    <n v="0"/>
    <n v="0"/>
    <n v="0"/>
    <m/>
    <n v="0"/>
    <n v="0"/>
    <n v="1"/>
    <n v="24.51"/>
    <n v="-8"/>
    <n v="-24.51"/>
    <n v="-1"/>
  </r>
  <r>
    <x v="329"/>
    <x v="328"/>
    <n v="0"/>
    <n v="0"/>
    <n v="0"/>
    <n v="0"/>
    <m/>
    <n v="0"/>
    <n v="0"/>
    <n v="0"/>
    <n v="0"/>
    <n v="-1"/>
    <n v="0"/>
    <m/>
  </r>
  <r>
    <x v="330"/>
    <x v="329"/>
    <n v="0"/>
    <n v="0"/>
    <n v="0"/>
    <n v="0"/>
    <m/>
    <n v="0"/>
    <n v="0"/>
    <n v="-1"/>
    <n v="-10.84"/>
    <n v="-1"/>
    <n v="10.84"/>
    <n v="-1"/>
  </r>
  <r>
    <x v="331"/>
    <x v="330"/>
    <n v="0"/>
    <n v="0"/>
    <n v="0"/>
    <n v="0"/>
    <m/>
    <n v="0"/>
    <n v="0"/>
    <n v="2"/>
    <n v="98.2"/>
    <n v="0"/>
    <n v="-98.2"/>
    <n v="-1"/>
  </r>
  <r>
    <x v="332"/>
    <x v="331"/>
    <n v="0"/>
    <n v="0"/>
    <n v="0"/>
    <n v="0"/>
    <m/>
    <n v="0"/>
    <n v="0"/>
    <n v="5"/>
    <n v="57.47"/>
    <n v="1"/>
    <n v="-57.47"/>
    <n v="-1"/>
  </r>
  <r>
    <x v="333"/>
    <x v="332"/>
    <n v="0"/>
    <n v="0"/>
    <n v="0"/>
    <n v="0"/>
    <m/>
    <n v="0"/>
    <n v="0"/>
    <n v="0"/>
    <n v="0"/>
    <n v="-2"/>
    <n v="0"/>
    <m/>
  </r>
  <r>
    <x v="334"/>
    <x v="333"/>
    <n v="0"/>
    <n v="0"/>
    <n v="0"/>
    <n v="0"/>
    <m/>
    <n v="0"/>
    <n v="0"/>
    <n v="0"/>
    <n v="0"/>
    <n v="-5"/>
    <n v="0"/>
    <m/>
  </r>
  <r>
    <x v="335"/>
    <x v="334"/>
    <n v="0"/>
    <n v="0"/>
    <n v="0"/>
    <n v="0"/>
    <m/>
    <n v="0"/>
    <n v="0"/>
    <n v="2"/>
    <n v="221.75"/>
    <n v="0"/>
    <n v="-221.75"/>
    <n v="-1"/>
  </r>
  <r>
    <x v="336"/>
    <x v="335"/>
    <n v="0"/>
    <n v="0"/>
    <n v="0"/>
    <n v="0"/>
    <m/>
    <n v="0"/>
    <n v="0"/>
    <n v="1"/>
    <n v="47.98"/>
    <n v="0"/>
    <n v="-47.98"/>
    <n v="-1"/>
  </r>
  <r>
    <x v="337"/>
    <x v="336"/>
    <n v="0"/>
    <n v="0"/>
    <n v="0"/>
    <n v="0"/>
    <m/>
    <n v="0"/>
    <n v="0"/>
    <n v="0"/>
    <n v="0"/>
    <n v="-2"/>
    <n v="0"/>
    <m/>
  </r>
  <r>
    <x v="338"/>
    <x v="337"/>
    <n v="0"/>
    <n v="0"/>
    <n v="0"/>
    <n v="0"/>
    <m/>
    <n v="0"/>
    <n v="0"/>
    <n v="60"/>
    <n v="1001.77"/>
    <n v="-1"/>
    <n v="-1001.77"/>
    <n v="-1"/>
  </r>
  <r>
    <x v="339"/>
    <x v="338"/>
    <n v="0"/>
    <n v="0"/>
    <n v="0"/>
    <n v="0"/>
    <m/>
    <n v="0"/>
    <n v="0"/>
    <n v="-1"/>
    <n v="-16.309999999999999"/>
    <n v="0"/>
    <n v="16.309999999999999"/>
    <n v="-1"/>
  </r>
  <r>
    <x v="340"/>
    <x v="339"/>
    <n v="0"/>
    <n v="0"/>
    <n v="0"/>
    <n v="0"/>
    <m/>
    <n v="0"/>
    <n v="0"/>
    <n v="83"/>
    <n v="1356.2"/>
    <n v="-60"/>
    <n v="-1356.2"/>
    <n v="-1"/>
  </r>
  <r>
    <x v="341"/>
    <x v="340"/>
    <n v="0"/>
    <n v="0"/>
    <n v="0"/>
    <n v="0"/>
    <m/>
    <n v="0"/>
    <n v="0"/>
    <n v="14"/>
    <n v="451.56999999999994"/>
    <n v="1"/>
    <n v="-451.56999999999994"/>
    <n v="-1"/>
  </r>
  <r>
    <x v="342"/>
    <x v="341"/>
    <n v="0"/>
    <n v="0"/>
    <n v="0"/>
    <n v="0"/>
    <m/>
    <n v="0"/>
    <n v="0"/>
    <n v="1"/>
    <n v="40.85"/>
    <n v="-83"/>
    <n v="-40.85"/>
    <n v="-1"/>
  </r>
  <r>
    <x v="343"/>
    <x v="342"/>
    <n v="0"/>
    <n v="0"/>
    <n v="0"/>
    <n v="0"/>
    <m/>
    <n v="0"/>
    <n v="0"/>
    <n v="1"/>
    <n v="24.92"/>
    <n v="-14"/>
    <n v="-24.92"/>
    <n v="-1"/>
  </r>
  <r>
    <x v="344"/>
    <x v="343"/>
    <n v="0"/>
    <n v="0"/>
    <n v="0"/>
    <n v="0"/>
    <m/>
    <n v="0"/>
    <n v="0"/>
    <n v="28"/>
    <n v="595.24"/>
    <n v="-1"/>
    <n v="-595.24"/>
    <n v="-1"/>
  </r>
  <r>
    <x v="345"/>
    <x v="344"/>
    <n v="0"/>
    <n v="0"/>
    <n v="0"/>
    <n v="0"/>
    <m/>
    <n v="0"/>
    <n v="0"/>
    <n v="4"/>
    <n v="16.48"/>
    <n v="-1"/>
    <n v="-16.48"/>
    <n v="-1"/>
  </r>
  <r>
    <x v="346"/>
    <x v="345"/>
    <n v="0"/>
    <n v="0"/>
    <n v="0"/>
    <n v="0"/>
    <m/>
    <n v="0"/>
    <n v="0"/>
    <n v="0"/>
    <n v="0"/>
    <n v="-28"/>
    <n v="0"/>
    <m/>
  </r>
  <r>
    <x v="347"/>
    <x v="346"/>
    <n v="0"/>
    <n v="0"/>
    <n v="0"/>
    <n v="0"/>
    <m/>
    <n v="0"/>
    <n v="0"/>
    <n v="29"/>
    <n v="371.13"/>
    <n v="-4"/>
    <n v="-371.13"/>
    <n v="-1"/>
  </r>
  <r>
    <x v="348"/>
    <x v="347"/>
    <n v="0"/>
    <n v="0"/>
    <n v="21"/>
    <n v="842.89999999999975"/>
    <n v="1"/>
    <n v="21"/>
    <n v="842.89999999999975"/>
    <n v="98"/>
    <n v="2821.82"/>
    <n v="0"/>
    <n v="-1978.9200000000005"/>
    <n v="-0.70129207390974635"/>
  </r>
  <r>
    <x v="349"/>
    <x v="348"/>
    <n v="0"/>
    <n v="0"/>
    <n v="0"/>
    <n v="0"/>
    <m/>
    <n v="0"/>
    <n v="0"/>
    <n v="0"/>
    <n v="0"/>
    <n v="-29"/>
    <n v="0"/>
    <m/>
  </r>
  <r>
    <x v="350"/>
    <x v="349"/>
    <n v="0"/>
    <n v="0"/>
    <n v="0"/>
    <n v="0"/>
    <m/>
    <n v="0"/>
    <n v="0"/>
    <n v="0"/>
    <n v="0"/>
    <n v="-77"/>
    <n v="0"/>
    <m/>
  </r>
  <r>
    <x v="351"/>
    <x v="350"/>
    <n v="0"/>
    <n v="0"/>
    <n v="0"/>
    <n v="0"/>
    <m/>
    <n v="0"/>
    <n v="0"/>
    <n v="1"/>
    <n v="7.86"/>
    <n v="0"/>
    <n v="-7.86"/>
    <n v="-1"/>
  </r>
  <r>
    <x v="352"/>
    <x v="351"/>
    <n v="0"/>
    <n v="0"/>
    <n v="0"/>
    <n v="0"/>
    <m/>
    <n v="0"/>
    <n v="0"/>
    <n v="11"/>
    <n v="1190.25"/>
    <n v="0"/>
    <n v="-1190.25"/>
    <n v="-1"/>
  </r>
  <r>
    <x v="353"/>
    <x v="352"/>
    <n v="0"/>
    <n v="0"/>
    <n v="0"/>
    <n v="0"/>
    <m/>
    <n v="0"/>
    <n v="0"/>
    <n v="0"/>
    <n v="0"/>
    <n v="-1"/>
    <n v="0"/>
    <m/>
  </r>
  <r>
    <x v="354"/>
    <x v="353"/>
    <n v="0"/>
    <n v="0"/>
    <n v="0"/>
    <n v="0"/>
    <m/>
    <n v="0"/>
    <n v="0"/>
    <n v="10"/>
    <n v="1189.24"/>
    <n v="-11"/>
    <n v="-1189.24"/>
    <n v="-1"/>
  </r>
  <r>
    <x v="355"/>
    <x v="354"/>
    <n v="0"/>
    <n v="0"/>
    <n v="0"/>
    <n v="0"/>
    <m/>
    <n v="0"/>
    <n v="0"/>
    <n v="0"/>
    <n v="0"/>
    <n v="0"/>
    <n v="0"/>
    <m/>
  </r>
  <r>
    <x v="356"/>
    <x v="355"/>
    <n v="0"/>
    <n v="0"/>
    <n v="0"/>
    <n v="0"/>
    <m/>
    <n v="0"/>
    <n v="0"/>
    <n v="1"/>
    <n v="24.92"/>
    <n v="-10"/>
    <n v="-24.92"/>
    <n v="-1"/>
  </r>
  <r>
    <x v="357"/>
    <x v="356"/>
    <n v="0"/>
    <n v="0"/>
    <n v="0"/>
    <n v="0"/>
    <m/>
    <n v="0"/>
    <n v="0"/>
    <n v="13"/>
    <n v="52.36"/>
    <n v="0"/>
    <n v="-52.36"/>
    <n v="-1"/>
  </r>
  <r>
    <x v="358"/>
    <x v="357"/>
    <n v="13774"/>
    <n v="219396.13"/>
    <n v="2497"/>
    <n v="77269.539999999601"/>
    <n v="0.26045999862403935"/>
    <n v="16271"/>
    <n v="296665.66999999958"/>
    <n v="51985"/>
    <n v="814456.15999999992"/>
    <n v="-35714"/>
    <n v="-517790.49000000034"/>
    <n v="-0.635749983154403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3EFFD-F44C-435D-9BCC-13FAE7DF5A17}" name="Tabella pivot13" cacheId="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D296" firstHeaderRow="0" firstDataRow="1" firstDataCol="2" rowPageCount="1" colPageCount="1"/>
  <pivotFields count="9">
    <pivotField axis="axisRow" compact="0" outline="0" showAll="0" defaultSubtotal="0">
      <items count="292">
        <item x="147"/>
        <item x="237"/>
        <item x="175"/>
        <item x="239"/>
        <item x="95"/>
        <item x="260"/>
        <item x="166"/>
        <item x="42"/>
        <item x="227"/>
        <item x="189"/>
        <item x="282"/>
        <item x="124"/>
        <item x="33"/>
        <item x="23"/>
        <item x="118"/>
        <item x="190"/>
        <item x="262"/>
        <item x="229"/>
        <item x="230"/>
        <item x="290"/>
        <item x="44"/>
        <item x="223"/>
        <item x="247"/>
        <item x="4"/>
        <item x="228"/>
        <item x="64"/>
        <item x="152"/>
        <item x="96"/>
        <item x="276"/>
        <item x="208"/>
        <item x="252"/>
        <item x="1"/>
        <item x="215"/>
        <item x="167"/>
        <item x="210"/>
        <item x="231"/>
        <item x="7"/>
        <item x="71"/>
        <item x="129"/>
        <item x="289"/>
        <item x="24"/>
        <item x="163"/>
        <item x="134"/>
        <item x="157"/>
        <item x="243"/>
        <item x="277"/>
        <item x="172"/>
        <item x="204"/>
        <item x="209"/>
        <item x="274"/>
        <item x="286"/>
        <item x="10"/>
        <item x="109"/>
        <item x="38"/>
        <item x="280"/>
        <item x="271"/>
        <item x="235"/>
        <item x="141"/>
        <item x="45"/>
        <item x="20"/>
        <item x="162"/>
        <item x="287"/>
        <item x="108"/>
        <item x="203"/>
        <item x="143"/>
        <item x="236"/>
        <item x="88"/>
        <item x="185"/>
        <item x="19"/>
        <item x="81"/>
        <item x="201"/>
        <item x="178"/>
        <item x="285"/>
        <item x="18"/>
        <item x="218"/>
        <item x="188"/>
        <item x="46"/>
        <item x="12"/>
        <item x="196"/>
        <item x="75"/>
        <item x="86"/>
        <item x="139"/>
        <item x="259"/>
        <item x="159"/>
        <item x="269"/>
        <item x="100"/>
        <item x="202"/>
        <item x="54"/>
        <item x="238"/>
        <item x="142"/>
        <item x="267"/>
        <item x="186"/>
        <item x="91"/>
        <item x="94"/>
        <item x="273"/>
        <item x="57"/>
        <item x="26"/>
        <item x="284"/>
        <item x="123"/>
        <item x="225"/>
        <item x="31"/>
        <item x="60"/>
        <item x="207"/>
        <item x="240"/>
        <item x="191"/>
        <item x="17"/>
        <item x="266"/>
        <item x="171"/>
        <item x="153"/>
        <item x="154"/>
        <item x="250"/>
        <item x="177"/>
        <item x="234"/>
        <item x="151"/>
        <item x="113"/>
        <item x="283"/>
        <item x="272"/>
        <item x="176"/>
        <item x="59"/>
        <item x="220"/>
        <item x="115"/>
        <item x="16"/>
        <item x="101"/>
        <item x="146"/>
        <item x="278"/>
        <item x="217"/>
        <item x="255"/>
        <item x="149"/>
        <item x="29"/>
        <item x="254"/>
        <item x="83"/>
        <item x="168"/>
        <item x="206"/>
        <item x="135"/>
        <item x="226"/>
        <item x="263"/>
        <item x="97"/>
        <item x="50"/>
        <item x="87"/>
        <item x="32"/>
        <item x="214"/>
        <item x="58"/>
        <item x="0"/>
        <item x="270"/>
        <item x="179"/>
        <item x="103"/>
        <item x="37"/>
        <item x="5"/>
        <item x="28"/>
        <item x="288"/>
        <item x="211"/>
        <item x="106"/>
        <item x="180"/>
        <item x="102"/>
        <item x="120"/>
        <item x="93"/>
        <item x="92"/>
        <item x="61"/>
        <item x="62"/>
        <item x="14"/>
        <item x="77"/>
        <item x="140"/>
        <item x="181"/>
        <item x="39"/>
        <item x="198"/>
        <item x="256"/>
        <item x="212"/>
        <item x="233"/>
        <item x="145"/>
        <item x="122"/>
        <item x="107"/>
        <item x="241"/>
        <item x="35"/>
        <item x="110"/>
        <item x="264"/>
        <item x="98"/>
        <item x="156"/>
        <item x="221"/>
        <item x="132"/>
        <item x="184"/>
        <item x="183"/>
        <item x="40"/>
        <item x="155"/>
        <item x="148"/>
        <item x="48"/>
        <item x="291"/>
        <item x="52"/>
        <item x="173"/>
        <item x="160"/>
        <item x="3"/>
        <item x="65"/>
        <item x="126"/>
        <item x="127"/>
        <item x="79"/>
        <item x="30"/>
        <item x="47"/>
        <item x="133"/>
        <item x="99"/>
        <item x="27"/>
        <item x="22"/>
        <item x="193"/>
        <item x="213"/>
        <item x="25"/>
        <item x="128"/>
        <item x="73"/>
        <item x="84"/>
        <item x="137"/>
        <item x="170"/>
        <item x="150"/>
        <item x="249"/>
        <item x="169"/>
        <item x="248"/>
        <item x="9"/>
        <item x="187"/>
        <item x="43"/>
        <item x="281"/>
        <item x="205"/>
        <item x="258"/>
        <item x="219"/>
        <item x="125"/>
        <item x="257"/>
        <item x="105"/>
        <item x="51"/>
        <item x="68"/>
        <item x="158"/>
        <item x="6"/>
        <item x="275"/>
        <item x="80"/>
        <item x="21"/>
        <item x="130"/>
        <item x="2"/>
        <item x="164"/>
        <item x="244"/>
        <item x="116"/>
        <item x="36"/>
        <item x="144"/>
        <item x="279"/>
        <item x="121"/>
        <item x="251"/>
        <item x="131"/>
        <item x="194"/>
        <item x="82"/>
        <item x="53"/>
        <item x="197"/>
        <item x="112"/>
        <item x="199"/>
        <item x="74"/>
        <item x="104"/>
        <item x="66"/>
        <item x="114"/>
        <item x="268"/>
        <item x="55"/>
        <item x="70"/>
        <item x="63"/>
        <item x="78"/>
        <item x="261"/>
        <item x="253"/>
        <item x="76"/>
        <item x="246"/>
        <item x="161"/>
        <item x="192"/>
        <item x="224"/>
        <item x="89"/>
        <item x="41"/>
        <item x="242"/>
        <item x="90"/>
        <item x="117"/>
        <item x="13"/>
        <item x="67"/>
        <item x="200"/>
        <item x="232"/>
        <item x="85"/>
        <item x="119"/>
        <item x="69"/>
        <item x="111"/>
        <item x="195"/>
        <item x="11"/>
        <item x="165"/>
        <item x="138"/>
        <item x="72"/>
        <item x="34"/>
        <item x="49"/>
        <item x="265"/>
        <item x="136"/>
        <item x="8"/>
        <item x="222"/>
        <item x="56"/>
        <item x="15"/>
        <item x="182"/>
        <item x="245"/>
        <item x="174"/>
        <item x="216"/>
      </items>
    </pivotField>
    <pivotField axis="axisRow" compact="0" outline="0" showAll="0" defaultSubtotal="0">
      <items count="291">
        <item x="167"/>
        <item x="197"/>
        <item x="188"/>
        <item x="239"/>
        <item x="226"/>
        <item x="123"/>
        <item x="33"/>
        <item x="273"/>
        <item x="39"/>
        <item x="148"/>
        <item x="91"/>
        <item x="28"/>
        <item x="203"/>
        <item x="152"/>
        <item x="178"/>
        <item x="29"/>
        <item x="20"/>
        <item x="184"/>
        <item x="275"/>
        <item x="170"/>
        <item x="246"/>
        <item x="236"/>
        <item x="217"/>
        <item x="187"/>
        <item x="216"/>
        <item x="254"/>
        <item x="162"/>
        <item x="46"/>
        <item x="208"/>
        <item x="189"/>
        <item x="234"/>
        <item x="42"/>
        <item x="229"/>
        <item x="261"/>
        <item x="146"/>
        <item x="174"/>
        <item x="281"/>
        <item x="289"/>
        <item x="268"/>
        <item x="0"/>
        <item x="176"/>
        <item x="24"/>
        <item x="285"/>
        <item x="201"/>
        <item x="50"/>
        <item x="12"/>
        <item x="185"/>
        <item x="145"/>
        <item x="147"/>
        <item x="71"/>
        <item x="242"/>
        <item x="171"/>
        <item x="94"/>
        <item x="279"/>
        <item x="117"/>
        <item x="276"/>
        <item x="259"/>
        <item x="227"/>
        <item x="222"/>
        <item x="10"/>
        <item x="7"/>
        <item x="23"/>
        <item x="228"/>
        <item x="44"/>
        <item x="64"/>
        <item x="151"/>
        <item x="128"/>
        <item x="95"/>
        <item x="108"/>
        <item x="38"/>
        <item x="45"/>
        <item x="140"/>
        <item x="4"/>
        <item x="1"/>
        <item x="245"/>
        <item x="138"/>
        <item x="284"/>
        <item x="233"/>
        <item x="14"/>
        <item x="200"/>
        <item x="265"/>
        <item x="83"/>
        <item x="225"/>
        <item x="177"/>
        <item x="161"/>
        <item x="18"/>
        <item x="17"/>
        <item x="92"/>
        <item x="158"/>
        <item x="107"/>
        <item x="202"/>
        <item x="253"/>
        <item x="139"/>
        <item x="99"/>
        <item x="5"/>
        <item x="175"/>
        <item x="58"/>
        <item x="195"/>
        <item x="96"/>
        <item x="213"/>
        <item x="75"/>
        <item x="153"/>
        <item x="269"/>
        <item x="57"/>
        <item x="16"/>
        <item x="272"/>
        <item x="59"/>
        <item x="37"/>
        <item x="122"/>
        <item x="87"/>
        <item x="141"/>
        <item x="235"/>
        <item x="134"/>
        <item x="112"/>
        <item x="282"/>
        <item x="219"/>
        <item x="114"/>
        <item x="81"/>
        <item x="61"/>
        <item x="100"/>
        <item x="93"/>
        <item x="132"/>
        <item x="60"/>
        <item x="270"/>
        <item x="86"/>
        <item x="283"/>
        <item x="190"/>
        <item x="206"/>
        <item x="142"/>
        <item x="19"/>
        <item x="224"/>
        <item x="31"/>
        <item x="88"/>
        <item x="26"/>
        <item x="102"/>
        <item x="105"/>
        <item x="101"/>
        <item x="179"/>
        <item x="119"/>
        <item x="47"/>
        <item x="15"/>
        <item x="13"/>
        <item x="49"/>
        <item x="149"/>
        <item x="6"/>
        <item x="79"/>
        <item x="30"/>
        <item x="56"/>
        <item x="144"/>
        <item x="80"/>
        <item x="181"/>
        <item x="223"/>
        <item x="271"/>
        <item x="260"/>
        <item x="238"/>
        <item x="251"/>
        <item x="207"/>
        <item x="214"/>
        <item x="249"/>
        <item x="166"/>
        <item x="209"/>
        <item x="32"/>
        <item x="277"/>
        <item x="21"/>
        <item x="72"/>
        <item x="121"/>
        <item x="120"/>
        <item x="67"/>
        <item x="135"/>
        <item x="40"/>
        <item x="164"/>
        <item x="221"/>
        <item x="89"/>
        <item x="154"/>
        <item x="53"/>
        <item x="173"/>
        <item x="182"/>
        <item x="27"/>
        <item x="78"/>
        <item x="43"/>
        <item x="36"/>
        <item x="35"/>
        <item x="25"/>
        <item x="106"/>
        <item x="76"/>
        <item x="274"/>
        <item x="196"/>
        <item x="252"/>
        <item x="68"/>
        <item x="157"/>
        <item x="85"/>
        <item x="84"/>
        <item x="109"/>
        <item x="116"/>
        <item x="183"/>
        <item x="130"/>
        <item x="136"/>
        <item x="82"/>
        <item x="193"/>
        <item x="199"/>
        <item x="168"/>
        <item x="90"/>
        <item x="98"/>
        <item x="2"/>
        <item x="220"/>
        <item x="143"/>
        <item x="169"/>
        <item x="63"/>
        <item x="194"/>
        <item x="155"/>
        <item x="103"/>
        <item x="97"/>
        <item x="290"/>
        <item x="125"/>
        <item x="48"/>
        <item x="250"/>
        <item x="163"/>
        <item x="241"/>
        <item x="41"/>
        <item x="69"/>
        <item x="118"/>
        <item x="186"/>
        <item x="264"/>
        <item x="65"/>
        <item x="22"/>
        <item x="192"/>
        <item x="212"/>
        <item x="243"/>
        <item x="34"/>
        <item x="66"/>
        <item x="113"/>
        <item x="267"/>
        <item x="8"/>
        <item x="3"/>
        <item x="70"/>
        <item x="256"/>
        <item x="263"/>
        <item x="51"/>
        <item x="198"/>
        <item x="160"/>
        <item x="172"/>
        <item x="159"/>
        <item x="52"/>
        <item x="104"/>
        <item x="110"/>
        <item x="115"/>
        <item x="255"/>
        <item x="232"/>
        <item x="191"/>
        <item x="180"/>
        <item x="218"/>
        <item x="211"/>
        <item x="124"/>
        <item x="257"/>
        <item x="131"/>
        <item x="111"/>
        <item x="55"/>
        <item x="127"/>
        <item x="74"/>
        <item x="73"/>
        <item x="9"/>
        <item x="231"/>
        <item x="11"/>
        <item x="244"/>
        <item x="248"/>
        <item x="280"/>
        <item x="247"/>
        <item x="129"/>
        <item x="204"/>
        <item x="288"/>
        <item x="133"/>
        <item x="156"/>
        <item x="137"/>
        <item x="215"/>
        <item x="230"/>
        <item x="278"/>
        <item x="77"/>
        <item x="62"/>
        <item x="126"/>
        <item x="205"/>
        <item x="54"/>
        <item x="237"/>
        <item x="262"/>
        <item x="286"/>
        <item x="287"/>
        <item x="165"/>
        <item x="266"/>
        <item x="258"/>
        <item x="150"/>
        <item x="210"/>
        <item x="240"/>
      </items>
    </pivotField>
    <pivotField axis="axisPage" compact="0" outline="0" multipleItemSelectionAllowed="1" showAll="0" defaultSubtotal="0">
      <items count="7">
        <item x="1"/>
        <item x="2"/>
        <item x="3"/>
        <item x="4"/>
        <item x="0"/>
        <item x="5"/>
        <item x="6"/>
      </items>
    </pivotField>
    <pivotField dataField="1" compact="0" numFmtId="4" outline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293">
    <i>
      <x/>
      <x v="34"/>
    </i>
    <i>
      <x v="1"/>
      <x v="21"/>
    </i>
    <i>
      <x v="2"/>
      <x v="35"/>
    </i>
    <i>
      <x v="3"/>
      <x v="154"/>
    </i>
    <i>
      <x v="4"/>
      <x v="52"/>
    </i>
    <i>
      <x v="5"/>
      <x v="56"/>
    </i>
    <i>
      <x v="6"/>
      <x v="285"/>
    </i>
    <i>
      <x v="7"/>
      <x v="31"/>
    </i>
    <i>
      <x v="8"/>
      <x v="4"/>
    </i>
    <i>
      <x v="9"/>
      <x v="2"/>
    </i>
    <i>
      <x v="10"/>
      <x v="36"/>
    </i>
    <i>
      <x v="11"/>
      <x v="5"/>
    </i>
    <i>
      <x v="12"/>
      <x v="6"/>
    </i>
    <i>
      <x v="13"/>
      <x v="61"/>
    </i>
    <i>
      <x v="14"/>
      <x v="54"/>
    </i>
    <i>
      <x v="15"/>
      <x v="29"/>
    </i>
    <i>
      <x v="16"/>
      <x v="33"/>
    </i>
    <i>
      <x v="17"/>
      <x v="62"/>
    </i>
    <i>
      <x v="18"/>
      <x v="32"/>
    </i>
    <i>
      <x v="19"/>
      <x v="37"/>
    </i>
    <i>
      <x v="20"/>
      <x v="63"/>
    </i>
    <i>
      <x v="21"/>
      <x v="58"/>
    </i>
    <i>
      <x v="22"/>
      <x v="20"/>
    </i>
    <i>
      <x v="23"/>
      <x v="72"/>
    </i>
    <i>
      <x v="24"/>
      <x v="57"/>
    </i>
    <i>
      <x v="25"/>
      <x v="64"/>
    </i>
    <i>
      <x v="26"/>
      <x v="65"/>
    </i>
    <i>
      <x v="27"/>
      <x v="67"/>
    </i>
    <i>
      <x v="28"/>
      <x v="18"/>
    </i>
    <i>
      <x v="29"/>
      <x v="156"/>
    </i>
    <i>
      <x v="30"/>
      <x v="155"/>
    </i>
    <i>
      <x v="31"/>
      <x v="73"/>
    </i>
    <i>
      <x v="32"/>
      <x v="157"/>
    </i>
    <i>
      <x v="33"/>
      <x v="159"/>
    </i>
    <i>
      <x v="34"/>
      <x v="160"/>
    </i>
    <i>
      <x v="35"/>
      <x v="274"/>
    </i>
    <i>
      <x v="36"/>
      <x v="60"/>
    </i>
    <i>
      <x v="37"/>
      <x v="49"/>
    </i>
    <i>
      <x v="38"/>
      <x v="66"/>
    </i>
    <i>
      <x v="39"/>
      <x v="269"/>
    </i>
    <i>
      <x v="40"/>
      <x v="41"/>
    </i>
    <i>
      <x v="41"/>
      <x v="26"/>
    </i>
    <i>
      <x v="42"/>
      <x v="270"/>
    </i>
    <i>
      <x v="43"/>
      <x v="271"/>
    </i>
    <i>
      <x v="44"/>
      <x v="50"/>
    </i>
    <i>
      <x v="45"/>
      <x v="55"/>
    </i>
    <i>
      <x v="46"/>
      <x v="51"/>
    </i>
    <i>
      <x v="47"/>
      <x v="12"/>
    </i>
    <i>
      <x v="48"/>
      <x v="28"/>
    </i>
    <i>
      <x v="49"/>
      <x v="7"/>
    </i>
    <i>
      <x v="50"/>
      <x v="42"/>
    </i>
    <i>
      <x v="51"/>
      <x v="59"/>
    </i>
    <i>
      <x v="52"/>
      <x v="68"/>
    </i>
    <i>
      <x v="53"/>
      <x v="69"/>
    </i>
    <i>
      <x v="54"/>
      <x v="53"/>
    </i>
    <i>
      <x v="55"/>
      <x v="123"/>
    </i>
    <i>
      <x v="56"/>
      <x v="30"/>
    </i>
    <i>
      <x v="57"/>
      <x v="71"/>
    </i>
    <i>
      <x v="58"/>
      <x v="70"/>
    </i>
    <i>
      <x v="59"/>
      <x v="16"/>
    </i>
    <i>
      <x v="60"/>
      <x v="84"/>
    </i>
    <i>
      <x v="61"/>
      <x v="283"/>
    </i>
    <i>
      <x v="62"/>
      <x v="89"/>
    </i>
    <i>
      <x v="63"/>
      <x v="90"/>
    </i>
    <i>
      <x v="64"/>
      <x v="128"/>
    </i>
    <i>
      <x v="65"/>
      <x v="111"/>
    </i>
    <i>
      <x v="66"/>
      <x v="132"/>
    </i>
    <i>
      <x v="67"/>
      <x v="17"/>
    </i>
    <i>
      <x v="68"/>
      <x v="129"/>
    </i>
    <i>
      <x v="69"/>
      <x v="117"/>
    </i>
    <i>
      <x v="70"/>
      <x v="79"/>
    </i>
    <i>
      <x v="71"/>
      <x v="83"/>
    </i>
    <i>
      <x v="72"/>
      <x v="76"/>
    </i>
    <i>
      <x v="73"/>
      <x v="85"/>
    </i>
    <i>
      <x v="74"/>
      <x v="22"/>
    </i>
    <i>
      <x v="75"/>
      <x v="23"/>
    </i>
    <i>
      <x v="76"/>
      <x v="27"/>
    </i>
    <i>
      <x v="77"/>
      <x v="45"/>
    </i>
    <i>
      <x v="78"/>
      <x v="97"/>
    </i>
    <i>
      <x v="79"/>
      <x v="100"/>
    </i>
    <i>
      <x v="80"/>
      <x v="124"/>
    </i>
    <i>
      <x v="81"/>
      <x v="75"/>
    </i>
    <i>
      <x v="82"/>
      <x v="287"/>
    </i>
    <i>
      <x v="83"/>
      <x v="88"/>
    </i>
    <i>
      <x v="84"/>
      <x v="38"/>
    </i>
    <i>
      <x v="85"/>
      <x v="93"/>
    </i>
    <i>
      <x v="86"/>
      <x v="43"/>
    </i>
    <i>
      <x v="87"/>
      <x v="280"/>
    </i>
    <i>
      <x v="88"/>
      <x v="281"/>
    </i>
    <i>
      <x v="89"/>
      <x v="110"/>
    </i>
    <i>
      <x v="90"/>
      <x v="286"/>
    </i>
    <i>
      <x v="91"/>
      <x v="46"/>
    </i>
    <i>
      <x v="92"/>
      <x v="10"/>
    </i>
    <i>
      <x v="93"/>
      <x v="10"/>
    </i>
    <i>
      <x v="94"/>
      <x v="105"/>
    </i>
    <i>
      <x v="95"/>
      <x v="103"/>
    </i>
    <i>
      <x v="96"/>
      <x v="133"/>
    </i>
    <i>
      <x v="97"/>
      <x v="125"/>
    </i>
    <i>
      <x v="98"/>
      <x v="108"/>
    </i>
    <i>
      <x v="99"/>
      <x v="130"/>
    </i>
    <i>
      <x v="100"/>
      <x v="131"/>
    </i>
    <i>
      <x v="101"/>
      <x v="122"/>
    </i>
    <i>
      <x v="102"/>
      <x v="127"/>
    </i>
    <i>
      <x v="103"/>
      <x v="3"/>
    </i>
    <i>
      <x v="104"/>
      <x v="126"/>
    </i>
    <i>
      <x v="105"/>
      <x v="86"/>
    </i>
    <i>
      <x v="106"/>
      <x v="80"/>
    </i>
    <i>
      <x v="107"/>
      <x v="19"/>
    </i>
    <i>
      <x v="108"/>
      <x v="13"/>
    </i>
    <i>
      <x v="109"/>
      <x v="101"/>
    </i>
    <i>
      <x v="110"/>
      <x v="158"/>
    </i>
    <i>
      <x v="111"/>
      <x v="40"/>
    </i>
    <i>
      <x v="112"/>
      <x v="77"/>
    </i>
    <i>
      <x v="113"/>
      <x v="288"/>
    </i>
    <i>
      <x v="114"/>
      <x v="113"/>
    </i>
    <i>
      <x v="115"/>
      <x v="114"/>
    </i>
    <i>
      <x v="116"/>
      <x v="152"/>
    </i>
    <i>
      <x v="117"/>
      <x v="95"/>
    </i>
    <i>
      <x v="118"/>
      <x v="106"/>
    </i>
    <i>
      <x v="119"/>
      <x v="115"/>
    </i>
    <i>
      <x v="120"/>
      <x v="116"/>
    </i>
    <i>
      <x v="121"/>
      <x v="104"/>
    </i>
    <i>
      <x v="122"/>
      <x v="119"/>
    </i>
    <i>
      <x v="123"/>
      <x v="47"/>
    </i>
    <i>
      <x v="124"/>
      <x v="162"/>
    </i>
    <i>
      <x v="125"/>
      <x v="24"/>
    </i>
    <i>
      <x v="126"/>
      <x v="25"/>
    </i>
    <i>
      <x v="127"/>
      <x v="9"/>
    </i>
    <i>
      <x v="128"/>
      <x v="15"/>
    </i>
    <i>
      <x v="129"/>
      <x v="91"/>
    </i>
    <i>
      <x v="130"/>
      <x v="81"/>
    </i>
    <i>
      <x v="131"/>
      <x/>
    </i>
    <i>
      <x v="132"/>
      <x v="279"/>
    </i>
    <i>
      <x v="133"/>
      <x v="112"/>
    </i>
    <i>
      <x v="134"/>
      <x v="82"/>
    </i>
    <i>
      <x v="135"/>
      <x v="282"/>
    </i>
    <i>
      <x v="136"/>
      <x v="98"/>
    </i>
    <i>
      <x v="137"/>
      <x v="44"/>
    </i>
    <i>
      <x v="138"/>
      <x v="109"/>
    </i>
    <i>
      <x v="139"/>
      <x v="161"/>
    </i>
    <i>
      <x v="140"/>
      <x v="99"/>
    </i>
    <i>
      <x v="141"/>
      <x v="96"/>
    </i>
    <i>
      <x v="142"/>
      <x v="39"/>
    </i>
    <i>
      <x v="143"/>
      <x v="102"/>
    </i>
    <i>
      <x v="144"/>
      <x v="14"/>
    </i>
    <i>
      <x v="145"/>
      <x v="134"/>
    </i>
    <i>
      <x v="146"/>
      <x v="107"/>
    </i>
    <i>
      <x v="147"/>
      <x v="94"/>
    </i>
    <i>
      <x v="148"/>
      <x v="11"/>
    </i>
    <i>
      <x v="149"/>
      <x v="284"/>
    </i>
    <i>
      <x v="150"/>
      <x v="289"/>
    </i>
    <i>
      <x v="151"/>
      <x v="135"/>
    </i>
    <i>
      <x v="152"/>
      <x v="137"/>
    </i>
    <i>
      <x v="153"/>
      <x v="136"/>
    </i>
    <i>
      <x v="154"/>
      <x v="138"/>
    </i>
    <i>
      <x v="155"/>
      <x v="120"/>
    </i>
    <i>
      <x v="156"/>
      <x v="87"/>
    </i>
    <i>
      <x v="157"/>
      <x v="118"/>
    </i>
    <i>
      <x v="158"/>
      <x v="277"/>
    </i>
    <i>
      <x v="159"/>
      <x v="78"/>
    </i>
    <i>
      <x v="160"/>
      <x v="276"/>
    </i>
    <i>
      <x v="161"/>
      <x v="92"/>
    </i>
    <i>
      <x v="162"/>
      <x v="249"/>
    </i>
    <i>
      <x v="163"/>
      <x v="8"/>
    </i>
    <i>
      <x v="164"/>
      <x v="1"/>
    </i>
    <i>
      <x v="165"/>
      <x v="246"/>
    </i>
    <i>
      <x v="166"/>
      <x v="251"/>
    </i>
    <i>
      <x v="167"/>
      <x v="247"/>
    </i>
    <i>
      <x v="168"/>
      <x v="148"/>
    </i>
    <i>
      <x v="169"/>
      <x v="165"/>
    </i>
    <i>
      <x v="170"/>
      <x v="183"/>
    </i>
    <i>
      <x v="171"/>
      <x v="290"/>
    </i>
    <i>
      <x v="172"/>
      <x v="181"/>
    </i>
    <i>
      <x v="173"/>
      <x v="192"/>
    </i>
    <i>
      <x v="174"/>
      <x v="236"/>
    </i>
    <i>
      <x v="175"/>
      <x v="211"/>
    </i>
    <i>
      <x v="176"/>
      <x v="209"/>
    </i>
    <i>
      <x v="177"/>
      <x v="204"/>
    </i>
    <i>
      <x v="178"/>
      <x v="254"/>
    </i>
    <i>
      <x v="179"/>
      <x v="194"/>
    </i>
    <i>
      <x v="180"/>
      <x v="176"/>
    </i>
    <i>
      <x v="181"/>
      <x v="169"/>
    </i>
    <i>
      <x v="182"/>
      <x v="173"/>
    </i>
    <i>
      <x v="183"/>
      <x v="48"/>
    </i>
    <i>
      <x v="184"/>
      <x v="214"/>
    </i>
    <i>
      <x v="185"/>
      <x v="212"/>
    </i>
    <i>
      <x v="186"/>
      <x v="242"/>
    </i>
    <i>
      <x v="187"/>
      <x v="240"/>
    </i>
    <i>
      <x v="188"/>
      <x v="241"/>
    </i>
    <i>
      <x v="189"/>
      <x v="233"/>
    </i>
    <i>
      <x v="190"/>
      <x v="223"/>
    </i>
    <i>
      <x v="191"/>
      <x v="213"/>
    </i>
    <i>
      <x v="192"/>
      <x v="278"/>
    </i>
    <i>
      <x v="193"/>
      <x v="145"/>
    </i>
    <i>
      <x v="194"/>
      <x v="146"/>
    </i>
    <i>
      <x v="195"/>
      <x v="139"/>
    </i>
    <i>
      <x v="196"/>
      <x v="121"/>
    </i>
    <i>
      <x v="197"/>
      <x v="202"/>
    </i>
    <i>
      <x v="198"/>
      <x v="177"/>
    </i>
    <i>
      <x v="199"/>
      <x v="224"/>
    </i>
    <i>
      <x v="200"/>
      <x v="225"/>
    </i>
    <i>
      <x v="201"/>
      <x v="226"/>
    </i>
    <i>
      <x v="202"/>
      <x v="182"/>
    </i>
    <i>
      <x v="203"/>
      <x v="257"/>
    </i>
    <i>
      <x v="204"/>
      <x v="259"/>
    </i>
    <i>
      <x v="205"/>
      <x v="191"/>
    </i>
    <i>
      <x v="206"/>
      <x v="196"/>
    </i>
    <i>
      <x v="207"/>
      <x v="206"/>
    </i>
    <i>
      <x v="208"/>
      <x v="143"/>
    </i>
    <i>
      <x v="209"/>
      <x v="264"/>
    </i>
    <i>
      <x v="210"/>
      <x v="200"/>
    </i>
    <i>
      <x v="211"/>
      <x v="266"/>
    </i>
    <i>
      <x v="212"/>
      <x v="260"/>
    </i>
    <i>
      <x v="213"/>
      <x v="221"/>
    </i>
    <i>
      <x v="214"/>
      <x v="179"/>
    </i>
    <i>
      <x v="215"/>
      <x v="265"/>
    </i>
    <i>
      <x v="216"/>
      <x v="268"/>
    </i>
    <i>
      <x v="217"/>
      <x v="253"/>
    </i>
    <i>
      <x v="218"/>
      <x v="250"/>
    </i>
    <i>
      <x v="219"/>
      <x v="252"/>
    </i>
    <i>
      <x v="220"/>
      <x v="235"/>
    </i>
    <i>
      <x v="221"/>
      <x v="243"/>
    </i>
    <i>
      <x v="222"/>
      <x v="237"/>
    </i>
    <i>
      <x v="223"/>
      <x v="188"/>
    </i>
    <i>
      <x v="224"/>
      <x v="189"/>
    </i>
    <i>
      <x v="225"/>
      <x v="144"/>
    </i>
    <i>
      <x v="226"/>
      <x v="185"/>
    </i>
    <i>
      <x v="227"/>
      <x v="149"/>
    </i>
    <i>
      <x v="228"/>
      <x v="163"/>
    </i>
    <i>
      <x v="229"/>
      <x v="267"/>
    </i>
    <i>
      <x v="230"/>
      <x v="203"/>
    </i>
    <i>
      <x v="231"/>
      <x v="216"/>
    </i>
    <i>
      <x v="232"/>
      <x v="227"/>
    </i>
    <i>
      <x v="233"/>
      <x v="245"/>
    </i>
    <i>
      <x v="234"/>
      <x v="180"/>
    </i>
    <i>
      <x v="235"/>
      <x v="205"/>
    </i>
    <i>
      <x v="236"/>
      <x v="275"/>
    </i>
    <i>
      <x v="237"/>
      <x v="166"/>
    </i>
    <i>
      <x v="238"/>
      <x v="215"/>
    </i>
    <i>
      <x v="239"/>
      <x v="195"/>
    </i>
    <i>
      <x v="240"/>
      <x v="198"/>
    </i>
    <i>
      <x v="241"/>
      <x v="197"/>
    </i>
    <i>
      <x v="242"/>
      <x v="174"/>
    </i>
    <i>
      <x v="243"/>
      <x v="186"/>
    </i>
    <i>
      <x v="244"/>
      <x v="255"/>
    </i>
    <i>
      <x v="245"/>
      <x v="238"/>
    </i>
    <i>
      <x v="246"/>
      <x v="258"/>
    </i>
    <i>
      <x v="247"/>
      <x v="210"/>
    </i>
    <i>
      <x v="248"/>
      <x v="229"/>
    </i>
    <i>
      <x v="249"/>
      <x v="230"/>
    </i>
    <i>
      <x v="250"/>
      <x v="231"/>
    </i>
    <i>
      <x v="251"/>
      <x v="256"/>
    </i>
    <i>
      <x v="252"/>
      <x v="234"/>
    </i>
    <i>
      <x v="253"/>
      <x v="207"/>
    </i>
    <i>
      <x v="254"/>
      <x v="178"/>
    </i>
    <i>
      <x v="255"/>
      <x v="153"/>
    </i>
    <i>
      <x v="256"/>
      <x v="187"/>
    </i>
    <i>
      <x v="257"/>
      <x v="184"/>
    </i>
    <i>
      <x v="258"/>
      <x v="74"/>
    </i>
    <i>
      <x v="259"/>
      <x v="239"/>
    </i>
    <i>
      <x v="260"/>
      <x v="248"/>
    </i>
    <i>
      <x v="261"/>
      <x v="151"/>
    </i>
    <i>
      <x v="262"/>
      <x v="172"/>
    </i>
    <i>
      <x v="263"/>
      <x v="218"/>
    </i>
    <i>
      <x v="264"/>
      <x v="217"/>
    </i>
    <i>
      <x v="265"/>
      <x v="201"/>
    </i>
    <i>
      <x v="266"/>
      <x v="193"/>
    </i>
    <i>
      <x v="267"/>
      <x v="141"/>
    </i>
    <i>
      <x v="268"/>
      <x v="167"/>
    </i>
    <i>
      <x v="269"/>
      <x v="199"/>
    </i>
    <i>
      <x v="270"/>
      <x v="261"/>
    </i>
    <i>
      <x v="271"/>
      <x v="190"/>
    </i>
    <i>
      <x v="272"/>
      <x v="220"/>
    </i>
    <i>
      <x v="273"/>
      <x v="219"/>
    </i>
    <i>
      <x v="274"/>
      <x v="244"/>
    </i>
    <i>
      <x v="275"/>
      <x v="208"/>
    </i>
    <i>
      <x v="276"/>
      <x v="262"/>
    </i>
    <i>
      <x v="277"/>
      <x v="170"/>
    </i>
    <i>
      <x v="278"/>
      <x v="272"/>
    </i>
    <i>
      <x v="279"/>
      <x v="164"/>
    </i>
    <i>
      <x v="280"/>
      <x v="228"/>
    </i>
    <i>
      <x v="281"/>
      <x v="142"/>
    </i>
    <i>
      <x v="282"/>
      <x v="222"/>
    </i>
    <i>
      <x v="283"/>
      <x v="168"/>
    </i>
    <i>
      <x v="284"/>
      <x v="232"/>
    </i>
    <i>
      <x v="285"/>
      <x v="171"/>
    </i>
    <i>
      <x v="286"/>
      <x v="147"/>
    </i>
    <i>
      <x v="287"/>
      <x v="140"/>
    </i>
    <i>
      <x v="288"/>
      <x v="150"/>
    </i>
    <i>
      <x v="289"/>
      <x v="263"/>
    </i>
    <i>
      <x v="290"/>
      <x v="175"/>
    </i>
    <i>
      <x v="291"/>
      <x v="27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a di Unità ordinate" fld="4" baseField="0" baseItem="0"/>
    <dataField name="Somma di Ricavi ordini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D0ECD-32DD-4323-AD19-E68EF4D2F910}" name="Tabella pivot14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D285" firstHeaderRow="0" firstDataRow="1" firstDataCol="2" rowPageCount="1" colPageCount="1"/>
  <pivotFields count="9">
    <pivotField axis="axisRow" compact="0" outline="0" showAll="0" defaultSubtotal="0">
      <items count="281">
        <item x="1"/>
        <item x="242"/>
        <item x="153"/>
        <item x="225"/>
        <item x="96"/>
        <item x="267"/>
        <item x="262"/>
        <item x="120"/>
        <item x="5"/>
        <item x="215"/>
        <item x="142"/>
        <item x="237"/>
        <item x="228"/>
        <item x="54"/>
        <item x="98"/>
        <item x="226"/>
        <item x="220"/>
        <item x="221"/>
        <item x="102"/>
        <item x="211"/>
        <item x="63"/>
        <item x="238"/>
        <item x="93"/>
        <item x="176"/>
        <item x="195"/>
        <item x="95"/>
        <item x="47"/>
        <item x="261"/>
        <item x="194"/>
        <item x="207"/>
        <item x="202"/>
        <item x="243"/>
        <item x="279"/>
        <item x="277"/>
        <item x="275"/>
        <item x="27"/>
        <item x="203"/>
        <item x="55"/>
        <item x="166"/>
        <item x="34"/>
        <item x="208"/>
        <item x="167"/>
        <item x="193"/>
        <item x="129"/>
        <item x="274"/>
        <item x="133"/>
        <item x="164"/>
        <item x="119"/>
        <item x="172"/>
        <item x="46"/>
        <item x="216"/>
        <item x="280"/>
        <item x="154"/>
        <item x="23"/>
        <item x="16"/>
        <item x="62"/>
        <item x="104"/>
        <item x="134"/>
        <item x="40"/>
        <item x="44"/>
        <item x="89"/>
        <item x="272"/>
        <item x="140"/>
        <item x="239"/>
        <item x="205"/>
        <item x="180"/>
        <item x="192"/>
        <item x="268"/>
        <item x="94"/>
        <item x="10"/>
        <item x="66"/>
        <item x="110"/>
        <item x="212"/>
        <item x="190"/>
        <item x="148"/>
        <item x="35"/>
        <item x="36"/>
        <item x="160"/>
        <item x="18"/>
        <item x="227"/>
        <item x="198"/>
        <item x="181"/>
        <item x="8"/>
        <item x="188"/>
        <item x="222"/>
        <item x="53"/>
        <item x="90"/>
        <item x="152"/>
        <item x="123"/>
        <item x="7"/>
        <item x="158"/>
        <item x="121"/>
        <item x="248"/>
        <item x="113"/>
        <item x="131"/>
        <item x="259"/>
        <item x="264"/>
        <item x="12"/>
        <item x="41"/>
        <item x="116"/>
        <item x="109"/>
        <item x="252"/>
        <item x="269"/>
        <item x="265"/>
        <item x="130"/>
        <item x="146"/>
        <item x="251"/>
        <item x="157"/>
        <item x="26"/>
        <item x="28"/>
        <item x="168"/>
        <item x="255"/>
        <item x="209"/>
        <item x="56"/>
        <item x="210"/>
        <item x="236"/>
        <item x="83"/>
        <item x="82"/>
        <item x="81"/>
        <item x="260"/>
        <item x="57"/>
        <item x="240"/>
        <item x="61"/>
        <item x="155"/>
        <item x="266"/>
        <item x="84"/>
        <item x="60"/>
        <item x="100"/>
        <item x="91"/>
        <item x="206"/>
        <item x="50"/>
        <item x="125"/>
        <item x="191"/>
        <item x="59"/>
        <item x="126"/>
        <item x="79"/>
        <item x="273"/>
        <item x="258"/>
        <item x="92"/>
        <item x="76"/>
        <item x="150"/>
        <item x="233"/>
        <item x="99"/>
        <item x="232"/>
        <item x="162"/>
        <item x="30"/>
        <item x="182"/>
        <item x="118"/>
        <item x="49"/>
        <item x="271"/>
        <item x="43"/>
        <item x="250"/>
        <item x="72"/>
        <item x="11"/>
        <item x="108"/>
        <item x="229"/>
        <item x="214"/>
        <item x="51"/>
        <item x="263"/>
        <item x="245"/>
        <item x="87"/>
        <item x="38"/>
        <item x="234"/>
        <item x="171"/>
        <item x="78"/>
        <item x="161"/>
        <item x="85"/>
        <item x="213"/>
        <item x="101"/>
        <item x="246"/>
        <item x="189"/>
        <item x="257"/>
        <item x="141"/>
        <item x="204"/>
        <item x="270"/>
        <item x="71"/>
        <item x="196"/>
        <item x="276"/>
        <item x="2"/>
        <item x="253"/>
        <item x="77"/>
        <item x="219"/>
        <item x="201"/>
        <item x="144"/>
        <item x="156"/>
        <item x="217"/>
        <item x="247"/>
        <item x="73"/>
        <item x="199"/>
        <item x="107"/>
        <item x="185"/>
        <item x="25"/>
        <item x="143"/>
        <item x="235"/>
        <item x="223"/>
        <item x="3"/>
        <item x="122"/>
        <item x="241"/>
        <item x="115"/>
        <item x="170"/>
        <item x="179"/>
        <item x="75"/>
        <item x="244"/>
        <item x="112"/>
        <item x="9"/>
        <item x="147"/>
        <item x="159"/>
        <item x="22"/>
        <item x="174"/>
        <item x="42"/>
        <item x="254"/>
        <item x="45"/>
        <item x="74"/>
        <item x="177"/>
        <item x="64"/>
        <item x="67"/>
        <item x="37"/>
        <item x="187"/>
        <item x="249"/>
        <item x="230"/>
        <item x="137"/>
        <item x="278"/>
        <item x="256"/>
        <item x="111"/>
        <item x="139"/>
        <item x="32"/>
        <item x="231"/>
        <item x="48"/>
        <item x="117"/>
        <item x="13"/>
        <item x="105"/>
        <item x="145"/>
        <item x="127"/>
        <item x="103"/>
        <item x="86"/>
        <item x="151"/>
        <item x="183"/>
        <item x="20"/>
        <item x="17"/>
        <item x="163"/>
        <item x="6"/>
        <item x="80"/>
        <item x="52"/>
        <item x="175"/>
        <item x="149"/>
        <item x="0"/>
        <item x="186"/>
        <item x="114"/>
        <item x="15"/>
        <item x="69"/>
        <item x="197"/>
        <item x="173"/>
        <item x="39"/>
        <item x="97"/>
        <item x="24"/>
        <item x="65"/>
        <item x="70"/>
        <item x="184"/>
        <item x="128"/>
        <item x="200"/>
        <item x="124"/>
        <item x="169"/>
        <item x="165"/>
        <item x="106"/>
        <item x="218"/>
        <item x="224"/>
        <item x="88"/>
        <item x="68"/>
        <item x="132"/>
        <item x="138"/>
        <item x="31"/>
        <item x="19"/>
        <item x="29"/>
        <item x="178"/>
        <item x="58"/>
        <item x="21"/>
        <item x="4"/>
        <item x="14"/>
        <item x="136"/>
        <item x="33"/>
        <item x="135"/>
      </items>
    </pivotField>
    <pivotField axis="axisRow" compact="0" outline="0" showAll="0" defaultSubtotal="0">
      <items count="280">
        <item x="125"/>
        <item x="266"/>
        <item x="226"/>
        <item x="120"/>
        <item x="5"/>
        <item x="278"/>
        <item x="140"/>
        <item x="50"/>
        <item x="263"/>
        <item x="221"/>
        <item x="66"/>
        <item x="56"/>
        <item x="202"/>
        <item x="110"/>
        <item x="168"/>
        <item x="12"/>
        <item x="208"/>
        <item x="119"/>
        <item x="188"/>
        <item x="153"/>
        <item x="16"/>
        <item x="62"/>
        <item x="242"/>
        <item x="227"/>
        <item x="1"/>
        <item x="236"/>
        <item x="241"/>
        <item x="276"/>
        <item x="205"/>
        <item x="28"/>
        <item x="90"/>
        <item x="260"/>
        <item x="238"/>
        <item x="130"/>
        <item x="104"/>
        <item x="131"/>
        <item x="118"/>
        <item x="47"/>
        <item x="207"/>
        <item x="96"/>
        <item x="142"/>
        <item x="274"/>
        <item x="27"/>
        <item x="95"/>
        <item x="214"/>
        <item x="54"/>
        <item x="102"/>
        <item x="211"/>
        <item x="63"/>
        <item x="203"/>
        <item x="55"/>
        <item x="34"/>
        <item x="98"/>
        <item x="93"/>
        <item x="229"/>
        <item x="89"/>
        <item x="60"/>
        <item x="215"/>
        <item x="41"/>
        <item x="251"/>
        <item x="154"/>
        <item x="167"/>
        <item x="23"/>
        <item x="8"/>
        <item x="129"/>
        <item x="273"/>
        <item x="192"/>
        <item x="209"/>
        <item x="180"/>
        <item x="26"/>
        <item x="181"/>
        <item x="264"/>
        <item x="157"/>
        <item x="40"/>
        <item x="267"/>
        <item x="53"/>
        <item x="35"/>
        <item x="247"/>
        <item x="148"/>
        <item x="7"/>
        <item x="254"/>
        <item x="146"/>
        <item x="10"/>
        <item x="109"/>
        <item x="123"/>
        <item x="158"/>
        <item x="121"/>
        <item x="46"/>
        <item x="61"/>
        <item x="113"/>
        <item x="57"/>
        <item x="262"/>
        <item x="18"/>
        <item x="190"/>
        <item x="44"/>
        <item x="198"/>
        <item x="133"/>
        <item x="172"/>
        <item x="160"/>
        <item x="164"/>
        <item x="36"/>
        <item x="235"/>
        <item x="82"/>
        <item x="83"/>
        <item x="81"/>
        <item x="51"/>
        <item x="69"/>
        <item x="24"/>
        <item x="13"/>
        <item x="52"/>
        <item x="189"/>
        <item x="25"/>
        <item x="31"/>
        <item x="213"/>
        <item x="15"/>
        <item x="173"/>
        <item x="138"/>
        <item x="79"/>
        <item x="132"/>
        <item x="143"/>
        <item x="197"/>
        <item x="255"/>
        <item x="279"/>
        <item x="261"/>
        <item x="224"/>
        <item x="237"/>
        <item x="176"/>
        <item x="195"/>
        <item x="250"/>
        <item x="258"/>
        <item x="234"/>
        <item x="33"/>
        <item x="6"/>
        <item x="272"/>
        <item x="112"/>
        <item x="105"/>
        <item x="149"/>
        <item x="30"/>
        <item x="17"/>
        <item x="186"/>
        <item x="111"/>
        <item x="182"/>
        <item x="22"/>
        <item x="97"/>
        <item x="162"/>
        <item x="87"/>
        <item x="77"/>
        <item x="136"/>
        <item x="114"/>
        <item x="88"/>
        <item x="179"/>
        <item x="257"/>
        <item x="269"/>
        <item x="135"/>
        <item x="78"/>
        <item x="248"/>
        <item x="68"/>
        <item x="174"/>
        <item x="187"/>
        <item x="107"/>
        <item x="185"/>
        <item x="127"/>
        <item x="212"/>
        <item x="92"/>
        <item x="117"/>
        <item x="231"/>
        <item x="9"/>
        <item x="101"/>
        <item x="159"/>
        <item x="147"/>
        <item x="145"/>
        <item x="170"/>
        <item x="141"/>
        <item x="48"/>
        <item x="244"/>
        <item x="3"/>
        <item x="232"/>
        <item x="75"/>
        <item x="245"/>
        <item x="37"/>
        <item x="183"/>
        <item x="150"/>
        <item x="45"/>
        <item x="76"/>
        <item x="270"/>
        <item x="228"/>
        <item x="49"/>
        <item x="122"/>
        <item x="230"/>
        <item x="32"/>
        <item x="124"/>
        <item x="169"/>
        <item x="165"/>
        <item x="4"/>
        <item x="21"/>
        <item x="14"/>
        <item x="86"/>
        <item x="103"/>
        <item x="252"/>
        <item x="175"/>
        <item x="58"/>
        <item x="108"/>
        <item x="38"/>
        <item x="233"/>
        <item x="171"/>
        <item x="240"/>
        <item x="29"/>
        <item x="80"/>
        <item x="19"/>
        <item x="74"/>
        <item x="178"/>
        <item x="177"/>
        <item x="0"/>
        <item x="11"/>
        <item x="67"/>
        <item x="71"/>
        <item x="199"/>
        <item x="253"/>
        <item x="137"/>
        <item x="249"/>
        <item x="72"/>
        <item x="43"/>
        <item x="73"/>
        <item x="151"/>
        <item x="115"/>
        <item x="100"/>
        <item x="191"/>
        <item x="126"/>
        <item x="275"/>
        <item x="128"/>
        <item x="200"/>
        <item x="265"/>
        <item x="277"/>
        <item x="206"/>
        <item x="259"/>
        <item x="155"/>
        <item x="217"/>
        <item x="216"/>
        <item x="106"/>
        <item x="65"/>
        <item x="70"/>
        <item x="196"/>
        <item x="59"/>
        <item x="156"/>
        <item x="246"/>
        <item x="184"/>
        <item x="144"/>
        <item x="223"/>
        <item x="99"/>
        <item x="42"/>
        <item x="64"/>
        <item x="161"/>
        <item x="139"/>
        <item x="85"/>
        <item x="2"/>
        <item x="20"/>
        <item x="39"/>
        <item x="256"/>
        <item x="218"/>
        <item x="204"/>
        <item x="222"/>
        <item x="201"/>
        <item x="225"/>
        <item x="219"/>
        <item x="220"/>
        <item x="194"/>
        <item x="163"/>
        <item x="243"/>
        <item x="91"/>
        <item x="84"/>
        <item x="239"/>
        <item x="94"/>
        <item x="268"/>
        <item x="193"/>
        <item x="116"/>
        <item x="166"/>
        <item x="271"/>
        <item x="152"/>
        <item x="134"/>
        <item x="210"/>
      </items>
    </pivotField>
    <pivotField axis="axisPage" compact="0" outline="0" multipleItemSelectionAllowed="1" showAll="0" defaultSubtotal="0">
      <items count="7">
        <item x="1"/>
        <item x="3"/>
        <item x="2"/>
        <item x="4"/>
        <item x="0"/>
        <item x="6"/>
        <item x="5"/>
      </items>
    </pivotField>
    <pivotField dataField="1" compact="0" numFmtId="4" outline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282">
    <i>
      <x/>
      <x v="24"/>
    </i>
    <i>
      <x v="1"/>
      <x v="26"/>
    </i>
    <i>
      <x v="2"/>
      <x v="19"/>
    </i>
    <i>
      <x v="3"/>
      <x v="124"/>
    </i>
    <i>
      <x v="4"/>
      <x v="39"/>
    </i>
    <i>
      <x v="5"/>
      <x v="1"/>
    </i>
    <i>
      <x v="6"/>
      <x v="123"/>
    </i>
    <i>
      <x v="7"/>
      <x v="3"/>
    </i>
    <i>
      <x v="8"/>
      <x v="4"/>
    </i>
    <i>
      <x v="9"/>
      <x v="44"/>
    </i>
    <i>
      <x v="10"/>
      <x v="40"/>
    </i>
    <i>
      <x v="11"/>
      <x v="25"/>
    </i>
    <i>
      <x v="12"/>
      <x v="23"/>
    </i>
    <i>
      <x v="13"/>
      <x v="45"/>
    </i>
    <i>
      <x v="14"/>
      <x v="52"/>
    </i>
    <i>
      <x v="15"/>
      <x v="262"/>
    </i>
    <i>
      <x v="16"/>
      <x v="263"/>
    </i>
    <i>
      <x v="17"/>
      <x v="264"/>
    </i>
    <i>
      <x v="18"/>
      <x v="46"/>
    </i>
    <i>
      <x v="19"/>
      <x v="47"/>
    </i>
    <i>
      <x v="20"/>
      <x v="48"/>
    </i>
    <i>
      <x v="21"/>
      <x v="125"/>
    </i>
    <i>
      <x v="22"/>
      <x v="53"/>
    </i>
    <i>
      <x v="23"/>
      <x v="126"/>
    </i>
    <i>
      <x v="24"/>
      <x v="127"/>
    </i>
    <i>
      <x v="25"/>
      <x v="43"/>
    </i>
    <i>
      <x v="26"/>
      <x v="37"/>
    </i>
    <i>
      <x v="27"/>
      <x v="31"/>
    </i>
    <i>
      <x v="28"/>
      <x v="265"/>
    </i>
    <i>
      <x v="29"/>
      <x v="38"/>
    </i>
    <i>
      <x v="30"/>
      <x v="12"/>
    </i>
    <i>
      <x v="31"/>
      <x v="22"/>
    </i>
    <i>
      <x v="32"/>
      <x v="5"/>
    </i>
    <i>
      <x v="33"/>
      <x v="27"/>
    </i>
    <i>
      <x v="34"/>
      <x v="41"/>
    </i>
    <i>
      <x v="35"/>
      <x v="42"/>
    </i>
    <i>
      <x v="36"/>
      <x v="49"/>
    </i>
    <i>
      <x v="37"/>
      <x v="50"/>
    </i>
    <i>
      <x v="38"/>
      <x v="275"/>
    </i>
    <i>
      <x v="39"/>
      <x v="51"/>
    </i>
    <i>
      <x v="40"/>
      <x v="16"/>
    </i>
    <i>
      <x v="41"/>
      <x v="61"/>
    </i>
    <i>
      <x v="42"/>
      <x v="273"/>
    </i>
    <i>
      <x v="43"/>
      <x v="64"/>
    </i>
    <i>
      <x v="44"/>
      <x v="65"/>
    </i>
    <i>
      <x v="45"/>
      <x v="96"/>
    </i>
    <i>
      <x v="46"/>
      <x v="99"/>
    </i>
    <i>
      <x v="47"/>
      <x v="17"/>
    </i>
    <i>
      <x v="48"/>
      <x v="97"/>
    </i>
    <i>
      <x v="49"/>
      <x v="87"/>
    </i>
    <i>
      <x v="50"/>
      <x v="57"/>
    </i>
    <i>
      <x v="51"/>
      <x v="122"/>
    </i>
    <i>
      <x v="52"/>
      <x v="60"/>
    </i>
    <i>
      <x v="53"/>
      <x v="62"/>
    </i>
    <i>
      <x v="54"/>
      <x v="20"/>
    </i>
    <i>
      <x v="55"/>
      <x v="21"/>
    </i>
    <i>
      <x v="56"/>
      <x v="34"/>
    </i>
    <i>
      <x v="57"/>
      <x v="278"/>
    </i>
    <i>
      <x v="58"/>
      <x v="73"/>
    </i>
    <i>
      <x v="59"/>
      <x v="94"/>
    </i>
    <i>
      <x v="60"/>
      <x v="55"/>
    </i>
    <i>
      <x v="61"/>
      <x v="276"/>
    </i>
    <i>
      <x v="62"/>
      <x v="6"/>
    </i>
    <i>
      <x v="63"/>
      <x v="32"/>
    </i>
    <i>
      <x v="64"/>
      <x v="28"/>
    </i>
    <i>
      <x v="65"/>
      <x v="68"/>
    </i>
    <i>
      <x v="66"/>
      <x v="66"/>
    </i>
    <i>
      <x v="67"/>
      <x v="74"/>
    </i>
    <i>
      <x v="68"/>
      <x v="271"/>
    </i>
    <i>
      <x v="69"/>
      <x v="82"/>
    </i>
    <i>
      <x v="70"/>
      <x v="10"/>
    </i>
    <i>
      <x v="71"/>
      <x v="13"/>
    </i>
    <i>
      <x v="72"/>
      <x v="10"/>
    </i>
    <i>
      <x v="73"/>
      <x v="93"/>
    </i>
    <i>
      <x v="74"/>
      <x v="78"/>
    </i>
    <i>
      <x v="75"/>
      <x v="76"/>
    </i>
    <i>
      <x v="76"/>
      <x v="100"/>
    </i>
    <i>
      <x v="77"/>
      <x v="98"/>
    </i>
    <i>
      <x v="78"/>
      <x v="92"/>
    </i>
    <i>
      <x v="79"/>
      <x v="2"/>
    </i>
    <i>
      <x v="80"/>
      <x v="95"/>
    </i>
    <i>
      <x v="81"/>
      <x v="70"/>
    </i>
    <i>
      <x v="82"/>
      <x v="63"/>
    </i>
    <i>
      <x v="83"/>
      <x v="18"/>
    </i>
    <i>
      <x v="84"/>
      <x v="9"/>
    </i>
    <i>
      <x v="85"/>
      <x v="75"/>
    </i>
    <i>
      <x v="86"/>
      <x v="30"/>
    </i>
    <i>
      <x v="87"/>
      <x v="277"/>
    </i>
    <i>
      <x v="88"/>
      <x v="84"/>
    </i>
    <i>
      <x v="89"/>
      <x v="79"/>
    </i>
    <i>
      <x v="90"/>
      <x v="85"/>
    </i>
    <i>
      <x v="91"/>
      <x v="86"/>
    </i>
    <i>
      <x v="92"/>
      <x v="77"/>
    </i>
    <i>
      <x v="93"/>
      <x v="89"/>
    </i>
    <i>
      <x v="94"/>
      <x v="35"/>
    </i>
    <i>
      <x v="95"/>
      <x v="129"/>
    </i>
    <i>
      <x v="96"/>
      <x v="8"/>
    </i>
    <i>
      <x v="97"/>
      <x v="15"/>
    </i>
    <i>
      <x v="98"/>
      <x v="58"/>
    </i>
    <i>
      <x v="99"/>
      <x v="274"/>
    </i>
    <i>
      <x v="100"/>
      <x v="83"/>
    </i>
    <i>
      <x v="101"/>
      <x v="59"/>
    </i>
    <i>
      <x v="102"/>
      <x v="272"/>
    </i>
    <i>
      <x v="103"/>
      <x v="71"/>
    </i>
    <i>
      <x v="104"/>
      <x v="33"/>
    </i>
    <i>
      <x v="105"/>
      <x v="81"/>
    </i>
    <i>
      <x v="106"/>
      <x v="128"/>
    </i>
    <i>
      <x v="107"/>
      <x v="72"/>
    </i>
    <i>
      <x v="108"/>
      <x v="69"/>
    </i>
    <i>
      <x v="109"/>
      <x v="29"/>
    </i>
    <i>
      <x v="110"/>
      <x v="14"/>
    </i>
    <i>
      <x v="111"/>
      <x v="80"/>
    </i>
    <i>
      <x v="112"/>
      <x v="67"/>
    </i>
    <i>
      <x v="113"/>
      <x v="11"/>
    </i>
    <i>
      <x v="114"/>
      <x v="279"/>
    </i>
    <i>
      <x v="115"/>
      <x v="101"/>
    </i>
    <i>
      <x v="116"/>
      <x v="103"/>
    </i>
    <i>
      <x v="117"/>
      <x v="102"/>
    </i>
    <i>
      <x v="118"/>
      <x v="104"/>
    </i>
    <i>
      <x v="119"/>
      <x v="234"/>
    </i>
    <i>
      <x v="120"/>
      <x v="90"/>
    </i>
    <i>
      <x v="121"/>
      <x v="270"/>
    </i>
    <i>
      <x v="122"/>
      <x v="88"/>
    </i>
    <i>
      <x v="123"/>
      <x v="235"/>
    </i>
    <i>
      <x v="124"/>
      <x v="231"/>
    </i>
    <i>
      <x v="125"/>
      <x v="269"/>
    </i>
    <i>
      <x v="126"/>
      <x v="56"/>
    </i>
    <i>
      <x v="127"/>
      <x v="225"/>
    </i>
    <i>
      <x v="128"/>
      <x v="268"/>
    </i>
    <i>
      <x v="129"/>
      <x v="233"/>
    </i>
    <i>
      <x v="130"/>
      <x v="7"/>
    </i>
    <i>
      <x v="131"/>
      <x/>
    </i>
    <i>
      <x v="132"/>
      <x v="226"/>
    </i>
    <i>
      <x v="133"/>
      <x v="242"/>
    </i>
    <i>
      <x v="134"/>
      <x v="227"/>
    </i>
    <i>
      <x v="135"/>
      <x v="117"/>
    </i>
    <i>
      <x v="136"/>
      <x v="133"/>
    </i>
    <i>
      <x v="137"/>
      <x v="151"/>
    </i>
    <i>
      <x v="138"/>
      <x v="163"/>
    </i>
    <i>
      <x v="139"/>
      <x v="183"/>
    </i>
    <i>
      <x v="140"/>
      <x v="181"/>
    </i>
    <i>
      <x v="141"/>
      <x v="176"/>
    </i>
    <i>
      <x v="142"/>
      <x v="248"/>
    </i>
    <i>
      <x v="143"/>
      <x v="165"/>
    </i>
    <i>
      <x v="144"/>
      <x v="144"/>
    </i>
    <i>
      <x v="145"/>
      <x v="137"/>
    </i>
    <i>
      <x v="146"/>
      <x v="141"/>
    </i>
    <i>
      <x v="147"/>
      <x v="36"/>
    </i>
    <i>
      <x v="148"/>
      <x v="186"/>
    </i>
    <i>
      <x v="149"/>
      <x v="184"/>
    </i>
    <i>
      <x v="150"/>
      <x v="221"/>
    </i>
    <i>
      <x v="151"/>
      <x v="219"/>
    </i>
    <i>
      <x v="152"/>
      <x v="220"/>
    </i>
    <i>
      <x v="153"/>
      <x v="213"/>
    </i>
    <i>
      <x v="154"/>
      <x v="201"/>
    </i>
    <i>
      <x v="155"/>
      <x v="185"/>
    </i>
    <i>
      <x v="156"/>
      <x v="113"/>
    </i>
    <i>
      <x v="157"/>
      <x v="105"/>
    </i>
    <i>
      <x v="158"/>
      <x v="91"/>
    </i>
    <i>
      <x v="159"/>
      <x v="174"/>
    </i>
    <i>
      <x v="160"/>
      <x v="145"/>
    </i>
    <i>
      <x v="161"/>
      <x v="202"/>
    </i>
    <i>
      <x v="162"/>
      <x v="203"/>
    </i>
    <i>
      <x v="163"/>
      <x v="204"/>
    </i>
    <i>
      <x v="164"/>
      <x v="154"/>
    </i>
    <i>
      <x v="165"/>
      <x v="251"/>
    </i>
    <i>
      <x v="166"/>
      <x v="253"/>
    </i>
    <i>
      <x v="167"/>
      <x v="162"/>
    </i>
    <i>
      <x v="168"/>
      <x v="167"/>
    </i>
    <i>
      <x v="169"/>
      <x v="178"/>
    </i>
    <i>
      <x v="170"/>
      <x v="110"/>
    </i>
    <i>
      <x v="171"/>
      <x v="257"/>
    </i>
    <i>
      <x v="172"/>
      <x v="172"/>
    </i>
    <i>
      <x v="173"/>
      <x v="259"/>
    </i>
    <i>
      <x v="174"/>
      <x v="152"/>
    </i>
    <i>
      <x v="175"/>
      <x v="215"/>
    </i>
    <i>
      <x v="176"/>
      <x v="241"/>
    </i>
    <i>
      <x v="177"/>
      <x v="228"/>
    </i>
    <i>
      <x v="178"/>
      <x v="254"/>
    </i>
    <i>
      <x v="179"/>
      <x v="198"/>
    </i>
    <i>
      <x v="180"/>
      <x v="146"/>
    </i>
    <i>
      <x v="181"/>
      <x v="258"/>
    </i>
    <i>
      <x v="182"/>
      <x v="261"/>
    </i>
    <i>
      <x v="183"/>
      <x v="246"/>
    </i>
    <i>
      <x v="184"/>
      <x v="243"/>
    </i>
    <i>
      <x v="185"/>
      <x v="237"/>
    </i>
    <i>
      <x v="186"/>
      <x v="244"/>
    </i>
    <i>
      <x v="187"/>
      <x v="222"/>
    </i>
    <i>
      <x v="188"/>
      <x v="216"/>
    </i>
    <i>
      <x v="189"/>
      <x v="159"/>
    </i>
    <i>
      <x v="190"/>
      <x v="160"/>
    </i>
    <i>
      <x v="191"/>
      <x v="111"/>
    </i>
    <i>
      <x v="192"/>
      <x v="119"/>
    </i>
    <i>
      <x v="193"/>
      <x v="130"/>
    </i>
    <i>
      <x v="194"/>
      <x v="260"/>
    </i>
    <i>
      <x v="195"/>
      <x v="175"/>
    </i>
    <i>
      <x v="196"/>
      <x v="187"/>
    </i>
    <i>
      <x v="197"/>
      <x v="205"/>
    </i>
    <i>
      <x v="198"/>
      <x v="224"/>
    </i>
    <i>
      <x v="199"/>
      <x v="171"/>
    </i>
    <i>
      <x v="200"/>
      <x v="150"/>
    </i>
    <i>
      <x v="201"/>
      <x v="177"/>
    </i>
    <i>
      <x v="202"/>
      <x v="267"/>
    </i>
    <i>
      <x v="203"/>
      <x v="134"/>
    </i>
    <i>
      <x v="204"/>
      <x v="166"/>
    </i>
    <i>
      <x v="205"/>
      <x v="169"/>
    </i>
    <i>
      <x v="206"/>
      <x v="168"/>
    </i>
    <i>
      <x v="207"/>
      <x v="142"/>
    </i>
    <i>
      <x v="208"/>
      <x v="157"/>
    </i>
    <i>
      <x v="209"/>
      <x v="249"/>
    </i>
    <i>
      <x v="210"/>
      <x v="217"/>
    </i>
    <i>
      <x v="211"/>
      <x v="182"/>
    </i>
    <i>
      <x v="212"/>
      <x v="209"/>
    </i>
    <i>
      <x v="213"/>
      <x v="211"/>
    </i>
    <i>
      <x v="214"/>
      <x v="250"/>
    </i>
    <i>
      <x v="215"/>
      <x v="214"/>
    </i>
    <i>
      <x v="216"/>
      <x v="179"/>
    </i>
    <i>
      <x v="217"/>
      <x v="158"/>
    </i>
    <i>
      <x v="218"/>
      <x v="155"/>
    </i>
    <i>
      <x v="219"/>
      <x v="54"/>
    </i>
    <i>
      <x v="220"/>
      <x v="218"/>
    </i>
    <i>
      <x v="221"/>
      <x v="232"/>
    </i>
    <i>
      <x v="222"/>
      <x v="121"/>
    </i>
    <i>
      <x v="223"/>
      <x v="140"/>
    </i>
    <i>
      <x v="224"/>
      <x v="252"/>
    </i>
    <i>
      <x v="225"/>
      <x v="189"/>
    </i>
    <i>
      <x v="226"/>
      <x v="188"/>
    </i>
    <i>
      <x v="227"/>
      <x v="173"/>
    </i>
    <i>
      <x v="228"/>
      <x v="164"/>
    </i>
    <i>
      <x v="229"/>
      <x v="108"/>
    </i>
    <i>
      <x v="230"/>
      <x v="135"/>
    </i>
    <i>
      <x v="231"/>
      <x v="170"/>
    </i>
    <i>
      <x v="232"/>
      <x v="161"/>
    </i>
    <i>
      <x v="233"/>
      <x v="197"/>
    </i>
    <i>
      <x v="234"/>
      <x v="196"/>
    </i>
    <i>
      <x v="235"/>
      <x v="223"/>
    </i>
    <i>
      <x v="236"/>
      <x v="180"/>
    </i>
    <i>
      <x v="237"/>
      <x v="255"/>
    </i>
    <i>
      <x v="238"/>
      <x v="138"/>
    </i>
    <i>
      <x v="239"/>
      <x v="266"/>
    </i>
    <i>
      <x v="240"/>
      <x v="132"/>
    </i>
    <i>
      <x v="241"/>
      <x v="207"/>
    </i>
    <i>
      <x v="242"/>
      <x v="109"/>
    </i>
    <i>
      <x v="243"/>
      <x v="199"/>
    </i>
    <i>
      <x v="244"/>
      <x v="136"/>
    </i>
    <i>
      <x v="245"/>
      <x v="212"/>
    </i>
    <i>
      <x v="246"/>
      <x v="139"/>
    </i>
    <i>
      <x v="247"/>
      <x v="148"/>
    </i>
    <i>
      <x v="248"/>
      <x v="114"/>
    </i>
    <i>
      <x v="249"/>
      <x v="106"/>
    </i>
    <i>
      <x v="250"/>
      <x v="120"/>
    </i>
    <i>
      <x v="251"/>
      <x v="115"/>
    </i>
    <i>
      <x v="252"/>
      <x v="256"/>
    </i>
    <i>
      <x v="253"/>
      <x v="143"/>
    </i>
    <i>
      <x v="254"/>
      <x v="107"/>
    </i>
    <i>
      <x v="255"/>
      <x v="239"/>
    </i>
    <i>
      <x v="256"/>
      <x v="240"/>
    </i>
    <i>
      <x v="257"/>
      <x v="245"/>
    </i>
    <i>
      <x v="258"/>
      <x v="229"/>
    </i>
    <i>
      <x v="259"/>
      <x v="230"/>
    </i>
    <i>
      <x v="260"/>
      <x v="190"/>
    </i>
    <i>
      <x v="261"/>
      <x v="191"/>
    </i>
    <i>
      <x v="262"/>
      <x v="192"/>
    </i>
    <i>
      <x v="263"/>
      <x v="238"/>
    </i>
    <i>
      <x v="264"/>
      <x v="236"/>
    </i>
    <i>
      <x v="265"/>
      <x v="247"/>
    </i>
    <i>
      <x v="266"/>
      <x v="149"/>
    </i>
    <i>
      <x v="267"/>
      <x v="156"/>
    </i>
    <i>
      <x v="268"/>
      <x v="118"/>
    </i>
    <i>
      <x v="269"/>
      <x v="116"/>
    </i>
    <i>
      <x v="270"/>
      <x v="112"/>
    </i>
    <i>
      <x v="271"/>
      <x v="208"/>
    </i>
    <i>
      <x v="272"/>
      <x v="206"/>
    </i>
    <i>
      <x v="273"/>
      <x v="210"/>
    </i>
    <i>
      <x v="274"/>
      <x v="200"/>
    </i>
    <i>
      <x v="275"/>
      <x v="194"/>
    </i>
    <i>
      <x v="276"/>
      <x v="193"/>
    </i>
    <i>
      <x v="277"/>
      <x v="195"/>
    </i>
    <i>
      <x v="278"/>
      <x v="147"/>
    </i>
    <i>
      <x v="279"/>
      <x v="131"/>
    </i>
    <i>
      <x v="280"/>
      <x v="15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a di Unità ordinate" fld="4" baseField="0" baseItem="0"/>
    <dataField name="Somma di Ricavi ordini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D7822-87EF-424A-AEBD-13811F41C9D8}" name="Tabella pivot15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41" firstHeaderRow="0" firstDataRow="1" firstDataCol="1" rowPageCount="1" colPageCount="1"/>
  <pivotFields count="35"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Page" multipleItemSelectionAllowed="1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8">
        <item x="35"/>
        <item x="22"/>
        <item x="15"/>
        <item x="23"/>
        <item x="13"/>
        <item x="2"/>
        <item x="24"/>
        <item x="12"/>
        <item x="19"/>
        <item x="8"/>
        <item x="31"/>
        <item x="11"/>
        <item x="5"/>
        <item x="30"/>
        <item x="1"/>
        <item x="0"/>
        <item x="7"/>
        <item x="21"/>
        <item x="28"/>
        <item x="26"/>
        <item x="6"/>
        <item x="33"/>
        <item x="9"/>
        <item x="3"/>
        <item x="36"/>
        <item x="29"/>
        <item x="14"/>
        <item x="17"/>
        <item x="18"/>
        <item x="4"/>
        <item x="34"/>
        <item x="16"/>
        <item x="10"/>
        <item x="20"/>
        <item x="27"/>
        <item x="32"/>
        <item x="25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ma di quantity" fld="14" baseField="0" baseItem="0"/>
    <dataField name="Somma di item-pric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B1D6-D04F-48FE-A382-A23506118A48}" name="Tabella pivot9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J363" firstHeaderRow="0" firstDataRow="1" firstDataCol="2"/>
  <pivotFields count="14">
    <pivotField axis="axisRow" compact="0" outline="0" showAll="0" defaultSubtotal="0">
      <items count="359">
        <item x="0"/>
        <item x="1"/>
        <item x="2"/>
        <item x="281"/>
        <item x="3"/>
        <item x="4"/>
        <item x="282"/>
        <item x="283"/>
        <item x="284"/>
        <item x="285"/>
        <item x="5"/>
        <item x="6"/>
        <item x="286"/>
        <item x="7"/>
        <item x="8"/>
        <item x="9"/>
        <item x="10"/>
        <item x="287"/>
        <item x="288"/>
        <item x="289"/>
        <item x="290"/>
        <item x="11"/>
        <item x="291"/>
        <item x="12"/>
        <item x="13"/>
        <item x="292"/>
        <item x="293"/>
        <item x="14"/>
        <item x="294"/>
        <item x="15"/>
        <item x="16"/>
        <item x="17"/>
        <item x="18"/>
        <item x="19"/>
        <item x="20"/>
        <item x="295"/>
        <item x="21"/>
        <item x="296"/>
        <item x="22"/>
        <item x="23"/>
        <item x="297"/>
        <item x="24"/>
        <item x="298"/>
        <item x="25"/>
        <item x="26"/>
        <item x="299"/>
        <item x="300"/>
        <item x="27"/>
        <item x="28"/>
        <item x="301"/>
        <item x="302"/>
        <item x="303"/>
        <item x="304"/>
        <item x="305"/>
        <item x="29"/>
        <item x="30"/>
        <item x="31"/>
        <item x="32"/>
        <item x="33"/>
        <item x="306"/>
        <item x="34"/>
        <item x="35"/>
        <item x="36"/>
        <item x="37"/>
        <item x="38"/>
        <item x="307"/>
        <item x="308"/>
        <item x="309"/>
        <item x="310"/>
        <item x="39"/>
        <item x="40"/>
        <item x="41"/>
        <item x="42"/>
        <item x="43"/>
        <item x="44"/>
        <item x="45"/>
        <item x="311"/>
        <item x="46"/>
        <item x="47"/>
        <item x="48"/>
        <item x="49"/>
        <item x="50"/>
        <item x="51"/>
        <item x="52"/>
        <item x="312"/>
        <item x="53"/>
        <item x="54"/>
        <item x="313"/>
        <item x="55"/>
        <item x="56"/>
        <item x="314"/>
        <item x="57"/>
        <item x="58"/>
        <item x="59"/>
        <item x="60"/>
        <item x="61"/>
        <item x="315"/>
        <item x="316"/>
        <item x="62"/>
        <item x="63"/>
        <item x="64"/>
        <item x="65"/>
        <item x="66"/>
        <item x="67"/>
        <item x="317"/>
        <item x="68"/>
        <item x="318"/>
        <item x="69"/>
        <item x="319"/>
        <item x="320"/>
        <item x="70"/>
        <item x="71"/>
        <item x="72"/>
        <item x="73"/>
        <item x="74"/>
        <item x="75"/>
        <item x="76"/>
        <item x="321"/>
        <item x="322"/>
        <item x="323"/>
        <item x="77"/>
        <item x="78"/>
        <item x="324"/>
        <item x="79"/>
        <item x="80"/>
        <item x="81"/>
        <item x="82"/>
        <item x="325"/>
        <item x="83"/>
        <item x="326"/>
        <item x="84"/>
        <item x="85"/>
        <item x="327"/>
        <item x="86"/>
        <item x="328"/>
        <item x="87"/>
        <item x="88"/>
        <item x="329"/>
        <item x="330"/>
        <item x="331"/>
        <item x="89"/>
        <item x="90"/>
        <item x="91"/>
        <item x="92"/>
        <item x="93"/>
        <item x="94"/>
        <item x="95"/>
        <item x="332"/>
        <item x="333"/>
        <item x="96"/>
        <item x="97"/>
        <item x="334"/>
        <item x="98"/>
        <item x="335"/>
        <item x="99"/>
        <item x="336"/>
        <item x="100"/>
        <item x="101"/>
        <item x="102"/>
        <item x="103"/>
        <item x="104"/>
        <item x="105"/>
        <item x="106"/>
        <item x="107"/>
        <item x="108"/>
        <item x="109"/>
        <item x="337"/>
        <item x="110"/>
        <item x="338"/>
        <item x="111"/>
        <item x="112"/>
        <item x="113"/>
        <item x="339"/>
        <item x="114"/>
        <item x="115"/>
        <item x="116"/>
        <item x="117"/>
        <item x="118"/>
        <item x="119"/>
        <item x="120"/>
        <item x="121"/>
        <item x="340"/>
        <item x="122"/>
        <item x="123"/>
        <item x="124"/>
        <item x="125"/>
        <item x="126"/>
        <item x="127"/>
        <item x="128"/>
        <item x="341"/>
        <item x="129"/>
        <item x="130"/>
        <item x="131"/>
        <item x="132"/>
        <item x="342"/>
        <item x="133"/>
        <item x="134"/>
        <item x="343"/>
        <item x="135"/>
        <item x="136"/>
        <item x="344"/>
        <item x="345"/>
        <item x="137"/>
        <item x="138"/>
        <item x="34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347"/>
        <item x="348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349"/>
        <item x="187"/>
        <item x="188"/>
        <item x="189"/>
        <item x="190"/>
        <item x="191"/>
        <item x="35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351"/>
        <item x="204"/>
        <item x="205"/>
        <item x="206"/>
        <item x="207"/>
        <item x="208"/>
        <item x="209"/>
        <item x="210"/>
        <item x="352"/>
        <item x="211"/>
        <item x="212"/>
        <item x="213"/>
        <item x="353"/>
        <item x="214"/>
        <item x="215"/>
        <item x="216"/>
        <item x="354"/>
        <item x="35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356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357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58"/>
      </items>
    </pivotField>
    <pivotField axis="axisRow" compact="0" outline="0" showAll="0" defaultSubtotal="0">
      <items count="358">
        <item x="334"/>
        <item x="130"/>
        <item x="5"/>
        <item x="78"/>
        <item x="284"/>
        <item x="7"/>
        <item x="8"/>
        <item x="32"/>
        <item x="62"/>
        <item x="129"/>
        <item x="95"/>
        <item x="83"/>
        <item x="70"/>
        <item x="112"/>
        <item x="30"/>
        <item x="71"/>
        <item x="325"/>
        <item x="109"/>
        <item x="96"/>
        <item x="40"/>
        <item x="47"/>
        <item x="294"/>
        <item x="82"/>
        <item x="292"/>
        <item x="2"/>
        <item x="54"/>
        <item x="312"/>
        <item x="331"/>
        <item x="332"/>
        <item x="300"/>
        <item x="55"/>
        <item x="31"/>
        <item x="286"/>
        <item x="12"/>
        <item x="308"/>
        <item x="283"/>
        <item x="289"/>
        <item x="287"/>
        <item x="0"/>
        <item x="280"/>
        <item x="285"/>
        <item x="290"/>
        <item x="11"/>
        <item x="1"/>
        <item x="33"/>
        <item x="64"/>
        <item x="108"/>
        <item x="85"/>
        <item x="27"/>
        <item x="63"/>
        <item x="305"/>
        <item x="316"/>
        <item x="103"/>
        <item x="56"/>
        <item x="319"/>
        <item x="93"/>
        <item x="146"/>
        <item x="26"/>
        <item x="303"/>
        <item x="29"/>
        <item x="4"/>
        <item x="306"/>
        <item x="10"/>
        <item x="304"/>
        <item x="34"/>
        <item x="281"/>
        <item x="293"/>
        <item x="291"/>
        <item x="35"/>
        <item x="25"/>
        <item x="9"/>
        <item x="288"/>
        <item x="13"/>
        <item x="18"/>
        <item x="19"/>
        <item x="298"/>
        <item x="20"/>
        <item x="36"/>
        <item x="37"/>
        <item x="39"/>
        <item x="309"/>
        <item x="14"/>
        <item x="22"/>
        <item x="218"/>
        <item x="60"/>
        <item x="311"/>
        <item x="327"/>
        <item x="125"/>
        <item x="50"/>
        <item x="324"/>
        <item x="97"/>
        <item x="100"/>
        <item x="52"/>
        <item x="41"/>
        <item x="53"/>
        <item x="81"/>
        <item x="339"/>
        <item x="315"/>
        <item x="43"/>
        <item x="44"/>
        <item x="333"/>
        <item x="340"/>
        <item x="66"/>
        <item x="111"/>
        <item x="330"/>
        <item x="65"/>
        <item x="107"/>
        <item x="313"/>
        <item x="80"/>
        <item x="102"/>
        <item x="106"/>
        <item x="58"/>
        <item x="67"/>
        <item x="84"/>
        <item x="336"/>
        <item x="74"/>
        <item x="91"/>
        <item x="73"/>
        <item x="88"/>
        <item x="110"/>
        <item x="321"/>
        <item x="104"/>
        <item x="69"/>
        <item x="310"/>
        <item x="99"/>
        <item x="87"/>
        <item x="328"/>
        <item x="89"/>
        <item x="90"/>
        <item x="49"/>
        <item x="121"/>
        <item x="92"/>
        <item x="119"/>
        <item x="157"/>
        <item x="77"/>
        <item x="307"/>
        <item x="72"/>
        <item x="59"/>
        <item x="320"/>
        <item x="79"/>
        <item x="323"/>
        <item x="45"/>
        <item x="48"/>
        <item x="322"/>
        <item x="76"/>
        <item x="46"/>
        <item x="75"/>
        <item x="337"/>
        <item x="114"/>
        <item x="116"/>
        <item x="115"/>
        <item x="117"/>
        <item x="156"/>
        <item x="248"/>
        <item x="253"/>
        <item x="228"/>
        <item x="241"/>
        <item x="169"/>
        <item x="190"/>
        <item x="269"/>
        <item x="347"/>
        <item x="155"/>
        <item x="247"/>
        <item x="250"/>
        <item x="268"/>
        <item x="134"/>
        <item x="267"/>
        <item x="191"/>
        <item x="249"/>
        <item x="221"/>
        <item x="51"/>
        <item x="329"/>
        <item x="354"/>
        <item x="6"/>
        <item x="3"/>
        <item x="295"/>
        <item x="21"/>
        <item x="23"/>
        <item x="326"/>
        <item x="296"/>
        <item x="24"/>
        <item x="105"/>
        <item x="94"/>
        <item x="192"/>
        <item x="278"/>
        <item x="239"/>
        <item x="135"/>
        <item x="202"/>
        <item x="229"/>
        <item x="243"/>
        <item x="144"/>
        <item x="237"/>
        <item x="245"/>
        <item x="222"/>
        <item x="145"/>
        <item x="206"/>
        <item x="252"/>
        <item x="143"/>
        <item x="159"/>
        <item x="353"/>
        <item x="179"/>
        <item x="277"/>
        <item x="246"/>
        <item x="265"/>
        <item x="199"/>
        <item x="136"/>
        <item x="173"/>
        <item x="279"/>
        <item x="163"/>
        <item x="343"/>
        <item x="217"/>
        <item x="266"/>
        <item x="349"/>
        <item x="207"/>
        <item x="216"/>
        <item x="188"/>
        <item x="189"/>
        <item x="231"/>
        <item x="166"/>
        <item x="137"/>
        <item x="227"/>
        <item x="142"/>
        <item x="203"/>
        <item x="167"/>
        <item x="205"/>
        <item x="204"/>
        <item x="230"/>
        <item x="198"/>
        <item x="171"/>
        <item x="226"/>
        <item x="158"/>
        <item x="194"/>
        <item x="140"/>
        <item x="200"/>
        <item x="168"/>
        <item x="215"/>
        <item x="235"/>
        <item x="139"/>
        <item x="210"/>
        <item x="138"/>
        <item x="148"/>
        <item x="154"/>
        <item x="147"/>
        <item x="350"/>
        <item x="195"/>
        <item x="225"/>
        <item x="224"/>
        <item x="259"/>
        <item x="260"/>
        <item x="261"/>
        <item x="275"/>
        <item x="274"/>
        <item x="276"/>
        <item x="233"/>
        <item x="232"/>
        <item x="178"/>
        <item x="242"/>
        <item x="273"/>
        <item x="153"/>
        <item x="160"/>
        <item x="161"/>
        <item x="162"/>
        <item x="196"/>
        <item x="271"/>
        <item x="240"/>
        <item x="270"/>
        <item x="211"/>
        <item x="272"/>
        <item x="212"/>
        <item x="352"/>
        <item x="244"/>
        <item x="152"/>
        <item x="214"/>
        <item x="174"/>
        <item x="348"/>
        <item x="345"/>
        <item x="187"/>
        <item x="209"/>
        <item x="219"/>
        <item x="150"/>
        <item x="151"/>
        <item x="149"/>
        <item x="186"/>
        <item x="234"/>
        <item x="197"/>
        <item x="126"/>
        <item x="131"/>
        <item x="133"/>
        <item x="176"/>
        <item x="257"/>
        <item x="258"/>
        <item x="342"/>
        <item x="123"/>
        <item x="220"/>
        <item x="128"/>
        <item x="118"/>
        <item x="122"/>
        <item x="263"/>
        <item x="184"/>
        <item x="262"/>
        <item x="254"/>
        <item x="255"/>
        <item x="175"/>
        <item x="341"/>
        <item x="132"/>
        <item x="183"/>
        <item x="185"/>
        <item x="256"/>
        <item x="182"/>
        <item x="264"/>
        <item x="141"/>
        <item x="208"/>
        <item x="213"/>
        <item x="164"/>
        <item x="351"/>
        <item x="223"/>
        <item x="165"/>
        <item x="177"/>
        <item x="355"/>
        <item x="236"/>
        <item x="251"/>
        <item x="170"/>
        <item x="180"/>
        <item x="172"/>
        <item x="193"/>
        <item x="181"/>
        <item x="15"/>
        <item x="16"/>
        <item x="17"/>
        <item x="28"/>
        <item x="299"/>
        <item x="301"/>
        <item x="302"/>
        <item x="238"/>
        <item x="356"/>
        <item x="297"/>
        <item x="201"/>
        <item x="127"/>
        <item x="124"/>
        <item x="120"/>
        <item x="346"/>
        <item x="335"/>
        <item x="68"/>
        <item x="317"/>
        <item x="101"/>
        <item x="42"/>
        <item x="338"/>
        <item x="282"/>
        <item x="98"/>
        <item x="318"/>
        <item x="357"/>
        <item x="38"/>
        <item x="61"/>
        <item x="314"/>
        <item x="86"/>
        <item x="57"/>
        <item x="113"/>
        <item x="344"/>
      </items>
    </pivotField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numFmtId="164" outline="0" showAll="0" defaultSubtotal="0"/>
    <pivotField compact="0" outline="0" showAll="0" defaultSubtotal="0"/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</pivotFields>
  <rowFields count="2">
    <field x="0"/>
    <field x="1"/>
  </rowFields>
  <rowItems count="360">
    <i>
      <x/>
      <x v="38"/>
    </i>
    <i>
      <x v="1"/>
      <x v="43"/>
    </i>
    <i>
      <x v="2"/>
      <x v="24"/>
    </i>
    <i>
      <x v="3"/>
      <x v="39"/>
    </i>
    <i>
      <x v="4"/>
      <x v="174"/>
    </i>
    <i>
      <x v="5"/>
      <x v="60"/>
    </i>
    <i>
      <x v="6"/>
      <x v="65"/>
    </i>
    <i>
      <x v="7"/>
      <x v="347"/>
    </i>
    <i>
      <x v="8"/>
      <x v="35"/>
    </i>
    <i>
      <x v="9"/>
      <x v="4"/>
    </i>
    <i>
      <x v="10"/>
      <x v="2"/>
    </i>
    <i>
      <x v="11"/>
      <x v="173"/>
    </i>
    <i>
      <x v="12"/>
      <x v="40"/>
    </i>
    <i>
      <x v="13"/>
      <x v="5"/>
    </i>
    <i>
      <x v="14"/>
      <x v="6"/>
    </i>
    <i>
      <x v="15"/>
      <x v="70"/>
    </i>
    <i>
      <x v="16"/>
      <x v="62"/>
    </i>
    <i>
      <x v="17"/>
      <x v="32"/>
    </i>
    <i>
      <x v="18"/>
      <x v="37"/>
    </i>
    <i>
      <x v="19"/>
      <x v="71"/>
    </i>
    <i>
      <x v="20"/>
      <x v="36"/>
    </i>
    <i>
      <x v="21"/>
      <x v="42"/>
    </i>
    <i>
      <x v="22"/>
      <x v="41"/>
    </i>
    <i>
      <x v="23"/>
      <x v="33"/>
    </i>
    <i>
      <x v="24"/>
      <x v="72"/>
    </i>
    <i>
      <x v="25"/>
      <x v="67"/>
    </i>
    <i>
      <x v="26"/>
      <x v="23"/>
    </i>
    <i>
      <x v="27"/>
      <x v="81"/>
    </i>
    <i>
      <x v="28"/>
      <x v="66"/>
    </i>
    <i>
      <x v="29"/>
      <x v="326"/>
    </i>
    <i>
      <x v="30"/>
      <x v="327"/>
    </i>
    <i>
      <x v="31"/>
      <x v="328"/>
    </i>
    <i>
      <x v="32"/>
      <x v="73"/>
    </i>
    <i>
      <x v="33"/>
      <x v="74"/>
    </i>
    <i>
      <x v="34"/>
      <x v="76"/>
    </i>
    <i>
      <x v="35"/>
      <x v="21"/>
    </i>
    <i>
      <x v="36"/>
      <x v="176"/>
    </i>
    <i>
      <x v="37"/>
      <x v="175"/>
    </i>
    <i>
      <x v="38"/>
      <x v="82"/>
    </i>
    <i>
      <x v="39"/>
      <x v="177"/>
    </i>
    <i>
      <x v="40"/>
      <x v="179"/>
    </i>
    <i>
      <x v="41"/>
      <x v="180"/>
    </i>
    <i>
      <x v="42"/>
      <x v="335"/>
    </i>
    <i>
      <x v="43"/>
      <x v="69"/>
    </i>
    <i>
      <x v="44"/>
      <x v="57"/>
    </i>
    <i>
      <x v="45"/>
      <x v="75"/>
    </i>
    <i>
      <x v="46"/>
      <x v="330"/>
    </i>
    <i>
      <x v="47"/>
      <x v="48"/>
    </i>
    <i>
      <x v="48"/>
      <x v="329"/>
    </i>
    <i>
      <x v="49"/>
      <x v="29"/>
    </i>
    <i>
      <x v="50"/>
      <x v="331"/>
    </i>
    <i>
      <x v="51"/>
      <x v="332"/>
    </i>
    <i>
      <x v="52"/>
      <x v="58"/>
    </i>
    <i>
      <x v="53"/>
      <x v="63"/>
    </i>
    <i>
      <x v="54"/>
      <x v="59"/>
    </i>
    <i>
      <x v="55"/>
      <x v="14"/>
    </i>
    <i>
      <x v="56"/>
      <x v="31"/>
    </i>
    <i>
      <x v="57"/>
      <x v="7"/>
    </i>
    <i>
      <x v="58"/>
      <x v="44"/>
    </i>
    <i>
      <x v="59"/>
      <x v="50"/>
    </i>
    <i>
      <x v="60"/>
      <x v="64"/>
    </i>
    <i>
      <x v="61"/>
      <x v="68"/>
    </i>
    <i>
      <x v="62"/>
      <x v="77"/>
    </i>
    <i>
      <x v="63"/>
      <x v="78"/>
    </i>
    <i>
      <x v="64"/>
      <x v="351"/>
    </i>
    <i>
      <x v="65"/>
      <x v="61"/>
    </i>
    <i>
      <x v="66"/>
      <x v="135"/>
    </i>
    <i>
      <x v="67"/>
      <x v="34"/>
    </i>
    <i>
      <x v="68"/>
      <x v="80"/>
    </i>
    <i>
      <x v="69"/>
      <x v="79"/>
    </i>
    <i>
      <x v="70"/>
      <x v="19"/>
    </i>
    <i>
      <x v="71"/>
      <x v="93"/>
    </i>
    <i>
      <x v="72"/>
      <x v="345"/>
    </i>
    <i>
      <x v="73"/>
      <x v="98"/>
    </i>
    <i>
      <x v="74"/>
      <x v="99"/>
    </i>
    <i>
      <x v="75"/>
      <x v="141"/>
    </i>
    <i>
      <x v="76"/>
      <x v="123"/>
    </i>
    <i>
      <x v="77"/>
      <x v="145"/>
    </i>
    <i>
      <x v="78"/>
      <x v="20"/>
    </i>
    <i>
      <x v="79"/>
      <x v="142"/>
    </i>
    <i>
      <x v="80"/>
      <x v="129"/>
    </i>
    <i>
      <x v="81"/>
      <x v="88"/>
    </i>
    <i>
      <x v="82"/>
      <x v="170"/>
    </i>
    <i>
      <x v="83"/>
      <x v="92"/>
    </i>
    <i>
      <x v="84"/>
      <x v="85"/>
    </i>
    <i>
      <x v="85"/>
      <x v="94"/>
    </i>
    <i>
      <x v="86"/>
      <x v="25"/>
    </i>
    <i>
      <x v="87"/>
      <x v="26"/>
    </i>
    <i>
      <x v="88"/>
      <x v="30"/>
    </i>
    <i>
      <x v="89"/>
      <x v="53"/>
    </i>
    <i>
      <x v="90"/>
      <x v="107"/>
    </i>
    <i>
      <x v="91"/>
      <x v="355"/>
    </i>
    <i>
      <x v="92"/>
      <x v="111"/>
    </i>
    <i>
      <x v="93"/>
      <x v="137"/>
    </i>
    <i>
      <x v="94"/>
      <x v="84"/>
    </i>
    <i>
      <x v="95"/>
      <x v="352"/>
    </i>
    <i>
      <x v="96"/>
      <x v="353"/>
    </i>
    <i>
      <x v="97"/>
      <x v="97"/>
    </i>
    <i>
      <x v="98"/>
      <x v="8"/>
    </i>
    <i>
      <x v="99"/>
      <x v="49"/>
    </i>
    <i>
      <x v="100"/>
      <x v="45"/>
    </i>
    <i>
      <x v="101"/>
      <x v="105"/>
    </i>
    <i>
      <x v="102"/>
      <x v="102"/>
    </i>
    <i>
      <x v="103"/>
      <x v="112"/>
    </i>
    <i>
      <x v="104"/>
      <x v="51"/>
    </i>
    <i>
      <x v="105"/>
      <x v="342"/>
    </i>
    <i>
      <x v="106"/>
      <x v="343"/>
    </i>
    <i>
      <x v="107"/>
      <x v="122"/>
    </i>
    <i>
      <x v="108"/>
      <x v="349"/>
    </i>
    <i>
      <x v="109"/>
      <x v="54"/>
    </i>
    <i>
      <x v="110"/>
      <x v="12"/>
    </i>
    <i>
      <x v="111"/>
      <x v="15"/>
    </i>
    <i>
      <x v="112"/>
      <x v="12"/>
    </i>
    <i>
      <x v="113"/>
      <x v="136"/>
    </i>
    <i>
      <x v="114"/>
      <x v="117"/>
    </i>
    <i>
      <x v="115"/>
      <x v="115"/>
    </i>
    <i>
      <x v="116"/>
      <x v="146"/>
    </i>
    <i>
      <x v="117"/>
      <x v="138"/>
    </i>
    <i>
      <x v="118"/>
      <x v="120"/>
    </i>
    <i>
      <x v="119"/>
      <x v="143"/>
    </i>
    <i>
      <x v="120"/>
      <x v="144"/>
    </i>
    <i>
      <x v="121"/>
      <x v="134"/>
    </i>
    <i>
      <x v="122"/>
      <x v="140"/>
    </i>
    <i>
      <x v="123"/>
      <x v="3"/>
    </i>
    <i>
      <x v="124"/>
      <x v="139"/>
    </i>
    <i>
      <x v="125"/>
      <x v="108"/>
    </i>
    <i>
      <x v="126"/>
      <x v="95"/>
    </i>
    <i>
      <x v="127"/>
      <x v="89"/>
    </i>
    <i>
      <x v="128"/>
      <x v="22"/>
    </i>
    <i>
      <x v="129"/>
      <x v="16"/>
    </i>
    <i>
      <x v="130"/>
      <x v="11"/>
    </i>
    <i>
      <x v="131"/>
      <x v="113"/>
    </i>
    <i>
      <x v="132"/>
      <x v="178"/>
    </i>
    <i>
      <x v="133"/>
      <x v="47"/>
    </i>
    <i>
      <x v="134"/>
      <x v="86"/>
    </i>
    <i>
      <x v="135"/>
      <x v="354"/>
    </i>
    <i>
      <x v="136"/>
      <x v="125"/>
    </i>
    <i>
      <x v="137"/>
      <x v="126"/>
    </i>
    <i>
      <x v="138"/>
      <x v="171"/>
    </i>
    <i>
      <x v="139"/>
      <x v="104"/>
    </i>
    <i>
      <x v="140"/>
      <x v="118"/>
    </i>
    <i>
      <x v="141"/>
      <x v="127"/>
    </i>
    <i>
      <x v="142"/>
      <x v="128"/>
    </i>
    <i>
      <x v="143"/>
      <x v="116"/>
    </i>
    <i>
      <x v="144"/>
      <x v="131"/>
    </i>
    <i>
      <x v="145"/>
      <x v="55"/>
    </i>
    <i>
      <x v="146"/>
      <x v="182"/>
    </i>
    <i>
      <x v="147"/>
      <x v="27"/>
    </i>
    <i>
      <x v="148"/>
      <x v="28"/>
    </i>
    <i>
      <x v="149"/>
      <x v="10"/>
    </i>
    <i>
      <x v="150"/>
      <x v="18"/>
    </i>
    <i>
      <x v="151"/>
      <x v="100"/>
    </i>
    <i>
      <x v="152"/>
      <x v="90"/>
    </i>
    <i>
      <x v="153"/>
      <x/>
    </i>
    <i>
      <x v="154"/>
      <x v="348"/>
    </i>
    <i>
      <x v="155"/>
      <x v="341"/>
    </i>
    <i>
      <x v="156"/>
      <x v="124"/>
    </i>
    <i>
      <x v="157"/>
      <x v="91"/>
    </i>
    <i>
      <x v="158"/>
      <x v="344"/>
    </i>
    <i>
      <x v="159"/>
      <x v="109"/>
    </i>
    <i>
      <x v="160"/>
      <x v="52"/>
    </i>
    <i>
      <x v="161"/>
      <x v="121"/>
    </i>
    <i>
      <x v="162"/>
      <x v="181"/>
    </i>
    <i>
      <x v="163"/>
      <x v="110"/>
    </i>
    <i>
      <x v="164"/>
      <x v="106"/>
    </i>
    <i>
      <x v="165"/>
      <x v="46"/>
    </i>
    <i>
      <x v="166"/>
      <x v="114"/>
    </i>
    <i>
      <x v="167"/>
      <x v="17"/>
    </i>
    <i>
      <x v="168"/>
      <x v="147"/>
    </i>
    <i>
      <x v="169"/>
      <x v="119"/>
    </i>
    <i>
      <x v="170"/>
      <x v="103"/>
    </i>
    <i>
      <x v="171"/>
      <x v="13"/>
    </i>
    <i>
      <x v="172"/>
      <x v="346"/>
    </i>
    <i>
      <x v="173"/>
      <x v="356"/>
    </i>
    <i>
      <x v="174"/>
      <x v="148"/>
    </i>
    <i>
      <x v="175"/>
      <x v="150"/>
    </i>
    <i>
      <x v="176"/>
      <x v="149"/>
    </i>
    <i>
      <x v="177"/>
      <x v="151"/>
    </i>
    <i>
      <x v="178"/>
      <x v="295"/>
    </i>
    <i>
      <x v="179"/>
      <x v="132"/>
    </i>
    <i>
      <x v="180"/>
      <x v="339"/>
    </i>
    <i>
      <x v="181"/>
      <x v="96"/>
    </i>
    <i>
      <x v="182"/>
      <x v="130"/>
    </i>
    <i>
      <x v="183"/>
      <x v="296"/>
    </i>
    <i>
      <x v="184"/>
      <x v="292"/>
    </i>
    <i>
      <x v="185"/>
      <x v="338"/>
    </i>
    <i>
      <x v="186"/>
      <x v="87"/>
    </i>
    <i>
      <x v="187"/>
      <x v="285"/>
    </i>
    <i>
      <x v="188"/>
      <x v="337"/>
    </i>
    <i>
      <x v="189"/>
      <x v="101"/>
    </i>
    <i>
      <x v="190"/>
      <x v="294"/>
    </i>
    <i>
      <x v="191"/>
      <x v="9"/>
    </i>
    <i>
      <x v="192"/>
      <x v="1"/>
    </i>
    <i>
      <x v="193"/>
      <x v="286"/>
    </i>
    <i>
      <x v="194"/>
      <x v="303"/>
    </i>
    <i>
      <x v="195"/>
      <x v="304"/>
    </i>
    <i>
      <x v="196"/>
      <x v="287"/>
    </i>
    <i>
      <x v="197"/>
      <x v="291"/>
    </i>
    <i>
      <x v="198"/>
      <x v="165"/>
    </i>
    <i>
      <x v="199"/>
      <x v="186"/>
    </i>
    <i>
      <x v="200"/>
      <x v="209"/>
    </i>
    <i>
      <x v="201"/>
      <x v="357"/>
    </i>
    <i>
      <x v="202"/>
      <x v="205"/>
    </i>
    <i>
      <x v="203"/>
      <x v="219"/>
    </i>
    <i>
      <x v="204"/>
      <x v="275"/>
    </i>
    <i>
      <x v="205"/>
      <x v="239"/>
    </i>
    <i>
      <x v="206"/>
      <x v="237"/>
    </i>
    <i>
      <x v="207"/>
      <x v="232"/>
    </i>
    <i>
      <x v="208"/>
      <x v="310"/>
    </i>
    <i>
      <x v="209"/>
      <x v="221"/>
    </i>
    <i>
      <x v="210"/>
      <x v="197"/>
    </i>
    <i>
      <x v="211"/>
      <x v="190"/>
    </i>
    <i>
      <x v="212"/>
      <x v="194"/>
    </i>
    <i>
      <x v="213"/>
      <x v="56"/>
    </i>
    <i>
      <x v="214"/>
      <x v="242"/>
    </i>
    <i>
      <x v="215"/>
      <x v="240"/>
    </i>
    <i>
      <x v="216"/>
      <x v="281"/>
    </i>
    <i>
      <x v="217"/>
      <x v="279"/>
    </i>
    <i>
      <x v="218"/>
      <x v="280"/>
    </i>
    <i>
      <x v="219"/>
      <x v="271"/>
    </i>
    <i>
      <x v="220"/>
      <x v="258"/>
    </i>
    <i>
      <x v="221"/>
      <x v="241"/>
    </i>
    <i>
      <x v="222"/>
      <x v="340"/>
    </i>
    <i>
      <x v="223"/>
      <x v="160"/>
    </i>
    <i>
      <x v="224"/>
      <x v="161"/>
    </i>
    <i>
      <x v="225"/>
      <x v="152"/>
    </i>
    <i>
      <x v="226"/>
      <x v="133"/>
    </i>
    <i>
      <x v="227"/>
      <x v="230"/>
    </i>
    <i>
      <x v="228"/>
      <x v="198"/>
    </i>
    <i>
      <x v="229"/>
      <x v="259"/>
    </i>
    <i>
      <x v="230"/>
      <x v="260"/>
    </i>
    <i>
      <x v="231"/>
      <x v="261"/>
    </i>
    <i>
      <x v="232"/>
      <x v="208"/>
    </i>
    <i>
      <x v="233"/>
      <x v="313"/>
    </i>
    <i>
      <x v="234"/>
      <x v="316"/>
    </i>
    <i>
      <x v="235"/>
      <x v="218"/>
    </i>
    <i>
      <x v="236"/>
      <x v="223"/>
    </i>
    <i>
      <x v="237"/>
      <x v="234"/>
    </i>
    <i>
      <x v="238"/>
      <x v="157"/>
    </i>
    <i>
      <x v="239"/>
      <x v="321"/>
    </i>
    <i>
      <x v="240"/>
      <x v="228"/>
    </i>
    <i>
      <x v="241"/>
      <x v="323"/>
    </i>
    <i>
      <x v="242"/>
      <x v="206"/>
    </i>
    <i>
      <x v="243"/>
      <x v="273"/>
    </i>
    <i>
      <x v="244"/>
      <x v="302"/>
    </i>
    <i>
      <x v="245"/>
      <x v="288"/>
    </i>
    <i>
      <x v="246"/>
      <x v="317"/>
    </i>
    <i>
      <x v="247"/>
      <x v="255"/>
    </i>
    <i>
      <x v="248"/>
      <x v="200"/>
    </i>
    <i>
      <x v="249"/>
      <x v="322"/>
    </i>
    <i>
      <x v="250"/>
      <x v="325"/>
    </i>
    <i>
      <x v="251"/>
      <x v="308"/>
    </i>
    <i>
      <x v="252"/>
      <x v="305"/>
    </i>
    <i>
      <x v="253"/>
      <x v="298"/>
    </i>
    <i>
      <x v="254"/>
      <x v="306"/>
    </i>
    <i>
      <x v="255"/>
      <x v="274"/>
    </i>
    <i>
      <x v="256"/>
      <x v="282"/>
    </i>
    <i>
      <x v="257"/>
      <x v="276"/>
    </i>
    <i>
      <x v="258"/>
      <x v="215"/>
    </i>
    <i>
      <x v="259"/>
      <x v="216"/>
    </i>
    <i>
      <x v="260"/>
      <x v="158"/>
    </i>
    <i>
      <x v="261"/>
      <x v="212"/>
    </i>
    <i>
      <x v="262"/>
      <x v="167"/>
    </i>
    <i>
      <x v="263"/>
      <x v="183"/>
    </i>
    <i>
      <x v="264"/>
      <x v="324"/>
    </i>
    <i>
      <x v="265"/>
      <x v="231"/>
    </i>
    <i>
      <x v="266"/>
      <x v="244"/>
    </i>
    <i>
      <x v="267"/>
      <x v="262"/>
    </i>
    <i>
      <x v="268"/>
      <x v="284"/>
    </i>
    <i>
      <x v="269"/>
      <x v="227"/>
    </i>
    <i>
      <x v="270"/>
      <x v="204"/>
    </i>
    <i>
      <x v="271"/>
      <x v="233"/>
    </i>
    <i>
      <x v="272"/>
      <x v="336"/>
    </i>
    <i>
      <x v="273"/>
      <x v="187"/>
    </i>
    <i>
      <x v="274"/>
      <x v="243"/>
    </i>
    <i>
      <x v="275"/>
      <x v="222"/>
    </i>
    <i>
      <x v="276"/>
      <x v="225"/>
    </i>
    <i>
      <x v="277"/>
      <x v="224"/>
    </i>
    <i>
      <x v="278"/>
      <x v="195"/>
    </i>
    <i>
      <x v="279"/>
      <x v="213"/>
    </i>
    <i>
      <x v="280"/>
      <x v="311"/>
    </i>
    <i>
      <x v="281"/>
      <x v="277"/>
    </i>
    <i>
      <x v="282"/>
      <x v="314"/>
    </i>
    <i>
      <x v="283"/>
      <x v="238"/>
    </i>
    <i>
      <x v="284"/>
      <x v="266"/>
    </i>
    <i>
      <x v="285"/>
      <x v="268"/>
    </i>
    <i>
      <x v="286"/>
      <x v="269"/>
    </i>
    <i>
      <x v="287"/>
      <x v="312"/>
    </i>
    <i>
      <x v="288"/>
      <x v="272"/>
    </i>
    <i>
      <x v="289"/>
      <x v="235"/>
    </i>
    <i>
      <x v="290"/>
      <x v="199"/>
    </i>
    <i>
      <x v="291"/>
      <x v="172"/>
    </i>
    <i>
      <x v="292"/>
      <x v="214"/>
    </i>
    <i>
      <x v="293"/>
      <x v="210"/>
    </i>
    <i>
      <x v="294"/>
      <x v="83"/>
    </i>
    <i>
      <x v="295"/>
      <x v="278"/>
    </i>
    <i>
      <x v="296"/>
      <x v="293"/>
    </i>
    <i>
      <x v="297"/>
      <x v="169"/>
    </i>
    <i>
      <x v="298"/>
      <x v="193"/>
    </i>
    <i>
      <x v="299"/>
      <x v="315"/>
    </i>
    <i>
      <x v="300"/>
      <x v="246"/>
    </i>
    <i>
      <x v="301"/>
      <x v="245"/>
    </i>
    <i>
      <x v="302"/>
      <x v="229"/>
    </i>
    <i>
      <x v="303"/>
      <x v="220"/>
    </i>
    <i>
      <x v="304"/>
      <x v="155"/>
    </i>
    <i>
      <x v="305"/>
      <x v="188"/>
    </i>
    <i>
      <x v="306"/>
      <x v="226"/>
    </i>
    <i>
      <x v="307"/>
      <x v="318"/>
    </i>
    <i>
      <x v="308"/>
      <x v="217"/>
    </i>
    <i>
      <x v="309"/>
      <x v="254"/>
    </i>
    <i>
      <x v="310"/>
      <x v="253"/>
    </i>
    <i>
      <x v="311"/>
      <x v="283"/>
    </i>
    <i>
      <x v="312"/>
      <x v="236"/>
    </i>
    <i>
      <x v="313"/>
      <x v="319"/>
    </i>
    <i>
      <x v="314"/>
      <x v="191"/>
    </i>
    <i>
      <x v="315"/>
      <x v="333"/>
    </i>
    <i>
      <x v="316"/>
      <x v="185"/>
    </i>
    <i>
      <x v="317"/>
      <x v="264"/>
    </i>
    <i>
      <x v="318"/>
      <x v="156"/>
    </i>
    <i>
      <x v="319"/>
      <x v="256"/>
    </i>
    <i>
      <x v="320"/>
      <x v="189"/>
    </i>
    <i>
      <x v="321"/>
      <x v="270"/>
    </i>
    <i>
      <x v="322"/>
      <x v="192"/>
    </i>
    <i>
      <x v="323"/>
      <x v="202"/>
    </i>
    <i>
      <x v="324"/>
      <x v="162"/>
    </i>
    <i>
      <x v="325"/>
      <x v="153"/>
    </i>
    <i>
      <x v="326"/>
      <x v="168"/>
    </i>
    <i>
      <x v="327"/>
      <x v="163"/>
    </i>
    <i>
      <x v="328"/>
      <x v="320"/>
    </i>
    <i>
      <x v="329"/>
      <x v="196"/>
    </i>
    <i>
      <x v="330"/>
      <x v="334"/>
    </i>
    <i>
      <x v="331"/>
      <x v="154"/>
    </i>
    <i>
      <x v="332"/>
      <x v="300"/>
    </i>
    <i>
      <x v="333"/>
      <x v="301"/>
    </i>
    <i>
      <x v="334"/>
      <x v="307"/>
    </i>
    <i>
      <x v="335"/>
      <x v="289"/>
    </i>
    <i>
      <x v="336"/>
      <x v="290"/>
    </i>
    <i>
      <x v="337"/>
      <x v="247"/>
    </i>
    <i>
      <x v="338"/>
      <x v="248"/>
    </i>
    <i>
      <x v="339"/>
      <x v="249"/>
    </i>
    <i>
      <x v="340"/>
      <x v="299"/>
    </i>
    <i>
      <x v="341"/>
      <x v="297"/>
    </i>
    <i>
      <x v="342"/>
      <x v="309"/>
    </i>
    <i>
      <x v="343"/>
      <x v="203"/>
    </i>
    <i>
      <x v="344"/>
      <x v="211"/>
    </i>
    <i>
      <x v="345"/>
      <x v="166"/>
    </i>
    <i>
      <x v="346"/>
      <x v="164"/>
    </i>
    <i>
      <x v="347"/>
      <x v="159"/>
    </i>
    <i>
      <x v="348"/>
      <x v="265"/>
    </i>
    <i>
      <x v="349"/>
      <x v="263"/>
    </i>
    <i>
      <x v="350"/>
      <x v="267"/>
    </i>
    <i>
      <x v="351"/>
      <x v="257"/>
    </i>
    <i>
      <x v="352"/>
      <x v="251"/>
    </i>
    <i>
      <x v="353"/>
      <x v="250"/>
    </i>
    <i>
      <x v="354"/>
      <x v="252"/>
    </i>
    <i>
      <x v="355"/>
      <x v="201"/>
    </i>
    <i>
      <x v="356"/>
      <x v="184"/>
    </i>
    <i>
      <x v="357"/>
      <x v="207"/>
    </i>
    <i>
      <x v="358"/>
      <x v="35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ma di Ordini Vendor 24" fld="2" baseField="0" baseItem="0"/>
    <dataField name="Somma di Valori ordini Vendor 24" fld="3" baseField="0" baseItem="0"/>
    <dataField name="Somma di Ordini Seller 24" fld="4" baseField="0" baseItem="0"/>
    <dataField name="Somma di Valori ordini Seller 24" fld="5" baseField="0" baseItem="0"/>
    <dataField name="Somma di Ordini Complessivi 24" fld="7" baseField="0" baseItem="0"/>
    <dataField name="Somma di Valori ordini Complessivi 24" fld="8" baseField="0" baseItem="0"/>
    <dataField name="Somma di Ordini Vendor 23" fld="9" baseField="0" baseItem="0"/>
    <dataField name="Somma di Valori ordini Vendor 23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2"/>
  <sheetViews>
    <sheetView workbookViewId="0"/>
  </sheetViews>
  <sheetFormatPr defaultRowHeight="15" x14ac:dyDescent="0.25"/>
  <cols>
    <col min="1" max="9" width="31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36493.17</v>
      </c>
      <c r="E2" s="2">
        <v>2989</v>
      </c>
      <c r="F2" s="1">
        <v>36359.699999999997</v>
      </c>
      <c r="G2" s="1">
        <v>20059.05</v>
      </c>
      <c r="H2" s="2">
        <v>2978</v>
      </c>
      <c r="I2" s="2">
        <v>27</v>
      </c>
    </row>
    <row r="3" spans="1:9" x14ac:dyDescent="0.25">
      <c r="A3" t="s">
        <v>12</v>
      </c>
      <c r="B3" t="s">
        <v>13</v>
      </c>
      <c r="C3" t="s">
        <v>11</v>
      </c>
      <c r="D3" s="1">
        <v>34319.58</v>
      </c>
      <c r="E3" s="2">
        <v>2922</v>
      </c>
      <c r="F3" s="1">
        <v>33633.589999999997</v>
      </c>
      <c r="G3" s="1">
        <v>25554.71</v>
      </c>
      <c r="H3" s="2">
        <v>2873</v>
      </c>
      <c r="I3" s="2">
        <v>100</v>
      </c>
    </row>
    <row r="4" spans="1:9" x14ac:dyDescent="0.25">
      <c r="A4" t="s">
        <v>14</v>
      </c>
      <c r="B4" t="s">
        <v>15</v>
      </c>
      <c r="C4" t="s">
        <v>16</v>
      </c>
      <c r="D4" s="1">
        <v>28799.279999999999</v>
      </c>
      <c r="E4" s="2">
        <v>2322</v>
      </c>
      <c r="F4" s="1">
        <v>28859.41</v>
      </c>
      <c r="G4" s="1">
        <v>18118.2</v>
      </c>
      <c r="H4" s="2">
        <v>2326</v>
      </c>
      <c r="I4" s="2">
        <v>78</v>
      </c>
    </row>
    <row r="5" spans="1:9" x14ac:dyDescent="0.25">
      <c r="A5" t="s">
        <v>17</v>
      </c>
      <c r="B5" t="s">
        <v>18</v>
      </c>
      <c r="C5" t="s">
        <v>11</v>
      </c>
      <c r="D5" s="1">
        <v>24665.9</v>
      </c>
      <c r="E5" s="2">
        <v>1095</v>
      </c>
      <c r="F5" s="1">
        <v>24321.95</v>
      </c>
      <c r="G5" s="1">
        <v>10523.55</v>
      </c>
      <c r="H5" s="2">
        <v>1073</v>
      </c>
      <c r="I5" s="2">
        <v>77</v>
      </c>
    </row>
    <row r="6" spans="1:9" x14ac:dyDescent="0.25">
      <c r="A6" t="s">
        <v>19</v>
      </c>
      <c r="B6" t="s">
        <v>20</v>
      </c>
      <c r="C6" t="s">
        <v>11</v>
      </c>
      <c r="D6" s="1">
        <v>19352.55</v>
      </c>
      <c r="E6" s="2">
        <v>1487</v>
      </c>
      <c r="F6" s="1">
        <v>19373.27</v>
      </c>
      <c r="G6" s="1">
        <v>13675.4</v>
      </c>
      <c r="H6" s="2">
        <v>1493</v>
      </c>
      <c r="I6" s="2">
        <v>72</v>
      </c>
    </row>
    <row r="7" spans="1:9" x14ac:dyDescent="0.25">
      <c r="A7" t="s">
        <v>21</v>
      </c>
      <c r="B7" t="s">
        <v>22</v>
      </c>
      <c r="C7" t="s">
        <v>11</v>
      </c>
      <c r="D7" s="1">
        <v>18144.490000000002</v>
      </c>
      <c r="E7" s="2">
        <v>889</v>
      </c>
      <c r="F7" s="1">
        <v>17981.21</v>
      </c>
      <c r="G7" s="1">
        <v>14031</v>
      </c>
      <c r="H7" s="2">
        <v>881</v>
      </c>
      <c r="I7" s="2">
        <v>27</v>
      </c>
    </row>
    <row r="8" spans="1:9" x14ac:dyDescent="0.25">
      <c r="A8" t="s">
        <v>23</v>
      </c>
      <c r="B8" t="s">
        <v>24</v>
      </c>
      <c r="C8" t="s">
        <v>25</v>
      </c>
      <c r="D8" s="1">
        <v>17910.240000000002</v>
      </c>
      <c r="E8" s="2">
        <v>2190</v>
      </c>
      <c r="F8" s="1">
        <v>18294.7</v>
      </c>
      <c r="G8" s="1">
        <v>11297.2</v>
      </c>
      <c r="H8" s="2">
        <v>2237</v>
      </c>
      <c r="I8" s="2">
        <v>61</v>
      </c>
    </row>
    <row r="9" spans="1:9" x14ac:dyDescent="0.25">
      <c r="A9" t="s">
        <v>26</v>
      </c>
      <c r="B9" t="s">
        <v>27</v>
      </c>
      <c r="C9" t="s">
        <v>11</v>
      </c>
      <c r="D9" s="1">
        <v>17144.47</v>
      </c>
      <c r="E9" s="2">
        <v>597</v>
      </c>
      <c r="F9" s="1">
        <v>17773.89</v>
      </c>
      <c r="G9" s="1">
        <v>12407.85</v>
      </c>
      <c r="H9" s="2">
        <v>619</v>
      </c>
      <c r="I9" s="2">
        <v>34</v>
      </c>
    </row>
    <row r="10" spans="1:9" x14ac:dyDescent="0.25">
      <c r="A10" t="s">
        <v>26</v>
      </c>
      <c r="B10" t="s">
        <v>27</v>
      </c>
      <c r="C10" t="s">
        <v>28</v>
      </c>
      <c r="D10" s="1">
        <v>16195.78</v>
      </c>
      <c r="E10" s="2">
        <v>536</v>
      </c>
      <c r="F10" s="1">
        <v>16304.03</v>
      </c>
      <c r="G10" s="1">
        <v>10315.459999999999</v>
      </c>
      <c r="H10" s="2">
        <v>538</v>
      </c>
      <c r="I10" s="2">
        <v>33</v>
      </c>
    </row>
    <row r="11" spans="1:9" x14ac:dyDescent="0.25">
      <c r="A11" t="s">
        <v>29</v>
      </c>
      <c r="B11" t="s">
        <v>30</v>
      </c>
      <c r="C11" t="s">
        <v>11</v>
      </c>
      <c r="D11" s="1">
        <v>15037.82</v>
      </c>
      <c r="E11" s="2">
        <v>922</v>
      </c>
      <c r="F11" s="1">
        <v>14793.17</v>
      </c>
      <c r="G11" s="1">
        <v>12784.2</v>
      </c>
      <c r="H11" s="2">
        <v>907</v>
      </c>
      <c r="I11" s="2">
        <v>94</v>
      </c>
    </row>
    <row r="12" spans="1:9" x14ac:dyDescent="0.25">
      <c r="A12" t="s">
        <v>31</v>
      </c>
      <c r="B12" t="s">
        <v>32</v>
      </c>
      <c r="C12" t="s">
        <v>11</v>
      </c>
      <c r="D12" s="1">
        <v>14888.98</v>
      </c>
      <c r="E12" s="2">
        <v>1836</v>
      </c>
      <c r="F12" s="1">
        <v>15132.28</v>
      </c>
      <c r="G12" s="1">
        <v>11062.2</v>
      </c>
      <c r="H12" s="2">
        <v>1866</v>
      </c>
      <c r="I12" s="2">
        <v>63</v>
      </c>
    </row>
    <row r="13" spans="1:9" x14ac:dyDescent="0.25">
      <c r="A13" t="s">
        <v>33</v>
      </c>
      <c r="B13" t="s">
        <v>34</v>
      </c>
      <c r="C13" t="s">
        <v>11</v>
      </c>
      <c r="D13" s="1">
        <v>14362.86</v>
      </c>
      <c r="E13" s="2">
        <v>586</v>
      </c>
      <c r="F13" s="1">
        <v>14583.45</v>
      </c>
      <c r="G13" s="1">
        <v>15228.65</v>
      </c>
      <c r="H13" s="2">
        <v>595</v>
      </c>
      <c r="I13" s="2">
        <v>14</v>
      </c>
    </row>
    <row r="14" spans="1:9" x14ac:dyDescent="0.25">
      <c r="A14" t="s">
        <v>35</v>
      </c>
      <c r="B14" t="s">
        <v>36</v>
      </c>
      <c r="C14" t="s">
        <v>11</v>
      </c>
      <c r="D14" s="1">
        <v>13504.68</v>
      </c>
      <c r="E14" s="2">
        <v>828</v>
      </c>
      <c r="F14" s="1">
        <v>13863.5</v>
      </c>
      <c r="G14" s="1">
        <v>12545.33</v>
      </c>
      <c r="H14" s="2">
        <v>850</v>
      </c>
      <c r="I14" s="2">
        <v>91</v>
      </c>
    </row>
    <row r="15" spans="1:9" x14ac:dyDescent="0.25">
      <c r="A15" t="s">
        <v>37</v>
      </c>
      <c r="B15" t="s">
        <v>38</v>
      </c>
      <c r="C15" t="s">
        <v>11</v>
      </c>
      <c r="D15" s="1">
        <v>13080</v>
      </c>
      <c r="E15" s="2">
        <v>400</v>
      </c>
      <c r="F15" s="1">
        <v>13308.9</v>
      </c>
      <c r="G15" s="1">
        <v>13704.35</v>
      </c>
      <c r="H15" s="2">
        <v>407</v>
      </c>
      <c r="I15" s="2">
        <v>16</v>
      </c>
    </row>
    <row r="16" spans="1:9" x14ac:dyDescent="0.25">
      <c r="A16" t="s">
        <v>39</v>
      </c>
      <c r="B16" t="s">
        <v>40</v>
      </c>
      <c r="C16" t="s">
        <v>11</v>
      </c>
      <c r="D16" s="1">
        <v>12846.24</v>
      </c>
      <c r="E16" s="2">
        <v>1584</v>
      </c>
      <c r="F16" s="1">
        <v>12992.22</v>
      </c>
      <c r="G16" s="1">
        <v>9057.58</v>
      </c>
      <c r="H16" s="2">
        <v>1602</v>
      </c>
      <c r="I16" s="2">
        <v>24</v>
      </c>
    </row>
    <row r="17" spans="1:9" x14ac:dyDescent="0.25">
      <c r="A17" t="s">
        <v>29</v>
      </c>
      <c r="B17" t="s">
        <v>30</v>
      </c>
      <c r="C17" t="s">
        <v>28</v>
      </c>
      <c r="D17" s="1">
        <v>12832.92</v>
      </c>
      <c r="E17" s="2">
        <v>774</v>
      </c>
      <c r="F17" s="1">
        <v>12003.92</v>
      </c>
      <c r="G17" s="1">
        <v>10222.57</v>
      </c>
      <c r="H17" s="2">
        <v>724</v>
      </c>
      <c r="I17" s="2">
        <v>41</v>
      </c>
    </row>
    <row r="18" spans="1:9" x14ac:dyDescent="0.25">
      <c r="A18" t="s">
        <v>41</v>
      </c>
      <c r="B18" t="s">
        <v>42</v>
      </c>
      <c r="C18" t="s">
        <v>11</v>
      </c>
      <c r="D18" s="1">
        <v>10170.93</v>
      </c>
      <c r="E18" s="2">
        <v>833</v>
      </c>
      <c r="F18" s="1">
        <v>10183.14</v>
      </c>
      <c r="G18" s="1">
        <v>8641.24</v>
      </c>
      <c r="H18" s="2">
        <v>834</v>
      </c>
      <c r="I18" s="2">
        <v>61</v>
      </c>
    </row>
    <row r="19" spans="1:9" x14ac:dyDescent="0.25">
      <c r="A19" t="s">
        <v>43</v>
      </c>
      <c r="B19" t="s">
        <v>44</v>
      </c>
      <c r="C19" t="s">
        <v>11</v>
      </c>
      <c r="D19" s="1">
        <v>9812.82</v>
      </c>
      <c r="E19" s="2">
        <v>2441</v>
      </c>
      <c r="F19" s="1">
        <v>9463.08</v>
      </c>
      <c r="G19" s="1">
        <v>7613.34</v>
      </c>
      <c r="H19" s="2">
        <v>2354</v>
      </c>
      <c r="I19" s="2">
        <v>16</v>
      </c>
    </row>
    <row r="20" spans="1:9" x14ac:dyDescent="0.25">
      <c r="A20" t="s">
        <v>45</v>
      </c>
      <c r="B20" t="s">
        <v>46</v>
      </c>
      <c r="C20" t="s">
        <v>11</v>
      </c>
      <c r="D20" s="1">
        <v>9694.74</v>
      </c>
      <c r="E20" s="2">
        <v>794</v>
      </c>
      <c r="F20" s="1">
        <v>9841.26</v>
      </c>
      <c r="G20" s="1">
        <v>8163.4</v>
      </c>
      <c r="H20" s="2">
        <v>806</v>
      </c>
      <c r="I20" s="2">
        <v>20</v>
      </c>
    </row>
    <row r="21" spans="1:9" x14ac:dyDescent="0.25">
      <c r="A21" t="s">
        <v>47</v>
      </c>
      <c r="B21" t="s">
        <v>48</v>
      </c>
      <c r="C21" t="s">
        <v>11</v>
      </c>
      <c r="D21" s="1">
        <v>9633.52</v>
      </c>
      <c r="E21" s="2">
        <v>472</v>
      </c>
      <c r="F21" s="1">
        <v>9858.0300000000007</v>
      </c>
      <c r="G21" s="1">
        <v>7502.44</v>
      </c>
      <c r="H21" s="2">
        <v>483</v>
      </c>
      <c r="I21" s="2">
        <v>23</v>
      </c>
    </row>
    <row r="22" spans="1:9" x14ac:dyDescent="0.25">
      <c r="A22" t="s">
        <v>31</v>
      </c>
      <c r="B22" t="s">
        <v>32</v>
      </c>
      <c r="C22" t="s">
        <v>16</v>
      </c>
      <c r="D22" s="1">
        <v>9285.1200000000008</v>
      </c>
      <c r="E22" s="2">
        <v>1116</v>
      </c>
      <c r="F22" s="1">
        <v>9451.52</v>
      </c>
      <c r="G22" s="1">
        <v>6648.78</v>
      </c>
      <c r="H22" s="2">
        <v>1136</v>
      </c>
      <c r="I22" s="2">
        <v>53</v>
      </c>
    </row>
    <row r="23" spans="1:9" x14ac:dyDescent="0.25">
      <c r="A23" t="s">
        <v>49</v>
      </c>
      <c r="B23" t="s">
        <v>50</v>
      </c>
      <c r="C23" t="s">
        <v>11</v>
      </c>
      <c r="D23" s="1">
        <v>9036.6</v>
      </c>
      <c r="E23" s="2">
        <v>222</v>
      </c>
      <c r="F23" s="1">
        <v>9363.7999999999993</v>
      </c>
      <c r="G23" s="1">
        <v>7656.2</v>
      </c>
      <c r="H23" s="2">
        <v>230</v>
      </c>
      <c r="I23" s="2">
        <v>15</v>
      </c>
    </row>
    <row r="24" spans="1:9" x14ac:dyDescent="0.25">
      <c r="A24" t="s">
        <v>51</v>
      </c>
      <c r="B24" t="s">
        <v>52</v>
      </c>
      <c r="C24" t="s">
        <v>11</v>
      </c>
      <c r="D24" s="1">
        <v>8510.9699999999993</v>
      </c>
      <c r="E24" s="2">
        <v>417</v>
      </c>
      <c r="F24" s="1">
        <v>8327.2800000000007</v>
      </c>
      <c r="G24" s="1">
        <v>5052.07</v>
      </c>
      <c r="H24" s="2">
        <v>408</v>
      </c>
      <c r="I24" s="2">
        <v>12</v>
      </c>
    </row>
    <row r="25" spans="1:9" x14ac:dyDescent="0.25">
      <c r="A25" t="s">
        <v>53</v>
      </c>
      <c r="B25" t="s">
        <v>54</v>
      </c>
      <c r="C25" t="s">
        <v>11</v>
      </c>
      <c r="D25" s="1">
        <v>8435.0400000000009</v>
      </c>
      <c r="E25" s="2">
        <v>304</v>
      </c>
      <c r="F25" s="1">
        <v>8435.0400000000009</v>
      </c>
      <c r="G25" s="1">
        <v>5592.81</v>
      </c>
      <c r="H25" s="2">
        <v>304</v>
      </c>
      <c r="I25" s="2">
        <v>12</v>
      </c>
    </row>
    <row r="26" spans="1:9" x14ac:dyDescent="0.25">
      <c r="A26" t="s">
        <v>55</v>
      </c>
      <c r="B26" t="s">
        <v>56</v>
      </c>
      <c r="C26" t="s">
        <v>25</v>
      </c>
      <c r="D26" s="1">
        <v>8309.25</v>
      </c>
      <c r="E26" s="2">
        <v>675</v>
      </c>
      <c r="F26" s="1">
        <v>8444.66</v>
      </c>
      <c r="G26" s="1">
        <v>8062.2</v>
      </c>
      <c r="H26" s="2">
        <v>686</v>
      </c>
      <c r="I26" s="2">
        <v>26</v>
      </c>
    </row>
    <row r="27" spans="1:9" x14ac:dyDescent="0.25">
      <c r="A27" t="s">
        <v>57</v>
      </c>
      <c r="B27" t="s">
        <v>58</v>
      </c>
      <c r="C27" t="s">
        <v>11</v>
      </c>
      <c r="D27" s="1">
        <v>8110.64</v>
      </c>
      <c r="E27" s="2">
        <v>150</v>
      </c>
      <c r="F27" s="1">
        <v>8019.93</v>
      </c>
      <c r="G27" s="1">
        <v>6073.96</v>
      </c>
      <c r="H27" s="2">
        <v>148</v>
      </c>
      <c r="I27" s="2">
        <v>5</v>
      </c>
    </row>
    <row r="28" spans="1:9" x14ac:dyDescent="0.25">
      <c r="A28" t="s">
        <v>59</v>
      </c>
      <c r="B28" t="s">
        <v>60</v>
      </c>
      <c r="C28" t="s">
        <v>11</v>
      </c>
      <c r="D28" s="1">
        <v>7919.08</v>
      </c>
      <c r="E28" s="2">
        <v>388</v>
      </c>
      <c r="F28" s="1">
        <v>7980.31</v>
      </c>
      <c r="G28" s="1">
        <v>5797.33</v>
      </c>
      <c r="H28" s="2">
        <v>391</v>
      </c>
      <c r="I28" s="2">
        <v>15</v>
      </c>
    </row>
    <row r="29" spans="1:9" x14ac:dyDescent="0.25">
      <c r="A29" t="s">
        <v>14</v>
      </c>
      <c r="B29" t="s">
        <v>15</v>
      </c>
      <c r="C29" t="s">
        <v>28</v>
      </c>
      <c r="D29" s="1">
        <v>7885.7</v>
      </c>
      <c r="E29" s="2">
        <v>635</v>
      </c>
      <c r="F29" s="1">
        <v>7848.44</v>
      </c>
      <c r="G29" s="1">
        <v>4845.82</v>
      </c>
      <c r="H29" s="2">
        <v>632</v>
      </c>
      <c r="I29" s="2">
        <v>30</v>
      </c>
    </row>
    <row r="30" spans="1:9" x14ac:dyDescent="0.25">
      <c r="A30" t="s">
        <v>9</v>
      </c>
      <c r="B30" t="s">
        <v>10</v>
      </c>
      <c r="C30" t="s">
        <v>28</v>
      </c>
      <c r="D30" s="1">
        <v>7737.66</v>
      </c>
      <c r="E30" s="2">
        <v>623</v>
      </c>
      <c r="F30" s="1">
        <v>7489.26</v>
      </c>
      <c r="G30" s="1">
        <v>4201.3100000000004</v>
      </c>
      <c r="H30" s="2">
        <v>603</v>
      </c>
      <c r="I30" s="2">
        <v>5</v>
      </c>
    </row>
    <row r="31" spans="1:9" x14ac:dyDescent="0.25">
      <c r="A31" t="s">
        <v>61</v>
      </c>
      <c r="B31" t="s">
        <v>62</v>
      </c>
      <c r="C31" t="s">
        <v>11</v>
      </c>
      <c r="D31" s="1">
        <v>7610.26</v>
      </c>
      <c r="E31" s="2">
        <v>266</v>
      </c>
      <c r="F31" s="1">
        <v>7667.48</v>
      </c>
      <c r="G31" s="1">
        <v>6588.01</v>
      </c>
      <c r="H31" s="2">
        <v>268</v>
      </c>
      <c r="I31" s="2">
        <v>8</v>
      </c>
    </row>
    <row r="32" spans="1:9" x14ac:dyDescent="0.25">
      <c r="A32" t="s">
        <v>53</v>
      </c>
      <c r="B32" t="s">
        <v>54</v>
      </c>
      <c r="C32" t="s">
        <v>25</v>
      </c>
      <c r="D32" s="1">
        <v>7338.87</v>
      </c>
      <c r="E32" s="2">
        <v>297</v>
      </c>
      <c r="F32" s="1">
        <v>7462.42</v>
      </c>
      <c r="G32" s="1">
        <v>5589.43</v>
      </c>
      <c r="H32" s="2">
        <v>302</v>
      </c>
      <c r="I32" s="2">
        <v>22</v>
      </c>
    </row>
    <row r="33" spans="1:9" x14ac:dyDescent="0.25">
      <c r="A33" t="s">
        <v>63</v>
      </c>
      <c r="B33" t="s">
        <v>64</v>
      </c>
      <c r="C33" t="s">
        <v>16</v>
      </c>
      <c r="D33" s="1">
        <v>7253.68</v>
      </c>
      <c r="E33" s="2">
        <v>108</v>
      </c>
      <c r="F33" s="1">
        <v>7253.84</v>
      </c>
      <c r="G33" s="1">
        <v>5851.56</v>
      </c>
      <c r="H33" s="2">
        <v>108</v>
      </c>
      <c r="I33" s="2">
        <v>31</v>
      </c>
    </row>
    <row r="34" spans="1:9" x14ac:dyDescent="0.25">
      <c r="A34" t="s">
        <v>65</v>
      </c>
      <c r="B34" t="s">
        <v>66</v>
      </c>
      <c r="C34" t="s">
        <v>28</v>
      </c>
      <c r="D34" s="1">
        <v>7134.43</v>
      </c>
      <c r="E34" s="2">
        <v>187</v>
      </c>
      <c r="F34" s="1">
        <v>6870.89</v>
      </c>
      <c r="G34" s="1">
        <v>3183.99</v>
      </c>
      <c r="H34" s="2">
        <v>179</v>
      </c>
      <c r="I34" s="2">
        <v>8</v>
      </c>
    </row>
    <row r="35" spans="1:9" x14ac:dyDescent="0.25">
      <c r="A35" t="s">
        <v>31</v>
      </c>
      <c r="B35" t="s">
        <v>32</v>
      </c>
      <c r="C35" t="s">
        <v>25</v>
      </c>
      <c r="D35" s="1">
        <v>6545.82</v>
      </c>
      <c r="E35" s="2">
        <v>787</v>
      </c>
      <c r="F35" s="1">
        <v>6897.56</v>
      </c>
      <c r="G35" s="1">
        <v>4748.3999999999996</v>
      </c>
      <c r="H35" s="2">
        <v>830</v>
      </c>
      <c r="I35" s="2">
        <v>31</v>
      </c>
    </row>
    <row r="36" spans="1:9" x14ac:dyDescent="0.25">
      <c r="A36" t="s">
        <v>67</v>
      </c>
      <c r="B36" t="s">
        <v>68</v>
      </c>
      <c r="C36" t="s">
        <v>11</v>
      </c>
      <c r="D36" s="1">
        <v>6234.61</v>
      </c>
      <c r="E36" s="2">
        <v>152</v>
      </c>
      <c r="F36" s="1">
        <v>6357.31</v>
      </c>
      <c r="G36" s="1">
        <v>4814.8999999999996</v>
      </c>
      <c r="H36" s="2">
        <v>155</v>
      </c>
      <c r="I36" s="2">
        <v>19</v>
      </c>
    </row>
    <row r="37" spans="1:9" x14ac:dyDescent="0.25">
      <c r="A37" t="s">
        <v>14</v>
      </c>
      <c r="B37" t="s">
        <v>15</v>
      </c>
      <c r="C37" t="s">
        <v>11</v>
      </c>
      <c r="D37" s="1">
        <v>6117.21</v>
      </c>
      <c r="E37" s="2">
        <v>501</v>
      </c>
      <c r="F37" s="1">
        <v>6349.2</v>
      </c>
      <c r="G37" s="1">
        <v>3983.12</v>
      </c>
      <c r="H37" s="2">
        <v>520</v>
      </c>
      <c r="I37" s="2">
        <v>22</v>
      </c>
    </row>
    <row r="38" spans="1:9" x14ac:dyDescent="0.25">
      <c r="A38" t="s">
        <v>69</v>
      </c>
      <c r="B38" t="s">
        <v>70</v>
      </c>
      <c r="C38" t="s">
        <v>11</v>
      </c>
      <c r="D38" s="1">
        <v>6004.95</v>
      </c>
      <c r="E38" s="2">
        <v>245</v>
      </c>
      <c r="F38" s="1">
        <v>6053.97</v>
      </c>
      <c r="G38" s="1">
        <v>4376.66</v>
      </c>
      <c r="H38" s="2">
        <v>247</v>
      </c>
      <c r="I38" s="2">
        <v>8</v>
      </c>
    </row>
    <row r="39" spans="1:9" x14ac:dyDescent="0.25">
      <c r="A39" t="s">
        <v>71</v>
      </c>
      <c r="B39" t="s">
        <v>72</v>
      </c>
      <c r="C39" t="s">
        <v>11</v>
      </c>
      <c r="D39" s="1">
        <v>5658.63</v>
      </c>
      <c r="E39" s="2">
        <v>247</v>
      </c>
      <c r="F39" s="1">
        <v>5628.18</v>
      </c>
      <c r="G39" s="1">
        <v>4016.95</v>
      </c>
      <c r="H39" s="2">
        <v>245</v>
      </c>
      <c r="I39" s="2">
        <v>4</v>
      </c>
    </row>
    <row r="40" spans="1:9" x14ac:dyDescent="0.25">
      <c r="A40" t="s">
        <v>73</v>
      </c>
      <c r="B40" t="s">
        <v>74</v>
      </c>
      <c r="C40" t="s">
        <v>11</v>
      </c>
      <c r="D40" s="1">
        <v>5216.21</v>
      </c>
      <c r="E40" s="2">
        <v>428</v>
      </c>
      <c r="F40" s="1">
        <v>5301.68</v>
      </c>
      <c r="G40" s="1">
        <v>3013.42</v>
      </c>
      <c r="H40" s="2">
        <v>435</v>
      </c>
      <c r="I40" s="2">
        <v>27</v>
      </c>
    </row>
    <row r="41" spans="1:9" x14ac:dyDescent="0.25">
      <c r="A41" t="s">
        <v>75</v>
      </c>
      <c r="B41" t="s">
        <v>76</v>
      </c>
      <c r="C41" t="s">
        <v>11</v>
      </c>
      <c r="D41" s="1">
        <v>4968</v>
      </c>
      <c r="E41" s="2">
        <v>135</v>
      </c>
      <c r="F41" s="1">
        <v>5004.8</v>
      </c>
      <c r="G41" s="1">
        <v>4487.6000000000004</v>
      </c>
      <c r="H41" s="2">
        <v>136</v>
      </c>
      <c r="I41" s="2">
        <v>11</v>
      </c>
    </row>
    <row r="42" spans="1:9" x14ac:dyDescent="0.25">
      <c r="A42" t="s">
        <v>77</v>
      </c>
      <c r="B42" t="s">
        <v>78</v>
      </c>
      <c r="C42" t="s">
        <v>11</v>
      </c>
      <c r="D42" s="1">
        <v>4817.34</v>
      </c>
      <c r="E42" s="2">
        <v>76</v>
      </c>
      <c r="F42" s="1">
        <v>4952.42</v>
      </c>
      <c r="G42" s="1">
        <v>3673.49</v>
      </c>
      <c r="H42" s="2">
        <v>78</v>
      </c>
      <c r="I42" s="2">
        <v>8</v>
      </c>
    </row>
    <row r="43" spans="1:9" x14ac:dyDescent="0.25">
      <c r="A43" t="s">
        <v>41</v>
      </c>
      <c r="B43" t="s">
        <v>42</v>
      </c>
      <c r="C43" t="s">
        <v>28</v>
      </c>
      <c r="D43" s="1">
        <v>4767.34</v>
      </c>
      <c r="E43" s="2">
        <v>349</v>
      </c>
      <c r="F43" s="1">
        <v>4603.42</v>
      </c>
      <c r="G43" s="1">
        <v>3695.49</v>
      </c>
      <c r="H43" s="2">
        <v>337</v>
      </c>
      <c r="I43" s="2">
        <v>16</v>
      </c>
    </row>
    <row r="44" spans="1:9" x14ac:dyDescent="0.25">
      <c r="A44" t="s">
        <v>17</v>
      </c>
      <c r="B44" t="s">
        <v>18</v>
      </c>
      <c r="C44" t="s">
        <v>25</v>
      </c>
      <c r="D44" s="1">
        <v>4755.6000000000004</v>
      </c>
      <c r="E44" s="2">
        <v>362</v>
      </c>
      <c r="F44" s="1">
        <v>4729.32</v>
      </c>
      <c r="G44" s="1">
        <v>3768.63</v>
      </c>
      <c r="H44" s="2">
        <v>360</v>
      </c>
      <c r="I44" s="2">
        <v>12</v>
      </c>
    </row>
    <row r="45" spans="1:9" x14ac:dyDescent="0.25">
      <c r="A45" t="s">
        <v>14</v>
      </c>
      <c r="B45" t="s">
        <v>15</v>
      </c>
      <c r="C45" t="s">
        <v>25</v>
      </c>
      <c r="D45" s="1">
        <v>4689.13</v>
      </c>
      <c r="E45" s="2">
        <v>381</v>
      </c>
      <c r="F45" s="1">
        <v>4861.47</v>
      </c>
      <c r="G45" s="1">
        <v>3074</v>
      </c>
      <c r="H45" s="2">
        <v>395</v>
      </c>
      <c r="I45" s="2">
        <v>43</v>
      </c>
    </row>
    <row r="46" spans="1:9" x14ac:dyDescent="0.25">
      <c r="A46" t="s">
        <v>23</v>
      </c>
      <c r="B46" t="s">
        <v>24</v>
      </c>
      <c r="C46" t="s">
        <v>11</v>
      </c>
      <c r="D46" s="1">
        <v>4428.0600000000004</v>
      </c>
      <c r="E46" s="2">
        <v>546</v>
      </c>
      <c r="F46" s="1">
        <v>4403.7299999999996</v>
      </c>
      <c r="G46" s="1">
        <v>2885.07</v>
      </c>
      <c r="H46" s="2">
        <v>543</v>
      </c>
      <c r="I46" s="2">
        <v>10</v>
      </c>
    </row>
    <row r="47" spans="1:9" x14ac:dyDescent="0.25">
      <c r="A47" t="s">
        <v>79</v>
      </c>
      <c r="B47" t="s">
        <v>80</v>
      </c>
      <c r="C47" t="s">
        <v>11</v>
      </c>
      <c r="D47" s="1">
        <v>4379.4399999999996</v>
      </c>
      <c r="E47" s="2">
        <v>258</v>
      </c>
      <c r="F47" s="1">
        <v>4219.78</v>
      </c>
      <c r="G47" s="1">
        <v>2616.4</v>
      </c>
      <c r="H47" s="2">
        <v>248</v>
      </c>
      <c r="I47" t="s">
        <v>81</v>
      </c>
    </row>
    <row r="48" spans="1:9" x14ac:dyDescent="0.25">
      <c r="A48" t="s">
        <v>82</v>
      </c>
      <c r="B48" t="s">
        <v>83</v>
      </c>
      <c r="C48" t="s">
        <v>11</v>
      </c>
      <c r="D48" s="1">
        <v>4258.28</v>
      </c>
      <c r="E48" s="2">
        <v>52</v>
      </c>
      <c r="F48" s="1">
        <v>3603.16</v>
      </c>
      <c r="G48" s="1">
        <v>3346.8</v>
      </c>
      <c r="H48" s="2">
        <v>44</v>
      </c>
      <c r="I48" s="2">
        <v>6</v>
      </c>
    </row>
    <row r="49" spans="1:9" x14ac:dyDescent="0.25">
      <c r="A49" t="s">
        <v>53</v>
      </c>
      <c r="B49" t="s">
        <v>54</v>
      </c>
      <c r="C49" t="s">
        <v>28</v>
      </c>
      <c r="D49" s="1">
        <v>4185.8100000000004</v>
      </c>
      <c r="E49" s="2">
        <v>166</v>
      </c>
      <c r="F49" s="1">
        <v>4279.8900000000003</v>
      </c>
      <c r="G49" s="1">
        <v>3128.39</v>
      </c>
      <c r="H49" s="2">
        <v>170</v>
      </c>
      <c r="I49" s="2">
        <v>6</v>
      </c>
    </row>
    <row r="50" spans="1:9" x14ac:dyDescent="0.25">
      <c r="A50" t="s">
        <v>84</v>
      </c>
      <c r="B50" t="s">
        <v>85</v>
      </c>
      <c r="C50" t="s">
        <v>11</v>
      </c>
      <c r="D50" s="1">
        <v>4139.1899999999996</v>
      </c>
      <c r="E50" s="2">
        <v>339</v>
      </c>
      <c r="F50" s="1">
        <v>4163.6099999999997</v>
      </c>
      <c r="G50" s="1">
        <v>2790.26</v>
      </c>
      <c r="H50" s="2">
        <v>341</v>
      </c>
      <c r="I50" s="2">
        <v>8</v>
      </c>
    </row>
    <row r="51" spans="1:9" x14ac:dyDescent="0.25">
      <c r="A51" t="s">
        <v>23</v>
      </c>
      <c r="B51" t="s">
        <v>24</v>
      </c>
      <c r="C51" t="s">
        <v>28</v>
      </c>
      <c r="D51" s="1">
        <v>4106.42</v>
      </c>
      <c r="E51" s="2">
        <v>498</v>
      </c>
      <c r="F51" s="1">
        <v>4008.46</v>
      </c>
      <c r="G51" s="1">
        <v>2184.6</v>
      </c>
      <c r="H51" s="2">
        <v>486</v>
      </c>
      <c r="I51" s="2">
        <v>7</v>
      </c>
    </row>
    <row r="52" spans="1:9" x14ac:dyDescent="0.25">
      <c r="A52" t="s">
        <v>35</v>
      </c>
      <c r="B52" t="s">
        <v>36</v>
      </c>
      <c r="C52" t="s">
        <v>25</v>
      </c>
      <c r="D52" s="1">
        <v>3982</v>
      </c>
      <c r="E52" s="2">
        <v>220</v>
      </c>
      <c r="F52" s="1">
        <v>4072.5</v>
      </c>
      <c r="G52" s="1">
        <v>3319.72</v>
      </c>
      <c r="H52" s="2">
        <v>225</v>
      </c>
      <c r="I52" s="2">
        <v>4</v>
      </c>
    </row>
    <row r="53" spans="1:9" x14ac:dyDescent="0.25">
      <c r="A53" t="s">
        <v>65</v>
      </c>
      <c r="B53" t="s">
        <v>66</v>
      </c>
      <c r="C53" t="s">
        <v>25</v>
      </c>
      <c r="D53" s="1">
        <v>3953.6</v>
      </c>
      <c r="E53" s="2">
        <v>160</v>
      </c>
      <c r="F53" s="1">
        <v>4324.25</v>
      </c>
      <c r="G53" s="1">
        <v>3325.18</v>
      </c>
      <c r="H53" s="2">
        <v>175</v>
      </c>
      <c r="I53" s="2">
        <v>14</v>
      </c>
    </row>
    <row r="54" spans="1:9" x14ac:dyDescent="0.25">
      <c r="A54" t="s">
        <v>86</v>
      </c>
      <c r="B54" t="s">
        <v>87</v>
      </c>
      <c r="C54" t="s">
        <v>16</v>
      </c>
      <c r="D54" s="1">
        <v>3943.22</v>
      </c>
      <c r="E54" s="2">
        <v>124</v>
      </c>
      <c r="F54" s="1">
        <v>3757.94</v>
      </c>
      <c r="G54" s="1">
        <v>2554.42</v>
      </c>
      <c r="H54" s="2">
        <v>118</v>
      </c>
      <c r="I54" s="2">
        <v>18</v>
      </c>
    </row>
    <row r="55" spans="1:9" x14ac:dyDescent="0.25">
      <c r="A55" t="s">
        <v>79</v>
      </c>
      <c r="B55" t="s">
        <v>80</v>
      </c>
      <c r="C55" t="s">
        <v>25</v>
      </c>
      <c r="D55" s="1">
        <v>3651.87</v>
      </c>
      <c r="E55" s="2">
        <v>239</v>
      </c>
      <c r="F55" s="1">
        <v>3546.06</v>
      </c>
      <c r="G55" s="1">
        <v>2745.38</v>
      </c>
      <c r="H55" s="2">
        <v>232</v>
      </c>
      <c r="I55" t="s">
        <v>81</v>
      </c>
    </row>
    <row r="56" spans="1:9" x14ac:dyDescent="0.25">
      <c r="A56" t="s">
        <v>75</v>
      </c>
      <c r="B56" t="s">
        <v>76</v>
      </c>
      <c r="C56" t="s">
        <v>25</v>
      </c>
      <c r="D56" s="1">
        <v>3636.78</v>
      </c>
      <c r="E56" s="2">
        <v>98</v>
      </c>
      <c r="F56" s="1">
        <v>4082.1</v>
      </c>
      <c r="G56" s="1">
        <v>3858.92</v>
      </c>
      <c r="H56" s="2">
        <v>110</v>
      </c>
      <c r="I56" s="2">
        <v>4</v>
      </c>
    </row>
    <row r="57" spans="1:9" x14ac:dyDescent="0.25">
      <c r="A57" t="s">
        <v>88</v>
      </c>
      <c r="B57" t="s">
        <v>89</v>
      </c>
      <c r="C57" t="s">
        <v>25</v>
      </c>
      <c r="D57" s="1">
        <v>3593.88</v>
      </c>
      <c r="E57" s="2">
        <v>67</v>
      </c>
      <c r="F57" s="1">
        <v>3701.16</v>
      </c>
      <c r="G57" s="1">
        <v>2918.08</v>
      </c>
      <c r="H57" s="2">
        <v>69</v>
      </c>
      <c r="I57" s="2">
        <v>7</v>
      </c>
    </row>
    <row r="58" spans="1:9" x14ac:dyDescent="0.25">
      <c r="A58" t="s">
        <v>90</v>
      </c>
      <c r="B58" t="s">
        <v>91</v>
      </c>
      <c r="C58" t="s">
        <v>11</v>
      </c>
      <c r="D58" s="1">
        <v>3560.59</v>
      </c>
      <c r="E58" s="2">
        <v>65</v>
      </c>
      <c r="F58" s="1">
        <v>3445.99</v>
      </c>
      <c r="G58" s="1">
        <v>2811.2</v>
      </c>
      <c r="H58" s="2">
        <v>63</v>
      </c>
      <c r="I58" s="2">
        <v>8</v>
      </c>
    </row>
    <row r="59" spans="1:9" x14ac:dyDescent="0.25">
      <c r="A59" t="s">
        <v>92</v>
      </c>
      <c r="B59" t="s">
        <v>93</v>
      </c>
      <c r="C59" t="s">
        <v>11</v>
      </c>
      <c r="D59" s="1">
        <v>3405.42</v>
      </c>
      <c r="E59" s="2">
        <v>229</v>
      </c>
      <c r="F59" s="1">
        <v>3425.2</v>
      </c>
      <c r="G59" s="1">
        <v>1878.04</v>
      </c>
      <c r="H59" s="2">
        <v>230</v>
      </c>
      <c r="I59" s="2">
        <v>3</v>
      </c>
    </row>
    <row r="60" spans="1:9" x14ac:dyDescent="0.25">
      <c r="A60" t="s">
        <v>94</v>
      </c>
      <c r="B60" t="s">
        <v>95</v>
      </c>
      <c r="C60" t="s">
        <v>16</v>
      </c>
      <c r="D60" s="1">
        <v>3394.09</v>
      </c>
      <c r="E60" s="2">
        <v>111</v>
      </c>
      <c r="F60" s="1">
        <v>3488.44</v>
      </c>
      <c r="G60" s="1">
        <v>1967.16</v>
      </c>
      <c r="H60" s="2">
        <v>114</v>
      </c>
      <c r="I60" s="2">
        <v>12</v>
      </c>
    </row>
    <row r="61" spans="1:9" x14ac:dyDescent="0.25">
      <c r="A61" t="s">
        <v>96</v>
      </c>
      <c r="B61" t="s">
        <v>97</v>
      </c>
      <c r="C61" t="s">
        <v>11</v>
      </c>
      <c r="D61" s="1">
        <v>3392.48</v>
      </c>
      <c r="E61" s="2">
        <v>208</v>
      </c>
      <c r="F61" s="1">
        <v>3653.44</v>
      </c>
      <c r="G61" s="1">
        <v>2357.85</v>
      </c>
      <c r="H61" s="2">
        <v>224</v>
      </c>
      <c r="I61" s="2">
        <v>16</v>
      </c>
    </row>
    <row r="62" spans="1:9" x14ac:dyDescent="0.25">
      <c r="A62" t="s">
        <v>98</v>
      </c>
      <c r="B62" t="s">
        <v>99</v>
      </c>
      <c r="C62" t="s">
        <v>11</v>
      </c>
      <c r="D62" s="1">
        <v>3367.65</v>
      </c>
      <c r="E62" s="2">
        <v>165</v>
      </c>
      <c r="F62" s="1">
        <v>3388.06</v>
      </c>
      <c r="G62" s="1">
        <v>2356.9299999999998</v>
      </c>
      <c r="H62" s="2">
        <v>166</v>
      </c>
      <c r="I62" s="2">
        <v>3</v>
      </c>
    </row>
    <row r="63" spans="1:9" x14ac:dyDescent="0.25">
      <c r="A63" t="s">
        <v>77</v>
      </c>
      <c r="B63" t="s">
        <v>78</v>
      </c>
      <c r="C63" t="s">
        <v>16</v>
      </c>
      <c r="D63" s="1">
        <v>3338.97</v>
      </c>
      <c r="E63" s="2">
        <v>52</v>
      </c>
      <c r="F63" s="1">
        <v>3210.97</v>
      </c>
      <c r="G63" s="1">
        <v>2213.0300000000002</v>
      </c>
      <c r="H63" s="2">
        <v>50</v>
      </c>
      <c r="I63" s="2">
        <v>7</v>
      </c>
    </row>
    <row r="64" spans="1:9" x14ac:dyDescent="0.25">
      <c r="A64" t="s">
        <v>69</v>
      </c>
      <c r="B64" t="s">
        <v>70</v>
      </c>
      <c r="C64" t="s">
        <v>28</v>
      </c>
      <c r="D64" s="1">
        <v>3264.52</v>
      </c>
      <c r="E64" s="2">
        <v>131</v>
      </c>
      <c r="F64" s="1">
        <v>3289.44</v>
      </c>
      <c r="G64" s="1">
        <v>2841.87</v>
      </c>
      <c r="H64" s="2">
        <v>132</v>
      </c>
      <c r="I64" s="2">
        <v>4</v>
      </c>
    </row>
    <row r="65" spans="1:9" x14ac:dyDescent="0.25">
      <c r="A65" t="s">
        <v>100</v>
      </c>
      <c r="B65" t="s">
        <v>101</v>
      </c>
      <c r="C65" t="s">
        <v>11</v>
      </c>
      <c r="D65" s="1">
        <v>3256.79</v>
      </c>
      <c r="E65" s="2">
        <v>51</v>
      </c>
      <c r="F65" s="1">
        <v>3188.1</v>
      </c>
      <c r="G65" s="1">
        <v>2726.4</v>
      </c>
      <c r="H65" s="2">
        <v>50</v>
      </c>
      <c r="I65" s="2">
        <v>50</v>
      </c>
    </row>
    <row r="66" spans="1:9" x14ac:dyDescent="0.25">
      <c r="A66" t="s">
        <v>67</v>
      </c>
      <c r="B66" t="s">
        <v>68</v>
      </c>
      <c r="C66" t="s">
        <v>28</v>
      </c>
      <c r="D66" s="1">
        <v>3248.25</v>
      </c>
      <c r="E66" s="2">
        <v>71</v>
      </c>
      <c r="F66" s="1">
        <v>3111</v>
      </c>
      <c r="G66" s="1">
        <v>2161.7600000000002</v>
      </c>
      <c r="H66" s="2">
        <v>68</v>
      </c>
      <c r="I66" s="2">
        <v>1</v>
      </c>
    </row>
    <row r="67" spans="1:9" x14ac:dyDescent="0.25">
      <c r="A67" t="s">
        <v>63</v>
      </c>
      <c r="B67" t="s">
        <v>64</v>
      </c>
      <c r="C67" t="s">
        <v>28</v>
      </c>
      <c r="D67" s="1">
        <v>3200.33</v>
      </c>
      <c r="E67" s="2">
        <v>39</v>
      </c>
      <c r="F67" s="1">
        <v>2954.18</v>
      </c>
      <c r="G67" s="1">
        <v>1885.19</v>
      </c>
      <c r="H67" s="2">
        <v>36</v>
      </c>
      <c r="I67" s="2">
        <v>1</v>
      </c>
    </row>
    <row r="68" spans="1:9" x14ac:dyDescent="0.25">
      <c r="A68" t="s">
        <v>51</v>
      </c>
      <c r="B68" t="s">
        <v>52</v>
      </c>
      <c r="C68" t="s">
        <v>25</v>
      </c>
      <c r="D68" s="1">
        <v>3050.36</v>
      </c>
      <c r="E68" s="2">
        <v>152</v>
      </c>
      <c r="F68" s="1">
        <v>3299.81</v>
      </c>
      <c r="G68" s="1">
        <v>1748.08</v>
      </c>
      <c r="H68" s="2">
        <v>164</v>
      </c>
      <c r="I68" s="2">
        <v>11</v>
      </c>
    </row>
    <row r="69" spans="1:9" x14ac:dyDescent="0.25">
      <c r="A69" t="s">
        <v>39</v>
      </c>
      <c r="B69" t="s">
        <v>40</v>
      </c>
      <c r="C69" t="s">
        <v>28</v>
      </c>
      <c r="D69" s="1">
        <v>2961.75</v>
      </c>
      <c r="E69" s="2">
        <v>359</v>
      </c>
      <c r="F69" s="1">
        <v>2961.75</v>
      </c>
      <c r="G69" s="1">
        <v>2204.2600000000002</v>
      </c>
      <c r="H69" s="2">
        <v>359</v>
      </c>
      <c r="I69" s="2">
        <v>6</v>
      </c>
    </row>
    <row r="70" spans="1:9" x14ac:dyDescent="0.25">
      <c r="A70" t="s">
        <v>17</v>
      </c>
      <c r="B70" t="s">
        <v>18</v>
      </c>
      <c r="C70" t="s">
        <v>28</v>
      </c>
      <c r="D70" s="1">
        <v>2960.89</v>
      </c>
      <c r="E70" s="2">
        <v>165</v>
      </c>
      <c r="F70" s="1">
        <v>2927.65</v>
      </c>
      <c r="G70" s="1">
        <v>1713.84</v>
      </c>
      <c r="H70" s="2">
        <v>163</v>
      </c>
      <c r="I70" s="2">
        <v>10</v>
      </c>
    </row>
    <row r="71" spans="1:9" x14ac:dyDescent="0.25">
      <c r="A71" t="s">
        <v>102</v>
      </c>
      <c r="B71" t="s">
        <v>103</v>
      </c>
      <c r="C71" t="s">
        <v>11</v>
      </c>
      <c r="D71" s="1">
        <v>2832.39</v>
      </c>
      <c r="E71" s="2">
        <v>99</v>
      </c>
      <c r="F71" s="1">
        <v>2861</v>
      </c>
      <c r="G71" s="1">
        <v>2435.91</v>
      </c>
      <c r="H71" s="2">
        <v>100</v>
      </c>
      <c r="I71" s="2">
        <v>4</v>
      </c>
    </row>
    <row r="72" spans="1:9" x14ac:dyDescent="0.25">
      <c r="A72" t="s">
        <v>104</v>
      </c>
      <c r="B72" t="s">
        <v>105</v>
      </c>
      <c r="C72" t="s">
        <v>11</v>
      </c>
      <c r="D72" s="1">
        <v>2800.22</v>
      </c>
      <c r="E72" s="2">
        <v>38</v>
      </c>
      <c r="F72" s="1">
        <v>2800.22</v>
      </c>
      <c r="G72" s="1">
        <v>2565</v>
      </c>
      <c r="H72" s="2">
        <v>38</v>
      </c>
      <c r="I72" s="2">
        <v>1</v>
      </c>
    </row>
    <row r="73" spans="1:9" x14ac:dyDescent="0.25">
      <c r="A73" t="s">
        <v>106</v>
      </c>
      <c r="B73" t="s">
        <v>107</v>
      </c>
      <c r="C73" t="s">
        <v>11</v>
      </c>
      <c r="D73" s="1">
        <v>2670.84</v>
      </c>
      <c r="E73" s="2">
        <v>181</v>
      </c>
      <c r="F73" s="1">
        <v>2668.17</v>
      </c>
      <c r="G73" s="1">
        <v>1305.95</v>
      </c>
      <c r="H73" s="2">
        <v>180</v>
      </c>
      <c r="I73" s="2">
        <v>20</v>
      </c>
    </row>
    <row r="74" spans="1:9" x14ac:dyDescent="0.25">
      <c r="A74" t="s">
        <v>17</v>
      </c>
      <c r="B74" t="s">
        <v>18</v>
      </c>
      <c r="C74" t="s">
        <v>16</v>
      </c>
      <c r="D74" s="1">
        <v>2591.84</v>
      </c>
      <c r="E74" s="2">
        <v>194</v>
      </c>
      <c r="F74" s="1">
        <v>2618.56</v>
      </c>
      <c r="G74" s="1">
        <v>2046.29</v>
      </c>
      <c r="H74" s="2">
        <v>196</v>
      </c>
      <c r="I74" s="2">
        <v>15</v>
      </c>
    </row>
    <row r="75" spans="1:9" x14ac:dyDescent="0.25">
      <c r="A75" t="s">
        <v>31</v>
      </c>
      <c r="B75" t="s">
        <v>32</v>
      </c>
      <c r="C75" t="s">
        <v>28</v>
      </c>
      <c r="D75" s="1">
        <v>2475</v>
      </c>
      <c r="E75" s="2">
        <v>300</v>
      </c>
      <c r="F75" s="1">
        <v>2499.75</v>
      </c>
      <c r="G75" s="1">
        <v>1740</v>
      </c>
      <c r="H75" s="2">
        <v>303</v>
      </c>
      <c r="I75" s="2">
        <v>9</v>
      </c>
    </row>
    <row r="76" spans="1:9" x14ac:dyDescent="0.25">
      <c r="A76" t="s">
        <v>108</v>
      </c>
      <c r="B76" t="s">
        <v>109</v>
      </c>
      <c r="C76" t="s">
        <v>11</v>
      </c>
      <c r="D76" s="1">
        <v>2418.41</v>
      </c>
      <c r="E76" s="2">
        <v>223</v>
      </c>
      <c r="F76" s="1">
        <v>2219.1799999999998</v>
      </c>
      <c r="G76" s="1">
        <v>1023.96</v>
      </c>
      <c r="H76" s="2">
        <v>191</v>
      </c>
      <c r="I76" s="2">
        <v>2</v>
      </c>
    </row>
    <row r="77" spans="1:9" x14ac:dyDescent="0.25">
      <c r="A77" t="s">
        <v>110</v>
      </c>
      <c r="B77" t="s">
        <v>111</v>
      </c>
      <c r="C77" t="s">
        <v>11</v>
      </c>
      <c r="D77" s="1">
        <v>2367.1999999999998</v>
      </c>
      <c r="E77" s="2">
        <v>118</v>
      </c>
      <c r="F77" s="1">
        <v>2330.1</v>
      </c>
      <c r="G77" s="1">
        <v>1095.51</v>
      </c>
      <c r="H77" s="2">
        <v>116</v>
      </c>
      <c r="I77" s="2">
        <v>1</v>
      </c>
    </row>
    <row r="78" spans="1:9" x14ac:dyDescent="0.25">
      <c r="A78" t="s">
        <v>112</v>
      </c>
      <c r="B78" t="s">
        <v>113</v>
      </c>
      <c r="C78" t="s">
        <v>25</v>
      </c>
      <c r="D78" s="1">
        <v>2355.86</v>
      </c>
      <c r="E78" s="2">
        <v>221</v>
      </c>
      <c r="F78" s="1">
        <v>2515.7600000000002</v>
      </c>
      <c r="G78" s="1">
        <v>2100.48</v>
      </c>
      <c r="H78" s="2">
        <v>236</v>
      </c>
      <c r="I78" s="2">
        <v>7</v>
      </c>
    </row>
    <row r="79" spans="1:9" x14ac:dyDescent="0.25">
      <c r="A79" t="s">
        <v>114</v>
      </c>
      <c r="B79" t="s">
        <v>115</v>
      </c>
      <c r="C79" t="s">
        <v>16</v>
      </c>
      <c r="D79" s="1">
        <v>2288.91</v>
      </c>
      <c r="E79" s="2">
        <v>52</v>
      </c>
      <c r="F79" s="1">
        <v>2289.2600000000002</v>
      </c>
      <c r="G79" s="1">
        <v>1577.26</v>
      </c>
      <c r="H79" s="2">
        <v>52</v>
      </c>
      <c r="I79" s="2">
        <v>9</v>
      </c>
    </row>
    <row r="80" spans="1:9" x14ac:dyDescent="0.25">
      <c r="A80" t="s">
        <v>116</v>
      </c>
      <c r="B80" t="s">
        <v>117</v>
      </c>
      <c r="C80" t="s">
        <v>11</v>
      </c>
      <c r="D80" s="1">
        <v>2282.7399999999998</v>
      </c>
      <c r="E80" s="2">
        <v>146</v>
      </c>
      <c r="F80" s="1">
        <v>2175.13</v>
      </c>
      <c r="G80" s="1">
        <v>1588.24</v>
      </c>
      <c r="H80" s="2">
        <v>139</v>
      </c>
      <c r="I80" s="2">
        <v>1</v>
      </c>
    </row>
    <row r="81" spans="1:9" x14ac:dyDescent="0.25">
      <c r="A81" t="s">
        <v>118</v>
      </c>
      <c r="B81" t="s">
        <v>119</v>
      </c>
      <c r="C81" t="s">
        <v>16</v>
      </c>
      <c r="D81" s="1">
        <v>2250.83</v>
      </c>
      <c r="E81" s="2">
        <v>119</v>
      </c>
      <c r="F81" s="1">
        <v>2133.5300000000002</v>
      </c>
      <c r="G81" s="1">
        <v>1549.5</v>
      </c>
      <c r="H81" s="2">
        <v>113</v>
      </c>
      <c r="I81" s="2">
        <v>3</v>
      </c>
    </row>
    <row r="82" spans="1:9" x14ac:dyDescent="0.25">
      <c r="A82" t="s">
        <v>120</v>
      </c>
      <c r="B82" t="s">
        <v>121</v>
      </c>
      <c r="C82" t="s">
        <v>28</v>
      </c>
      <c r="D82" s="1">
        <v>2239.16</v>
      </c>
      <c r="E82" s="2">
        <v>77</v>
      </c>
      <c r="F82" s="1">
        <v>2151.92</v>
      </c>
      <c r="G82" s="1">
        <v>1485.35</v>
      </c>
      <c r="H82" s="2">
        <v>74</v>
      </c>
      <c r="I82" s="2">
        <v>5</v>
      </c>
    </row>
    <row r="83" spans="1:9" x14ac:dyDescent="0.25">
      <c r="A83" t="s">
        <v>63</v>
      </c>
      <c r="B83" t="s">
        <v>64</v>
      </c>
      <c r="C83" t="s">
        <v>25</v>
      </c>
      <c r="D83" s="1">
        <v>2237.37</v>
      </c>
      <c r="E83" s="2">
        <v>38</v>
      </c>
      <c r="F83" s="1">
        <v>2179.6</v>
      </c>
      <c r="G83" s="1">
        <v>1964.17</v>
      </c>
      <c r="H83" s="2">
        <v>37</v>
      </c>
      <c r="I83" s="2">
        <v>4</v>
      </c>
    </row>
    <row r="84" spans="1:9" x14ac:dyDescent="0.25">
      <c r="A84" t="s">
        <v>122</v>
      </c>
      <c r="B84" t="s">
        <v>123</v>
      </c>
      <c r="C84" t="s">
        <v>11</v>
      </c>
      <c r="D84" s="1">
        <v>2230.41</v>
      </c>
      <c r="E84" s="2">
        <v>91</v>
      </c>
      <c r="F84" s="1">
        <v>2475.5100000000002</v>
      </c>
      <c r="G84" s="1">
        <v>1891.93</v>
      </c>
      <c r="H84" s="2">
        <v>101</v>
      </c>
      <c r="I84" s="2">
        <v>1</v>
      </c>
    </row>
    <row r="85" spans="1:9" x14ac:dyDescent="0.25">
      <c r="A85" t="s">
        <v>118</v>
      </c>
      <c r="B85" t="s">
        <v>119</v>
      </c>
      <c r="C85" t="s">
        <v>11</v>
      </c>
      <c r="D85" s="1">
        <v>2164.4499999999998</v>
      </c>
      <c r="E85" s="2">
        <v>123</v>
      </c>
      <c r="F85" s="1">
        <v>2050.2800000000002</v>
      </c>
      <c r="G85" s="1">
        <v>1462.92</v>
      </c>
      <c r="H85" s="2">
        <v>116</v>
      </c>
      <c r="I85" s="2">
        <v>3</v>
      </c>
    </row>
    <row r="86" spans="1:9" x14ac:dyDescent="0.25">
      <c r="A86" t="s">
        <v>55</v>
      </c>
      <c r="B86" t="s">
        <v>56</v>
      </c>
      <c r="C86" t="s">
        <v>28</v>
      </c>
      <c r="D86" s="1">
        <v>2154.9899999999998</v>
      </c>
      <c r="E86" s="2">
        <v>125</v>
      </c>
      <c r="F86" s="1">
        <v>2026.87</v>
      </c>
      <c r="G86" s="1">
        <v>1412.6</v>
      </c>
      <c r="H86" s="2">
        <v>117</v>
      </c>
      <c r="I86" s="2">
        <v>3</v>
      </c>
    </row>
    <row r="87" spans="1:9" x14ac:dyDescent="0.25">
      <c r="A87" t="s">
        <v>124</v>
      </c>
      <c r="B87" t="s">
        <v>125</v>
      </c>
      <c r="C87" t="s">
        <v>11</v>
      </c>
      <c r="D87" s="1">
        <v>2143.0500000000002</v>
      </c>
      <c r="E87" s="2">
        <v>105</v>
      </c>
      <c r="F87" s="1">
        <v>2183.87</v>
      </c>
      <c r="G87" s="1">
        <v>1596.8</v>
      </c>
      <c r="H87" s="2">
        <v>107</v>
      </c>
      <c r="I87" s="2">
        <v>14</v>
      </c>
    </row>
    <row r="88" spans="1:9" x14ac:dyDescent="0.25">
      <c r="A88" t="s">
        <v>96</v>
      </c>
      <c r="B88" t="s">
        <v>97</v>
      </c>
      <c r="C88" t="s">
        <v>28</v>
      </c>
      <c r="D88" s="1">
        <v>2101.9499999999998</v>
      </c>
      <c r="E88" s="2">
        <v>127</v>
      </c>
      <c r="F88" s="1">
        <v>2234.8000000000002</v>
      </c>
      <c r="G88" s="1">
        <v>1372.85</v>
      </c>
      <c r="H88" s="2">
        <v>135</v>
      </c>
      <c r="I88" s="2">
        <v>9</v>
      </c>
    </row>
    <row r="89" spans="1:9" x14ac:dyDescent="0.25">
      <c r="A89" t="s">
        <v>126</v>
      </c>
      <c r="B89" t="s">
        <v>127</v>
      </c>
      <c r="C89" t="s">
        <v>11</v>
      </c>
      <c r="D89" s="1">
        <v>2094.08</v>
      </c>
      <c r="E89" s="2">
        <v>512</v>
      </c>
      <c r="F89" s="1">
        <v>2089.9899999999998</v>
      </c>
      <c r="G89" s="1">
        <v>1427.72</v>
      </c>
      <c r="H89" s="2">
        <v>511</v>
      </c>
      <c r="I89" s="2">
        <v>1</v>
      </c>
    </row>
    <row r="90" spans="1:9" x14ac:dyDescent="0.25">
      <c r="A90" t="s">
        <v>112</v>
      </c>
      <c r="B90" t="s">
        <v>113</v>
      </c>
      <c r="C90" t="s">
        <v>11</v>
      </c>
      <c r="D90" s="1">
        <v>2092.86</v>
      </c>
      <c r="E90" s="2">
        <v>198</v>
      </c>
      <c r="F90" s="1">
        <v>2061.15</v>
      </c>
      <c r="G90" s="1">
        <v>1719.52</v>
      </c>
      <c r="H90" s="2">
        <v>195</v>
      </c>
      <c r="I90" s="2">
        <v>8</v>
      </c>
    </row>
    <row r="91" spans="1:9" x14ac:dyDescent="0.25">
      <c r="A91" t="s">
        <v>98</v>
      </c>
      <c r="B91" t="s">
        <v>99</v>
      </c>
      <c r="C91" t="s">
        <v>28</v>
      </c>
      <c r="D91" s="1">
        <v>2054.25</v>
      </c>
      <c r="E91" s="2">
        <v>99</v>
      </c>
      <c r="F91" s="1">
        <v>2054.25</v>
      </c>
      <c r="G91" s="1">
        <v>1450.62</v>
      </c>
      <c r="H91" s="2">
        <v>99</v>
      </c>
      <c r="I91" s="2">
        <v>5</v>
      </c>
    </row>
    <row r="92" spans="1:9" x14ac:dyDescent="0.25">
      <c r="A92" t="s">
        <v>21</v>
      </c>
      <c r="B92" t="s">
        <v>22</v>
      </c>
      <c r="C92" t="s">
        <v>28</v>
      </c>
      <c r="D92" s="1">
        <v>2007.52</v>
      </c>
      <c r="E92" s="2">
        <v>64</v>
      </c>
      <c r="F92" s="1">
        <v>1883.91</v>
      </c>
      <c r="G92" s="1">
        <v>961.2</v>
      </c>
      <c r="H92" s="2">
        <v>60</v>
      </c>
      <c r="I92" s="2">
        <v>2</v>
      </c>
    </row>
    <row r="93" spans="1:9" x14ac:dyDescent="0.25">
      <c r="A93" t="s">
        <v>92</v>
      </c>
      <c r="B93" t="s">
        <v>93</v>
      </c>
      <c r="C93" t="s">
        <v>16</v>
      </c>
      <c r="D93" s="1">
        <v>1989.68</v>
      </c>
      <c r="E93" s="2">
        <v>119</v>
      </c>
      <c r="F93" s="1">
        <v>2023.12</v>
      </c>
      <c r="G93" s="1">
        <v>1242.43</v>
      </c>
      <c r="H93" s="2">
        <v>121</v>
      </c>
      <c r="I93" s="2">
        <v>2</v>
      </c>
    </row>
    <row r="94" spans="1:9" x14ac:dyDescent="0.25">
      <c r="A94" t="s">
        <v>75</v>
      </c>
      <c r="B94" t="s">
        <v>76</v>
      </c>
      <c r="C94" t="s">
        <v>28</v>
      </c>
      <c r="D94" s="1">
        <v>1983.26</v>
      </c>
      <c r="E94" s="2">
        <v>53</v>
      </c>
      <c r="F94" s="1">
        <v>1983.26</v>
      </c>
      <c r="G94" s="1">
        <v>1832.39</v>
      </c>
      <c r="H94" s="2">
        <v>53</v>
      </c>
      <c r="I94" s="2">
        <v>2</v>
      </c>
    </row>
    <row r="95" spans="1:9" x14ac:dyDescent="0.25">
      <c r="A95" t="s">
        <v>128</v>
      </c>
      <c r="B95" t="s">
        <v>129</v>
      </c>
      <c r="C95" t="s">
        <v>11</v>
      </c>
      <c r="D95" s="1">
        <v>1965.81</v>
      </c>
      <c r="E95" s="2">
        <v>161</v>
      </c>
      <c r="F95" s="1">
        <v>1978.02</v>
      </c>
      <c r="G95" s="1">
        <v>1765.14</v>
      </c>
      <c r="H95" s="2">
        <v>162</v>
      </c>
      <c r="I95" s="2">
        <v>4</v>
      </c>
    </row>
    <row r="96" spans="1:9" x14ac:dyDescent="0.25">
      <c r="A96" t="s">
        <v>130</v>
      </c>
      <c r="B96" t="s">
        <v>131</v>
      </c>
      <c r="C96" t="s">
        <v>11</v>
      </c>
      <c r="D96" s="1">
        <v>1963.08</v>
      </c>
      <c r="E96" s="2">
        <v>33</v>
      </c>
      <c r="F96" s="1">
        <v>1955.7</v>
      </c>
      <c r="G96" s="1">
        <v>1313.93</v>
      </c>
      <c r="H96" s="2">
        <v>33</v>
      </c>
      <c r="I96" s="2">
        <v>5</v>
      </c>
    </row>
    <row r="97" spans="1:9" x14ac:dyDescent="0.25">
      <c r="A97" t="s">
        <v>132</v>
      </c>
      <c r="B97" t="s">
        <v>133</v>
      </c>
      <c r="C97" t="s">
        <v>28</v>
      </c>
      <c r="D97" s="1">
        <v>1862.87</v>
      </c>
      <c r="E97" s="2">
        <v>144</v>
      </c>
      <c r="F97" s="1">
        <v>1947.68</v>
      </c>
      <c r="G97" s="1">
        <v>1272.27</v>
      </c>
      <c r="H97" s="2">
        <v>151</v>
      </c>
      <c r="I97" s="2">
        <v>8</v>
      </c>
    </row>
    <row r="98" spans="1:9" x14ac:dyDescent="0.25">
      <c r="A98" t="s">
        <v>134</v>
      </c>
      <c r="B98" t="s">
        <v>135</v>
      </c>
      <c r="C98" t="s">
        <v>16</v>
      </c>
      <c r="D98" s="1">
        <v>1828.58</v>
      </c>
      <c r="E98" s="2">
        <v>37</v>
      </c>
      <c r="F98" s="1">
        <v>1731.08</v>
      </c>
      <c r="G98" s="1">
        <v>1024.94</v>
      </c>
      <c r="H98" s="2">
        <v>35</v>
      </c>
      <c r="I98" s="2">
        <v>4</v>
      </c>
    </row>
    <row r="99" spans="1:9" x14ac:dyDescent="0.25">
      <c r="A99" t="s">
        <v>136</v>
      </c>
      <c r="B99" t="s">
        <v>137</v>
      </c>
      <c r="C99" t="s">
        <v>11</v>
      </c>
      <c r="D99" s="1">
        <v>1813.74</v>
      </c>
      <c r="E99" s="2">
        <v>74</v>
      </c>
      <c r="F99" s="1">
        <v>1936.37</v>
      </c>
      <c r="G99" s="1">
        <v>1101.02</v>
      </c>
      <c r="H99" s="2">
        <v>79</v>
      </c>
      <c r="I99" s="2">
        <v>11</v>
      </c>
    </row>
    <row r="100" spans="1:9" x14ac:dyDescent="0.25">
      <c r="A100" t="s">
        <v>112</v>
      </c>
      <c r="B100" t="s">
        <v>113</v>
      </c>
      <c r="C100" t="s">
        <v>16</v>
      </c>
      <c r="D100" s="1">
        <v>1799.44</v>
      </c>
      <c r="E100" s="2">
        <v>166</v>
      </c>
      <c r="F100" s="1">
        <v>1723.56</v>
      </c>
      <c r="G100" s="1">
        <v>1408.23</v>
      </c>
      <c r="H100" s="2">
        <v>159</v>
      </c>
      <c r="I100" s="2">
        <v>4</v>
      </c>
    </row>
    <row r="101" spans="1:9" x14ac:dyDescent="0.25">
      <c r="A101" t="s">
        <v>138</v>
      </c>
      <c r="B101" t="s">
        <v>139</v>
      </c>
      <c r="C101" t="s">
        <v>11</v>
      </c>
      <c r="D101" s="1">
        <v>1766.5</v>
      </c>
      <c r="E101" s="2">
        <v>242</v>
      </c>
      <c r="F101" s="1">
        <v>1766.5</v>
      </c>
      <c r="G101" s="1">
        <v>1043.76</v>
      </c>
      <c r="H101" s="2">
        <v>242</v>
      </c>
      <c r="I101" s="2">
        <v>1</v>
      </c>
    </row>
    <row r="102" spans="1:9" x14ac:dyDescent="0.25">
      <c r="A102" t="s">
        <v>140</v>
      </c>
      <c r="B102" t="s">
        <v>141</v>
      </c>
      <c r="C102" t="s">
        <v>28</v>
      </c>
      <c r="D102" s="1">
        <v>1674.58</v>
      </c>
      <c r="E102" s="2">
        <v>101</v>
      </c>
      <c r="F102" s="1">
        <v>1658</v>
      </c>
      <c r="G102" s="1">
        <v>1296.76</v>
      </c>
      <c r="H102" s="2">
        <v>100</v>
      </c>
      <c r="I102" t="s">
        <v>81</v>
      </c>
    </row>
    <row r="103" spans="1:9" x14ac:dyDescent="0.25">
      <c r="A103" t="s">
        <v>33</v>
      </c>
      <c r="B103" t="s">
        <v>34</v>
      </c>
      <c r="C103" t="s">
        <v>28</v>
      </c>
      <c r="D103" s="1">
        <v>1562.75</v>
      </c>
      <c r="E103" s="2">
        <v>47</v>
      </c>
      <c r="F103" s="1">
        <v>1629.25</v>
      </c>
      <c r="G103" s="1">
        <v>1343.98</v>
      </c>
      <c r="H103" s="2">
        <v>49</v>
      </c>
      <c r="I103" s="2">
        <v>7</v>
      </c>
    </row>
    <row r="104" spans="1:9" x14ac:dyDescent="0.25">
      <c r="A104" t="s">
        <v>88</v>
      </c>
      <c r="B104" t="s">
        <v>89</v>
      </c>
      <c r="C104" t="s">
        <v>16</v>
      </c>
      <c r="D104" s="1">
        <v>1556.23</v>
      </c>
      <c r="E104" s="2">
        <v>29</v>
      </c>
      <c r="F104" s="1">
        <v>1710.88</v>
      </c>
      <c r="G104" s="1">
        <v>1372.04</v>
      </c>
      <c r="H104" s="2">
        <v>32</v>
      </c>
      <c r="I104" s="2">
        <v>1</v>
      </c>
    </row>
    <row r="105" spans="1:9" x14ac:dyDescent="0.25">
      <c r="A105" t="s">
        <v>142</v>
      </c>
      <c r="B105" t="s">
        <v>143</v>
      </c>
      <c r="C105" t="s">
        <v>28</v>
      </c>
      <c r="D105" s="1">
        <v>1499.04</v>
      </c>
      <c r="E105" s="2">
        <v>72</v>
      </c>
      <c r="F105" s="1">
        <v>1499.04</v>
      </c>
      <c r="G105" s="1">
        <v>1229.81</v>
      </c>
      <c r="H105" s="2">
        <v>72</v>
      </c>
      <c r="I105" s="2">
        <v>1</v>
      </c>
    </row>
    <row r="106" spans="1:9" x14ac:dyDescent="0.25">
      <c r="A106" t="s">
        <v>92</v>
      </c>
      <c r="B106" t="s">
        <v>93</v>
      </c>
      <c r="C106" t="s">
        <v>25</v>
      </c>
      <c r="D106" s="1">
        <v>1464.05</v>
      </c>
      <c r="E106" s="2">
        <v>89</v>
      </c>
      <c r="F106" s="1">
        <v>1546.3</v>
      </c>
      <c r="G106" s="1">
        <v>938.08</v>
      </c>
      <c r="H106" s="2">
        <v>94</v>
      </c>
      <c r="I106" s="2">
        <v>10</v>
      </c>
    </row>
    <row r="107" spans="1:9" x14ac:dyDescent="0.25">
      <c r="A107" t="s">
        <v>144</v>
      </c>
      <c r="B107" t="s">
        <v>145</v>
      </c>
      <c r="C107" t="s">
        <v>11</v>
      </c>
      <c r="D107" s="1">
        <v>1386.35</v>
      </c>
      <c r="E107" s="2">
        <v>85</v>
      </c>
      <c r="F107" s="1">
        <v>1337.42</v>
      </c>
      <c r="G107" s="1">
        <v>532.29</v>
      </c>
      <c r="H107" s="2">
        <v>82</v>
      </c>
      <c r="I107" s="2">
        <v>38</v>
      </c>
    </row>
    <row r="108" spans="1:9" x14ac:dyDescent="0.25">
      <c r="A108" t="s">
        <v>146</v>
      </c>
      <c r="B108" t="s">
        <v>147</v>
      </c>
      <c r="C108" t="s">
        <v>11</v>
      </c>
      <c r="D108" s="1">
        <v>1386.05</v>
      </c>
      <c r="E108" s="2">
        <v>19</v>
      </c>
      <c r="F108" s="1">
        <v>1313.1</v>
      </c>
      <c r="G108" s="1">
        <v>1362.9</v>
      </c>
      <c r="H108" s="2">
        <v>18</v>
      </c>
      <c r="I108" s="2">
        <v>4</v>
      </c>
    </row>
    <row r="109" spans="1:9" x14ac:dyDescent="0.25">
      <c r="A109" t="s">
        <v>148</v>
      </c>
      <c r="B109" t="s">
        <v>149</v>
      </c>
      <c r="C109" t="s">
        <v>25</v>
      </c>
      <c r="D109" s="1">
        <v>1385.16</v>
      </c>
      <c r="E109" s="2">
        <v>42</v>
      </c>
      <c r="F109" s="1">
        <v>1681.98</v>
      </c>
      <c r="G109" s="1">
        <v>1223.08</v>
      </c>
      <c r="H109" s="2">
        <v>51</v>
      </c>
      <c r="I109" s="2">
        <v>1</v>
      </c>
    </row>
    <row r="110" spans="1:9" x14ac:dyDescent="0.25">
      <c r="A110" t="s">
        <v>150</v>
      </c>
      <c r="B110" t="s">
        <v>151</v>
      </c>
      <c r="C110" t="s">
        <v>11</v>
      </c>
      <c r="D110" s="1">
        <v>1355.31</v>
      </c>
      <c r="E110" s="2">
        <v>111</v>
      </c>
      <c r="F110" s="1">
        <v>1404.15</v>
      </c>
      <c r="G110" s="1">
        <v>672.39</v>
      </c>
      <c r="H110" s="2">
        <v>115</v>
      </c>
      <c r="I110" s="2">
        <v>4</v>
      </c>
    </row>
    <row r="111" spans="1:9" x14ac:dyDescent="0.25">
      <c r="A111" t="s">
        <v>152</v>
      </c>
      <c r="B111" t="s">
        <v>153</v>
      </c>
      <c r="C111" t="s">
        <v>25</v>
      </c>
      <c r="D111" s="1">
        <v>1348.9</v>
      </c>
      <c r="E111" s="2">
        <v>82</v>
      </c>
      <c r="F111" s="1">
        <v>1579.2</v>
      </c>
      <c r="G111" s="1">
        <v>1338.55</v>
      </c>
      <c r="H111" s="2">
        <v>96</v>
      </c>
      <c r="I111" s="2">
        <v>9</v>
      </c>
    </row>
    <row r="112" spans="1:9" x14ac:dyDescent="0.25">
      <c r="A112" t="s">
        <v>108</v>
      </c>
      <c r="B112" t="s">
        <v>109</v>
      </c>
      <c r="C112" t="s">
        <v>28</v>
      </c>
      <c r="D112" s="1">
        <v>1344.75</v>
      </c>
      <c r="E112" s="2">
        <v>163</v>
      </c>
      <c r="F112" s="1">
        <v>1386</v>
      </c>
      <c r="G112" s="1">
        <v>928.26</v>
      </c>
      <c r="H112" s="2">
        <v>168</v>
      </c>
      <c r="I112" t="s">
        <v>81</v>
      </c>
    </row>
    <row r="113" spans="1:9" x14ac:dyDescent="0.25">
      <c r="A113" t="s">
        <v>71</v>
      </c>
      <c r="B113" t="s">
        <v>72</v>
      </c>
      <c r="C113" t="s">
        <v>28</v>
      </c>
      <c r="D113" s="1">
        <v>1343.2</v>
      </c>
      <c r="E113" s="2">
        <v>52</v>
      </c>
      <c r="F113" s="1">
        <v>1318.28</v>
      </c>
      <c r="G113" s="1">
        <v>851.27</v>
      </c>
      <c r="H113" s="2">
        <v>51</v>
      </c>
      <c r="I113" t="s">
        <v>81</v>
      </c>
    </row>
    <row r="114" spans="1:9" x14ac:dyDescent="0.25">
      <c r="A114" t="s">
        <v>154</v>
      </c>
      <c r="B114" t="s">
        <v>155</v>
      </c>
      <c r="C114" t="s">
        <v>11</v>
      </c>
      <c r="D114" s="1">
        <v>1299.03</v>
      </c>
      <c r="E114" s="2">
        <v>53</v>
      </c>
      <c r="F114" s="1">
        <v>1348.05</v>
      </c>
      <c r="G114" s="1">
        <v>927.52</v>
      </c>
      <c r="H114" s="2">
        <v>55</v>
      </c>
      <c r="I114" s="2">
        <v>5</v>
      </c>
    </row>
    <row r="115" spans="1:9" x14ac:dyDescent="0.25">
      <c r="A115" t="s">
        <v>156</v>
      </c>
      <c r="B115" t="s">
        <v>157</v>
      </c>
      <c r="C115" t="s">
        <v>11</v>
      </c>
      <c r="D115" s="1">
        <v>1297.24</v>
      </c>
      <c r="E115" s="2">
        <v>60</v>
      </c>
      <c r="F115" s="1">
        <v>1360.93</v>
      </c>
      <c r="G115" s="1">
        <v>1031.24</v>
      </c>
      <c r="H115" s="2">
        <v>63</v>
      </c>
      <c r="I115" s="2">
        <v>5</v>
      </c>
    </row>
    <row r="116" spans="1:9" x14ac:dyDescent="0.25">
      <c r="A116" t="s">
        <v>152</v>
      </c>
      <c r="B116" t="s">
        <v>153</v>
      </c>
      <c r="C116" t="s">
        <v>11</v>
      </c>
      <c r="D116" s="1">
        <v>1288.49</v>
      </c>
      <c r="E116" s="2">
        <v>79</v>
      </c>
      <c r="F116" s="1">
        <v>1239.56</v>
      </c>
      <c r="G116" s="1">
        <v>1010.5</v>
      </c>
      <c r="H116" s="2">
        <v>76</v>
      </c>
      <c r="I116" s="2">
        <v>12</v>
      </c>
    </row>
    <row r="117" spans="1:9" x14ac:dyDescent="0.25">
      <c r="A117" t="s">
        <v>69</v>
      </c>
      <c r="B117" t="s">
        <v>70</v>
      </c>
      <c r="C117" t="s">
        <v>16</v>
      </c>
      <c r="D117" s="1">
        <v>1281.6300000000001</v>
      </c>
      <c r="E117" s="2">
        <v>51</v>
      </c>
      <c r="F117" s="1">
        <v>1257.67</v>
      </c>
      <c r="G117" s="1">
        <v>1094.3800000000001</v>
      </c>
      <c r="H117" s="2">
        <v>50</v>
      </c>
      <c r="I117" s="2">
        <v>4</v>
      </c>
    </row>
    <row r="118" spans="1:9" x14ac:dyDescent="0.25">
      <c r="A118" t="s">
        <v>158</v>
      </c>
      <c r="B118" t="s">
        <v>159</v>
      </c>
      <c r="C118" t="s">
        <v>11</v>
      </c>
      <c r="D118" s="1">
        <v>1278.33</v>
      </c>
      <c r="E118" s="2">
        <v>13</v>
      </c>
      <c r="F118" s="1">
        <v>1269.4000000000001</v>
      </c>
      <c r="G118" s="1">
        <v>944.71</v>
      </c>
      <c r="H118" s="2">
        <v>13</v>
      </c>
      <c r="I118" t="s">
        <v>81</v>
      </c>
    </row>
    <row r="119" spans="1:9" x14ac:dyDescent="0.25">
      <c r="A119" t="s">
        <v>79</v>
      </c>
      <c r="B119" t="s">
        <v>80</v>
      </c>
      <c r="C119" t="s">
        <v>28</v>
      </c>
      <c r="D119" s="1">
        <v>1260.08</v>
      </c>
      <c r="E119" s="2">
        <v>76</v>
      </c>
      <c r="F119" s="1">
        <v>1210.3399999999999</v>
      </c>
      <c r="G119" s="1">
        <v>1129.31</v>
      </c>
      <c r="H119" s="2">
        <v>73</v>
      </c>
      <c r="I119" t="s">
        <v>81</v>
      </c>
    </row>
    <row r="120" spans="1:9" x14ac:dyDescent="0.25">
      <c r="A120" t="s">
        <v>19</v>
      </c>
      <c r="B120" t="s">
        <v>20</v>
      </c>
      <c r="C120" t="s">
        <v>28</v>
      </c>
      <c r="D120" s="1">
        <v>1245.5</v>
      </c>
      <c r="E120" s="2">
        <v>94</v>
      </c>
      <c r="F120" s="1">
        <v>1219</v>
      </c>
      <c r="G120" s="1">
        <v>863.97</v>
      </c>
      <c r="H120" s="2">
        <v>92</v>
      </c>
      <c r="I120" s="2">
        <v>5</v>
      </c>
    </row>
    <row r="121" spans="1:9" x14ac:dyDescent="0.25">
      <c r="A121" t="s">
        <v>160</v>
      </c>
      <c r="B121" t="s">
        <v>161</v>
      </c>
      <c r="C121" t="s">
        <v>11</v>
      </c>
      <c r="D121" s="1">
        <v>1233.21</v>
      </c>
      <c r="E121" s="2">
        <v>101</v>
      </c>
      <c r="F121" s="1">
        <v>1306.47</v>
      </c>
      <c r="G121" s="1">
        <v>827.82</v>
      </c>
      <c r="H121" s="2">
        <v>107</v>
      </c>
      <c r="I121" s="2">
        <v>4</v>
      </c>
    </row>
    <row r="122" spans="1:9" x14ac:dyDescent="0.25">
      <c r="A122" t="s">
        <v>77</v>
      </c>
      <c r="B122" t="s">
        <v>78</v>
      </c>
      <c r="C122" t="s">
        <v>25</v>
      </c>
      <c r="D122" s="1">
        <v>1212.25</v>
      </c>
      <c r="E122" s="2">
        <v>19</v>
      </c>
      <c r="F122" s="1">
        <v>1212.25</v>
      </c>
      <c r="G122" s="1">
        <v>934.96</v>
      </c>
      <c r="H122" s="2">
        <v>19</v>
      </c>
      <c r="I122" s="2">
        <v>2</v>
      </c>
    </row>
    <row r="123" spans="1:9" x14ac:dyDescent="0.25">
      <c r="A123" t="s">
        <v>118</v>
      </c>
      <c r="B123" t="s">
        <v>119</v>
      </c>
      <c r="C123" t="s">
        <v>28</v>
      </c>
      <c r="D123" s="1">
        <v>1211.56</v>
      </c>
      <c r="E123" s="2">
        <v>68</v>
      </c>
      <c r="F123" s="1">
        <v>1135.26</v>
      </c>
      <c r="G123" s="1">
        <v>723.54</v>
      </c>
      <c r="H123" s="2">
        <v>63</v>
      </c>
      <c r="I123" s="2">
        <v>1</v>
      </c>
    </row>
    <row r="124" spans="1:9" x14ac:dyDescent="0.25">
      <c r="A124" t="s">
        <v>39</v>
      </c>
      <c r="B124" t="s">
        <v>40</v>
      </c>
      <c r="C124" t="s">
        <v>25</v>
      </c>
      <c r="D124" s="1">
        <v>1210.6400000000001</v>
      </c>
      <c r="E124" s="2">
        <v>148</v>
      </c>
      <c r="F124" s="1">
        <v>1227</v>
      </c>
      <c r="G124" s="1">
        <v>874.5</v>
      </c>
      <c r="H124" s="2">
        <v>150</v>
      </c>
      <c r="I124" s="2">
        <v>5</v>
      </c>
    </row>
    <row r="125" spans="1:9" x14ac:dyDescent="0.25">
      <c r="A125" t="s">
        <v>84</v>
      </c>
      <c r="B125" t="s">
        <v>85</v>
      </c>
      <c r="C125" t="s">
        <v>28</v>
      </c>
      <c r="D125" s="1">
        <v>1192.32</v>
      </c>
      <c r="E125" s="2">
        <v>96</v>
      </c>
      <c r="F125" s="1">
        <v>1229.58</v>
      </c>
      <c r="G125" s="1">
        <v>713.82</v>
      </c>
      <c r="H125" s="2">
        <v>99</v>
      </c>
      <c r="I125" t="s">
        <v>81</v>
      </c>
    </row>
    <row r="126" spans="1:9" x14ac:dyDescent="0.25">
      <c r="A126" t="s">
        <v>162</v>
      </c>
      <c r="B126" t="s">
        <v>163</v>
      </c>
      <c r="C126" t="s">
        <v>11</v>
      </c>
      <c r="D126" s="1">
        <v>1190.25</v>
      </c>
      <c r="E126" s="2">
        <v>11</v>
      </c>
      <c r="F126" s="1">
        <v>1405.3</v>
      </c>
      <c r="G126" s="1">
        <v>1173.9000000000001</v>
      </c>
      <c r="H126" s="2">
        <v>13</v>
      </c>
      <c r="I126" s="2">
        <v>3</v>
      </c>
    </row>
    <row r="127" spans="1:9" x14ac:dyDescent="0.25">
      <c r="A127" t="s">
        <v>86</v>
      </c>
      <c r="B127" t="s">
        <v>87</v>
      </c>
      <c r="C127" t="s">
        <v>28</v>
      </c>
      <c r="D127" s="1">
        <v>1179.99</v>
      </c>
      <c r="E127" s="2">
        <v>35</v>
      </c>
      <c r="F127" s="1">
        <v>1148.74</v>
      </c>
      <c r="G127" s="1">
        <v>799.9</v>
      </c>
      <c r="H127" s="2">
        <v>34</v>
      </c>
      <c r="I127" s="2">
        <v>1</v>
      </c>
    </row>
    <row r="128" spans="1:9" x14ac:dyDescent="0.25">
      <c r="A128" t="s">
        <v>152</v>
      </c>
      <c r="B128" t="s">
        <v>153</v>
      </c>
      <c r="C128" t="s">
        <v>16</v>
      </c>
      <c r="D128" s="1">
        <v>1170.4000000000001</v>
      </c>
      <c r="E128" s="2">
        <v>70</v>
      </c>
      <c r="F128" s="1">
        <v>1120.24</v>
      </c>
      <c r="G128" s="1">
        <v>969.7</v>
      </c>
      <c r="H128" s="2">
        <v>67</v>
      </c>
      <c r="I128" s="2">
        <v>1</v>
      </c>
    </row>
    <row r="129" spans="1:9" x14ac:dyDescent="0.25">
      <c r="A129" t="s">
        <v>12</v>
      </c>
      <c r="B129" t="s">
        <v>13</v>
      </c>
      <c r="C129" t="s">
        <v>25</v>
      </c>
      <c r="D129" s="1">
        <v>1120.8499999999999</v>
      </c>
      <c r="E129" s="2">
        <v>69</v>
      </c>
      <c r="F129" s="1">
        <v>1104</v>
      </c>
      <c r="G129" s="1">
        <v>671.69</v>
      </c>
      <c r="H129" s="2">
        <v>68</v>
      </c>
      <c r="I129" s="2">
        <v>10</v>
      </c>
    </row>
    <row r="130" spans="1:9" x14ac:dyDescent="0.25">
      <c r="A130" t="s">
        <v>164</v>
      </c>
      <c r="B130" t="s">
        <v>165</v>
      </c>
      <c r="C130" t="s">
        <v>11</v>
      </c>
      <c r="D130" s="1">
        <v>1118.2</v>
      </c>
      <c r="E130" s="2">
        <v>23</v>
      </c>
      <c r="F130" s="1">
        <v>1068.3599999999999</v>
      </c>
      <c r="G130" s="1">
        <v>794.53</v>
      </c>
      <c r="H130" s="2">
        <v>22</v>
      </c>
      <c r="I130" s="2">
        <v>3</v>
      </c>
    </row>
    <row r="131" spans="1:9" x14ac:dyDescent="0.25">
      <c r="A131" t="s">
        <v>124</v>
      </c>
      <c r="B131" t="s">
        <v>125</v>
      </c>
      <c r="C131" t="s">
        <v>28</v>
      </c>
      <c r="D131" s="1">
        <v>1099.75</v>
      </c>
      <c r="E131" s="2">
        <v>53</v>
      </c>
      <c r="F131" s="1">
        <v>1037.5</v>
      </c>
      <c r="G131" s="1">
        <v>762.3</v>
      </c>
      <c r="H131" s="2">
        <v>50</v>
      </c>
      <c r="I131" s="2">
        <v>4</v>
      </c>
    </row>
    <row r="132" spans="1:9" x14ac:dyDescent="0.25">
      <c r="A132" t="s">
        <v>124</v>
      </c>
      <c r="B132" t="s">
        <v>125</v>
      </c>
      <c r="C132" t="s">
        <v>25</v>
      </c>
      <c r="D132" s="1">
        <v>1090.74</v>
      </c>
      <c r="E132" s="2">
        <v>53</v>
      </c>
      <c r="F132" s="1">
        <v>1173.06</v>
      </c>
      <c r="G132" s="1">
        <v>849.25</v>
      </c>
      <c r="H132" s="2">
        <v>57</v>
      </c>
      <c r="I132" s="2">
        <v>13</v>
      </c>
    </row>
    <row r="133" spans="1:9" x14ac:dyDescent="0.25">
      <c r="A133" t="s">
        <v>166</v>
      </c>
      <c r="B133" t="s">
        <v>167</v>
      </c>
      <c r="C133" t="s">
        <v>11</v>
      </c>
      <c r="D133" s="1">
        <v>1090.33</v>
      </c>
      <c r="E133" s="2">
        <v>55</v>
      </c>
      <c r="F133" s="1">
        <v>1109.8599999999999</v>
      </c>
      <c r="G133" s="1">
        <v>908.91</v>
      </c>
      <c r="H133" s="2">
        <v>56</v>
      </c>
      <c r="I133" s="2">
        <v>1</v>
      </c>
    </row>
    <row r="134" spans="1:9" x14ac:dyDescent="0.25">
      <c r="A134" t="s">
        <v>168</v>
      </c>
      <c r="B134" t="s">
        <v>169</v>
      </c>
      <c r="C134" t="s">
        <v>11</v>
      </c>
      <c r="D134" s="1">
        <v>1074.48</v>
      </c>
      <c r="E134" s="2">
        <v>222</v>
      </c>
      <c r="F134" s="1">
        <v>1084.1600000000001</v>
      </c>
      <c r="G134" s="1">
        <v>1048.29</v>
      </c>
      <c r="H134" s="2">
        <v>224</v>
      </c>
      <c r="I134" s="2">
        <v>2</v>
      </c>
    </row>
    <row r="135" spans="1:9" x14ac:dyDescent="0.25">
      <c r="A135" t="s">
        <v>170</v>
      </c>
      <c r="B135" t="s">
        <v>171</v>
      </c>
      <c r="C135" t="s">
        <v>11</v>
      </c>
      <c r="D135" s="1">
        <v>1073.6300000000001</v>
      </c>
      <c r="E135" s="2">
        <v>9</v>
      </c>
      <c r="F135" s="1">
        <v>1073.6300000000001</v>
      </c>
      <c r="G135" s="1">
        <v>1012.5</v>
      </c>
      <c r="H135" s="2">
        <v>9</v>
      </c>
      <c r="I135" s="2">
        <v>2</v>
      </c>
    </row>
    <row r="136" spans="1:9" x14ac:dyDescent="0.25">
      <c r="A136" t="s">
        <v>172</v>
      </c>
      <c r="B136" t="s">
        <v>173</v>
      </c>
      <c r="C136" t="s">
        <v>28</v>
      </c>
      <c r="D136" s="1">
        <v>1073.5</v>
      </c>
      <c r="E136" s="2">
        <v>37</v>
      </c>
      <c r="F136" s="1">
        <v>957.18</v>
      </c>
      <c r="G136" s="1">
        <v>672.53</v>
      </c>
      <c r="H136" s="2">
        <v>33</v>
      </c>
      <c r="I136" s="2">
        <v>1</v>
      </c>
    </row>
    <row r="137" spans="1:9" x14ac:dyDescent="0.25">
      <c r="A137" t="s">
        <v>71</v>
      </c>
      <c r="B137" t="s">
        <v>72</v>
      </c>
      <c r="C137" t="s">
        <v>25</v>
      </c>
      <c r="D137" s="1">
        <v>1057.01</v>
      </c>
      <c r="E137" s="2">
        <v>43</v>
      </c>
      <c r="F137" s="1">
        <v>1081.72</v>
      </c>
      <c r="G137" s="1">
        <v>666.48</v>
      </c>
      <c r="H137" s="2">
        <v>44</v>
      </c>
      <c r="I137" t="s">
        <v>81</v>
      </c>
    </row>
    <row r="138" spans="1:9" x14ac:dyDescent="0.25">
      <c r="A138" t="s">
        <v>148</v>
      </c>
      <c r="B138" t="s">
        <v>149</v>
      </c>
      <c r="C138" t="s">
        <v>11</v>
      </c>
      <c r="D138" s="1">
        <v>1046.4000000000001</v>
      </c>
      <c r="E138" s="2">
        <v>32</v>
      </c>
      <c r="F138" s="1">
        <v>1144.5</v>
      </c>
      <c r="G138" s="1">
        <v>811.46</v>
      </c>
      <c r="H138" s="2">
        <v>35</v>
      </c>
      <c r="I138" s="2">
        <v>3</v>
      </c>
    </row>
    <row r="139" spans="1:9" x14ac:dyDescent="0.25">
      <c r="A139" t="s">
        <v>174</v>
      </c>
      <c r="B139" t="s">
        <v>175</v>
      </c>
      <c r="C139" t="s">
        <v>11</v>
      </c>
      <c r="D139" s="1">
        <v>1042.1500000000001</v>
      </c>
      <c r="E139" s="2">
        <v>132</v>
      </c>
      <c r="F139" s="1">
        <v>1059.99</v>
      </c>
      <c r="G139" s="1">
        <v>554.79</v>
      </c>
      <c r="H139" s="2">
        <v>134</v>
      </c>
      <c r="I139" s="2">
        <v>4</v>
      </c>
    </row>
    <row r="140" spans="1:9" x14ac:dyDescent="0.25">
      <c r="A140" t="s">
        <v>176</v>
      </c>
      <c r="B140" t="s">
        <v>177</v>
      </c>
      <c r="C140" t="s">
        <v>11</v>
      </c>
      <c r="D140" s="1">
        <v>1031.4000000000001</v>
      </c>
      <c r="E140" s="2">
        <v>18</v>
      </c>
      <c r="F140" s="1">
        <v>1088.7</v>
      </c>
      <c r="G140" s="1">
        <v>777.86</v>
      </c>
      <c r="H140" s="2">
        <v>19</v>
      </c>
      <c r="I140" s="2">
        <v>3</v>
      </c>
    </row>
    <row r="141" spans="1:9" x14ac:dyDescent="0.25">
      <c r="A141" t="s">
        <v>178</v>
      </c>
      <c r="B141" t="s">
        <v>179</v>
      </c>
      <c r="C141" t="s">
        <v>28</v>
      </c>
      <c r="D141" s="1">
        <v>1030.75</v>
      </c>
      <c r="E141" s="2">
        <v>31</v>
      </c>
      <c r="F141" s="1">
        <v>1030.75</v>
      </c>
      <c r="G141" s="1">
        <v>783.14</v>
      </c>
      <c r="H141" s="2">
        <v>31</v>
      </c>
      <c r="I141" s="2">
        <v>6</v>
      </c>
    </row>
    <row r="142" spans="1:9" x14ac:dyDescent="0.25">
      <c r="A142" t="s">
        <v>180</v>
      </c>
      <c r="B142" t="s">
        <v>181</v>
      </c>
      <c r="C142" t="s">
        <v>11</v>
      </c>
      <c r="D142" s="1">
        <v>998.34</v>
      </c>
      <c r="E142" s="2">
        <v>21</v>
      </c>
      <c r="F142" s="1">
        <v>998.34</v>
      </c>
      <c r="G142" s="1">
        <v>689.01</v>
      </c>
      <c r="H142" s="2">
        <v>21</v>
      </c>
      <c r="I142" s="2">
        <v>13</v>
      </c>
    </row>
    <row r="143" spans="1:9" x14ac:dyDescent="0.25">
      <c r="A143" t="s">
        <v>182</v>
      </c>
      <c r="B143" t="s">
        <v>183</v>
      </c>
      <c r="C143" t="s">
        <v>25</v>
      </c>
      <c r="D143" s="1">
        <v>980.56</v>
      </c>
      <c r="E143" s="2">
        <v>34</v>
      </c>
      <c r="F143" s="1">
        <v>1153.5999999999999</v>
      </c>
      <c r="G143" s="1">
        <v>678.7</v>
      </c>
      <c r="H143" s="2">
        <v>40</v>
      </c>
      <c r="I143" s="2">
        <v>5</v>
      </c>
    </row>
    <row r="144" spans="1:9" x14ac:dyDescent="0.25">
      <c r="A144" t="s">
        <v>184</v>
      </c>
      <c r="B144" t="s">
        <v>185</v>
      </c>
      <c r="C144" t="s">
        <v>11</v>
      </c>
      <c r="D144" s="1">
        <v>978.6</v>
      </c>
      <c r="E144" s="2">
        <v>60</v>
      </c>
      <c r="F144" s="1">
        <v>897.05</v>
      </c>
      <c r="G144" s="1">
        <v>956.12</v>
      </c>
      <c r="H144" s="2">
        <v>55</v>
      </c>
      <c r="I144" t="s">
        <v>81</v>
      </c>
    </row>
    <row r="145" spans="1:9" x14ac:dyDescent="0.25">
      <c r="A145" t="s">
        <v>186</v>
      </c>
      <c r="B145" t="s">
        <v>187</v>
      </c>
      <c r="C145" t="s">
        <v>16</v>
      </c>
      <c r="D145" s="1">
        <v>968.24</v>
      </c>
      <c r="E145" s="2">
        <v>31</v>
      </c>
      <c r="F145" s="1">
        <v>968.24</v>
      </c>
      <c r="G145" s="1">
        <v>639.52</v>
      </c>
      <c r="H145" s="2">
        <v>31</v>
      </c>
      <c r="I145" s="2">
        <v>3</v>
      </c>
    </row>
    <row r="146" spans="1:9" x14ac:dyDescent="0.25">
      <c r="A146" t="s">
        <v>120</v>
      </c>
      <c r="B146" t="s">
        <v>121</v>
      </c>
      <c r="C146" t="s">
        <v>16</v>
      </c>
      <c r="D146" s="1">
        <v>960.3</v>
      </c>
      <c r="E146" s="2">
        <v>34</v>
      </c>
      <c r="F146" s="1">
        <v>960.3</v>
      </c>
      <c r="G146" s="1">
        <v>654.89</v>
      </c>
      <c r="H146" s="2">
        <v>34</v>
      </c>
      <c r="I146" s="2">
        <v>3</v>
      </c>
    </row>
    <row r="147" spans="1:9" x14ac:dyDescent="0.25">
      <c r="A147" t="s">
        <v>188</v>
      </c>
      <c r="B147" t="s">
        <v>189</v>
      </c>
      <c r="C147" t="s">
        <v>11</v>
      </c>
      <c r="D147" s="1">
        <v>955.89</v>
      </c>
      <c r="E147" s="2">
        <v>39</v>
      </c>
      <c r="F147" s="1">
        <v>1004.91</v>
      </c>
      <c r="G147" s="1">
        <v>634.05999999999995</v>
      </c>
      <c r="H147" s="2">
        <v>41</v>
      </c>
      <c r="I147" s="2">
        <v>3</v>
      </c>
    </row>
    <row r="148" spans="1:9" x14ac:dyDescent="0.25">
      <c r="A148" t="s">
        <v>120</v>
      </c>
      <c r="B148" t="s">
        <v>121</v>
      </c>
      <c r="C148" t="s">
        <v>25</v>
      </c>
      <c r="D148" s="1">
        <v>951.72</v>
      </c>
      <c r="E148" s="2">
        <v>33</v>
      </c>
      <c r="F148" s="1">
        <v>951.72</v>
      </c>
      <c r="G148" s="1">
        <v>659.86</v>
      </c>
      <c r="H148" s="2">
        <v>33</v>
      </c>
      <c r="I148" s="2">
        <v>3</v>
      </c>
    </row>
    <row r="149" spans="1:9" x14ac:dyDescent="0.25">
      <c r="A149" t="s">
        <v>190</v>
      </c>
      <c r="B149" t="s">
        <v>191</v>
      </c>
      <c r="C149" t="s">
        <v>28</v>
      </c>
      <c r="D149" s="1">
        <v>951.16</v>
      </c>
      <c r="E149" s="2">
        <v>32</v>
      </c>
      <c r="F149" s="1">
        <v>951.16</v>
      </c>
      <c r="G149" s="1">
        <v>572.29999999999995</v>
      </c>
      <c r="H149" s="2">
        <v>32</v>
      </c>
      <c r="I149" s="2">
        <v>1</v>
      </c>
    </row>
    <row r="150" spans="1:9" x14ac:dyDescent="0.25">
      <c r="A150" t="s">
        <v>192</v>
      </c>
      <c r="B150" t="s">
        <v>193</v>
      </c>
      <c r="C150" t="s">
        <v>11</v>
      </c>
      <c r="D150" s="1">
        <v>948.35</v>
      </c>
      <c r="E150" s="2">
        <v>13</v>
      </c>
      <c r="F150" s="1">
        <v>948.35</v>
      </c>
      <c r="G150" s="1">
        <v>1000.75</v>
      </c>
      <c r="H150" s="2">
        <v>13</v>
      </c>
      <c r="I150" s="2">
        <v>4</v>
      </c>
    </row>
    <row r="151" spans="1:9" x14ac:dyDescent="0.25">
      <c r="A151" t="s">
        <v>86</v>
      </c>
      <c r="B151" t="s">
        <v>87</v>
      </c>
      <c r="C151" t="s">
        <v>11</v>
      </c>
      <c r="D151" s="1">
        <v>944.13</v>
      </c>
      <c r="E151" s="2">
        <v>33</v>
      </c>
      <c r="F151" s="1">
        <v>915.52</v>
      </c>
      <c r="G151" s="1">
        <v>534.08000000000004</v>
      </c>
      <c r="H151" s="2">
        <v>32</v>
      </c>
      <c r="I151" s="2">
        <v>10</v>
      </c>
    </row>
    <row r="152" spans="1:9" x14ac:dyDescent="0.25">
      <c r="A152" t="s">
        <v>174</v>
      </c>
      <c r="B152" t="s">
        <v>175</v>
      </c>
      <c r="C152" t="s">
        <v>25</v>
      </c>
      <c r="D152" s="1">
        <v>930.8</v>
      </c>
      <c r="E152" s="2">
        <v>118</v>
      </c>
      <c r="F152" s="1">
        <v>926.72</v>
      </c>
      <c r="G152" s="1">
        <v>491.43</v>
      </c>
      <c r="H152" s="2">
        <v>117</v>
      </c>
      <c r="I152" s="2">
        <v>2</v>
      </c>
    </row>
    <row r="153" spans="1:9" x14ac:dyDescent="0.25">
      <c r="A153" t="s">
        <v>92</v>
      </c>
      <c r="B153" t="s">
        <v>93</v>
      </c>
      <c r="C153" t="s">
        <v>28</v>
      </c>
      <c r="D153" s="1">
        <v>928.48</v>
      </c>
      <c r="E153" s="2">
        <v>56</v>
      </c>
      <c r="F153" s="1">
        <v>945.06</v>
      </c>
      <c r="G153" s="1">
        <v>603.49</v>
      </c>
      <c r="H153" s="2">
        <v>57</v>
      </c>
      <c r="I153" s="2">
        <v>1</v>
      </c>
    </row>
    <row r="154" spans="1:9" x14ac:dyDescent="0.25">
      <c r="A154" t="s">
        <v>49</v>
      </c>
      <c r="B154" t="s">
        <v>50</v>
      </c>
      <c r="C154" t="s">
        <v>28</v>
      </c>
      <c r="D154" s="1">
        <v>914.76</v>
      </c>
      <c r="E154" s="2">
        <v>22</v>
      </c>
      <c r="F154" s="1">
        <v>914.76</v>
      </c>
      <c r="G154" s="1">
        <v>665</v>
      </c>
      <c r="H154" s="2">
        <v>22</v>
      </c>
      <c r="I154" s="2">
        <v>3</v>
      </c>
    </row>
    <row r="155" spans="1:9" x14ac:dyDescent="0.25">
      <c r="A155" t="s">
        <v>194</v>
      </c>
      <c r="B155" t="s">
        <v>195</v>
      </c>
      <c r="C155" t="s">
        <v>11</v>
      </c>
      <c r="D155" s="1">
        <v>906.26</v>
      </c>
      <c r="E155" s="2">
        <v>23</v>
      </c>
      <c r="F155" s="1">
        <v>906.26</v>
      </c>
      <c r="G155" s="1">
        <v>689.66</v>
      </c>
      <c r="H155" s="2">
        <v>23</v>
      </c>
      <c r="I155" s="2">
        <v>5</v>
      </c>
    </row>
    <row r="156" spans="1:9" x14ac:dyDescent="0.25">
      <c r="A156" t="s">
        <v>73</v>
      </c>
      <c r="B156" t="s">
        <v>74</v>
      </c>
      <c r="C156" t="s">
        <v>25</v>
      </c>
      <c r="D156" s="1">
        <v>896.69</v>
      </c>
      <c r="E156" s="2">
        <v>85</v>
      </c>
      <c r="F156" s="1">
        <v>918.01</v>
      </c>
      <c r="G156" s="1">
        <v>544.64</v>
      </c>
      <c r="H156" s="2">
        <v>87</v>
      </c>
      <c r="I156" s="2">
        <v>1</v>
      </c>
    </row>
    <row r="157" spans="1:9" x14ac:dyDescent="0.25">
      <c r="A157" t="s">
        <v>196</v>
      </c>
      <c r="B157" t="s">
        <v>197</v>
      </c>
      <c r="C157" t="s">
        <v>11</v>
      </c>
      <c r="D157" s="1">
        <v>878.32</v>
      </c>
      <c r="E157" s="2">
        <v>37</v>
      </c>
      <c r="F157" s="1">
        <v>905</v>
      </c>
      <c r="G157" s="1">
        <v>592.70000000000005</v>
      </c>
      <c r="H157" s="2">
        <v>38</v>
      </c>
      <c r="I157" s="2">
        <v>4</v>
      </c>
    </row>
    <row r="158" spans="1:9" x14ac:dyDescent="0.25">
      <c r="A158" t="s">
        <v>198</v>
      </c>
      <c r="B158" t="s">
        <v>199</v>
      </c>
      <c r="C158" t="s">
        <v>11</v>
      </c>
      <c r="D158" s="1">
        <v>862.16</v>
      </c>
      <c r="E158" s="2">
        <v>53</v>
      </c>
      <c r="F158" s="1">
        <v>862.16</v>
      </c>
      <c r="G158" s="1">
        <v>487</v>
      </c>
      <c r="H158" s="2">
        <v>53</v>
      </c>
      <c r="I158" t="s">
        <v>81</v>
      </c>
    </row>
    <row r="159" spans="1:9" x14ac:dyDescent="0.25">
      <c r="A159" t="s">
        <v>110</v>
      </c>
      <c r="B159" t="s">
        <v>111</v>
      </c>
      <c r="C159" t="s">
        <v>28</v>
      </c>
      <c r="D159" s="1">
        <v>859.97</v>
      </c>
      <c r="E159" s="2">
        <v>46</v>
      </c>
      <c r="F159" s="1">
        <v>842.55</v>
      </c>
      <c r="G159" s="1">
        <v>521.6</v>
      </c>
      <c r="H159" s="2">
        <v>45</v>
      </c>
      <c r="I159" t="s">
        <v>81</v>
      </c>
    </row>
    <row r="160" spans="1:9" x14ac:dyDescent="0.25">
      <c r="A160" t="s">
        <v>55</v>
      </c>
      <c r="B160" t="s">
        <v>56</v>
      </c>
      <c r="C160" t="s">
        <v>11</v>
      </c>
      <c r="D160" s="1">
        <v>859.53</v>
      </c>
      <c r="E160" s="2">
        <v>50</v>
      </c>
      <c r="F160" s="1">
        <v>859.53</v>
      </c>
      <c r="G160" s="1">
        <v>554.20000000000005</v>
      </c>
      <c r="H160" s="2">
        <v>50</v>
      </c>
      <c r="I160" t="s">
        <v>81</v>
      </c>
    </row>
    <row r="161" spans="1:9" x14ac:dyDescent="0.25">
      <c r="A161" t="s">
        <v>172</v>
      </c>
      <c r="B161" t="s">
        <v>173</v>
      </c>
      <c r="C161" t="s">
        <v>16</v>
      </c>
      <c r="D161" s="1">
        <v>845.11</v>
      </c>
      <c r="E161" s="2">
        <v>29</v>
      </c>
      <c r="F161" s="1">
        <v>757.15</v>
      </c>
      <c r="G161" s="1">
        <v>544.34</v>
      </c>
      <c r="H161" s="2">
        <v>26</v>
      </c>
      <c r="I161" s="2">
        <v>3</v>
      </c>
    </row>
    <row r="162" spans="1:9" x14ac:dyDescent="0.25">
      <c r="A162" t="s">
        <v>200</v>
      </c>
      <c r="B162" t="s">
        <v>201</v>
      </c>
      <c r="C162" t="s">
        <v>11</v>
      </c>
      <c r="D162" s="1">
        <v>818.72</v>
      </c>
      <c r="E162" s="2">
        <v>52</v>
      </c>
      <c r="F162" s="1">
        <v>818.72</v>
      </c>
      <c r="G162" s="1">
        <v>534.87</v>
      </c>
      <c r="H162" s="2">
        <v>52</v>
      </c>
      <c r="I162" t="s">
        <v>81</v>
      </c>
    </row>
    <row r="163" spans="1:9" x14ac:dyDescent="0.25">
      <c r="A163" t="s">
        <v>150</v>
      </c>
      <c r="B163" t="s">
        <v>151</v>
      </c>
      <c r="C163" t="s">
        <v>25</v>
      </c>
      <c r="D163" s="1">
        <v>811.62</v>
      </c>
      <c r="E163" s="2">
        <v>66</v>
      </c>
      <c r="F163" s="1">
        <v>822.05</v>
      </c>
      <c r="G163" s="1">
        <v>311.55</v>
      </c>
      <c r="H163" s="2">
        <v>67</v>
      </c>
      <c r="I163" s="2">
        <v>8</v>
      </c>
    </row>
    <row r="164" spans="1:9" x14ac:dyDescent="0.25">
      <c r="A164" t="s">
        <v>194</v>
      </c>
      <c r="B164" t="s">
        <v>195</v>
      </c>
      <c r="C164" t="s">
        <v>16</v>
      </c>
      <c r="D164" s="1">
        <v>798.28</v>
      </c>
      <c r="E164" s="2">
        <v>20</v>
      </c>
      <c r="F164" s="1">
        <v>798.28</v>
      </c>
      <c r="G164" s="1">
        <v>617.36</v>
      </c>
      <c r="H164" s="2">
        <v>20</v>
      </c>
      <c r="I164" s="2">
        <v>1</v>
      </c>
    </row>
    <row r="165" spans="1:9" x14ac:dyDescent="0.25">
      <c r="A165" t="s">
        <v>202</v>
      </c>
      <c r="B165" t="s">
        <v>197</v>
      </c>
      <c r="C165" t="s">
        <v>11</v>
      </c>
      <c r="D165" s="1">
        <v>794.19</v>
      </c>
      <c r="E165" s="2">
        <v>68</v>
      </c>
      <c r="F165" s="1">
        <v>782.55</v>
      </c>
      <c r="G165" s="1">
        <v>399.6</v>
      </c>
      <c r="H165" s="2">
        <v>67</v>
      </c>
      <c r="I165" s="2">
        <v>4</v>
      </c>
    </row>
    <row r="166" spans="1:9" x14ac:dyDescent="0.25">
      <c r="A166" t="s">
        <v>194</v>
      </c>
      <c r="B166" t="s">
        <v>195</v>
      </c>
      <c r="C166" t="s">
        <v>28</v>
      </c>
      <c r="D166" s="1">
        <v>790.9</v>
      </c>
      <c r="E166" s="2">
        <v>20</v>
      </c>
      <c r="F166" s="1">
        <v>751.01</v>
      </c>
      <c r="G166" s="1">
        <v>583.64</v>
      </c>
      <c r="H166" s="2">
        <v>19</v>
      </c>
      <c r="I166" s="2">
        <v>1</v>
      </c>
    </row>
    <row r="167" spans="1:9" x14ac:dyDescent="0.25">
      <c r="A167" t="s">
        <v>116</v>
      </c>
      <c r="B167" t="s">
        <v>117</v>
      </c>
      <c r="C167" t="s">
        <v>25</v>
      </c>
      <c r="D167" s="1">
        <v>789.6</v>
      </c>
      <c r="E167" s="2">
        <v>48</v>
      </c>
      <c r="F167" s="1">
        <v>789.6</v>
      </c>
      <c r="G167" s="1">
        <v>600</v>
      </c>
      <c r="H167" s="2">
        <v>48</v>
      </c>
      <c r="I167" s="2">
        <v>7</v>
      </c>
    </row>
    <row r="168" spans="1:9" x14ac:dyDescent="0.25">
      <c r="A168" t="s">
        <v>172</v>
      </c>
      <c r="B168" t="s">
        <v>173</v>
      </c>
      <c r="C168" t="s">
        <v>25</v>
      </c>
      <c r="D168" s="1">
        <v>778.69</v>
      </c>
      <c r="E168" s="2">
        <v>28</v>
      </c>
      <c r="F168" s="1">
        <v>807.25</v>
      </c>
      <c r="G168" s="1">
        <v>595.6</v>
      </c>
      <c r="H168" s="2">
        <v>29</v>
      </c>
      <c r="I168" t="s">
        <v>81</v>
      </c>
    </row>
    <row r="169" spans="1:9" x14ac:dyDescent="0.25">
      <c r="A169" t="s">
        <v>203</v>
      </c>
      <c r="B169" t="s">
        <v>204</v>
      </c>
      <c r="C169" t="s">
        <v>11</v>
      </c>
      <c r="D169" s="1">
        <v>755.85</v>
      </c>
      <c r="E169" s="2">
        <v>109</v>
      </c>
      <c r="F169" s="1">
        <v>783.73</v>
      </c>
      <c r="G169" s="1">
        <v>510.03</v>
      </c>
      <c r="H169" s="2">
        <v>113</v>
      </c>
      <c r="I169" s="2">
        <v>6</v>
      </c>
    </row>
    <row r="170" spans="1:9" x14ac:dyDescent="0.25">
      <c r="A170" t="s">
        <v>114</v>
      </c>
      <c r="B170" t="s">
        <v>115</v>
      </c>
      <c r="C170" t="s">
        <v>28</v>
      </c>
      <c r="D170" s="1">
        <v>752.57</v>
      </c>
      <c r="E170" s="2">
        <v>15</v>
      </c>
      <c r="F170" s="1">
        <v>816.37</v>
      </c>
      <c r="G170" s="1">
        <v>479.57</v>
      </c>
      <c r="H170" s="2">
        <v>16</v>
      </c>
      <c r="I170" s="2">
        <v>1</v>
      </c>
    </row>
    <row r="171" spans="1:9" x14ac:dyDescent="0.25">
      <c r="A171" t="s">
        <v>110</v>
      </c>
      <c r="B171" t="s">
        <v>111</v>
      </c>
      <c r="C171" t="s">
        <v>25</v>
      </c>
      <c r="D171" s="1">
        <v>738.91</v>
      </c>
      <c r="E171" s="2">
        <v>36</v>
      </c>
      <c r="F171" s="1">
        <v>697.71</v>
      </c>
      <c r="G171" s="1">
        <v>341.73</v>
      </c>
      <c r="H171" s="2">
        <v>34</v>
      </c>
      <c r="I171" s="2">
        <v>6</v>
      </c>
    </row>
    <row r="172" spans="1:9" x14ac:dyDescent="0.25">
      <c r="A172" t="s">
        <v>205</v>
      </c>
      <c r="B172" t="s">
        <v>206</v>
      </c>
      <c r="C172" t="s">
        <v>25</v>
      </c>
      <c r="D172" s="1">
        <v>735.5</v>
      </c>
      <c r="E172" s="2">
        <v>10</v>
      </c>
      <c r="F172" s="1">
        <v>735.5</v>
      </c>
      <c r="G172" s="1">
        <v>620.66</v>
      </c>
      <c r="H172" s="2">
        <v>10</v>
      </c>
      <c r="I172" s="2">
        <v>4</v>
      </c>
    </row>
    <row r="173" spans="1:9" x14ac:dyDescent="0.25">
      <c r="A173" t="s">
        <v>77</v>
      </c>
      <c r="B173" t="s">
        <v>78</v>
      </c>
      <c r="C173" t="s">
        <v>28</v>
      </c>
      <c r="D173" s="1">
        <v>735.02</v>
      </c>
      <c r="E173" s="2">
        <v>11</v>
      </c>
      <c r="F173" s="1">
        <v>670.94</v>
      </c>
      <c r="G173" s="1">
        <v>504.18</v>
      </c>
      <c r="H173" s="2">
        <v>10</v>
      </c>
      <c r="I173" s="2">
        <v>1</v>
      </c>
    </row>
    <row r="174" spans="1:9" x14ac:dyDescent="0.25">
      <c r="A174" t="s">
        <v>53</v>
      </c>
      <c r="B174" t="s">
        <v>54</v>
      </c>
      <c r="C174" t="s">
        <v>207</v>
      </c>
      <c r="D174" s="1">
        <v>727.41</v>
      </c>
      <c r="E174" s="2">
        <v>24</v>
      </c>
      <c r="F174" s="1">
        <v>727.41</v>
      </c>
      <c r="G174" s="1">
        <v>424.67</v>
      </c>
      <c r="H174" s="2">
        <v>24</v>
      </c>
      <c r="I174" s="2">
        <v>5</v>
      </c>
    </row>
    <row r="175" spans="1:9" x14ac:dyDescent="0.25">
      <c r="A175" t="s">
        <v>77</v>
      </c>
      <c r="B175" t="s">
        <v>78</v>
      </c>
      <c r="C175" t="s">
        <v>207</v>
      </c>
      <c r="D175" s="1">
        <v>722.53</v>
      </c>
      <c r="E175" s="2">
        <v>21</v>
      </c>
      <c r="F175" s="1">
        <v>722.53</v>
      </c>
      <c r="G175" s="1">
        <v>1223.03</v>
      </c>
      <c r="H175" s="2">
        <v>21</v>
      </c>
      <c r="I175" s="2">
        <v>3</v>
      </c>
    </row>
    <row r="176" spans="1:9" x14ac:dyDescent="0.25">
      <c r="A176" t="s">
        <v>94</v>
      </c>
      <c r="B176" t="s">
        <v>95</v>
      </c>
      <c r="C176" t="s">
        <v>28</v>
      </c>
      <c r="D176" s="1">
        <v>721.79</v>
      </c>
      <c r="E176" s="2">
        <v>22</v>
      </c>
      <c r="F176" s="1">
        <v>755.79</v>
      </c>
      <c r="G176" s="1">
        <v>395.09</v>
      </c>
      <c r="H176" s="2">
        <v>23</v>
      </c>
      <c r="I176" s="2">
        <v>2</v>
      </c>
    </row>
    <row r="177" spans="1:9" x14ac:dyDescent="0.25">
      <c r="A177" t="s">
        <v>208</v>
      </c>
      <c r="B177" t="s">
        <v>209</v>
      </c>
      <c r="C177" t="s">
        <v>28</v>
      </c>
      <c r="D177" s="1">
        <v>710.11</v>
      </c>
      <c r="E177" s="2">
        <v>10</v>
      </c>
      <c r="F177" s="1">
        <v>647.69000000000005</v>
      </c>
      <c r="G177" s="1">
        <v>366.21</v>
      </c>
      <c r="H177" s="2">
        <v>9</v>
      </c>
      <c r="I177" s="2">
        <v>1</v>
      </c>
    </row>
    <row r="178" spans="1:9" x14ac:dyDescent="0.25">
      <c r="A178" t="s">
        <v>210</v>
      </c>
      <c r="B178" t="s">
        <v>211</v>
      </c>
      <c r="C178" t="s">
        <v>11</v>
      </c>
      <c r="D178" s="1">
        <v>708.18</v>
      </c>
      <c r="E178" s="2">
        <v>58</v>
      </c>
      <c r="F178" s="1">
        <v>708.18</v>
      </c>
      <c r="G178" s="1">
        <v>359.08</v>
      </c>
      <c r="H178" s="2">
        <v>58</v>
      </c>
      <c r="I178" s="2">
        <v>4</v>
      </c>
    </row>
    <row r="179" spans="1:9" x14ac:dyDescent="0.25">
      <c r="A179" t="s">
        <v>132</v>
      </c>
      <c r="B179" t="s">
        <v>133</v>
      </c>
      <c r="C179" t="s">
        <v>11</v>
      </c>
      <c r="D179" s="1">
        <v>701.33</v>
      </c>
      <c r="E179" s="2">
        <v>43</v>
      </c>
      <c r="F179" s="1">
        <v>750.26</v>
      </c>
      <c r="G179" s="1">
        <v>326</v>
      </c>
      <c r="H179" s="2">
        <v>46</v>
      </c>
      <c r="I179" s="2">
        <v>1</v>
      </c>
    </row>
    <row r="180" spans="1:9" x14ac:dyDescent="0.25">
      <c r="A180" t="s">
        <v>212</v>
      </c>
      <c r="B180" t="s">
        <v>213</v>
      </c>
      <c r="C180" t="s">
        <v>28</v>
      </c>
      <c r="D180" s="1">
        <v>697.92</v>
      </c>
      <c r="E180" s="2">
        <v>24</v>
      </c>
      <c r="F180" s="1">
        <v>697.92</v>
      </c>
      <c r="G180" s="1">
        <v>562.65</v>
      </c>
      <c r="H180" s="2">
        <v>24</v>
      </c>
      <c r="I180" s="2">
        <v>1</v>
      </c>
    </row>
    <row r="181" spans="1:9" x14ac:dyDescent="0.25">
      <c r="A181" t="s">
        <v>136</v>
      </c>
      <c r="B181" t="s">
        <v>137</v>
      </c>
      <c r="C181" t="s">
        <v>28</v>
      </c>
      <c r="D181" s="1">
        <v>695.29</v>
      </c>
      <c r="E181" s="2">
        <v>26</v>
      </c>
      <c r="F181" s="1">
        <v>744.23</v>
      </c>
      <c r="G181" s="1">
        <v>501.33</v>
      </c>
      <c r="H181" s="2">
        <v>28</v>
      </c>
      <c r="I181" s="2">
        <v>1</v>
      </c>
    </row>
    <row r="182" spans="1:9" x14ac:dyDescent="0.25">
      <c r="A182" t="s">
        <v>112</v>
      </c>
      <c r="B182" t="s">
        <v>113</v>
      </c>
      <c r="C182" t="s">
        <v>28</v>
      </c>
      <c r="D182" s="1">
        <v>688</v>
      </c>
      <c r="E182" s="2">
        <v>64</v>
      </c>
      <c r="F182" s="1">
        <v>688</v>
      </c>
      <c r="G182" s="1">
        <v>566.91999999999996</v>
      </c>
      <c r="H182" s="2">
        <v>64</v>
      </c>
      <c r="I182" s="2">
        <v>1</v>
      </c>
    </row>
    <row r="183" spans="1:9" x14ac:dyDescent="0.25">
      <c r="A183" t="s">
        <v>144</v>
      </c>
      <c r="B183" t="s">
        <v>145</v>
      </c>
      <c r="C183" t="s">
        <v>25</v>
      </c>
      <c r="D183" s="1">
        <v>675.56</v>
      </c>
      <c r="E183" s="2">
        <v>55</v>
      </c>
      <c r="F183" s="1">
        <v>712.49</v>
      </c>
      <c r="G183" s="1">
        <v>370.26</v>
      </c>
      <c r="H183" s="2">
        <v>58</v>
      </c>
      <c r="I183" s="2">
        <v>18</v>
      </c>
    </row>
    <row r="184" spans="1:9" x14ac:dyDescent="0.25">
      <c r="A184" t="s">
        <v>126</v>
      </c>
      <c r="B184" t="s">
        <v>127</v>
      </c>
      <c r="C184" t="s">
        <v>25</v>
      </c>
      <c r="D184" s="1">
        <v>673.44</v>
      </c>
      <c r="E184" s="2">
        <v>138</v>
      </c>
      <c r="F184" s="1">
        <v>683.2</v>
      </c>
      <c r="G184" s="1">
        <v>410.76</v>
      </c>
      <c r="H184" s="2">
        <v>140</v>
      </c>
      <c r="I184" s="2">
        <v>1</v>
      </c>
    </row>
    <row r="185" spans="1:9" x14ac:dyDescent="0.25">
      <c r="A185" t="s">
        <v>120</v>
      </c>
      <c r="B185" t="s">
        <v>121</v>
      </c>
      <c r="C185" t="s">
        <v>207</v>
      </c>
      <c r="D185" s="1">
        <v>645.09</v>
      </c>
      <c r="E185" s="2">
        <v>21</v>
      </c>
      <c r="F185" s="1">
        <v>559.67999999999995</v>
      </c>
      <c r="G185" s="1">
        <v>382.87</v>
      </c>
      <c r="H185" s="2">
        <v>18</v>
      </c>
      <c r="I185" s="2">
        <v>1</v>
      </c>
    </row>
    <row r="186" spans="1:9" x14ac:dyDescent="0.25">
      <c r="A186" t="s">
        <v>94</v>
      </c>
      <c r="B186" t="s">
        <v>95</v>
      </c>
      <c r="C186" t="s">
        <v>11</v>
      </c>
      <c r="D186" s="1">
        <v>629.25</v>
      </c>
      <c r="E186" s="2">
        <v>23</v>
      </c>
      <c r="F186" s="1">
        <v>727.35</v>
      </c>
      <c r="G186" s="1">
        <v>444.3</v>
      </c>
      <c r="H186" s="2">
        <v>26</v>
      </c>
      <c r="I186" t="s">
        <v>81</v>
      </c>
    </row>
    <row r="187" spans="1:9" x14ac:dyDescent="0.25">
      <c r="A187" t="s">
        <v>214</v>
      </c>
      <c r="B187" t="s">
        <v>215</v>
      </c>
      <c r="C187" t="s">
        <v>28</v>
      </c>
      <c r="D187" s="1">
        <v>623.70000000000005</v>
      </c>
      <c r="E187" s="2">
        <v>15</v>
      </c>
      <c r="F187" s="1">
        <v>623.70000000000005</v>
      </c>
      <c r="G187" s="1">
        <v>482.56</v>
      </c>
      <c r="H187" s="2">
        <v>15</v>
      </c>
      <c r="I187" t="s">
        <v>81</v>
      </c>
    </row>
    <row r="188" spans="1:9" x14ac:dyDescent="0.25">
      <c r="A188" t="s">
        <v>216</v>
      </c>
      <c r="B188" t="s">
        <v>217</v>
      </c>
      <c r="C188" t="s">
        <v>11</v>
      </c>
      <c r="D188" s="1">
        <v>596.63</v>
      </c>
      <c r="E188" s="2">
        <v>52</v>
      </c>
      <c r="F188" s="1">
        <v>608.84</v>
      </c>
      <c r="G188" s="1">
        <v>292.02999999999997</v>
      </c>
      <c r="H188" s="2">
        <v>53</v>
      </c>
      <c r="I188" s="2">
        <v>1</v>
      </c>
    </row>
    <row r="189" spans="1:9" x14ac:dyDescent="0.25">
      <c r="A189" t="s">
        <v>67</v>
      </c>
      <c r="B189" t="s">
        <v>68</v>
      </c>
      <c r="C189" t="s">
        <v>25</v>
      </c>
      <c r="D189" s="1">
        <v>589.80999999999995</v>
      </c>
      <c r="E189" s="2">
        <v>13</v>
      </c>
      <c r="F189" s="1">
        <v>589.80999999999995</v>
      </c>
      <c r="G189" s="1">
        <v>501.08</v>
      </c>
      <c r="H189" s="2">
        <v>13</v>
      </c>
      <c r="I189" s="2">
        <v>3</v>
      </c>
    </row>
    <row r="190" spans="1:9" x14ac:dyDescent="0.25">
      <c r="A190" t="s">
        <v>98</v>
      </c>
      <c r="B190" t="s">
        <v>99</v>
      </c>
      <c r="C190" t="s">
        <v>16</v>
      </c>
      <c r="D190" s="1">
        <v>583.5</v>
      </c>
      <c r="E190" s="2">
        <v>23</v>
      </c>
      <c r="F190" s="1">
        <v>583.5</v>
      </c>
      <c r="G190" s="1">
        <v>307.92</v>
      </c>
      <c r="H190" s="2">
        <v>23</v>
      </c>
      <c r="I190" s="2">
        <v>3</v>
      </c>
    </row>
    <row r="191" spans="1:9" x14ac:dyDescent="0.25">
      <c r="A191" t="s">
        <v>108</v>
      </c>
      <c r="B191" t="s">
        <v>109</v>
      </c>
      <c r="C191" t="s">
        <v>25</v>
      </c>
      <c r="D191" s="1">
        <v>580.78</v>
      </c>
      <c r="E191" s="2">
        <v>71</v>
      </c>
      <c r="F191" s="1">
        <v>580.78</v>
      </c>
      <c r="G191" s="1">
        <v>396.3</v>
      </c>
      <c r="H191" s="2">
        <v>71</v>
      </c>
      <c r="I191" s="2">
        <v>2</v>
      </c>
    </row>
    <row r="192" spans="1:9" x14ac:dyDescent="0.25">
      <c r="A192" t="s">
        <v>218</v>
      </c>
      <c r="B192" t="s">
        <v>219</v>
      </c>
      <c r="C192" t="s">
        <v>16</v>
      </c>
      <c r="D192" s="1">
        <v>580</v>
      </c>
      <c r="E192" s="2">
        <v>100</v>
      </c>
      <c r="F192" s="1">
        <v>580</v>
      </c>
      <c r="G192" s="1">
        <v>332</v>
      </c>
      <c r="H192" s="2">
        <v>100</v>
      </c>
      <c r="I192" t="s">
        <v>81</v>
      </c>
    </row>
    <row r="193" spans="1:9" x14ac:dyDescent="0.25">
      <c r="A193" t="s">
        <v>220</v>
      </c>
      <c r="B193" t="s">
        <v>221</v>
      </c>
      <c r="C193" t="s">
        <v>25</v>
      </c>
      <c r="D193" s="1">
        <v>575.75</v>
      </c>
      <c r="E193" s="2">
        <v>35</v>
      </c>
      <c r="F193" s="1">
        <v>625.1</v>
      </c>
      <c r="G193" s="1">
        <v>442.8</v>
      </c>
      <c r="H193" s="2">
        <v>38</v>
      </c>
      <c r="I193" t="s">
        <v>81</v>
      </c>
    </row>
    <row r="194" spans="1:9" x14ac:dyDescent="0.25">
      <c r="A194" t="s">
        <v>222</v>
      </c>
      <c r="B194" t="s">
        <v>223</v>
      </c>
      <c r="C194" t="s">
        <v>11</v>
      </c>
      <c r="D194" s="1">
        <v>551.73</v>
      </c>
      <c r="E194" s="2">
        <v>6</v>
      </c>
      <c r="F194" s="1">
        <v>466.89</v>
      </c>
      <c r="G194" s="1">
        <v>350.65</v>
      </c>
      <c r="H194" s="2">
        <v>5</v>
      </c>
      <c r="I194" s="2">
        <v>1</v>
      </c>
    </row>
    <row r="195" spans="1:9" x14ac:dyDescent="0.25">
      <c r="A195" t="s">
        <v>224</v>
      </c>
      <c r="B195" t="s">
        <v>225</v>
      </c>
      <c r="C195" t="s">
        <v>11</v>
      </c>
      <c r="D195" s="1">
        <v>543.38</v>
      </c>
      <c r="E195" s="2">
        <v>34</v>
      </c>
      <c r="F195" s="1">
        <v>510.09</v>
      </c>
      <c r="G195" s="1">
        <v>271.2</v>
      </c>
      <c r="H195" s="2">
        <v>32</v>
      </c>
      <c r="I195" s="2">
        <v>4</v>
      </c>
    </row>
    <row r="196" spans="1:9" x14ac:dyDescent="0.25">
      <c r="A196" t="s">
        <v>226</v>
      </c>
      <c r="B196" t="s">
        <v>227</v>
      </c>
      <c r="C196" t="s">
        <v>11</v>
      </c>
      <c r="D196" s="1">
        <v>540.20000000000005</v>
      </c>
      <c r="E196" s="2">
        <v>74</v>
      </c>
      <c r="F196" s="1">
        <v>525.6</v>
      </c>
      <c r="G196" s="1">
        <v>205.02</v>
      </c>
      <c r="H196" s="2">
        <v>72</v>
      </c>
      <c r="I196" s="2">
        <v>2</v>
      </c>
    </row>
    <row r="197" spans="1:9" x14ac:dyDescent="0.25">
      <c r="A197" t="s">
        <v>140</v>
      </c>
      <c r="B197" t="s">
        <v>141</v>
      </c>
      <c r="C197" t="s">
        <v>11</v>
      </c>
      <c r="D197" s="1">
        <v>536.78</v>
      </c>
      <c r="E197" s="2">
        <v>26</v>
      </c>
      <c r="F197" s="1">
        <v>618.84</v>
      </c>
      <c r="G197" s="1">
        <v>368.94</v>
      </c>
      <c r="H197" s="2">
        <v>30</v>
      </c>
      <c r="I197" t="s">
        <v>81</v>
      </c>
    </row>
    <row r="198" spans="1:9" x14ac:dyDescent="0.25">
      <c r="A198" t="s">
        <v>106</v>
      </c>
      <c r="B198" t="s">
        <v>107</v>
      </c>
      <c r="C198" t="s">
        <v>28</v>
      </c>
      <c r="D198" s="1">
        <v>533.26</v>
      </c>
      <c r="E198" s="2">
        <v>31</v>
      </c>
      <c r="F198" s="1">
        <v>550.35</v>
      </c>
      <c r="G198" s="1">
        <v>263.88</v>
      </c>
      <c r="H198" s="2">
        <v>32</v>
      </c>
      <c r="I198" s="2">
        <v>2</v>
      </c>
    </row>
    <row r="199" spans="1:9" x14ac:dyDescent="0.25">
      <c r="A199" t="s">
        <v>100</v>
      </c>
      <c r="B199" t="s">
        <v>101</v>
      </c>
      <c r="C199" t="s">
        <v>28</v>
      </c>
      <c r="D199" s="1">
        <v>532.64</v>
      </c>
      <c r="E199" s="2">
        <v>8</v>
      </c>
      <c r="F199" s="1">
        <v>532.64</v>
      </c>
      <c r="G199" s="1">
        <v>448.72</v>
      </c>
      <c r="H199" s="2">
        <v>8</v>
      </c>
      <c r="I199" t="s">
        <v>81</v>
      </c>
    </row>
    <row r="200" spans="1:9" x14ac:dyDescent="0.25">
      <c r="A200" t="s">
        <v>160</v>
      </c>
      <c r="B200" t="s">
        <v>161</v>
      </c>
      <c r="C200" t="s">
        <v>25</v>
      </c>
      <c r="D200" s="1">
        <v>517.02</v>
      </c>
      <c r="E200" s="2">
        <v>42</v>
      </c>
      <c r="F200" s="1">
        <v>504.71</v>
      </c>
      <c r="G200" s="1">
        <v>342.1</v>
      </c>
      <c r="H200" s="2">
        <v>41</v>
      </c>
      <c r="I200" s="2">
        <v>3</v>
      </c>
    </row>
    <row r="201" spans="1:9" x14ac:dyDescent="0.25">
      <c r="A201" t="s">
        <v>98</v>
      </c>
      <c r="B201" t="s">
        <v>99</v>
      </c>
      <c r="C201" t="s">
        <v>25</v>
      </c>
      <c r="D201" s="1">
        <v>491.17</v>
      </c>
      <c r="E201" s="2">
        <v>13</v>
      </c>
      <c r="F201" s="1">
        <v>528.83000000000004</v>
      </c>
      <c r="G201" s="1">
        <v>195.5</v>
      </c>
      <c r="H201" s="2">
        <v>14</v>
      </c>
      <c r="I201" s="2">
        <v>11</v>
      </c>
    </row>
    <row r="202" spans="1:9" x14ac:dyDescent="0.25">
      <c r="A202" t="s">
        <v>186</v>
      </c>
      <c r="B202" t="s">
        <v>187</v>
      </c>
      <c r="C202" t="s">
        <v>11</v>
      </c>
      <c r="D202" s="1">
        <v>490.2</v>
      </c>
      <c r="E202" s="2">
        <v>20</v>
      </c>
      <c r="F202" s="1">
        <v>514.71</v>
      </c>
      <c r="G202" s="1">
        <v>415.2</v>
      </c>
      <c r="H202" s="2">
        <v>21</v>
      </c>
      <c r="I202" s="2">
        <v>1</v>
      </c>
    </row>
    <row r="203" spans="1:9" x14ac:dyDescent="0.25">
      <c r="A203" t="s">
        <v>45</v>
      </c>
      <c r="B203" t="s">
        <v>46</v>
      </c>
      <c r="C203" t="s">
        <v>28</v>
      </c>
      <c r="D203" s="1">
        <v>478.72</v>
      </c>
      <c r="E203" s="2">
        <v>34</v>
      </c>
      <c r="F203" s="1">
        <v>464.64</v>
      </c>
      <c r="G203" s="1">
        <v>354.32</v>
      </c>
      <c r="H203" s="2">
        <v>33</v>
      </c>
      <c r="I203" t="s">
        <v>81</v>
      </c>
    </row>
    <row r="204" spans="1:9" x14ac:dyDescent="0.25">
      <c r="A204" t="s">
        <v>228</v>
      </c>
      <c r="B204" t="s">
        <v>229</v>
      </c>
      <c r="C204" t="s">
        <v>11</v>
      </c>
      <c r="D204" s="1">
        <v>477.88</v>
      </c>
      <c r="E204" s="2">
        <v>23</v>
      </c>
      <c r="F204" s="1">
        <v>477.88</v>
      </c>
      <c r="G204" s="1">
        <v>316.48</v>
      </c>
      <c r="H204" s="2">
        <v>23</v>
      </c>
      <c r="I204" s="2">
        <v>1</v>
      </c>
    </row>
    <row r="205" spans="1:9" x14ac:dyDescent="0.25">
      <c r="A205" t="s">
        <v>212</v>
      </c>
      <c r="B205" t="s">
        <v>213</v>
      </c>
      <c r="C205" t="s">
        <v>25</v>
      </c>
      <c r="D205" s="1">
        <v>469.49</v>
      </c>
      <c r="E205" s="2">
        <v>19</v>
      </c>
      <c r="F205" s="1">
        <v>494.2</v>
      </c>
      <c r="G205" s="1">
        <v>501.94</v>
      </c>
      <c r="H205" s="2">
        <v>20</v>
      </c>
      <c r="I205" s="2">
        <v>8</v>
      </c>
    </row>
    <row r="206" spans="1:9" x14ac:dyDescent="0.25">
      <c r="A206" t="s">
        <v>140</v>
      </c>
      <c r="B206" t="s">
        <v>141</v>
      </c>
      <c r="C206" t="s">
        <v>16</v>
      </c>
      <c r="D206" s="1">
        <v>468.16</v>
      </c>
      <c r="E206" s="2">
        <v>28</v>
      </c>
      <c r="F206" s="1">
        <v>451.44</v>
      </c>
      <c r="G206" s="1">
        <v>365.63</v>
      </c>
      <c r="H206" s="2">
        <v>27</v>
      </c>
      <c r="I206" s="2">
        <v>2</v>
      </c>
    </row>
    <row r="207" spans="1:9" x14ac:dyDescent="0.25">
      <c r="A207" t="s">
        <v>230</v>
      </c>
      <c r="B207" t="s">
        <v>231</v>
      </c>
      <c r="C207" t="s">
        <v>11</v>
      </c>
      <c r="D207" s="1">
        <v>465.69</v>
      </c>
      <c r="E207" s="2">
        <v>19</v>
      </c>
      <c r="F207" s="1">
        <v>465.69</v>
      </c>
      <c r="G207" s="1">
        <v>263.16000000000003</v>
      </c>
      <c r="H207" s="2">
        <v>19</v>
      </c>
      <c r="I207" s="2">
        <v>4</v>
      </c>
    </row>
    <row r="208" spans="1:9" x14ac:dyDescent="0.25">
      <c r="A208" t="s">
        <v>100</v>
      </c>
      <c r="B208" t="s">
        <v>101</v>
      </c>
      <c r="C208" t="s">
        <v>25</v>
      </c>
      <c r="D208" s="1">
        <v>462.21</v>
      </c>
      <c r="E208" s="2">
        <v>7</v>
      </c>
      <c r="F208" s="1">
        <v>462.21</v>
      </c>
      <c r="G208" s="1">
        <v>391.92</v>
      </c>
      <c r="H208" s="2">
        <v>7</v>
      </c>
      <c r="I208" s="2">
        <v>2</v>
      </c>
    </row>
    <row r="209" spans="1:9" x14ac:dyDescent="0.25">
      <c r="A209" t="s">
        <v>198</v>
      </c>
      <c r="B209" t="s">
        <v>199</v>
      </c>
      <c r="C209" t="s">
        <v>25</v>
      </c>
      <c r="D209" s="1">
        <v>460.6</v>
      </c>
      <c r="E209" s="2">
        <v>28</v>
      </c>
      <c r="F209" s="1">
        <v>427.7</v>
      </c>
      <c r="G209" s="1">
        <v>195</v>
      </c>
      <c r="H209" s="2">
        <v>26</v>
      </c>
      <c r="I209" t="s">
        <v>81</v>
      </c>
    </row>
    <row r="210" spans="1:9" x14ac:dyDescent="0.25">
      <c r="A210" t="s">
        <v>232</v>
      </c>
      <c r="B210" t="s">
        <v>233</v>
      </c>
      <c r="C210" t="s">
        <v>28</v>
      </c>
      <c r="D210" s="1">
        <v>458.26</v>
      </c>
      <c r="E210" s="2">
        <v>11</v>
      </c>
      <c r="F210" s="1">
        <v>374.94</v>
      </c>
      <c r="G210" s="1">
        <v>298.02</v>
      </c>
      <c r="H210" s="2">
        <v>9</v>
      </c>
      <c r="I210" s="2">
        <v>3</v>
      </c>
    </row>
    <row r="211" spans="1:9" x14ac:dyDescent="0.25">
      <c r="A211" t="s">
        <v>47</v>
      </c>
      <c r="B211" t="s">
        <v>48</v>
      </c>
      <c r="C211" t="s">
        <v>28</v>
      </c>
      <c r="D211" s="1">
        <v>448.56</v>
      </c>
      <c r="E211" s="2">
        <v>18</v>
      </c>
      <c r="F211" s="1">
        <v>423.64</v>
      </c>
      <c r="G211" s="1">
        <v>268.94</v>
      </c>
      <c r="H211" s="2">
        <v>17</v>
      </c>
      <c r="I211" s="2">
        <v>3</v>
      </c>
    </row>
    <row r="212" spans="1:9" x14ac:dyDescent="0.25">
      <c r="A212" t="s">
        <v>234</v>
      </c>
      <c r="B212" t="s">
        <v>235</v>
      </c>
      <c r="C212" t="s">
        <v>25</v>
      </c>
      <c r="D212" s="1">
        <v>432.41</v>
      </c>
      <c r="E212" s="2">
        <v>13</v>
      </c>
      <c r="F212" s="1">
        <v>432.41</v>
      </c>
      <c r="G212" s="1">
        <v>372.84</v>
      </c>
      <c r="H212" s="2">
        <v>13</v>
      </c>
      <c r="I212" s="2">
        <v>2</v>
      </c>
    </row>
    <row r="213" spans="1:9" x14ac:dyDescent="0.25">
      <c r="A213" t="s">
        <v>86</v>
      </c>
      <c r="B213" t="s">
        <v>87</v>
      </c>
      <c r="C213" t="s">
        <v>25</v>
      </c>
      <c r="D213" s="1">
        <v>427</v>
      </c>
      <c r="E213" s="2">
        <v>14</v>
      </c>
      <c r="F213" s="1">
        <v>427</v>
      </c>
      <c r="G213" s="1">
        <v>272.19</v>
      </c>
      <c r="H213" s="2">
        <v>14</v>
      </c>
      <c r="I213" t="s">
        <v>81</v>
      </c>
    </row>
    <row r="214" spans="1:9" x14ac:dyDescent="0.25">
      <c r="A214" t="s">
        <v>236</v>
      </c>
      <c r="B214" t="s">
        <v>237</v>
      </c>
      <c r="C214" t="s">
        <v>28</v>
      </c>
      <c r="D214" s="1">
        <v>415.8</v>
      </c>
      <c r="E214" s="2">
        <v>10</v>
      </c>
      <c r="F214" s="1">
        <v>374.22</v>
      </c>
      <c r="G214" s="1">
        <v>276.19</v>
      </c>
      <c r="H214" s="2">
        <v>9</v>
      </c>
      <c r="I214" s="2">
        <v>1</v>
      </c>
    </row>
    <row r="215" spans="1:9" x14ac:dyDescent="0.25">
      <c r="A215" t="s">
        <v>238</v>
      </c>
      <c r="B215" t="s">
        <v>239</v>
      </c>
      <c r="C215" t="s">
        <v>28</v>
      </c>
      <c r="D215" s="1">
        <v>414.5</v>
      </c>
      <c r="E215" s="2">
        <v>25</v>
      </c>
      <c r="F215" s="1">
        <v>447.66</v>
      </c>
      <c r="G215" s="1">
        <v>225.72</v>
      </c>
      <c r="H215" s="2">
        <v>27</v>
      </c>
      <c r="I215" t="s">
        <v>81</v>
      </c>
    </row>
    <row r="216" spans="1:9" x14ac:dyDescent="0.25">
      <c r="A216" t="s">
        <v>240</v>
      </c>
      <c r="B216" t="s">
        <v>241</v>
      </c>
      <c r="C216" t="s">
        <v>16</v>
      </c>
      <c r="D216" s="1">
        <v>409.42</v>
      </c>
      <c r="E216" s="2">
        <v>10</v>
      </c>
      <c r="F216" s="1">
        <v>369.4</v>
      </c>
      <c r="G216" s="1">
        <v>828</v>
      </c>
      <c r="H216" s="2">
        <v>9</v>
      </c>
      <c r="I216" t="s">
        <v>81</v>
      </c>
    </row>
    <row r="217" spans="1:9" x14ac:dyDescent="0.25">
      <c r="A217" t="s">
        <v>242</v>
      </c>
      <c r="B217" t="s">
        <v>243</v>
      </c>
      <c r="C217" t="s">
        <v>11</v>
      </c>
      <c r="D217" s="1">
        <v>401.1</v>
      </c>
      <c r="E217" s="2">
        <v>7</v>
      </c>
      <c r="F217" s="1">
        <v>401.1</v>
      </c>
      <c r="G217" s="1">
        <v>314.16000000000003</v>
      </c>
      <c r="H217" s="2">
        <v>7</v>
      </c>
      <c r="I217" s="2">
        <v>1</v>
      </c>
    </row>
    <row r="218" spans="1:9" x14ac:dyDescent="0.25">
      <c r="A218" t="s">
        <v>244</v>
      </c>
      <c r="B218" t="s">
        <v>245</v>
      </c>
      <c r="C218" t="s">
        <v>11</v>
      </c>
      <c r="D218" s="1">
        <v>392.16</v>
      </c>
      <c r="E218" s="2">
        <v>16</v>
      </c>
      <c r="F218" s="1">
        <v>367.65</v>
      </c>
      <c r="G218" s="1">
        <v>417.6</v>
      </c>
      <c r="H218" s="2">
        <v>15</v>
      </c>
      <c r="I218" t="s">
        <v>81</v>
      </c>
    </row>
    <row r="219" spans="1:9" x14ac:dyDescent="0.25">
      <c r="A219" t="s">
        <v>246</v>
      </c>
      <c r="B219" t="s">
        <v>247</v>
      </c>
      <c r="C219" t="s">
        <v>11</v>
      </c>
      <c r="D219" s="1">
        <v>390.72</v>
      </c>
      <c r="E219" s="2">
        <v>32</v>
      </c>
      <c r="F219" s="1">
        <v>390.72</v>
      </c>
      <c r="G219" s="1">
        <v>239.38</v>
      </c>
      <c r="H219" s="2">
        <v>32</v>
      </c>
      <c r="I219" s="2">
        <v>5</v>
      </c>
    </row>
    <row r="220" spans="1:9" x14ac:dyDescent="0.25">
      <c r="A220" t="s">
        <v>134</v>
      </c>
      <c r="B220" t="s">
        <v>135</v>
      </c>
      <c r="C220" t="s">
        <v>28</v>
      </c>
      <c r="D220" s="1">
        <v>381.5</v>
      </c>
      <c r="E220" s="2">
        <v>8</v>
      </c>
      <c r="F220" s="1">
        <v>381.5</v>
      </c>
      <c r="G220" s="1">
        <v>241.34</v>
      </c>
      <c r="H220" s="2">
        <v>8</v>
      </c>
      <c r="I220" t="s">
        <v>81</v>
      </c>
    </row>
    <row r="221" spans="1:9" x14ac:dyDescent="0.25">
      <c r="A221" t="s">
        <v>248</v>
      </c>
      <c r="B221" t="s">
        <v>249</v>
      </c>
      <c r="C221" t="s">
        <v>11</v>
      </c>
      <c r="D221" s="1">
        <v>367.65</v>
      </c>
      <c r="E221" s="2">
        <v>15</v>
      </c>
      <c r="F221" s="1">
        <v>392.16</v>
      </c>
      <c r="G221" s="1">
        <v>319.10000000000002</v>
      </c>
      <c r="H221" s="2">
        <v>16</v>
      </c>
      <c r="I221" s="2">
        <v>2</v>
      </c>
    </row>
    <row r="222" spans="1:9" x14ac:dyDescent="0.25">
      <c r="A222" t="s">
        <v>250</v>
      </c>
      <c r="B222" t="s">
        <v>251</v>
      </c>
      <c r="C222" t="s">
        <v>11</v>
      </c>
      <c r="D222" s="1">
        <v>364.33</v>
      </c>
      <c r="E222" s="2">
        <v>7</v>
      </c>
      <c r="F222" s="1">
        <v>364.33</v>
      </c>
      <c r="G222" s="1">
        <v>283.5</v>
      </c>
      <c r="H222" s="2">
        <v>7</v>
      </c>
      <c r="I222" t="s">
        <v>81</v>
      </c>
    </row>
    <row r="223" spans="1:9" x14ac:dyDescent="0.25">
      <c r="A223" t="s">
        <v>252</v>
      </c>
      <c r="B223" t="s">
        <v>253</v>
      </c>
      <c r="C223" t="s">
        <v>11</v>
      </c>
      <c r="D223" s="1">
        <v>358.82</v>
      </c>
      <c r="E223" s="2">
        <v>22</v>
      </c>
      <c r="F223" s="1">
        <v>375.13</v>
      </c>
      <c r="G223" s="1">
        <v>320.27999999999997</v>
      </c>
      <c r="H223" s="2">
        <v>23</v>
      </c>
      <c r="I223" s="2">
        <v>1</v>
      </c>
    </row>
    <row r="224" spans="1:9" x14ac:dyDescent="0.25">
      <c r="A224" t="s">
        <v>254</v>
      </c>
      <c r="B224" t="s">
        <v>255</v>
      </c>
      <c r="C224" t="s">
        <v>11</v>
      </c>
      <c r="D224" s="1">
        <v>352.02</v>
      </c>
      <c r="E224" s="2">
        <v>50</v>
      </c>
      <c r="F224" s="1">
        <v>345.54</v>
      </c>
      <c r="G224" s="1">
        <v>167.58</v>
      </c>
      <c r="H224" s="2">
        <v>49</v>
      </c>
      <c r="I224" t="s">
        <v>81</v>
      </c>
    </row>
    <row r="225" spans="1:9" x14ac:dyDescent="0.25">
      <c r="A225" t="s">
        <v>256</v>
      </c>
      <c r="B225" t="s">
        <v>257</v>
      </c>
      <c r="C225" t="s">
        <v>16</v>
      </c>
      <c r="D225" s="1">
        <v>345.29</v>
      </c>
      <c r="E225" s="2">
        <v>11</v>
      </c>
      <c r="F225" s="1">
        <v>345.29</v>
      </c>
      <c r="G225" s="1">
        <v>236.5</v>
      </c>
      <c r="H225" s="2">
        <v>11</v>
      </c>
      <c r="I225" s="2">
        <v>3</v>
      </c>
    </row>
    <row r="226" spans="1:9" x14ac:dyDescent="0.25">
      <c r="A226" t="s">
        <v>258</v>
      </c>
      <c r="B226" t="s">
        <v>259</v>
      </c>
      <c r="C226" t="s">
        <v>16</v>
      </c>
      <c r="D226" s="1">
        <v>343.72</v>
      </c>
      <c r="E226" s="2">
        <v>15</v>
      </c>
      <c r="F226" s="1">
        <v>367.29</v>
      </c>
      <c r="G226" s="1">
        <v>356.32</v>
      </c>
      <c r="H226" s="2">
        <v>16</v>
      </c>
      <c r="I226" s="2">
        <v>1</v>
      </c>
    </row>
    <row r="227" spans="1:9" x14ac:dyDescent="0.25">
      <c r="A227" t="s">
        <v>252</v>
      </c>
      <c r="B227" t="s">
        <v>253</v>
      </c>
      <c r="C227" t="s">
        <v>16</v>
      </c>
      <c r="D227" s="1">
        <v>334.4</v>
      </c>
      <c r="E227" s="2">
        <v>20</v>
      </c>
      <c r="F227" s="1">
        <v>334.4</v>
      </c>
      <c r="G227" s="1">
        <v>285</v>
      </c>
      <c r="H227" s="2">
        <v>20</v>
      </c>
      <c r="I227" s="2">
        <v>2</v>
      </c>
    </row>
    <row r="228" spans="1:9" x14ac:dyDescent="0.25">
      <c r="A228" t="s">
        <v>134</v>
      </c>
      <c r="B228" t="s">
        <v>135</v>
      </c>
      <c r="C228" t="s">
        <v>25</v>
      </c>
      <c r="D228" s="1">
        <v>333.99</v>
      </c>
      <c r="E228" s="2">
        <v>9</v>
      </c>
      <c r="F228" s="1">
        <v>408.21</v>
      </c>
      <c r="G228" s="1">
        <v>274.18</v>
      </c>
      <c r="H228" s="2">
        <v>11</v>
      </c>
      <c r="I228" s="2">
        <v>4</v>
      </c>
    </row>
    <row r="229" spans="1:9" x14ac:dyDescent="0.25">
      <c r="A229" t="s">
        <v>186</v>
      </c>
      <c r="B229" t="s">
        <v>187</v>
      </c>
      <c r="C229" t="s">
        <v>207</v>
      </c>
      <c r="D229" s="1">
        <v>328.21</v>
      </c>
      <c r="E229" s="2">
        <v>10</v>
      </c>
      <c r="F229" s="1">
        <v>328.21</v>
      </c>
      <c r="G229" s="1">
        <v>259.88</v>
      </c>
      <c r="H229" s="2">
        <v>10</v>
      </c>
      <c r="I229" s="2">
        <v>5</v>
      </c>
    </row>
    <row r="230" spans="1:9" x14ac:dyDescent="0.25">
      <c r="A230" t="s">
        <v>260</v>
      </c>
      <c r="B230" t="s">
        <v>261</v>
      </c>
      <c r="C230" t="s">
        <v>11</v>
      </c>
      <c r="D230" s="1">
        <v>327.45</v>
      </c>
      <c r="E230" s="2">
        <v>5</v>
      </c>
      <c r="F230" s="1">
        <v>327.45</v>
      </c>
      <c r="G230" s="1">
        <v>236.7</v>
      </c>
      <c r="H230" s="2">
        <v>5</v>
      </c>
      <c r="I230" s="2">
        <v>2</v>
      </c>
    </row>
    <row r="231" spans="1:9" x14ac:dyDescent="0.25">
      <c r="A231" t="s">
        <v>262</v>
      </c>
      <c r="B231" t="s">
        <v>263</v>
      </c>
      <c r="C231" t="s">
        <v>11</v>
      </c>
      <c r="D231" s="1">
        <v>325.83999999999997</v>
      </c>
      <c r="E231" s="2">
        <v>20</v>
      </c>
      <c r="F231" s="1">
        <v>325.83999999999997</v>
      </c>
      <c r="G231" s="1">
        <v>381.96</v>
      </c>
      <c r="H231" s="2">
        <v>20</v>
      </c>
      <c r="I231" t="s">
        <v>81</v>
      </c>
    </row>
    <row r="232" spans="1:9" x14ac:dyDescent="0.25">
      <c r="A232" t="s">
        <v>264</v>
      </c>
      <c r="B232" t="s">
        <v>265</v>
      </c>
      <c r="C232" t="s">
        <v>11</v>
      </c>
      <c r="D232" s="1">
        <v>324.39999999999998</v>
      </c>
      <c r="E232" s="2">
        <v>40</v>
      </c>
      <c r="F232" s="1">
        <v>340.62</v>
      </c>
      <c r="G232" s="1">
        <v>210</v>
      </c>
      <c r="H232" s="2">
        <v>42</v>
      </c>
      <c r="I232" t="s">
        <v>81</v>
      </c>
    </row>
    <row r="233" spans="1:9" x14ac:dyDescent="0.25">
      <c r="A233" t="s">
        <v>41</v>
      </c>
      <c r="B233" t="s">
        <v>42</v>
      </c>
      <c r="C233" t="s">
        <v>25</v>
      </c>
      <c r="D233" s="1">
        <v>317.95</v>
      </c>
      <c r="E233" s="2">
        <v>23</v>
      </c>
      <c r="F233" s="1">
        <v>303.98</v>
      </c>
      <c r="G233" s="1">
        <v>237.9</v>
      </c>
      <c r="H233" s="2">
        <v>22</v>
      </c>
      <c r="I233" s="2">
        <v>1</v>
      </c>
    </row>
    <row r="234" spans="1:9" x14ac:dyDescent="0.25">
      <c r="A234" t="s">
        <v>156</v>
      </c>
      <c r="B234" t="s">
        <v>157</v>
      </c>
      <c r="C234" t="s">
        <v>25</v>
      </c>
      <c r="D234" s="1">
        <v>316.87</v>
      </c>
      <c r="E234" s="2">
        <v>11</v>
      </c>
      <c r="F234" s="1">
        <v>288.47000000000003</v>
      </c>
      <c r="G234" s="1">
        <v>184.75</v>
      </c>
      <c r="H234" s="2">
        <v>10</v>
      </c>
      <c r="I234" s="2">
        <v>1</v>
      </c>
    </row>
    <row r="235" spans="1:9" x14ac:dyDescent="0.25">
      <c r="A235" t="s">
        <v>26</v>
      </c>
      <c r="B235" t="s">
        <v>27</v>
      </c>
      <c r="C235" t="s">
        <v>266</v>
      </c>
      <c r="D235" s="1">
        <v>315.62</v>
      </c>
      <c r="E235" s="2">
        <v>10</v>
      </c>
      <c r="F235" s="1">
        <v>315.62</v>
      </c>
      <c r="G235" s="1">
        <v>180</v>
      </c>
      <c r="H235" s="2">
        <v>10</v>
      </c>
      <c r="I235" s="2">
        <v>1</v>
      </c>
    </row>
    <row r="236" spans="1:9" x14ac:dyDescent="0.25">
      <c r="A236" t="s">
        <v>222</v>
      </c>
      <c r="B236" t="s">
        <v>223</v>
      </c>
      <c r="C236" t="s">
        <v>25</v>
      </c>
      <c r="D236" s="1">
        <v>313.69</v>
      </c>
      <c r="E236" s="2">
        <v>3</v>
      </c>
      <c r="F236" s="1">
        <v>313.69</v>
      </c>
      <c r="G236" s="1">
        <v>246</v>
      </c>
      <c r="H236" s="2">
        <v>3</v>
      </c>
      <c r="I236" s="2">
        <v>1</v>
      </c>
    </row>
    <row r="237" spans="1:9" x14ac:dyDescent="0.25">
      <c r="A237" t="s">
        <v>104</v>
      </c>
      <c r="B237" t="s">
        <v>105</v>
      </c>
      <c r="C237" t="s">
        <v>25</v>
      </c>
      <c r="D237" s="1">
        <v>312.3</v>
      </c>
      <c r="E237" s="2">
        <v>5</v>
      </c>
      <c r="F237" s="1">
        <v>312.3</v>
      </c>
      <c r="G237" s="1">
        <v>337.5</v>
      </c>
      <c r="H237" s="2">
        <v>5</v>
      </c>
      <c r="I237" t="s">
        <v>81</v>
      </c>
    </row>
    <row r="238" spans="1:9" x14ac:dyDescent="0.25">
      <c r="A238" t="s">
        <v>164</v>
      </c>
      <c r="B238" t="s">
        <v>165</v>
      </c>
      <c r="C238" t="s">
        <v>28</v>
      </c>
      <c r="D238" s="1">
        <v>300.2</v>
      </c>
      <c r="E238" s="2">
        <v>5</v>
      </c>
      <c r="F238" s="1">
        <v>300.2</v>
      </c>
      <c r="G238" s="1">
        <v>162.1</v>
      </c>
      <c r="H238" s="2">
        <v>5</v>
      </c>
      <c r="I238" t="s">
        <v>81</v>
      </c>
    </row>
    <row r="239" spans="1:9" x14ac:dyDescent="0.25">
      <c r="A239" t="s">
        <v>222</v>
      </c>
      <c r="B239" t="s">
        <v>223</v>
      </c>
      <c r="C239" t="s">
        <v>28</v>
      </c>
      <c r="D239" s="1">
        <v>299.08</v>
      </c>
      <c r="E239" s="2">
        <v>3</v>
      </c>
      <c r="F239" s="1">
        <v>299.08</v>
      </c>
      <c r="G239" s="1">
        <v>210.39</v>
      </c>
      <c r="H239" s="2">
        <v>3</v>
      </c>
      <c r="I239" t="s">
        <v>81</v>
      </c>
    </row>
    <row r="240" spans="1:9" x14ac:dyDescent="0.25">
      <c r="A240" t="s">
        <v>224</v>
      </c>
      <c r="B240" t="s">
        <v>225</v>
      </c>
      <c r="C240" t="s">
        <v>25</v>
      </c>
      <c r="D240" s="1">
        <v>293.82</v>
      </c>
      <c r="E240" s="2">
        <v>18</v>
      </c>
      <c r="F240" s="1">
        <v>278.83999999999997</v>
      </c>
      <c r="G240" s="1">
        <v>174.91</v>
      </c>
      <c r="H240" s="2">
        <v>17</v>
      </c>
      <c r="I240" s="2">
        <v>6</v>
      </c>
    </row>
    <row r="241" spans="1:9" x14ac:dyDescent="0.25">
      <c r="A241" t="s">
        <v>65</v>
      </c>
      <c r="B241" t="s">
        <v>66</v>
      </c>
      <c r="C241" t="s">
        <v>266</v>
      </c>
      <c r="D241" s="1">
        <v>289.38</v>
      </c>
      <c r="E241" s="2">
        <v>11</v>
      </c>
      <c r="F241" s="1">
        <v>289.38</v>
      </c>
      <c r="G241" s="1">
        <v>205.92</v>
      </c>
      <c r="H241" s="2">
        <v>11</v>
      </c>
      <c r="I241" t="s">
        <v>81</v>
      </c>
    </row>
    <row r="242" spans="1:9" x14ac:dyDescent="0.25">
      <c r="A242" t="s">
        <v>176</v>
      </c>
      <c r="B242" t="s">
        <v>177</v>
      </c>
      <c r="C242" t="s">
        <v>25</v>
      </c>
      <c r="D242" s="1">
        <v>288.55</v>
      </c>
      <c r="E242" s="2">
        <v>5</v>
      </c>
      <c r="F242" s="1">
        <v>227.55</v>
      </c>
      <c r="G242" s="1">
        <v>195.04</v>
      </c>
      <c r="H242" s="2">
        <v>4</v>
      </c>
      <c r="I242" t="s">
        <v>81</v>
      </c>
    </row>
    <row r="243" spans="1:9" x14ac:dyDescent="0.25">
      <c r="A243" t="s">
        <v>96</v>
      </c>
      <c r="B243" t="s">
        <v>97</v>
      </c>
      <c r="C243" t="s">
        <v>25</v>
      </c>
      <c r="D243" s="1">
        <v>288.48</v>
      </c>
      <c r="E243" s="2">
        <v>19</v>
      </c>
      <c r="F243" s="1">
        <v>392.9</v>
      </c>
      <c r="G243" s="1">
        <v>276.55</v>
      </c>
      <c r="H243" s="2">
        <v>26</v>
      </c>
      <c r="I243" s="2">
        <v>7</v>
      </c>
    </row>
    <row r="244" spans="1:9" x14ac:dyDescent="0.25">
      <c r="A244" t="s">
        <v>71</v>
      </c>
      <c r="B244" t="s">
        <v>72</v>
      </c>
      <c r="C244" t="s">
        <v>16</v>
      </c>
      <c r="D244" s="1">
        <v>285.26</v>
      </c>
      <c r="E244" s="2">
        <v>10</v>
      </c>
      <c r="F244" s="1">
        <v>285.26</v>
      </c>
      <c r="G244" s="1">
        <v>153.21</v>
      </c>
      <c r="H244" s="2">
        <v>10</v>
      </c>
      <c r="I244" t="s">
        <v>81</v>
      </c>
    </row>
    <row r="245" spans="1:9" x14ac:dyDescent="0.25">
      <c r="A245" t="s">
        <v>65</v>
      </c>
      <c r="B245" t="s">
        <v>66</v>
      </c>
      <c r="C245" t="s">
        <v>207</v>
      </c>
      <c r="D245" s="1">
        <v>283.41000000000003</v>
      </c>
      <c r="E245" s="2">
        <v>11</v>
      </c>
      <c r="F245" s="1">
        <v>316.58999999999997</v>
      </c>
      <c r="G245" s="1">
        <v>253.35</v>
      </c>
      <c r="H245" s="2">
        <v>12</v>
      </c>
      <c r="I245" t="s">
        <v>81</v>
      </c>
    </row>
    <row r="246" spans="1:9" x14ac:dyDescent="0.25">
      <c r="A246" t="s">
        <v>238</v>
      </c>
      <c r="B246" t="s">
        <v>239</v>
      </c>
      <c r="C246" t="s">
        <v>25</v>
      </c>
      <c r="D246" s="1">
        <v>283.13</v>
      </c>
      <c r="E246" s="2">
        <v>23</v>
      </c>
      <c r="F246" s="1">
        <v>307.75</v>
      </c>
      <c r="G246" s="1">
        <v>203.28</v>
      </c>
      <c r="H246" s="2">
        <v>25</v>
      </c>
      <c r="I246" s="2">
        <v>2</v>
      </c>
    </row>
    <row r="247" spans="1:9" x14ac:dyDescent="0.25">
      <c r="A247" t="s">
        <v>236</v>
      </c>
      <c r="B247" t="s">
        <v>237</v>
      </c>
      <c r="C247" t="s">
        <v>11</v>
      </c>
      <c r="D247" s="1">
        <v>276.7</v>
      </c>
      <c r="E247" s="2">
        <v>7</v>
      </c>
      <c r="F247" s="1">
        <v>276.7</v>
      </c>
      <c r="G247" s="1">
        <v>211.57</v>
      </c>
      <c r="H247" s="2">
        <v>7</v>
      </c>
      <c r="I247" t="s">
        <v>81</v>
      </c>
    </row>
    <row r="248" spans="1:9" x14ac:dyDescent="0.25">
      <c r="A248" t="s">
        <v>86</v>
      </c>
      <c r="B248" t="s">
        <v>87</v>
      </c>
      <c r="C248" t="s">
        <v>266</v>
      </c>
      <c r="D248" s="1">
        <v>271.81</v>
      </c>
      <c r="E248" s="2">
        <v>11</v>
      </c>
      <c r="F248" s="1">
        <v>222.39</v>
      </c>
      <c r="G248" s="1">
        <v>189.47</v>
      </c>
      <c r="H248" s="2">
        <v>9</v>
      </c>
      <c r="I248" t="s">
        <v>81</v>
      </c>
    </row>
    <row r="249" spans="1:9" x14ac:dyDescent="0.25">
      <c r="A249" t="s">
        <v>220</v>
      </c>
      <c r="B249" t="s">
        <v>221</v>
      </c>
      <c r="C249" t="s">
        <v>28</v>
      </c>
      <c r="D249" s="1">
        <v>265.27999999999997</v>
      </c>
      <c r="E249" s="2">
        <v>16</v>
      </c>
      <c r="F249" s="1">
        <v>265.27999999999997</v>
      </c>
      <c r="G249" s="1">
        <v>187.2</v>
      </c>
      <c r="H249" s="2">
        <v>16</v>
      </c>
      <c r="I249" s="2">
        <v>2</v>
      </c>
    </row>
    <row r="250" spans="1:9" x14ac:dyDescent="0.25">
      <c r="A250" t="s">
        <v>29</v>
      </c>
      <c r="B250" t="s">
        <v>30</v>
      </c>
      <c r="C250" t="s">
        <v>25</v>
      </c>
      <c r="D250" s="1">
        <v>263.2</v>
      </c>
      <c r="E250" s="2">
        <v>16</v>
      </c>
      <c r="F250" s="1">
        <v>246.75</v>
      </c>
      <c r="G250" s="1">
        <v>206.68</v>
      </c>
      <c r="H250" s="2">
        <v>15</v>
      </c>
      <c r="I250" t="s">
        <v>81</v>
      </c>
    </row>
    <row r="251" spans="1:9" x14ac:dyDescent="0.25">
      <c r="A251" t="s">
        <v>267</v>
      </c>
      <c r="B251" t="s">
        <v>268</v>
      </c>
      <c r="C251" t="s">
        <v>11</v>
      </c>
      <c r="D251" s="1">
        <v>252.19</v>
      </c>
      <c r="E251" s="2">
        <v>19</v>
      </c>
      <c r="F251" s="1">
        <v>249.94</v>
      </c>
      <c r="G251" s="1">
        <v>117.14</v>
      </c>
      <c r="H251" s="2">
        <v>19</v>
      </c>
      <c r="I251" s="2">
        <v>8</v>
      </c>
    </row>
    <row r="252" spans="1:9" x14ac:dyDescent="0.25">
      <c r="A252" t="s">
        <v>269</v>
      </c>
      <c r="B252" t="s">
        <v>270</v>
      </c>
      <c r="C252" t="s">
        <v>207</v>
      </c>
      <c r="D252" s="1">
        <v>249.72</v>
      </c>
      <c r="E252" s="2">
        <v>20</v>
      </c>
      <c r="F252" s="1">
        <v>316.45</v>
      </c>
      <c r="G252" s="1">
        <v>104.09</v>
      </c>
      <c r="H252" s="2">
        <v>25</v>
      </c>
      <c r="I252" s="2">
        <v>1</v>
      </c>
    </row>
    <row r="253" spans="1:9" x14ac:dyDescent="0.25">
      <c r="A253" t="s">
        <v>224</v>
      </c>
      <c r="B253" t="s">
        <v>225</v>
      </c>
      <c r="C253" t="s">
        <v>28</v>
      </c>
      <c r="D253" s="1">
        <v>246.88</v>
      </c>
      <c r="E253" s="2">
        <v>15</v>
      </c>
      <c r="F253" s="1">
        <v>231.3</v>
      </c>
      <c r="G253" s="1">
        <v>116.37</v>
      </c>
      <c r="H253" s="2">
        <v>14</v>
      </c>
      <c r="I253" s="2">
        <v>2</v>
      </c>
    </row>
    <row r="254" spans="1:9" x14ac:dyDescent="0.25">
      <c r="A254" t="s">
        <v>252</v>
      </c>
      <c r="B254" t="s">
        <v>253</v>
      </c>
      <c r="C254" t="s">
        <v>25</v>
      </c>
      <c r="D254" s="1">
        <v>246.75</v>
      </c>
      <c r="E254" s="2">
        <v>15</v>
      </c>
      <c r="F254" s="1">
        <v>246.75</v>
      </c>
      <c r="G254" s="1">
        <v>213.91</v>
      </c>
      <c r="H254" s="2">
        <v>15</v>
      </c>
      <c r="I254" t="s">
        <v>81</v>
      </c>
    </row>
    <row r="255" spans="1:9" x14ac:dyDescent="0.25">
      <c r="A255" t="s">
        <v>258</v>
      </c>
      <c r="B255" t="s">
        <v>259</v>
      </c>
      <c r="C255" t="s">
        <v>28</v>
      </c>
      <c r="D255" s="1">
        <v>239.93</v>
      </c>
      <c r="E255" s="2">
        <v>10</v>
      </c>
      <c r="F255" s="1">
        <v>267.33999999999997</v>
      </c>
      <c r="G255" s="1">
        <v>224.75</v>
      </c>
      <c r="H255" s="2">
        <v>11</v>
      </c>
      <c r="I255" t="s">
        <v>81</v>
      </c>
    </row>
    <row r="256" spans="1:9" x14ac:dyDescent="0.25">
      <c r="A256" t="s">
        <v>205</v>
      </c>
      <c r="B256" t="s">
        <v>206</v>
      </c>
      <c r="C256" t="s">
        <v>11</v>
      </c>
      <c r="D256" s="1">
        <v>238.42</v>
      </c>
      <c r="E256" s="2">
        <v>3</v>
      </c>
      <c r="F256" s="1">
        <v>238.42</v>
      </c>
      <c r="G256" s="1">
        <v>192.85</v>
      </c>
      <c r="H256" s="2">
        <v>3</v>
      </c>
      <c r="I256" t="s">
        <v>81</v>
      </c>
    </row>
    <row r="257" spans="1:9" x14ac:dyDescent="0.25">
      <c r="A257" t="s">
        <v>271</v>
      </c>
      <c r="B257" t="s">
        <v>272</v>
      </c>
      <c r="C257" t="s">
        <v>11</v>
      </c>
      <c r="D257" s="1">
        <v>235.31</v>
      </c>
      <c r="E257" s="2">
        <v>8</v>
      </c>
      <c r="F257" s="1">
        <v>235.31</v>
      </c>
      <c r="G257" s="1">
        <v>200</v>
      </c>
      <c r="H257" s="2">
        <v>8</v>
      </c>
      <c r="I257" s="2">
        <v>3</v>
      </c>
    </row>
    <row r="258" spans="1:9" x14ac:dyDescent="0.25">
      <c r="A258" t="s">
        <v>273</v>
      </c>
      <c r="B258" t="s">
        <v>274</v>
      </c>
      <c r="C258" t="s">
        <v>28</v>
      </c>
      <c r="D258" s="1">
        <v>234.14</v>
      </c>
      <c r="E258" s="2">
        <v>7</v>
      </c>
      <c r="F258" s="1">
        <v>206.61</v>
      </c>
      <c r="G258" s="1">
        <v>85.44</v>
      </c>
      <c r="H258" s="2">
        <v>6</v>
      </c>
      <c r="I258" s="2">
        <v>1</v>
      </c>
    </row>
    <row r="259" spans="1:9" x14ac:dyDescent="0.25">
      <c r="A259" t="s">
        <v>130</v>
      </c>
      <c r="B259" t="s">
        <v>131</v>
      </c>
      <c r="C259" t="s">
        <v>28</v>
      </c>
      <c r="D259" s="1">
        <v>233</v>
      </c>
      <c r="E259" s="2">
        <v>4</v>
      </c>
      <c r="F259" s="1">
        <v>233</v>
      </c>
      <c r="G259" s="1">
        <v>199.4</v>
      </c>
      <c r="H259" s="2">
        <v>4</v>
      </c>
      <c r="I259" t="s">
        <v>81</v>
      </c>
    </row>
    <row r="260" spans="1:9" x14ac:dyDescent="0.25">
      <c r="A260" t="s">
        <v>130</v>
      </c>
      <c r="B260" t="s">
        <v>131</v>
      </c>
      <c r="C260" t="s">
        <v>25</v>
      </c>
      <c r="D260" s="1">
        <v>231.08</v>
      </c>
      <c r="E260" s="2">
        <v>4</v>
      </c>
      <c r="F260" s="1">
        <v>173.31</v>
      </c>
      <c r="G260" s="1">
        <v>153.04</v>
      </c>
      <c r="H260" s="2">
        <v>3</v>
      </c>
      <c r="I260" s="2">
        <v>1</v>
      </c>
    </row>
    <row r="261" spans="1:9" x14ac:dyDescent="0.25">
      <c r="A261" t="s">
        <v>275</v>
      </c>
      <c r="B261" t="s">
        <v>276</v>
      </c>
      <c r="C261" t="s">
        <v>11</v>
      </c>
      <c r="D261" s="1">
        <v>230.68</v>
      </c>
      <c r="E261" s="2">
        <v>24</v>
      </c>
      <c r="F261" s="1">
        <v>230.68</v>
      </c>
      <c r="G261" s="1">
        <v>262.56</v>
      </c>
      <c r="H261" s="2">
        <v>24</v>
      </c>
      <c r="I261" s="2">
        <v>2</v>
      </c>
    </row>
    <row r="262" spans="1:9" x14ac:dyDescent="0.25">
      <c r="A262" t="s">
        <v>90</v>
      </c>
      <c r="B262" t="s">
        <v>91</v>
      </c>
      <c r="C262" t="s">
        <v>28</v>
      </c>
      <c r="D262" s="1">
        <v>229.54</v>
      </c>
      <c r="E262" s="2">
        <v>3</v>
      </c>
      <c r="F262" s="1">
        <v>229.54</v>
      </c>
      <c r="G262" s="1">
        <v>128.52000000000001</v>
      </c>
      <c r="H262" s="2">
        <v>3</v>
      </c>
      <c r="I262" t="s">
        <v>81</v>
      </c>
    </row>
    <row r="263" spans="1:9" x14ac:dyDescent="0.25">
      <c r="A263" t="s">
        <v>277</v>
      </c>
      <c r="B263" t="s">
        <v>278</v>
      </c>
      <c r="C263" t="s">
        <v>11</v>
      </c>
      <c r="D263" s="1">
        <v>228.34</v>
      </c>
      <c r="E263" s="2">
        <v>14</v>
      </c>
      <c r="F263" s="1">
        <v>244.65</v>
      </c>
      <c r="G263" s="1">
        <v>140.09</v>
      </c>
      <c r="H263" s="2">
        <v>15</v>
      </c>
      <c r="I263" t="s">
        <v>81</v>
      </c>
    </row>
    <row r="264" spans="1:9" x14ac:dyDescent="0.25">
      <c r="A264" t="s">
        <v>279</v>
      </c>
      <c r="B264" t="s">
        <v>280</v>
      </c>
      <c r="C264" t="s">
        <v>28</v>
      </c>
      <c r="D264" s="1">
        <v>228.2</v>
      </c>
      <c r="E264" s="2">
        <v>10</v>
      </c>
      <c r="F264" s="1">
        <v>228.2</v>
      </c>
      <c r="G264" s="1">
        <v>154.09</v>
      </c>
      <c r="H264" s="2">
        <v>10</v>
      </c>
      <c r="I264" s="2">
        <v>1</v>
      </c>
    </row>
    <row r="265" spans="1:9" x14ac:dyDescent="0.25">
      <c r="A265" t="s">
        <v>130</v>
      </c>
      <c r="B265" t="s">
        <v>131</v>
      </c>
      <c r="C265" t="s">
        <v>16</v>
      </c>
      <c r="D265" s="1">
        <v>227.68</v>
      </c>
      <c r="E265" s="2">
        <v>4</v>
      </c>
      <c r="F265" s="1">
        <v>227.68</v>
      </c>
      <c r="G265" s="1">
        <v>192.04</v>
      </c>
      <c r="H265" s="2">
        <v>4</v>
      </c>
      <c r="I265" s="2">
        <v>1</v>
      </c>
    </row>
    <row r="266" spans="1:9" x14ac:dyDescent="0.25">
      <c r="A266" t="s">
        <v>281</v>
      </c>
      <c r="B266" t="s">
        <v>282</v>
      </c>
      <c r="C266" t="s">
        <v>11</v>
      </c>
      <c r="D266" s="1">
        <v>227.33</v>
      </c>
      <c r="E266" s="2">
        <v>17</v>
      </c>
      <c r="F266" s="1">
        <v>227.33</v>
      </c>
      <c r="G266" s="1">
        <v>93.67</v>
      </c>
      <c r="H266" s="2">
        <v>17</v>
      </c>
      <c r="I266" t="s">
        <v>81</v>
      </c>
    </row>
    <row r="267" spans="1:9" x14ac:dyDescent="0.25">
      <c r="A267" t="s">
        <v>59</v>
      </c>
      <c r="B267" t="s">
        <v>60</v>
      </c>
      <c r="C267" t="s">
        <v>28</v>
      </c>
      <c r="D267" s="1">
        <v>224.91</v>
      </c>
      <c r="E267" s="2">
        <v>9</v>
      </c>
      <c r="F267" s="1">
        <v>199.92</v>
      </c>
      <c r="G267" s="1">
        <v>122.79</v>
      </c>
      <c r="H267" s="2">
        <v>8</v>
      </c>
      <c r="I267" s="2">
        <v>1</v>
      </c>
    </row>
    <row r="268" spans="1:9" x14ac:dyDescent="0.25">
      <c r="A268" t="s">
        <v>188</v>
      </c>
      <c r="B268" t="s">
        <v>189</v>
      </c>
      <c r="C268" t="s">
        <v>28</v>
      </c>
      <c r="D268" s="1">
        <v>224.28</v>
      </c>
      <c r="E268" s="2">
        <v>9</v>
      </c>
      <c r="F268" s="1">
        <v>224.28</v>
      </c>
      <c r="G268" s="1">
        <v>174.24</v>
      </c>
      <c r="H268" s="2">
        <v>9</v>
      </c>
      <c r="I268" t="s">
        <v>81</v>
      </c>
    </row>
    <row r="269" spans="1:9" x14ac:dyDescent="0.25">
      <c r="A269" t="s">
        <v>283</v>
      </c>
      <c r="B269" t="s">
        <v>284</v>
      </c>
      <c r="C269" t="s">
        <v>11</v>
      </c>
      <c r="D269" s="1">
        <v>223.33</v>
      </c>
      <c r="E269" s="2">
        <v>26</v>
      </c>
      <c r="F269" s="1">
        <v>231.66</v>
      </c>
      <c r="G269" s="1">
        <v>126.63</v>
      </c>
      <c r="H269" s="2">
        <v>27</v>
      </c>
      <c r="I269" s="2">
        <v>3</v>
      </c>
    </row>
    <row r="270" spans="1:9" x14ac:dyDescent="0.25">
      <c r="A270" t="s">
        <v>285</v>
      </c>
      <c r="B270" t="s">
        <v>286</v>
      </c>
      <c r="C270" t="s">
        <v>11</v>
      </c>
      <c r="D270" s="1">
        <v>221.38</v>
      </c>
      <c r="E270" s="2">
        <v>11</v>
      </c>
      <c r="F270" s="1">
        <v>221.38</v>
      </c>
      <c r="G270" s="1">
        <v>150.21</v>
      </c>
      <c r="H270" s="2">
        <v>11</v>
      </c>
      <c r="I270" t="s">
        <v>81</v>
      </c>
    </row>
    <row r="271" spans="1:9" x14ac:dyDescent="0.25">
      <c r="A271" t="s">
        <v>73</v>
      </c>
      <c r="B271" t="s">
        <v>74</v>
      </c>
      <c r="C271" t="s">
        <v>16</v>
      </c>
      <c r="D271" s="1">
        <v>221.14</v>
      </c>
      <c r="E271" s="2">
        <v>21</v>
      </c>
      <c r="F271" s="1">
        <v>221.14</v>
      </c>
      <c r="G271" s="1">
        <v>115.74</v>
      </c>
      <c r="H271" s="2">
        <v>21</v>
      </c>
      <c r="I271" t="s">
        <v>81</v>
      </c>
    </row>
    <row r="272" spans="1:9" x14ac:dyDescent="0.25">
      <c r="A272" t="s">
        <v>287</v>
      </c>
      <c r="B272" t="s">
        <v>288</v>
      </c>
      <c r="C272" t="s">
        <v>11</v>
      </c>
      <c r="D272" s="1">
        <v>220.8</v>
      </c>
      <c r="E272" s="2">
        <v>6</v>
      </c>
      <c r="F272" s="1">
        <v>220.8</v>
      </c>
      <c r="G272" s="1">
        <v>205.2</v>
      </c>
      <c r="H272" s="2">
        <v>6</v>
      </c>
      <c r="I272" s="2">
        <v>2</v>
      </c>
    </row>
    <row r="273" spans="1:9" x14ac:dyDescent="0.25">
      <c r="A273" t="s">
        <v>289</v>
      </c>
      <c r="B273" t="s">
        <v>290</v>
      </c>
      <c r="C273" t="s">
        <v>11</v>
      </c>
      <c r="D273" s="1">
        <v>220.59</v>
      </c>
      <c r="E273" s="2">
        <v>9</v>
      </c>
      <c r="F273" s="1">
        <v>196.08</v>
      </c>
      <c r="G273" s="1">
        <v>123.82</v>
      </c>
      <c r="H273" s="2">
        <v>8</v>
      </c>
      <c r="I273" s="2">
        <v>1</v>
      </c>
    </row>
    <row r="274" spans="1:9" x14ac:dyDescent="0.25">
      <c r="A274" t="s">
        <v>291</v>
      </c>
      <c r="B274" t="s">
        <v>292</v>
      </c>
      <c r="C274" t="s">
        <v>11</v>
      </c>
      <c r="D274" s="1">
        <v>218.97</v>
      </c>
      <c r="E274" s="2">
        <v>27</v>
      </c>
      <c r="F274" s="1">
        <v>218.97</v>
      </c>
      <c r="G274" s="1">
        <v>105.84</v>
      </c>
      <c r="H274" s="2">
        <v>27</v>
      </c>
      <c r="I274" s="2">
        <v>1</v>
      </c>
    </row>
    <row r="275" spans="1:9" x14ac:dyDescent="0.25">
      <c r="A275" t="s">
        <v>140</v>
      </c>
      <c r="B275" t="s">
        <v>141</v>
      </c>
      <c r="C275" t="s">
        <v>207</v>
      </c>
      <c r="D275" s="1">
        <v>214.92</v>
      </c>
      <c r="E275" s="2">
        <v>22</v>
      </c>
      <c r="F275" s="1">
        <v>214.92</v>
      </c>
      <c r="G275" s="1">
        <v>303.25</v>
      </c>
      <c r="H275" s="2">
        <v>22</v>
      </c>
      <c r="I275" t="s">
        <v>81</v>
      </c>
    </row>
    <row r="276" spans="1:9" x14ac:dyDescent="0.25">
      <c r="A276" t="s">
        <v>293</v>
      </c>
      <c r="B276" t="s">
        <v>294</v>
      </c>
      <c r="C276" t="s">
        <v>16</v>
      </c>
      <c r="D276" s="1">
        <v>214.36</v>
      </c>
      <c r="E276" s="2">
        <v>30</v>
      </c>
      <c r="F276" s="1">
        <v>196.99</v>
      </c>
      <c r="G276" s="1">
        <v>216.27</v>
      </c>
      <c r="H276" s="2">
        <v>27</v>
      </c>
      <c r="I276" s="2">
        <v>4</v>
      </c>
    </row>
    <row r="277" spans="1:9" x14ac:dyDescent="0.25">
      <c r="A277" t="s">
        <v>295</v>
      </c>
      <c r="B277" t="s">
        <v>296</v>
      </c>
      <c r="C277" t="s">
        <v>28</v>
      </c>
      <c r="D277" s="1">
        <v>211.9</v>
      </c>
      <c r="E277" s="2">
        <v>7</v>
      </c>
      <c r="F277" s="1">
        <v>66.5</v>
      </c>
      <c r="G277" s="1">
        <v>55.82</v>
      </c>
      <c r="H277" s="2">
        <v>2</v>
      </c>
      <c r="I277" t="s">
        <v>81</v>
      </c>
    </row>
    <row r="278" spans="1:9" x14ac:dyDescent="0.25">
      <c r="A278" t="s">
        <v>297</v>
      </c>
      <c r="B278" t="s">
        <v>298</v>
      </c>
      <c r="C278" t="s">
        <v>11</v>
      </c>
      <c r="D278" s="1">
        <v>211.48</v>
      </c>
      <c r="E278" s="2">
        <v>2</v>
      </c>
      <c r="F278" s="1">
        <v>211.48</v>
      </c>
      <c r="G278" s="1">
        <v>183.4</v>
      </c>
      <c r="H278" s="2">
        <v>2</v>
      </c>
      <c r="I278" t="s">
        <v>81</v>
      </c>
    </row>
    <row r="279" spans="1:9" x14ac:dyDescent="0.25">
      <c r="A279" t="s">
        <v>136</v>
      </c>
      <c r="B279" t="s">
        <v>137</v>
      </c>
      <c r="C279" t="s">
        <v>16</v>
      </c>
      <c r="D279" s="1">
        <v>211.28</v>
      </c>
      <c r="E279" s="2">
        <v>8</v>
      </c>
      <c r="F279" s="1">
        <v>211.28</v>
      </c>
      <c r="G279" s="1">
        <v>113.2</v>
      </c>
      <c r="H279" s="2">
        <v>8</v>
      </c>
      <c r="I279" s="2">
        <v>1</v>
      </c>
    </row>
    <row r="280" spans="1:9" x14ac:dyDescent="0.25">
      <c r="A280" t="s">
        <v>53</v>
      </c>
      <c r="B280" t="s">
        <v>54</v>
      </c>
      <c r="C280" t="s">
        <v>266</v>
      </c>
      <c r="D280" s="1">
        <v>209.83</v>
      </c>
      <c r="E280" s="2">
        <v>8</v>
      </c>
      <c r="F280" s="1">
        <v>209.83</v>
      </c>
      <c r="G280" s="1">
        <v>149.72</v>
      </c>
      <c r="H280" s="2">
        <v>8</v>
      </c>
      <c r="I280" s="2">
        <v>1</v>
      </c>
    </row>
    <row r="281" spans="1:9" x14ac:dyDescent="0.25">
      <c r="A281" t="s">
        <v>186</v>
      </c>
      <c r="B281" t="s">
        <v>187</v>
      </c>
      <c r="C281" t="s">
        <v>28</v>
      </c>
      <c r="D281" s="1">
        <v>208.78</v>
      </c>
      <c r="E281" s="2">
        <v>6</v>
      </c>
      <c r="F281" s="1">
        <v>208.78</v>
      </c>
      <c r="G281" s="1">
        <v>129.94999999999999</v>
      </c>
      <c r="H281" s="2">
        <v>6</v>
      </c>
      <c r="I281" t="s">
        <v>81</v>
      </c>
    </row>
    <row r="282" spans="1:9" x14ac:dyDescent="0.25">
      <c r="A282" t="s">
        <v>295</v>
      </c>
      <c r="B282" t="s">
        <v>296</v>
      </c>
      <c r="C282" t="s">
        <v>25</v>
      </c>
      <c r="D282" s="1">
        <v>206.14</v>
      </c>
      <c r="E282" s="2">
        <v>6</v>
      </c>
      <c r="F282" s="1">
        <v>206.14</v>
      </c>
      <c r="G282" s="1">
        <v>173.34</v>
      </c>
      <c r="H282" s="2">
        <v>6</v>
      </c>
      <c r="I282" t="s">
        <v>81</v>
      </c>
    </row>
    <row r="283" spans="1:9" x14ac:dyDescent="0.25">
      <c r="A283" t="s">
        <v>63</v>
      </c>
      <c r="B283" t="s">
        <v>64</v>
      </c>
      <c r="C283" t="s">
        <v>299</v>
      </c>
      <c r="D283" s="1">
        <v>204.89</v>
      </c>
      <c r="E283" s="2">
        <v>3</v>
      </c>
      <c r="F283" s="1">
        <v>203.16</v>
      </c>
      <c r="G283" s="1">
        <v>156.53</v>
      </c>
      <c r="H283" s="2">
        <v>3</v>
      </c>
      <c r="I283" t="s">
        <v>81</v>
      </c>
    </row>
    <row r="284" spans="1:9" x14ac:dyDescent="0.25">
      <c r="A284" t="s">
        <v>134</v>
      </c>
      <c r="B284" t="s">
        <v>135</v>
      </c>
      <c r="C284" t="s">
        <v>299</v>
      </c>
      <c r="D284" s="1">
        <v>203.8</v>
      </c>
      <c r="E284" s="2">
        <v>4</v>
      </c>
      <c r="F284" s="1">
        <v>203.8</v>
      </c>
      <c r="G284" s="1">
        <v>110.7</v>
      </c>
      <c r="H284" s="2">
        <v>4</v>
      </c>
      <c r="I284" s="2">
        <v>2</v>
      </c>
    </row>
    <row r="285" spans="1:9" x14ac:dyDescent="0.25">
      <c r="A285" t="s">
        <v>190</v>
      </c>
      <c r="B285" t="s">
        <v>191</v>
      </c>
      <c r="C285" t="s">
        <v>25</v>
      </c>
      <c r="D285" s="1">
        <v>201.88</v>
      </c>
      <c r="E285" s="2">
        <v>7</v>
      </c>
      <c r="F285" s="1">
        <v>201.88</v>
      </c>
      <c r="G285" s="1">
        <v>158.41999999999999</v>
      </c>
      <c r="H285" s="2">
        <v>7</v>
      </c>
      <c r="I285" s="2">
        <v>3</v>
      </c>
    </row>
    <row r="286" spans="1:9" x14ac:dyDescent="0.25">
      <c r="A286" t="s">
        <v>194</v>
      </c>
      <c r="B286" t="s">
        <v>195</v>
      </c>
      <c r="C286" t="s">
        <v>25</v>
      </c>
      <c r="D286" s="1">
        <v>201.24</v>
      </c>
      <c r="E286" s="2">
        <v>5</v>
      </c>
      <c r="F286" s="1">
        <v>201.24</v>
      </c>
      <c r="G286" s="1">
        <v>157.1</v>
      </c>
      <c r="H286" s="2">
        <v>5</v>
      </c>
      <c r="I286" s="2">
        <v>2</v>
      </c>
    </row>
    <row r="287" spans="1:9" x14ac:dyDescent="0.25">
      <c r="A287" t="s">
        <v>300</v>
      </c>
      <c r="B287" t="s">
        <v>301</v>
      </c>
      <c r="C287" t="s">
        <v>11</v>
      </c>
      <c r="D287" s="1">
        <v>199.11</v>
      </c>
      <c r="E287" s="2">
        <v>13</v>
      </c>
      <c r="F287" s="1">
        <v>199.11</v>
      </c>
      <c r="G287" s="1">
        <v>130.91</v>
      </c>
      <c r="H287" s="2">
        <v>13</v>
      </c>
      <c r="I287" t="s">
        <v>81</v>
      </c>
    </row>
    <row r="288" spans="1:9" x14ac:dyDescent="0.25">
      <c r="A288" t="s">
        <v>302</v>
      </c>
      <c r="B288" t="s">
        <v>303</v>
      </c>
      <c r="C288" t="s">
        <v>25</v>
      </c>
      <c r="D288" s="1">
        <v>197.68</v>
      </c>
      <c r="E288" s="2">
        <v>8</v>
      </c>
      <c r="F288" s="1">
        <v>271.81</v>
      </c>
      <c r="G288" s="1">
        <v>213</v>
      </c>
      <c r="H288" s="2">
        <v>11</v>
      </c>
      <c r="I288" s="2">
        <v>2</v>
      </c>
    </row>
    <row r="289" spans="1:9" x14ac:dyDescent="0.25">
      <c r="A289" t="s">
        <v>304</v>
      </c>
      <c r="B289" t="s">
        <v>305</v>
      </c>
      <c r="C289" t="s">
        <v>11</v>
      </c>
      <c r="D289" s="1">
        <v>196.47</v>
      </c>
      <c r="E289" s="2">
        <v>3</v>
      </c>
      <c r="F289" s="1">
        <v>196.47</v>
      </c>
      <c r="G289" s="1">
        <v>130.5</v>
      </c>
      <c r="H289" s="2">
        <v>3</v>
      </c>
      <c r="I289" t="s">
        <v>81</v>
      </c>
    </row>
    <row r="290" spans="1:9" x14ac:dyDescent="0.25">
      <c r="A290" t="s">
        <v>178</v>
      </c>
      <c r="B290" t="s">
        <v>179</v>
      </c>
      <c r="C290" t="s">
        <v>11</v>
      </c>
      <c r="D290" s="1">
        <v>196.2</v>
      </c>
      <c r="E290" s="2">
        <v>6</v>
      </c>
      <c r="F290" s="1">
        <v>196.2</v>
      </c>
      <c r="G290" s="1">
        <v>152.35</v>
      </c>
      <c r="H290" s="2">
        <v>6</v>
      </c>
      <c r="I290" t="s">
        <v>81</v>
      </c>
    </row>
    <row r="291" spans="1:9" x14ac:dyDescent="0.25">
      <c r="A291" t="s">
        <v>306</v>
      </c>
      <c r="B291" t="s">
        <v>307</v>
      </c>
      <c r="C291" t="s">
        <v>11</v>
      </c>
      <c r="D291" s="1">
        <v>195.22</v>
      </c>
      <c r="E291" s="2">
        <v>12</v>
      </c>
      <c r="F291" s="1">
        <v>211.53</v>
      </c>
      <c r="G291" s="1">
        <v>73.98</v>
      </c>
      <c r="H291" s="2">
        <v>13</v>
      </c>
      <c r="I291" s="2">
        <v>5</v>
      </c>
    </row>
    <row r="292" spans="1:9" x14ac:dyDescent="0.25">
      <c r="A292" t="s">
        <v>308</v>
      </c>
      <c r="B292" t="s">
        <v>309</v>
      </c>
      <c r="C292" t="s">
        <v>25</v>
      </c>
      <c r="D292" s="1">
        <v>189.94</v>
      </c>
      <c r="E292" s="2">
        <v>8</v>
      </c>
      <c r="F292" s="1">
        <v>189.94</v>
      </c>
      <c r="G292" s="1">
        <v>139.25</v>
      </c>
      <c r="H292" s="2">
        <v>8</v>
      </c>
      <c r="I292" s="2">
        <v>2</v>
      </c>
    </row>
    <row r="293" spans="1:9" x14ac:dyDescent="0.25">
      <c r="A293" t="s">
        <v>110</v>
      </c>
      <c r="B293" t="s">
        <v>111</v>
      </c>
      <c r="C293" t="s">
        <v>16</v>
      </c>
      <c r="D293" s="1">
        <v>187.48</v>
      </c>
      <c r="E293" s="2">
        <v>10</v>
      </c>
      <c r="F293" s="1">
        <v>187.48</v>
      </c>
      <c r="G293" s="1">
        <v>86.4</v>
      </c>
      <c r="H293" s="2">
        <v>10</v>
      </c>
      <c r="I293" s="2">
        <v>3</v>
      </c>
    </row>
    <row r="294" spans="1:9" x14ac:dyDescent="0.25">
      <c r="A294" t="s">
        <v>82</v>
      </c>
      <c r="B294" t="s">
        <v>83</v>
      </c>
      <c r="C294" t="s">
        <v>28</v>
      </c>
      <c r="D294" s="1">
        <v>183.16</v>
      </c>
      <c r="E294" s="2">
        <v>2</v>
      </c>
      <c r="F294" s="1">
        <v>183.16</v>
      </c>
      <c r="G294" s="1">
        <v>149.62</v>
      </c>
      <c r="H294" s="2">
        <v>2</v>
      </c>
      <c r="I294" t="s">
        <v>81</v>
      </c>
    </row>
    <row r="295" spans="1:9" x14ac:dyDescent="0.25">
      <c r="A295" t="s">
        <v>310</v>
      </c>
      <c r="B295" t="s">
        <v>311</v>
      </c>
      <c r="C295" t="s">
        <v>11</v>
      </c>
      <c r="D295" s="1">
        <v>182.42</v>
      </c>
      <c r="E295" s="2">
        <v>14</v>
      </c>
      <c r="F295" s="1">
        <v>143.33000000000001</v>
      </c>
      <c r="G295" s="1">
        <v>116.16</v>
      </c>
      <c r="H295" s="2">
        <v>11</v>
      </c>
      <c r="I295" t="s">
        <v>81</v>
      </c>
    </row>
    <row r="296" spans="1:9" x14ac:dyDescent="0.25">
      <c r="A296" t="s">
        <v>312</v>
      </c>
      <c r="B296" t="s">
        <v>313</v>
      </c>
      <c r="C296" t="s">
        <v>11</v>
      </c>
      <c r="D296" s="1">
        <v>178.21</v>
      </c>
      <c r="E296" s="2">
        <v>12</v>
      </c>
      <c r="F296" s="1">
        <v>178.21</v>
      </c>
      <c r="G296" s="1">
        <v>183.95</v>
      </c>
      <c r="H296" s="2">
        <v>12</v>
      </c>
      <c r="I296" s="2">
        <v>1</v>
      </c>
    </row>
    <row r="297" spans="1:9" x14ac:dyDescent="0.25">
      <c r="A297" t="s">
        <v>12</v>
      </c>
      <c r="B297" t="s">
        <v>13</v>
      </c>
      <c r="C297" t="s">
        <v>28</v>
      </c>
      <c r="D297" s="1">
        <v>174.9</v>
      </c>
      <c r="E297" s="2">
        <v>10</v>
      </c>
      <c r="F297" s="1">
        <v>174.9</v>
      </c>
      <c r="G297" s="1">
        <v>92.91</v>
      </c>
      <c r="H297" s="2">
        <v>10</v>
      </c>
      <c r="I297" s="2">
        <v>1</v>
      </c>
    </row>
    <row r="298" spans="1:9" x14ac:dyDescent="0.25">
      <c r="A298" t="s">
        <v>314</v>
      </c>
      <c r="B298" t="s">
        <v>315</v>
      </c>
      <c r="C298" t="s">
        <v>11</v>
      </c>
      <c r="D298" s="1">
        <v>171.89</v>
      </c>
      <c r="E298" s="2">
        <v>23</v>
      </c>
      <c r="F298" s="1">
        <v>155.66999999999999</v>
      </c>
      <c r="G298" s="1">
        <v>71.819999999999993</v>
      </c>
      <c r="H298" s="2">
        <v>21</v>
      </c>
      <c r="I298" t="s">
        <v>81</v>
      </c>
    </row>
    <row r="299" spans="1:9" x14ac:dyDescent="0.25">
      <c r="A299" t="s">
        <v>316</v>
      </c>
      <c r="B299" t="s">
        <v>317</v>
      </c>
      <c r="C299" t="s">
        <v>11</v>
      </c>
      <c r="D299" s="1">
        <v>168.36</v>
      </c>
      <c r="E299" s="2">
        <v>24</v>
      </c>
      <c r="F299" s="1">
        <v>168.36</v>
      </c>
      <c r="G299" s="1">
        <v>114</v>
      </c>
      <c r="H299" s="2">
        <v>24</v>
      </c>
      <c r="I299" t="s">
        <v>81</v>
      </c>
    </row>
    <row r="300" spans="1:9" x14ac:dyDescent="0.25">
      <c r="A300" t="s">
        <v>148</v>
      </c>
      <c r="B300" t="s">
        <v>149</v>
      </c>
      <c r="C300" t="s">
        <v>28</v>
      </c>
      <c r="D300" s="1">
        <v>166.25</v>
      </c>
      <c r="E300" s="2">
        <v>5</v>
      </c>
      <c r="F300" s="1">
        <v>166.25</v>
      </c>
      <c r="G300" s="1">
        <v>118.85</v>
      </c>
      <c r="H300" s="2">
        <v>5</v>
      </c>
      <c r="I300" t="s">
        <v>81</v>
      </c>
    </row>
    <row r="301" spans="1:9" x14ac:dyDescent="0.25">
      <c r="A301" t="s">
        <v>318</v>
      </c>
      <c r="B301" t="s">
        <v>319</v>
      </c>
      <c r="C301" t="s">
        <v>11</v>
      </c>
      <c r="D301" s="1">
        <v>162.30000000000001</v>
      </c>
      <c r="E301" s="2">
        <v>2</v>
      </c>
      <c r="F301" s="1">
        <v>162.30000000000001</v>
      </c>
      <c r="G301" s="1">
        <v>177.4</v>
      </c>
      <c r="H301" s="2">
        <v>2</v>
      </c>
      <c r="I301" t="s">
        <v>81</v>
      </c>
    </row>
    <row r="302" spans="1:9" x14ac:dyDescent="0.25">
      <c r="A302" t="s">
        <v>320</v>
      </c>
      <c r="B302" t="s">
        <v>321</v>
      </c>
      <c r="C302" t="s">
        <v>25</v>
      </c>
      <c r="D302" s="1">
        <v>161.63999999999999</v>
      </c>
      <c r="E302" s="2">
        <v>4</v>
      </c>
      <c r="F302" s="1">
        <v>161.63999999999999</v>
      </c>
      <c r="G302" s="1">
        <v>132</v>
      </c>
      <c r="H302" s="2">
        <v>4</v>
      </c>
      <c r="I302" t="s">
        <v>81</v>
      </c>
    </row>
    <row r="303" spans="1:9" x14ac:dyDescent="0.25">
      <c r="A303" t="s">
        <v>234</v>
      </c>
      <c r="B303" t="s">
        <v>235</v>
      </c>
      <c r="C303" t="s">
        <v>11</v>
      </c>
      <c r="D303" s="1">
        <v>158.13</v>
      </c>
      <c r="E303" s="2">
        <v>5</v>
      </c>
      <c r="F303" s="1">
        <v>158.13</v>
      </c>
      <c r="G303" s="1">
        <v>143.4</v>
      </c>
      <c r="H303" s="2">
        <v>5</v>
      </c>
      <c r="I303" s="2">
        <v>1</v>
      </c>
    </row>
    <row r="304" spans="1:9" x14ac:dyDescent="0.25">
      <c r="A304" t="s">
        <v>322</v>
      </c>
      <c r="B304" t="s">
        <v>323</v>
      </c>
      <c r="C304" t="s">
        <v>11</v>
      </c>
      <c r="D304" s="1">
        <v>156.72</v>
      </c>
      <c r="E304" s="2">
        <v>8</v>
      </c>
      <c r="F304" s="1">
        <v>156.72</v>
      </c>
      <c r="G304" s="1">
        <v>114</v>
      </c>
      <c r="H304" s="2">
        <v>8</v>
      </c>
      <c r="I304" s="2">
        <v>2</v>
      </c>
    </row>
    <row r="305" spans="1:9" x14ac:dyDescent="0.25">
      <c r="A305" t="s">
        <v>232</v>
      </c>
      <c r="B305" t="s">
        <v>233</v>
      </c>
      <c r="C305" t="s">
        <v>207</v>
      </c>
      <c r="D305" s="1">
        <v>156.18</v>
      </c>
      <c r="E305" s="2">
        <v>5</v>
      </c>
      <c r="F305" s="1">
        <v>156.18</v>
      </c>
      <c r="G305" s="1">
        <v>175.27</v>
      </c>
      <c r="H305" s="2">
        <v>5</v>
      </c>
      <c r="I305" s="2">
        <v>2</v>
      </c>
    </row>
    <row r="306" spans="1:9" x14ac:dyDescent="0.25">
      <c r="A306" t="s">
        <v>324</v>
      </c>
      <c r="B306" t="s">
        <v>325</v>
      </c>
      <c r="C306" t="s">
        <v>25</v>
      </c>
      <c r="D306" s="1">
        <v>155.41999999999999</v>
      </c>
      <c r="E306" s="2">
        <v>19</v>
      </c>
      <c r="F306" s="1">
        <v>155.41999999999999</v>
      </c>
      <c r="G306" s="1">
        <v>117.83</v>
      </c>
      <c r="H306" s="2">
        <v>19</v>
      </c>
      <c r="I306" s="2">
        <v>2</v>
      </c>
    </row>
    <row r="307" spans="1:9" x14ac:dyDescent="0.25">
      <c r="A307" t="s">
        <v>326</v>
      </c>
      <c r="B307" t="s">
        <v>327</v>
      </c>
      <c r="C307" t="s">
        <v>11</v>
      </c>
      <c r="D307" s="1">
        <v>154.09</v>
      </c>
      <c r="E307" s="2">
        <v>6</v>
      </c>
      <c r="F307" s="1">
        <v>154.09</v>
      </c>
      <c r="G307" s="1">
        <v>119.7</v>
      </c>
      <c r="H307" s="2">
        <v>6</v>
      </c>
      <c r="I307" s="2">
        <v>2</v>
      </c>
    </row>
    <row r="308" spans="1:9" x14ac:dyDescent="0.25">
      <c r="A308" t="s">
        <v>65</v>
      </c>
      <c r="B308" t="s">
        <v>66</v>
      </c>
      <c r="C308" t="s">
        <v>299</v>
      </c>
      <c r="D308" s="1">
        <v>151.5</v>
      </c>
      <c r="E308" s="2">
        <v>6</v>
      </c>
      <c r="F308" s="1">
        <v>151.96</v>
      </c>
      <c r="G308" s="1">
        <v>117.42</v>
      </c>
      <c r="H308" s="2">
        <v>6</v>
      </c>
      <c r="I308" s="2">
        <v>1</v>
      </c>
    </row>
    <row r="309" spans="1:9" x14ac:dyDescent="0.25">
      <c r="A309" t="s">
        <v>328</v>
      </c>
      <c r="B309" t="s">
        <v>329</v>
      </c>
      <c r="C309" t="s">
        <v>11</v>
      </c>
      <c r="D309" s="1">
        <v>150.51</v>
      </c>
      <c r="E309" s="2">
        <v>12</v>
      </c>
      <c r="F309" s="1">
        <v>150.51</v>
      </c>
      <c r="G309" s="1">
        <v>148.19999999999999</v>
      </c>
      <c r="H309" s="2">
        <v>12</v>
      </c>
      <c r="I309" t="s">
        <v>81</v>
      </c>
    </row>
    <row r="310" spans="1:9" x14ac:dyDescent="0.25">
      <c r="A310" t="s">
        <v>330</v>
      </c>
      <c r="B310" t="s">
        <v>331</v>
      </c>
      <c r="C310" t="s">
        <v>11</v>
      </c>
      <c r="D310" s="1">
        <v>150.5</v>
      </c>
      <c r="E310" s="2">
        <v>16</v>
      </c>
      <c r="F310" s="1">
        <v>150.5</v>
      </c>
      <c r="G310" s="1">
        <v>75.040000000000006</v>
      </c>
      <c r="H310" s="2">
        <v>16</v>
      </c>
      <c r="I310" t="s">
        <v>81</v>
      </c>
    </row>
    <row r="311" spans="1:9" x14ac:dyDescent="0.25">
      <c r="A311" t="s">
        <v>134</v>
      </c>
      <c r="B311" t="s">
        <v>135</v>
      </c>
      <c r="C311" t="s">
        <v>266</v>
      </c>
      <c r="D311" s="1">
        <v>148.74</v>
      </c>
      <c r="E311" s="2">
        <v>3</v>
      </c>
      <c r="F311" s="1">
        <v>148.74</v>
      </c>
      <c r="G311" s="1">
        <v>86.46</v>
      </c>
      <c r="H311" s="2">
        <v>3</v>
      </c>
      <c r="I311" t="s">
        <v>81</v>
      </c>
    </row>
    <row r="312" spans="1:9" x14ac:dyDescent="0.25">
      <c r="A312" t="s">
        <v>332</v>
      </c>
      <c r="B312" t="s">
        <v>333</v>
      </c>
      <c r="C312" t="s">
        <v>25</v>
      </c>
      <c r="D312" s="1">
        <v>148.26</v>
      </c>
      <c r="E312" s="2">
        <v>6</v>
      </c>
      <c r="F312" s="1">
        <v>148.26</v>
      </c>
      <c r="G312" s="1">
        <v>111</v>
      </c>
      <c r="H312" s="2">
        <v>6</v>
      </c>
      <c r="I312" t="s">
        <v>81</v>
      </c>
    </row>
    <row r="313" spans="1:9" x14ac:dyDescent="0.25">
      <c r="A313" t="s">
        <v>35</v>
      </c>
      <c r="B313" t="s">
        <v>36</v>
      </c>
      <c r="C313" t="s">
        <v>28</v>
      </c>
      <c r="D313" s="1">
        <v>146</v>
      </c>
      <c r="E313" s="2">
        <v>8</v>
      </c>
      <c r="F313" s="1">
        <v>146</v>
      </c>
      <c r="G313" s="1">
        <v>118.16</v>
      </c>
      <c r="H313" s="2">
        <v>8</v>
      </c>
      <c r="I313" s="2">
        <v>2</v>
      </c>
    </row>
    <row r="314" spans="1:9" x14ac:dyDescent="0.25">
      <c r="A314" t="s">
        <v>334</v>
      </c>
      <c r="B314" t="s">
        <v>335</v>
      </c>
      <c r="C314" t="s">
        <v>28</v>
      </c>
      <c r="D314" s="1">
        <v>143.11000000000001</v>
      </c>
      <c r="E314" s="2">
        <v>2</v>
      </c>
      <c r="F314" s="1">
        <v>143.11000000000001</v>
      </c>
      <c r="G314" s="1">
        <v>153</v>
      </c>
      <c r="H314" s="2">
        <v>2</v>
      </c>
      <c r="I314" t="s">
        <v>81</v>
      </c>
    </row>
    <row r="315" spans="1:9" x14ac:dyDescent="0.25">
      <c r="A315" t="s">
        <v>336</v>
      </c>
      <c r="B315" t="s">
        <v>337</v>
      </c>
      <c r="C315" t="s">
        <v>11</v>
      </c>
      <c r="D315" s="1">
        <v>141.31</v>
      </c>
      <c r="E315" s="2">
        <v>7</v>
      </c>
      <c r="F315" s="1">
        <v>141.31</v>
      </c>
      <c r="G315" s="1">
        <v>95.08</v>
      </c>
      <c r="H315" s="2">
        <v>7</v>
      </c>
      <c r="I315" s="2">
        <v>1</v>
      </c>
    </row>
    <row r="316" spans="1:9" x14ac:dyDescent="0.25">
      <c r="A316" t="s">
        <v>338</v>
      </c>
      <c r="B316" t="s">
        <v>339</v>
      </c>
      <c r="C316" t="s">
        <v>11</v>
      </c>
      <c r="D316" s="1">
        <v>140.69</v>
      </c>
      <c r="E316" s="2">
        <v>10</v>
      </c>
      <c r="F316" s="1">
        <v>140.69</v>
      </c>
      <c r="G316" s="1">
        <v>124</v>
      </c>
      <c r="H316" s="2">
        <v>10</v>
      </c>
      <c r="I316" t="s">
        <v>81</v>
      </c>
    </row>
    <row r="317" spans="1:9" x14ac:dyDescent="0.25">
      <c r="A317" t="s">
        <v>340</v>
      </c>
      <c r="B317" t="s">
        <v>341</v>
      </c>
      <c r="C317" t="s">
        <v>28</v>
      </c>
      <c r="D317" s="1">
        <v>139.68</v>
      </c>
      <c r="E317" s="2">
        <v>4</v>
      </c>
      <c r="F317" s="1">
        <v>139.68</v>
      </c>
      <c r="G317" s="1">
        <v>88.65</v>
      </c>
      <c r="H317" s="2">
        <v>4</v>
      </c>
      <c r="I317" t="s">
        <v>81</v>
      </c>
    </row>
    <row r="318" spans="1:9" x14ac:dyDescent="0.25">
      <c r="A318" t="s">
        <v>330</v>
      </c>
      <c r="B318" t="s">
        <v>331</v>
      </c>
      <c r="C318" t="s">
        <v>16</v>
      </c>
      <c r="D318" s="1">
        <v>139.54</v>
      </c>
      <c r="E318" s="2">
        <v>16</v>
      </c>
      <c r="F318" s="1">
        <v>131.22</v>
      </c>
      <c r="G318" s="1">
        <v>70.349999999999994</v>
      </c>
      <c r="H318" s="2">
        <v>15</v>
      </c>
      <c r="I318" t="s">
        <v>81</v>
      </c>
    </row>
    <row r="319" spans="1:9" x14ac:dyDescent="0.25">
      <c r="A319" t="s">
        <v>218</v>
      </c>
      <c r="B319" t="s">
        <v>219</v>
      </c>
      <c r="C319" t="s">
        <v>11</v>
      </c>
      <c r="D319" s="1">
        <v>138.69999999999999</v>
      </c>
      <c r="E319" s="2">
        <v>19</v>
      </c>
      <c r="F319" s="1">
        <v>138.69999999999999</v>
      </c>
      <c r="G319" s="1">
        <v>64.88</v>
      </c>
      <c r="H319" s="2">
        <v>19</v>
      </c>
      <c r="I319" t="s">
        <v>81</v>
      </c>
    </row>
    <row r="320" spans="1:9" x14ac:dyDescent="0.25">
      <c r="A320" t="s">
        <v>342</v>
      </c>
      <c r="B320" t="s">
        <v>343</v>
      </c>
      <c r="C320" t="s">
        <v>25</v>
      </c>
      <c r="D320" s="1">
        <v>137.27000000000001</v>
      </c>
      <c r="E320" s="2">
        <v>8</v>
      </c>
      <c r="F320" s="1">
        <v>121.98</v>
      </c>
      <c r="G320" s="1">
        <v>130.06</v>
      </c>
      <c r="H320" s="2">
        <v>7</v>
      </c>
      <c r="I320" t="s">
        <v>81</v>
      </c>
    </row>
    <row r="321" spans="1:9" x14ac:dyDescent="0.25">
      <c r="A321" t="s">
        <v>116</v>
      </c>
      <c r="B321" t="s">
        <v>117</v>
      </c>
      <c r="C321" t="s">
        <v>16</v>
      </c>
      <c r="D321" s="1">
        <v>133.76</v>
      </c>
      <c r="E321" s="2">
        <v>8</v>
      </c>
      <c r="F321" s="1">
        <v>66.88</v>
      </c>
      <c r="G321" s="1">
        <v>50</v>
      </c>
      <c r="H321" s="2">
        <v>4</v>
      </c>
      <c r="I321" t="s">
        <v>81</v>
      </c>
    </row>
    <row r="322" spans="1:9" x14ac:dyDescent="0.25">
      <c r="A322" t="s">
        <v>14</v>
      </c>
      <c r="B322" t="s">
        <v>15</v>
      </c>
      <c r="C322" t="s">
        <v>207</v>
      </c>
      <c r="D322" s="1">
        <v>133.76</v>
      </c>
      <c r="E322" s="2">
        <v>16</v>
      </c>
      <c r="F322" s="1">
        <v>133.76</v>
      </c>
      <c r="G322" s="1">
        <v>125.5</v>
      </c>
      <c r="H322" s="2">
        <v>16</v>
      </c>
      <c r="I322" t="s">
        <v>81</v>
      </c>
    </row>
    <row r="323" spans="1:9" x14ac:dyDescent="0.25">
      <c r="A323" t="s">
        <v>256</v>
      </c>
      <c r="B323" t="s">
        <v>257</v>
      </c>
      <c r="C323" t="s">
        <v>28</v>
      </c>
      <c r="D323" s="1">
        <v>131.32</v>
      </c>
      <c r="E323" s="2">
        <v>4</v>
      </c>
      <c r="F323" s="1">
        <v>103.65</v>
      </c>
      <c r="G323" s="1">
        <v>64.5</v>
      </c>
      <c r="H323" s="2">
        <v>3</v>
      </c>
      <c r="I323" t="s">
        <v>81</v>
      </c>
    </row>
    <row r="324" spans="1:9" x14ac:dyDescent="0.25">
      <c r="A324" t="s">
        <v>336</v>
      </c>
      <c r="B324" t="s">
        <v>337</v>
      </c>
      <c r="C324" t="s">
        <v>28</v>
      </c>
      <c r="D324" s="1">
        <v>128.51</v>
      </c>
      <c r="E324" s="2">
        <v>6</v>
      </c>
      <c r="F324" s="1">
        <v>128.51</v>
      </c>
      <c r="G324" s="1">
        <v>86.95</v>
      </c>
      <c r="H324" s="2">
        <v>6</v>
      </c>
      <c r="I324" t="s">
        <v>81</v>
      </c>
    </row>
    <row r="325" spans="1:9" x14ac:dyDescent="0.25">
      <c r="A325" t="s">
        <v>267</v>
      </c>
      <c r="B325" t="s">
        <v>268</v>
      </c>
      <c r="C325" t="s">
        <v>28</v>
      </c>
      <c r="D325" s="1">
        <v>125.54</v>
      </c>
      <c r="E325" s="2">
        <v>10</v>
      </c>
      <c r="F325" s="1">
        <v>138.74</v>
      </c>
      <c r="G325" s="1">
        <v>71.739999999999995</v>
      </c>
      <c r="H325" s="2">
        <v>11</v>
      </c>
      <c r="I325" s="2">
        <v>1</v>
      </c>
    </row>
    <row r="326" spans="1:9" x14ac:dyDescent="0.25">
      <c r="A326" t="s">
        <v>344</v>
      </c>
      <c r="B326" t="s">
        <v>345</v>
      </c>
      <c r="C326" t="s">
        <v>11</v>
      </c>
      <c r="D326" s="1">
        <v>125.12</v>
      </c>
      <c r="E326" s="2">
        <v>11</v>
      </c>
      <c r="F326" s="1">
        <v>114.38</v>
      </c>
      <c r="G326" s="1">
        <v>93.8</v>
      </c>
      <c r="H326" s="2">
        <v>10</v>
      </c>
      <c r="I326" s="2">
        <v>1</v>
      </c>
    </row>
    <row r="327" spans="1:9" x14ac:dyDescent="0.25">
      <c r="A327" t="s">
        <v>144</v>
      </c>
      <c r="B327" t="s">
        <v>145</v>
      </c>
      <c r="C327" t="s">
        <v>207</v>
      </c>
      <c r="D327" s="1">
        <v>124.73</v>
      </c>
      <c r="E327" s="2">
        <v>12</v>
      </c>
      <c r="F327" s="1">
        <v>124.73</v>
      </c>
      <c r="G327" s="1">
        <v>77.650000000000006</v>
      </c>
      <c r="H327" s="2">
        <v>12</v>
      </c>
      <c r="I327" t="s">
        <v>81</v>
      </c>
    </row>
    <row r="328" spans="1:9" x14ac:dyDescent="0.25">
      <c r="A328" t="s">
        <v>122</v>
      </c>
      <c r="B328" t="s">
        <v>123</v>
      </c>
      <c r="C328" t="s">
        <v>16</v>
      </c>
      <c r="D328" s="1">
        <v>123.25</v>
      </c>
      <c r="E328" s="2">
        <v>5</v>
      </c>
      <c r="F328" s="1">
        <v>123.25</v>
      </c>
      <c r="G328" s="1">
        <v>98.4</v>
      </c>
      <c r="H328" s="2">
        <v>5</v>
      </c>
      <c r="I328" t="s">
        <v>81</v>
      </c>
    </row>
    <row r="329" spans="1:9" x14ac:dyDescent="0.25">
      <c r="A329" t="s">
        <v>84</v>
      </c>
      <c r="B329" t="s">
        <v>85</v>
      </c>
      <c r="C329" t="s">
        <v>266</v>
      </c>
      <c r="D329" s="1">
        <v>123.1</v>
      </c>
      <c r="E329" s="2">
        <v>10</v>
      </c>
      <c r="F329" s="1">
        <v>123.1</v>
      </c>
      <c r="G329" s="1">
        <v>70.94</v>
      </c>
      <c r="H329" s="2">
        <v>10</v>
      </c>
      <c r="I329" t="s">
        <v>81</v>
      </c>
    </row>
    <row r="330" spans="1:9" x14ac:dyDescent="0.25">
      <c r="A330" t="s">
        <v>126</v>
      </c>
      <c r="B330" t="s">
        <v>127</v>
      </c>
      <c r="C330" t="s">
        <v>28</v>
      </c>
      <c r="D330" s="1">
        <v>123</v>
      </c>
      <c r="E330" s="2">
        <v>25</v>
      </c>
      <c r="F330" s="1">
        <v>118.08</v>
      </c>
      <c r="G330" s="1">
        <v>69.02</v>
      </c>
      <c r="H330" s="2">
        <v>24</v>
      </c>
      <c r="I330" t="s">
        <v>81</v>
      </c>
    </row>
    <row r="331" spans="1:9" x14ac:dyDescent="0.25">
      <c r="A331" t="s">
        <v>346</v>
      </c>
      <c r="B331" t="s">
        <v>347</v>
      </c>
      <c r="C331" t="s">
        <v>11</v>
      </c>
      <c r="D331" s="1">
        <v>122.7</v>
      </c>
      <c r="E331" s="2">
        <v>3</v>
      </c>
      <c r="F331" s="1">
        <v>122.7</v>
      </c>
      <c r="G331" s="1">
        <v>108</v>
      </c>
      <c r="H331" s="2">
        <v>3</v>
      </c>
      <c r="I331" t="s">
        <v>81</v>
      </c>
    </row>
    <row r="332" spans="1:9" x14ac:dyDescent="0.25">
      <c r="A332" t="s">
        <v>9</v>
      </c>
      <c r="B332" t="s">
        <v>10</v>
      </c>
      <c r="C332" t="s">
        <v>266</v>
      </c>
      <c r="D332" s="1">
        <v>122.55</v>
      </c>
      <c r="E332" s="2">
        <v>9</v>
      </c>
      <c r="F332" s="1">
        <v>136.4</v>
      </c>
      <c r="G332" s="1">
        <v>78.97</v>
      </c>
      <c r="H332" s="2">
        <v>10</v>
      </c>
      <c r="I332" t="s">
        <v>81</v>
      </c>
    </row>
    <row r="333" spans="1:9" x14ac:dyDescent="0.25">
      <c r="A333" t="s">
        <v>57</v>
      </c>
      <c r="B333" t="s">
        <v>58</v>
      </c>
      <c r="C333" t="s">
        <v>25</v>
      </c>
      <c r="D333" s="1">
        <v>120.5</v>
      </c>
      <c r="E333" s="2">
        <v>2</v>
      </c>
      <c r="F333" s="1">
        <v>120.5</v>
      </c>
      <c r="G333" s="1">
        <v>79.2</v>
      </c>
      <c r="H333" s="2">
        <v>2</v>
      </c>
      <c r="I333" s="2">
        <v>1</v>
      </c>
    </row>
    <row r="334" spans="1:9" x14ac:dyDescent="0.25">
      <c r="A334" t="s">
        <v>348</v>
      </c>
      <c r="B334" t="s">
        <v>349</v>
      </c>
      <c r="C334" t="s">
        <v>266</v>
      </c>
      <c r="D334" s="1">
        <v>119.51</v>
      </c>
      <c r="E334" s="2">
        <v>1</v>
      </c>
      <c r="F334" s="1">
        <v>119.51</v>
      </c>
      <c r="G334" s="1">
        <v>95</v>
      </c>
      <c r="H334" s="2">
        <v>1</v>
      </c>
      <c r="I334" s="2">
        <v>1</v>
      </c>
    </row>
    <row r="335" spans="1:9" x14ac:dyDescent="0.25">
      <c r="A335" t="s">
        <v>350</v>
      </c>
      <c r="B335" t="s">
        <v>351</v>
      </c>
      <c r="C335" t="s">
        <v>11</v>
      </c>
      <c r="D335" s="1">
        <v>117.64</v>
      </c>
      <c r="E335" s="2">
        <v>14</v>
      </c>
      <c r="F335" s="1">
        <v>125.75</v>
      </c>
      <c r="G335" s="1">
        <v>41.85</v>
      </c>
      <c r="H335" s="2">
        <v>15</v>
      </c>
      <c r="I335" t="s">
        <v>81</v>
      </c>
    </row>
    <row r="336" spans="1:9" x14ac:dyDescent="0.25">
      <c r="A336" t="s">
        <v>352</v>
      </c>
      <c r="B336" t="s">
        <v>353</v>
      </c>
      <c r="C336" t="s">
        <v>25</v>
      </c>
      <c r="D336" s="1">
        <v>115.74</v>
      </c>
      <c r="E336" s="2">
        <v>1</v>
      </c>
      <c r="F336" t="s">
        <v>81</v>
      </c>
      <c r="G336" t="s">
        <v>81</v>
      </c>
      <c r="H336" t="s">
        <v>81</v>
      </c>
      <c r="I336" s="2">
        <v>1</v>
      </c>
    </row>
    <row r="337" spans="1:9" x14ac:dyDescent="0.25">
      <c r="A337" t="s">
        <v>240</v>
      </c>
      <c r="B337" t="s">
        <v>241</v>
      </c>
      <c r="C337" t="s">
        <v>266</v>
      </c>
      <c r="D337" s="1">
        <v>115.66</v>
      </c>
      <c r="E337" s="2">
        <v>1</v>
      </c>
      <c r="F337" s="1">
        <v>115.66</v>
      </c>
      <c r="G337" s="1">
        <v>92</v>
      </c>
      <c r="H337" s="2">
        <v>1</v>
      </c>
      <c r="I337" t="s">
        <v>81</v>
      </c>
    </row>
    <row r="338" spans="1:9" x14ac:dyDescent="0.25">
      <c r="A338" t="s">
        <v>170</v>
      </c>
      <c r="B338" t="s">
        <v>171</v>
      </c>
      <c r="C338" t="s">
        <v>25</v>
      </c>
      <c r="D338" s="1">
        <v>115.61</v>
      </c>
      <c r="E338" s="2">
        <v>1</v>
      </c>
      <c r="F338" s="1">
        <v>115.61</v>
      </c>
      <c r="G338" s="1">
        <v>112.5</v>
      </c>
      <c r="H338" s="2">
        <v>1</v>
      </c>
      <c r="I338" t="s">
        <v>81</v>
      </c>
    </row>
    <row r="339" spans="1:9" x14ac:dyDescent="0.25">
      <c r="A339" t="s">
        <v>330</v>
      </c>
      <c r="B339" t="s">
        <v>331</v>
      </c>
      <c r="C339" t="s">
        <v>28</v>
      </c>
      <c r="D339" s="1">
        <v>115.5</v>
      </c>
      <c r="E339" s="2">
        <v>14</v>
      </c>
      <c r="F339" s="1">
        <v>99</v>
      </c>
      <c r="G339" s="1">
        <v>56.28</v>
      </c>
      <c r="H339" s="2">
        <v>12</v>
      </c>
      <c r="I339" t="s">
        <v>81</v>
      </c>
    </row>
    <row r="340" spans="1:9" x14ac:dyDescent="0.25">
      <c r="A340" t="s">
        <v>57</v>
      </c>
      <c r="B340" t="s">
        <v>58</v>
      </c>
      <c r="C340" t="s">
        <v>28</v>
      </c>
      <c r="D340" s="1">
        <v>114.48</v>
      </c>
      <c r="E340" s="2">
        <v>2</v>
      </c>
      <c r="F340" s="1">
        <v>114.48</v>
      </c>
      <c r="G340" s="1">
        <v>79.2</v>
      </c>
      <c r="H340" s="2">
        <v>2</v>
      </c>
      <c r="I340" t="s">
        <v>81</v>
      </c>
    </row>
    <row r="341" spans="1:9" x14ac:dyDescent="0.25">
      <c r="A341" t="s">
        <v>297</v>
      </c>
      <c r="B341" t="s">
        <v>298</v>
      </c>
      <c r="C341" t="s">
        <v>28</v>
      </c>
      <c r="D341" s="1">
        <v>114</v>
      </c>
      <c r="E341" s="2">
        <v>1</v>
      </c>
      <c r="F341" s="1">
        <v>114</v>
      </c>
      <c r="G341" s="1">
        <v>68.78</v>
      </c>
      <c r="H341" s="2">
        <v>1</v>
      </c>
      <c r="I341" t="s">
        <v>81</v>
      </c>
    </row>
    <row r="342" spans="1:9" x14ac:dyDescent="0.25">
      <c r="A342" t="s">
        <v>302</v>
      </c>
      <c r="B342" t="s">
        <v>303</v>
      </c>
      <c r="C342" t="s">
        <v>28</v>
      </c>
      <c r="D342" s="1">
        <v>113.33</v>
      </c>
      <c r="E342" s="2">
        <v>3</v>
      </c>
      <c r="F342" s="1">
        <v>113.33</v>
      </c>
      <c r="G342" s="1">
        <v>60.75</v>
      </c>
      <c r="H342" s="2">
        <v>3</v>
      </c>
      <c r="I342" t="s">
        <v>81</v>
      </c>
    </row>
    <row r="343" spans="1:9" x14ac:dyDescent="0.25">
      <c r="A343" t="s">
        <v>354</v>
      </c>
      <c r="B343" t="s">
        <v>355</v>
      </c>
      <c r="C343" t="s">
        <v>25</v>
      </c>
      <c r="D343" s="1">
        <v>113.16</v>
      </c>
      <c r="E343" s="2">
        <v>3</v>
      </c>
      <c r="F343" s="1">
        <v>113.16</v>
      </c>
      <c r="G343" s="1">
        <v>68.739999999999995</v>
      </c>
      <c r="H343" s="2">
        <v>3</v>
      </c>
      <c r="I343" t="s">
        <v>81</v>
      </c>
    </row>
    <row r="344" spans="1:9" x14ac:dyDescent="0.25">
      <c r="A344" t="s">
        <v>84</v>
      </c>
      <c r="B344" t="s">
        <v>85</v>
      </c>
      <c r="C344" t="s">
        <v>25</v>
      </c>
      <c r="D344" s="1">
        <v>110.79</v>
      </c>
      <c r="E344" s="2">
        <v>9</v>
      </c>
      <c r="F344" s="1">
        <v>147.72</v>
      </c>
      <c r="G344" s="1">
        <v>113.78</v>
      </c>
      <c r="H344" s="2">
        <v>12</v>
      </c>
      <c r="I344" s="2">
        <v>1</v>
      </c>
    </row>
    <row r="345" spans="1:9" x14ac:dyDescent="0.25">
      <c r="A345" t="s">
        <v>43</v>
      </c>
      <c r="B345" t="s">
        <v>44</v>
      </c>
      <c r="C345" t="s">
        <v>25</v>
      </c>
      <c r="D345" s="1">
        <v>108.3</v>
      </c>
      <c r="E345" s="2">
        <v>19</v>
      </c>
      <c r="F345" s="1">
        <v>91.2</v>
      </c>
      <c r="G345" s="1">
        <v>52.86</v>
      </c>
      <c r="H345" s="2">
        <v>16</v>
      </c>
      <c r="I345" t="s">
        <v>81</v>
      </c>
    </row>
    <row r="346" spans="1:9" x14ac:dyDescent="0.25">
      <c r="A346" t="s">
        <v>88</v>
      </c>
      <c r="B346" t="s">
        <v>89</v>
      </c>
      <c r="C346" t="s">
        <v>28</v>
      </c>
      <c r="D346" s="1">
        <v>108.16</v>
      </c>
      <c r="E346" s="2">
        <v>2</v>
      </c>
      <c r="F346" s="1">
        <v>108.16</v>
      </c>
      <c r="G346" s="1">
        <v>88.83</v>
      </c>
      <c r="H346" s="2">
        <v>2</v>
      </c>
      <c r="I346" s="2">
        <v>1</v>
      </c>
    </row>
    <row r="347" spans="1:9" x14ac:dyDescent="0.25">
      <c r="A347" t="s">
        <v>356</v>
      </c>
      <c r="B347" t="s">
        <v>357</v>
      </c>
      <c r="C347" t="s">
        <v>25</v>
      </c>
      <c r="D347" s="1">
        <v>106.34</v>
      </c>
      <c r="E347" s="2">
        <v>13</v>
      </c>
      <c r="F347" s="1">
        <v>106.34</v>
      </c>
      <c r="G347" s="1">
        <v>61.1</v>
      </c>
      <c r="H347" s="2">
        <v>13</v>
      </c>
      <c r="I347" t="s">
        <v>81</v>
      </c>
    </row>
    <row r="348" spans="1:9" x14ac:dyDescent="0.25">
      <c r="A348" t="s">
        <v>352</v>
      </c>
      <c r="B348" t="s">
        <v>353</v>
      </c>
      <c r="C348" t="s">
        <v>16</v>
      </c>
      <c r="D348" s="1">
        <v>106.01</v>
      </c>
      <c r="E348" s="2">
        <v>1</v>
      </c>
      <c r="F348" s="1">
        <v>106.01</v>
      </c>
      <c r="G348" s="1">
        <v>91.7</v>
      </c>
      <c r="H348" s="2">
        <v>1</v>
      </c>
      <c r="I348" t="s">
        <v>81</v>
      </c>
    </row>
    <row r="349" spans="1:9" x14ac:dyDescent="0.25">
      <c r="A349" t="s">
        <v>358</v>
      </c>
      <c r="B349" t="s">
        <v>359</v>
      </c>
      <c r="C349" t="s">
        <v>11</v>
      </c>
      <c r="D349" s="1">
        <v>104.95</v>
      </c>
      <c r="E349" s="2">
        <v>5</v>
      </c>
      <c r="F349" s="1">
        <v>104.95</v>
      </c>
      <c r="G349" s="1">
        <v>71.099999999999994</v>
      </c>
      <c r="H349" s="2">
        <v>5</v>
      </c>
      <c r="I349" t="s">
        <v>81</v>
      </c>
    </row>
    <row r="350" spans="1:9" x14ac:dyDescent="0.25">
      <c r="A350" t="s">
        <v>53</v>
      </c>
      <c r="B350" t="s">
        <v>54</v>
      </c>
      <c r="C350" t="s">
        <v>299</v>
      </c>
      <c r="D350" s="1">
        <v>102.66</v>
      </c>
      <c r="E350" s="2">
        <v>4</v>
      </c>
      <c r="F350" s="1">
        <v>127.66</v>
      </c>
      <c r="G350" s="1">
        <v>89.25</v>
      </c>
      <c r="H350" s="2">
        <v>5</v>
      </c>
      <c r="I350" t="s">
        <v>81</v>
      </c>
    </row>
    <row r="351" spans="1:9" x14ac:dyDescent="0.25">
      <c r="A351" t="s">
        <v>360</v>
      </c>
      <c r="B351" t="s">
        <v>361</v>
      </c>
      <c r="C351" t="s">
        <v>11</v>
      </c>
      <c r="D351" s="1">
        <v>100.16</v>
      </c>
      <c r="E351" s="2">
        <v>8</v>
      </c>
      <c r="F351" s="1">
        <v>87.39</v>
      </c>
      <c r="G351" s="1">
        <v>43.12</v>
      </c>
      <c r="H351" s="2">
        <v>7</v>
      </c>
      <c r="I351" s="2">
        <v>2</v>
      </c>
    </row>
    <row r="352" spans="1:9" x14ac:dyDescent="0.25">
      <c r="A352" t="s">
        <v>324</v>
      </c>
      <c r="B352" t="s">
        <v>325</v>
      </c>
      <c r="C352" t="s">
        <v>28</v>
      </c>
      <c r="D352" s="1">
        <v>99.82</v>
      </c>
      <c r="E352" s="2">
        <v>12</v>
      </c>
      <c r="F352" s="1">
        <v>108.89</v>
      </c>
      <c r="G352" s="1">
        <v>85.61</v>
      </c>
      <c r="H352" s="2">
        <v>13</v>
      </c>
      <c r="I352" t="s">
        <v>81</v>
      </c>
    </row>
    <row r="353" spans="1:9" x14ac:dyDescent="0.25">
      <c r="A353" t="s">
        <v>248</v>
      </c>
      <c r="B353" t="s">
        <v>249</v>
      </c>
      <c r="C353" t="s">
        <v>28</v>
      </c>
      <c r="D353" s="1">
        <v>99.68</v>
      </c>
      <c r="E353" s="2">
        <v>4</v>
      </c>
      <c r="F353" s="1">
        <v>99.68</v>
      </c>
      <c r="G353" s="1">
        <v>82.57</v>
      </c>
      <c r="H353" s="2">
        <v>4</v>
      </c>
      <c r="I353" t="s">
        <v>81</v>
      </c>
    </row>
    <row r="354" spans="1:9" x14ac:dyDescent="0.25">
      <c r="A354" t="s">
        <v>244</v>
      </c>
      <c r="B354" t="s">
        <v>245</v>
      </c>
      <c r="C354" t="s">
        <v>28</v>
      </c>
      <c r="D354" s="1">
        <v>99.68</v>
      </c>
      <c r="E354" s="2">
        <v>4</v>
      </c>
      <c r="F354" s="1">
        <v>174.44</v>
      </c>
      <c r="G354" s="1">
        <v>199.8</v>
      </c>
      <c r="H354" s="2">
        <v>7</v>
      </c>
      <c r="I354" t="s">
        <v>81</v>
      </c>
    </row>
    <row r="355" spans="1:9" x14ac:dyDescent="0.25">
      <c r="A355" t="s">
        <v>362</v>
      </c>
      <c r="B355" t="s">
        <v>363</v>
      </c>
      <c r="C355" t="s">
        <v>28</v>
      </c>
      <c r="D355" s="1">
        <v>99.48</v>
      </c>
      <c r="E355" s="2">
        <v>6</v>
      </c>
      <c r="F355" s="1">
        <v>99.48</v>
      </c>
      <c r="G355" s="1">
        <v>70.8</v>
      </c>
      <c r="H355" s="2">
        <v>6</v>
      </c>
      <c r="I355" t="s">
        <v>81</v>
      </c>
    </row>
    <row r="356" spans="1:9" x14ac:dyDescent="0.25">
      <c r="A356" t="s">
        <v>364</v>
      </c>
      <c r="B356" t="s">
        <v>365</v>
      </c>
      <c r="C356" t="s">
        <v>25</v>
      </c>
      <c r="D356" s="1">
        <v>99</v>
      </c>
      <c r="E356" s="2">
        <v>2</v>
      </c>
      <c r="F356" s="1">
        <v>99</v>
      </c>
      <c r="G356" s="1">
        <v>63.9</v>
      </c>
      <c r="H356" s="2">
        <v>2</v>
      </c>
      <c r="I356" t="s">
        <v>81</v>
      </c>
    </row>
    <row r="357" spans="1:9" x14ac:dyDescent="0.25">
      <c r="A357" t="s">
        <v>366</v>
      </c>
      <c r="B357" t="s">
        <v>367</v>
      </c>
      <c r="C357" t="s">
        <v>16</v>
      </c>
      <c r="D357" s="1">
        <v>98.71</v>
      </c>
      <c r="E357" s="2">
        <v>6</v>
      </c>
      <c r="F357" s="1">
        <v>98.71</v>
      </c>
      <c r="G357" s="1">
        <v>29.1</v>
      </c>
      <c r="H357" s="2">
        <v>6</v>
      </c>
      <c r="I357" t="s">
        <v>81</v>
      </c>
    </row>
    <row r="358" spans="1:9" x14ac:dyDescent="0.25">
      <c r="A358" t="s">
        <v>368</v>
      </c>
      <c r="B358" t="s">
        <v>369</v>
      </c>
      <c r="C358" t="s">
        <v>11</v>
      </c>
      <c r="D358" s="1">
        <v>98.2</v>
      </c>
      <c r="E358" s="2">
        <v>2</v>
      </c>
      <c r="F358" s="1">
        <v>98.2</v>
      </c>
      <c r="G358" s="1">
        <v>76</v>
      </c>
      <c r="H358" s="2">
        <v>2</v>
      </c>
      <c r="I358" t="s">
        <v>81</v>
      </c>
    </row>
    <row r="359" spans="1:9" x14ac:dyDescent="0.25">
      <c r="A359" t="s">
        <v>246</v>
      </c>
      <c r="B359" t="s">
        <v>247</v>
      </c>
      <c r="C359" t="s">
        <v>28</v>
      </c>
      <c r="D359" s="1">
        <v>96.75</v>
      </c>
      <c r="E359" s="2">
        <v>9</v>
      </c>
      <c r="F359" s="1">
        <v>75.25</v>
      </c>
      <c r="G359" s="1">
        <v>54.99</v>
      </c>
      <c r="H359" s="2">
        <v>7</v>
      </c>
      <c r="I359" t="s">
        <v>81</v>
      </c>
    </row>
    <row r="360" spans="1:9" x14ac:dyDescent="0.25">
      <c r="A360" t="s">
        <v>86</v>
      </c>
      <c r="B360" t="s">
        <v>87</v>
      </c>
      <c r="C360" t="s">
        <v>299</v>
      </c>
      <c r="D360" s="1">
        <v>95.03</v>
      </c>
      <c r="E360" s="2">
        <v>3</v>
      </c>
      <c r="F360" s="1">
        <v>95.03</v>
      </c>
      <c r="G360" s="1">
        <v>72.78</v>
      </c>
      <c r="H360" s="2">
        <v>3</v>
      </c>
      <c r="I360" t="s">
        <v>81</v>
      </c>
    </row>
    <row r="361" spans="1:9" x14ac:dyDescent="0.25">
      <c r="A361" t="s">
        <v>94</v>
      </c>
      <c r="B361" t="s">
        <v>95</v>
      </c>
      <c r="C361" t="s">
        <v>25</v>
      </c>
      <c r="D361" s="1">
        <v>93.29</v>
      </c>
      <c r="E361" s="2">
        <v>3</v>
      </c>
      <c r="F361" s="1">
        <v>125.71</v>
      </c>
      <c r="G361" s="1">
        <v>62.56</v>
      </c>
      <c r="H361" s="2">
        <v>4</v>
      </c>
      <c r="I361" t="s">
        <v>81</v>
      </c>
    </row>
    <row r="362" spans="1:9" x14ac:dyDescent="0.25">
      <c r="A362" t="s">
        <v>364</v>
      </c>
      <c r="B362" t="s">
        <v>365</v>
      </c>
      <c r="C362" t="s">
        <v>266</v>
      </c>
      <c r="D362" s="1">
        <v>93.28</v>
      </c>
      <c r="E362" s="2">
        <v>2</v>
      </c>
      <c r="F362" s="1">
        <v>93.28</v>
      </c>
      <c r="G362" s="1">
        <v>63.9</v>
      </c>
      <c r="H362" s="2">
        <v>2</v>
      </c>
      <c r="I362" t="s">
        <v>81</v>
      </c>
    </row>
    <row r="363" spans="1:9" x14ac:dyDescent="0.25">
      <c r="A363" t="s">
        <v>350</v>
      </c>
      <c r="B363" t="s">
        <v>351</v>
      </c>
      <c r="C363" t="s">
        <v>16</v>
      </c>
      <c r="D363" s="1">
        <v>92.8</v>
      </c>
      <c r="E363" s="2">
        <v>16</v>
      </c>
      <c r="F363" s="1">
        <v>92.8</v>
      </c>
      <c r="G363" s="1">
        <v>44.64</v>
      </c>
      <c r="H363" s="2">
        <v>16</v>
      </c>
      <c r="I363" t="s">
        <v>81</v>
      </c>
    </row>
    <row r="364" spans="1:9" x14ac:dyDescent="0.25">
      <c r="A364" t="s">
        <v>254</v>
      </c>
      <c r="B364" t="s">
        <v>255</v>
      </c>
      <c r="C364" t="s">
        <v>25</v>
      </c>
      <c r="D364" s="1">
        <v>92.72</v>
      </c>
      <c r="E364" s="2">
        <v>19</v>
      </c>
      <c r="F364" s="1">
        <v>102.48</v>
      </c>
      <c r="G364" s="1">
        <v>73.5</v>
      </c>
      <c r="H364" s="2">
        <v>21</v>
      </c>
      <c r="I364" t="s">
        <v>81</v>
      </c>
    </row>
    <row r="365" spans="1:9" x14ac:dyDescent="0.25">
      <c r="A365" t="s">
        <v>277</v>
      </c>
      <c r="B365" t="s">
        <v>278</v>
      </c>
      <c r="C365" t="s">
        <v>25</v>
      </c>
      <c r="D365" s="1">
        <v>92.19</v>
      </c>
      <c r="E365" s="2">
        <v>6</v>
      </c>
      <c r="F365" s="1">
        <v>92.19</v>
      </c>
      <c r="G365" s="1">
        <v>51.75</v>
      </c>
      <c r="H365" s="2">
        <v>6</v>
      </c>
      <c r="I365" t="s">
        <v>81</v>
      </c>
    </row>
    <row r="366" spans="1:9" x14ac:dyDescent="0.25">
      <c r="A366" t="s">
        <v>202</v>
      </c>
      <c r="B366" t="s">
        <v>197</v>
      </c>
      <c r="C366" t="s">
        <v>16</v>
      </c>
      <c r="D366" s="1">
        <v>91.45</v>
      </c>
      <c r="E366" s="2">
        <v>7</v>
      </c>
      <c r="F366" s="1">
        <v>95.74</v>
      </c>
      <c r="G366" s="1">
        <v>52.92</v>
      </c>
      <c r="H366" s="2">
        <v>7</v>
      </c>
      <c r="I366" t="s">
        <v>81</v>
      </c>
    </row>
    <row r="367" spans="1:9" x14ac:dyDescent="0.25">
      <c r="A367" t="s">
        <v>41</v>
      </c>
      <c r="B367" t="s">
        <v>42</v>
      </c>
      <c r="C367" t="s">
        <v>16</v>
      </c>
      <c r="D367" s="1">
        <v>91.15</v>
      </c>
      <c r="E367" s="2">
        <v>6</v>
      </c>
      <c r="F367" s="1">
        <v>76.95</v>
      </c>
      <c r="G367" s="1">
        <v>53.32</v>
      </c>
      <c r="H367" s="2">
        <v>5</v>
      </c>
      <c r="I367" t="s">
        <v>81</v>
      </c>
    </row>
    <row r="368" spans="1:9" x14ac:dyDescent="0.25">
      <c r="A368" t="s">
        <v>328</v>
      </c>
      <c r="B368" t="s">
        <v>329</v>
      </c>
      <c r="C368" t="s">
        <v>28</v>
      </c>
      <c r="D368" s="1">
        <v>90.86</v>
      </c>
      <c r="E368" s="2">
        <v>7</v>
      </c>
      <c r="F368" s="1">
        <v>63.98</v>
      </c>
      <c r="G368" s="1">
        <v>61.75</v>
      </c>
      <c r="H368" s="2">
        <v>5</v>
      </c>
      <c r="I368" t="s">
        <v>81</v>
      </c>
    </row>
    <row r="369" spans="1:9" x14ac:dyDescent="0.25">
      <c r="A369" t="s">
        <v>82</v>
      </c>
      <c r="B369" t="s">
        <v>83</v>
      </c>
      <c r="C369" t="s">
        <v>25</v>
      </c>
      <c r="D369" s="1">
        <v>90.83</v>
      </c>
      <c r="E369" s="2">
        <v>1</v>
      </c>
      <c r="F369" s="1">
        <v>90.83</v>
      </c>
      <c r="G369" s="1">
        <v>78.75</v>
      </c>
      <c r="H369" s="2">
        <v>1</v>
      </c>
      <c r="I369" t="s">
        <v>81</v>
      </c>
    </row>
    <row r="370" spans="1:9" x14ac:dyDescent="0.25">
      <c r="A370" t="s">
        <v>37</v>
      </c>
      <c r="B370" t="s">
        <v>38</v>
      </c>
      <c r="C370" t="s">
        <v>299</v>
      </c>
      <c r="D370" s="1">
        <v>89.28</v>
      </c>
      <c r="E370" s="2">
        <v>2</v>
      </c>
      <c r="F370" s="1">
        <v>89.28</v>
      </c>
      <c r="G370" s="1">
        <v>77.62</v>
      </c>
      <c r="H370" s="2">
        <v>2</v>
      </c>
      <c r="I370" s="2">
        <v>1</v>
      </c>
    </row>
    <row r="371" spans="1:9" x14ac:dyDescent="0.25">
      <c r="A371" t="s">
        <v>283</v>
      </c>
      <c r="B371" t="s">
        <v>284</v>
      </c>
      <c r="C371" t="s">
        <v>28</v>
      </c>
      <c r="D371" s="1">
        <v>89.16</v>
      </c>
      <c r="E371" s="2">
        <v>10</v>
      </c>
      <c r="F371" s="1">
        <v>89.16</v>
      </c>
      <c r="G371" s="1">
        <v>46.9</v>
      </c>
      <c r="H371" s="2">
        <v>10</v>
      </c>
      <c r="I371" t="s">
        <v>81</v>
      </c>
    </row>
    <row r="372" spans="1:9" x14ac:dyDescent="0.25">
      <c r="A372" t="s">
        <v>146</v>
      </c>
      <c r="B372" t="s">
        <v>147</v>
      </c>
      <c r="C372" t="s">
        <v>16</v>
      </c>
      <c r="D372" s="1">
        <v>88.51</v>
      </c>
      <c r="E372" s="2">
        <v>1</v>
      </c>
      <c r="F372" s="1">
        <v>88.51</v>
      </c>
      <c r="G372" s="1">
        <v>77</v>
      </c>
      <c r="H372" s="2">
        <v>1</v>
      </c>
      <c r="I372" t="s">
        <v>81</v>
      </c>
    </row>
    <row r="373" spans="1:9" x14ac:dyDescent="0.25">
      <c r="A373" t="s">
        <v>190</v>
      </c>
      <c r="B373" t="s">
        <v>191</v>
      </c>
      <c r="C373" t="s">
        <v>16</v>
      </c>
      <c r="D373" s="1">
        <v>87.99</v>
      </c>
      <c r="E373" s="2">
        <v>3</v>
      </c>
      <c r="F373" s="1">
        <v>87.99</v>
      </c>
      <c r="G373" s="1">
        <v>59.06</v>
      </c>
      <c r="H373" s="2">
        <v>3</v>
      </c>
      <c r="I373" s="2">
        <v>1</v>
      </c>
    </row>
    <row r="374" spans="1:9" x14ac:dyDescent="0.25">
      <c r="A374" t="s">
        <v>160</v>
      </c>
      <c r="B374" t="s">
        <v>161</v>
      </c>
      <c r="C374" t="s">
        <v>28</v>
      </c>
      <c r="D374" s="1">
        <v>86.94</v>
      </c>
      <c r="E374" s="2">
        <v>7</v>
      </c>
      <c r="F374" s="1">
        <v>74.52</v>
      </c>
      <c r="G374" s="1">
        <v>49.56</v>
      </c>
      <c r="H374" s="2">
        <v>6</v>
      </c>
      <c r="I374" t="s">
        <v>81</v>
      </c>
    </row>
    <row r="375" spans="1:9" x14ac:dyDescent="0.25">
      <c r="A375" t="s">
        <v>238</v>
      </c>
      <c r="B375" t="s">
        <v>239</v>
      </c>
      <c r="C375" t="s">
        <v>11</v>
      </c>
      <c r="D375" s="1">
        <v>86.76</v>
      </c>
      <c r="E375" s="2">
        <v>5</v>
      </c>
      <c r="F375" s="1">
        <v>86.76</v>
      </c>
      <c r="G375" s="1">
        <v>39.6</v>
      </c>
      <c r="H375" s="2">
        <v>5</v>
      </c>
      <c r="I375" s="2">
        <v>3</v>
      </c>
    </row>
    <row r="376" spans="1:9" x14ac:dyDescent="0.25">
      <c r="A376" t="s">
        <v>370</v>
      </c>
      <c r="B376" t="s">
        <v>371</v>
      </c>
      <c r="C376" t="s">
        <v>299</v>
      </c>
      <c r="D376" s="1">
        <v>86.73</v>
      </c>
      <c r="E376" s="2">
        <v>3</v>
      </c>
      <c r="F376" s="1">
        <v>86.73</v>
      </c>
      <c r="G376" s="1">
        <v>64.58</v>
      </c>
      <c r="H376" s="2">
        <v>3</v>
      </c>
      <c r="I376" t="s">
        <v>81</v>
      </c>
    </row>
    <row r="377" spans="1:9" x14ac:dyDescent="0.25">
      <c r="A377" t="s">
        <v>174</v>
      </c>
      <c r="B377" t="s">
        <v>175</v>
      </c>
      <c r="C377" t="s">
        <v>207</v>
      </c>
      <c r="D377" s="1">
        <v>86.5</v>
      </c>
      <c r="E377" s="2">
        <v>17</v>
      </c>
      <c r="F377" s="1">
        <v>86.5</v>
      </c>
      <c r="G377" s="1">
        <v>91.77</v>
      </c>
      <c r="H377" s="2">
        <v>17</v>
      </c>
      <c r="I377" t="s">
        <v>81</v>
      </c>
    </row>
    <row r="378" spans="1:9" x14ac:dyDescent="0.25">
      <c r="A378" t="s">
        <v>271</v>
      </c>
      <c r="B378" t="s">
        <v>272</v>
      </c>
      <c r="C378" t="s">
        <v>299</v>
      </c>
      <c r="D378" s="1">
        <v>86.47</v>
      </c>
      <c r="E378" s="2">
        <v>3</v>
      </c>
      <c r="F378" s="1">
        <v>86.47</v>
      </c>
      <c r="G378" s="1">
        <v>72.430000000000007</v>
      </c>
      <c r="H378" s="2">
        <v>3</v>
      </c>
      <c r="I378" s="2">
        <v>1</v>
      </c>
    </row>
    <row r="379" spans="1:9" x14ac:dyDescent="0.25">
      <c r="A379" t="s">
        <v>114</v>
      </c>
      <c r="B379" t="s">
        <v>115</v>
      </c>
      <c r="C379" t="s">
        <v>25</v>
      </c>
      <c r="D379" s="1">
        <v>86.26</v>
      </c>
      <c r="E379" s="2">
        <v>2</v>
      </c>
      <c r="F379" s="1">
        <v>132.11000000000001</v>
      </c>
      <c r="G379" s="1">
        <v>84.83</v>
      </c>
      <c r="H379" s="2">
        <v>3</v>
      </c>
      <c r="I379" t="s">
        <v>81</v>
      </c>
    </row>
    <row r="380" spans="1:9" x14ac:dyDescent="0.25">
      <c r="A380" t="s">
        <v>372</v>
      </c>
      <c r="B380" t="s">
        <v>373</v>
      </c>
      <c r="C380" t="s">
        <v>28</v>
      </c>
      <c r="D380" s="1">
        <v>85.94</v>
      </c>
      <c r="E380" s="2">
        <v>2</v>
      </c>
      <c r="F380" s="1">
        <v>42.97</v>
      </c>
      <c r="G380" s="1">
        <v>39.1</v>
      </c>
      <c r="H380" s="2">
        <v>1</v>
      </c>
      <c r="I380" t="s">
        <v>81</v>
      </c>
    </row>
    <row r="381" spans="1:9" x14ac:dyDescent="0.25">
      <c r="A381" t="s">
        <v>122</v>
      </c>
      <c r="B381" t="s">
        <v>123</v>
      </c>
      <c r="C381" t="s">
        <v>28</v>
      </c>
      <c r="D381" s="1">
        <v>85.55</v>
      </c>
      <c r="E381" s="2">
        <v>3</v>
      </c>
      <c r="F381" s="1">
        <v>58.13</v>
      </c>
      <c r="G381" s="1">
        <v>38.380000000000003</v>
      </c>
      <c r="H381" s="2">
        <v>2</v>
      </c>
      <c r="I381" t="s">
        <v>81</v>
      </c>
    </row>
    <row r="382" spans="1:9" x14ac:dyDescent="0.25">
      <c r="A382" t="s">
        <v>29</v>
      </c>
      <c r="B382" t="s">
        <v>30</v>
      </c>
      <c r="C382" t="s">
        <v>266</v>
      </c>
      <c r="D382" s="1">
        <v>84.79</v>
      </c>
      <c r="E382" s="2">
        <v>5</v>
      </c>
      <c r="F382" s="1">
        <v>49.35</v>
      </c>
      <c r="G382" s="1">
        <v>42.54</v>
      </c>
      <c r="H382" s="2">
        <v>3</v>
      </c>
      <c r="I382" t="s">
        <v>81</v>
      </c>
    </row>
    <row r="383" spans="1:9" x14ac:dyDescent="0.25">
      <c r="A383" t="s">
        <v>269</v>
      </c>
      <c r="B383" t="s">
        <v>270</v>
      </c>
      <c r="C383" t="s">
        <v>25</v>
      </c>
      <c r="D383" s="1">
        <v>84.15</v>
      </c>
      <c r="E383" s="2">
        <v>5</v>
      </c>
      <c r="F383" s="1">
        <v>84.15</v>
      </c>
      <c r="G383" s="1">
        <v>20.8</v>
      </c>
      <c r="H383" s="2">
        <v>5</v>
      </c>
      <c r="I383" s="2">
        <v>3</v>
      </c>
    </row>
    <row r="384" spans="1:9" x14ac:dyDescent="0.25">
      <c r="A384" t="s">
        <v>192</v>
      </c>
      <c r="B384" t="s">
        <v>193</v>
      </c>
      <c r="C384" t="s">
        <v>16</v>
      </c>
      <c r="D384" s="1">
        <v>83.19</v>
      </c>
      <c r="E384" s="2">
        <v>1</v>
      </c>
      <c r="F384" s="1">
        <v>83.19</v>
      </c>
      <c r="G384" s="1">
        <v>85</v>
      </c>
      <c r="H384" s="2">
        <v>1</v>
      </c>
      <c r="I384" t="s">
        <v>81</v>
      </c>
    </row>
    <row r="385" spans="1:9" x14ac:dyDescent="0.25">
      <c r="A385" t="s">
        <v>287</v>
      </c>
      <c r="B385" t="s">
        <v>288</v>
      </c>
      <c r="C385" t="s">
        <v>28</v>
      </c>
      <c r="D385" s="1">
        <v>83.16</v>
      </c>
      <c r="E385" s="2">
        <v>2</v>
      </c>
      <c r="F385" s="1">
        <v>83.16</v>
      </c>
      <c r="G385" s="1">
        <v>68.400000000000006</v>
      </c>
      <c r="H385" s="2">
        <v>2</v>
      </c>
      <c r="I385" t="s">
        <v>81</v>
      </c>
    </row>
    <row r="386" spans="1:9" x14ac:dyDescent="0.25">
      <c r="A386" t="s">
        <v>192</v>
      </c>
      <c r="B386" t="s">
        <v>193</v>
      </c>
      <c r="C386" t="s">
        <v>28</v>
      </c>
      <c r="D386" s="1">
        <v>82.5</v>
      </c>
      <c r="E386" s="2">
        <v>1</v>
      </c>
      <c r="F386" s="1">
        <v>82.5</v>
      </c>
      <c r="G386" s="1">
        <v>80.75</v>
      </c>
      <c r="H386" s="2">
        <v>1</v>
      </c>
      <c r="I386" t="s">
        <v>81</v>
      </c>
    </row>
    <row r="387" spans="1:9" x14ac:dyDescent="0.25">
      <c r="A387" t="s">
        <v>192</v>
      </c>
      <c r="B387" t="s">
        <v>193</v>
      </c>
      <c r="C387" t="s">
        <v>25</v>
      </c>
      <c r="D387" s="1">
        <v>81.819999999999993</v>
      </c>
      <c r="E387" s="2">
        <v>1</v>
      </c>
      <c r="F387" s="1">
        <v>81.819999999999993</v>
      </c>
      <c r="G387" s="1">
        <v>80.75</v>
      </c>
      <c r="H387" s="2">
        <v>1</v>
      </c>
      <c r="I387" t="s">
        <v>81</v>
      </c>
    </row>
    <row r="388" spans="1:9" x14ac:dyDescent="0.25">
      <c r="A388" t="s">
        <v>374</v>
      </c>
      <c r="B388" t="s">
        <v>375</v>
      </c>
      <c r="C388" t="s">
        <v>11</v>
      </c>
      <c r="D388" s="1">
        <v>81.64</v>
      </c>
      <c r="E388" s="2">
        <v>4</v>
      </c>
      <c r="F388" s="1">
        <v>81.64</v>
      </c>
      <c r="G388" s="1">
        <v>59.64</v>
      </c>
      <c r="H388" s="2">
        <v>4</v>
      </c>
      <c r="I388" t="s">
        <v>81</v>
      </c>
    </row>
    <row r="389" spans="1:9" x14ac:dyDescent="0.25">
      <c r="A389" t="s">
        <v>273</v>
      </c>
      <c r="B389" t="s">
        <v>274</v>
      </c>
      <c r="C389" t="s">
        <v>25</v>
      </c>
      <c r="D389" s="1">
        <v>81.540000000000006</v>
      </c>
      <c r="E389" s="2">
        <v>3</v>
      </c>
      <c r="F389" s="1">
        <v>108.72</v>
      </c>
      <c r="G389" s="1">
        <v>56.96</v>
      </c>
      <c r="H389" s="2">
        <v>4</v>
      </c>
      <c r="I389" t="s">
        <v>81</v>
      </c>
    </row>
    <row r="390" spans="1:9" x14ac:dyDescent="0.25">
      <c r="A390" t="s">
        <v>320</v>
      </c>
      <c r="B390" t="s">
        <v>321</v>
      </c>
      <c r="C390" t="s">
        <v>28</v>
      </c>
      <c r="D390" s="1">
        <v>81.5</v>
      </c>
      <c r="E390" s="2">
        <v>2</v>
      </c>
      <c r="F390" s="1">
        <v>40.75</v>
      </c>
      <c r="G390" s="1">
        <v>33</v>
      </c>
      <c r="H390" s="2">
        <v>1</v>
      </c>
      <c r="I390" t="s">
        <v>81</v>
      </c>
    </row>
    <row r="391" spans="1:9" x14ac:dyDescent="0.25">
      <c r="A391" t="s">
        <v>372</v>
      </c>
      <c r="B391" t="s">
        <v>373</v>
      </c>
      <c r="C391" t="s">
        <v>25</v>
      </c>
      <c r="D391" s="1">
        <v>81.45</v>
      </c>
      <c r="E391" s="2">
        <v>2</v>
      </c>
      <c r="F391" s="1">
        <v>81.45</v>
      </c>
      <c r="G391" s="1">
        <v>60.04</v>
      </c>
      <c r="H391" s="2">
        <v>2</v>
      </c>
      <c r="I391" t="s">
        <v>81</v>
      </c>
    </row>
    <row r="392" spans="1:9" x14ac:dyDescent="0.25">
      <c r="A392" t="s">
        <v>354</v>
      </c>
      <c r="B392" t="s">
        <v>355</v>
      </c>
      <c r="C392" t="s">
        <v>16</v>
      </c>
      <c r="D392" s="1">
        <v>81.13</v>
      </c>
      <c r="E392" s="2">
        <v>2</v>
      </c>
      <c r="F392" s="1">
        <v>81.13</v>
      </c>
      <c r="G392" s="1">
        <v>52</v>
      </c>
      <c r="H392" s="2">
        <v>2</v>
      </c>
      <c r="I392" t="s">
        <v>81</v>
      </c>
    </row>
    <row r="393" spans="1:9" x14ac:dyDescent="0.25">
      <c r="A393" t="s">
        <v>285</v>
      </c>
      <c r="B393" t="s">
        <v>286</v>
      </c>
      <c r="C393" t="s">
        <v>28</v>
      </c>
      <c r="D393" s="1">
        <v>80.53</v>
      </c>
      <c r="E393" s="2">
        <v>4</v>
      </c>
      <c r="F393" s="1">
        <v>80.53</v>
      </c>
      <c r="G393" s="1">
        <v>52.04</v>
      </c>
      <c r="H393" s="2">
        <v>4</v>
      </c>
      <c r="I393" t="s">
        <v>81</v>
      </c>
    </row>
    <row r="394" spans="1:9" x14ac:dyDescent="0.25">
      <c r="A394" t="s">
        <v>376</v>
      </c>
      <c r="B394" t="s">
        <v>377</v>
      </c>
      <c r="C394" t="s">
        <v>11</v>
      </c>
      <c r="D394" s="1">
        <v>80.3</v>
      </c>
      <c r="E394" s="2">
        <v>11</v>
      </c>
      <c r="F394" s="1">
        <v>80.3</v>
      </c>
      <c r="G394" s="1">
        <v>31.54</v>
      </c>
      <c r="H394" s="2">
        <v>11</v>
      </c>
      <c r="I394" t="s">
        <v>81</v>
      </c>
    </row>
    <row r="395" spans="1:9" x14ac:dyDescent="0.25">
      <c r="A395" t="s">
        <v>378</v>
      </c>
      <c r="B395" t="s">
        <v>379</v>
      </c>
      <c r="C395" t="s">
        <v>11</v>
      </c>
      <c r="D395" s="1">
        <v>79.989999999999995</v>
      </c>
      <c r="E395" s="2">
        <v>7</v>
      </c>
      <c r="F395" s="1">
        <v>79.989999999999995</v>
      </c>
      <c r="G395" s="1">
        <v>45.71</v>
      </c>
      <c r="H395" s="2">
        <v>7</v>
      </c>
      <c r="I395" t="s">
        <v>81</v>
      </c>
    </row>
    <row r="396" spans="1:9" x14ac:dyDescent="0.25">
      <c r="A396" t="s">
        <v>380</v>
      </c>
      <c r="B396" t="s">
        <v>381</v>
      </c>
      <c r="C396" t="s">
        <v>11</v>
      </c>
      <c r="D396" s="1">
        <v>78.599999999999994</v>
      </c>
      <c r="E396" s="2">
        <v>12</v>
      </c>
      <c r="F396" s="1">
        <v>78.599999999999994</v>
      </c>
      <c r="G396" s="1">
        <v>65.400000000000006</v>
      </c>
      <c r="H396" s="2">
        <v>12</v>
      </c>
      <c r="I396" t="s">
        <v>81</v>
      </c>
    </row>
    <row r="397" spans="1:9" x14ac:dyDescent="0.25">
      <c r="A397" t="s">
        <v>31</v>
      </c>
      <c r="B397" t="s">
        <v>32</v>
      </c>
      <c r="C397" t="s">
        <v>299</v>
      </c>
      <c r="D397" s="1">
        <v>76.180000000000007</v>
      </c>
      <c r="E397" s="2">
        <v>9</v>
      </c>
      <c r="F397" s="1">
        <v>76.180000000000007</v>
      </c>
      <c r="G397" s="1">
        <v>51.69</v>
      </c>
      <c r="H397" s="2">
        <v>9</v>
      </c>
      <c r="I397" t="s">
        <v>81</v>
      </c>
    </row>
    <row r="398" spans="1:9" x14ac:dyDescent="0.25">
      <c r="A398" t="s">
        <v>320</v>
      </c>
      <c r="B398" t="s">
        <v>321</v>
      </c>
      <c r="C398" t="s">
        <v>266</v>
      </c>
      <c r="D398" s="1">
        <v>76.08</v>
      </c>
      <c r="E398" s="2">
        <v>2</v>
      </c>
      <c r="F398" t="s">
        <v>81</v>
      </c>
      <c r="G398" t="s">
        <v>81</v>
      </c>
      <c r="H398" t="s">
        <v>81</v>
      </c>
      <c r="I398" t="s">
        <v>81</v>
      </c>
    </row>
    <row r="399" spans="1:9" x14ac:dyDescent="0.25">
      <c r="A399" t="s">
        <v>382</v>
      </c>
      <c r="B399" t="s">
        <v>383</v>
      </c>
      <c r="C399" t="s">
        <v>28</v>
      </c>
      <c r="D399" s="1">
        <v>75.790000000000006</v>
      </c>
      <c r="E399" s="2">
        <v>1</v>
      </c>
      <c r="F399" s="1">
        <v>75.790000000000006</v>
      </c>
      <c r="G399" s="1">
        <v>55</v>
      </c>
      <c r="H399" s="2">
        <v>1</v>
      </c>
      <c r="I399" t="s">
        <v>81</v>
      </c>
    </row>
    <row r="400" spans="1:9" x14ac:dyDescent="0.25">
      <c r="A400" t="s">
        <v>285</v>
      </c>
      <c r="B400" t="s">
        <v>286</v>
      </c>
      <c r="C400" t="s">
        <v>25</v>
      </c>
      <c r="D400" s="1">
        <v>75.540000000000006</v>
      </c>
      <c r="E400" s="2">
        <v>4</v>
      </c>
      <c r="F400" s="1">
        <v>75.540000000000006</v>
      </c>
      <c r="G400" s="1">
        <v>52.04</v>
      </c>
      <c r="H400" s="2">
        <v>4</v>
      </c>
      <c r="I400" t="s">
        <v>81</v>
      </c>
    </row>
    <row r="401" spans="1:9" x14ac:dyDescent="0.25">
      <c r="A401" t="s">
        <v>384</v>
      </c>
      <c r="B401" t="s">
        <v>385</v>
      </c>
      <c r="C401" t="s">
        <v>28</v>
      </c>
      <c r="D401" s="1">
        <v>74.52</v>
      </c>
      <c r="E401" s="2">
        <v>6</v>
      </c>
      <c r="F401" s="1">
        <v>86.94</v>
      </c>
      <c r="G401" s="1">
        <v>48.18</v>
      </c>
      <c r="H401" s="2">
        <v>7</v>
      </c>
      <c r="I401" s="2">
        <v>3</v>
      </c>
    </row>
    <row r="402" spans="1:9" x14ac:dyDescent="0.25">
      <c r="A402" t="s">
        <v>350</v>
      </c>
      <c r="B402" t="s">
        <v>351</v>
      </c>
      <c r="C402" t="s">
        <v>25</v>
      </c>
      <c r="D402" s="1">
        <v>74.099999999999994</v>
      </c>
      <c r="E402" s="2">
        <v>13</v>
      </c>
      <c r="F402" s="1">
        <v>74.099999999999994</v>
      </c>
      <c r="G402" s="1">
        <v>36.270000000000003</v>
      </c>
      <c r="H402" s="2">
        <v>13</v>
      </c>
      <c r="I402" s="2">
        <v>1</v>
      </c>
    </row>
    <row r="403" spans="1:9" x14ac:dyDescent="0.25">
      <c r="A403" t="s">
        <v>246</v>
      </c>
      <c r="B403" t="s">
        <v>247</v>
      </c>
      <c r="C403" t="s">
        <v>25</v>
      </c>
      <c r="D403" s="1">
        <v>73.86</v>
      </c>
      <c r="E403" s="2">
        <v>6</v>
      </c>
      <c r="F403" s="1">
        <v>98.48</v>
      </c>
      <c r="G403" s="1">
        <v>59.2</v>
      </c>
      <c r="H403" s="2">
        <v>8</v>
      </c>
      <c r="I403" t="s">
        <v>81</v>
      </c>
    </row>
    <row r="404" spans="1:9" x14ac:dyDescent="0.25">
      <c r="A404" t="s">
        <v>226</v>
      </c>
      <c r="B404" t="s">
        <v>227</v>
      </c>
      <c r="C404" t="s">
        <v>25</v>
      </c>
      <c r="D404" s="1">
        <v>73.2</v>
      </c>
      <c r="E404" s="2">
        <v>15</v>
      </c>
      <c r="F404" s="1">
        <v>82.96</v>
      </c>
      <c r="G404" s="1">
        <v>47.5</v>
      </c>
      <c r="H404" s="2">
        <v>17</v>
      </c>
      <c r="I404" t="s">
        <v>81</v>
      </c>
    </row>
    <row r="405" spans="1:9" x14ac:dyDescent="0.25">
      <c r="A405" t="s">
        <v>386</v>
      </c>
      <c r="B405" t="s">
        <v>387</v>
      </c>
      <c r="C405" t="s">
        <v>25</v>
      </c>
      <c r="D405" s="1">
        <v>72.77</v>
      </c>
      <c r="E405" s="2">
        <v>3</v>
      </c>
      <c r="F405" s="1">
        <v>72.77</v>
      </c>
      <c r="G405" s="1">
        <v>42.66</v>
      </c>
      <c r="H405" s="2">
        <v>3</v>
      </c>
      <c r="I405" t="s">
        <v>81</v>
      </c>
    </row>
    <row r="406" spans="1:9" x14ac:dyDescent="0.25">
      <c r="A406" t="s">
        <v>388</v>
      </c>
      <c r="B406" t="s">
        <v>389</v>
      </c>
      <c r="C406" t="s">
        <v>25</v>
      </c>
      <c r="D406" s="1">
        <v>72.73</v>
      </c>
      <c r="E406" s="2">
        <v>1</v>
      </c>
      <c r="F406" s="1">
        <v>72.73</v>
      </c>
      <c r="G406" s="1">
        <v>52.8</v>
      </c>
      <c r="H406" s="2">
        <v>1</v>
      </c>
      <c r="I406" s="2">
        <v>1</v>
      </c>
    </row>
    <row r="407" spans="1:9" x14ac:dyDescent="0.25">
      <c r="A407" t="s">
        <v>203</v>
      </c>
      <c r="B407" t="s">
        <v>204</v>
      </c>
      <c r="C407" t="s">
        <v>25</v>
      </c>
      <c r="D407" s="1">
        <v>72.7</v>
      </c>
      <c r="E407" s="2">
        <v>10</v>
      </c>
      <c r="F407" s="1">
        <v>72.7</v>
      </c>
      <c r="G407" s="1">
        <v>27.65</v>
      </c>
      <c r="H407" s="2">
        <v>10</v>
      </c>
      <c r="I407" t="s">
        <v>81</v>
      </c>
    </row>
    <row r="408" spans="1:9" x14ac:dyDescent="0.25">
      <c r="A408" t="s">
        <v>390</v>
      </c>
      <c r="B408" t="s">
        <v>391</v>
      </c>
      <c r="C408" t="s">
        <v>16</v>
      </c>
      <c r="D408" s="1">
        <v>72.08</v>
      </c>
      <c r="E408" s="2">
        <v>1</v>
      </c>
      <c r="F408" s="1">
        <v>72.08</v>
      </c>
      <c r="G408" s="1">
        <v>37.5</v>
      </c>
      <c r="H408" s="2">
        <v>1</v>
      </c>
      <c r="I408" t="s">
        <v>81</v>
      </c>
    </row>
    <row r="409" spans="1:9" x14ac:dyDescent="0.25">
      <c r="A409" t="s">
        <v>392</v>
      </c>
      <c r="B409" t="s">
        <v>393</v>
      </c>
      <c r="C409" t="s">
        <v>11</v>
      </c>
      <c r="D409" s="1">
        <v>71.680000000000007</v>
      </c>
      <c r="E409" s="2">
        <v>14</v>
      </c>
      <c r="F409" s="1">
        <v>71.680000000000007</v>
      </c>
      <c r="G409" s="1">
        <v>32.340000000000003</v>
      </c>
      <c r="H409" s="2">
        <v>14</v>
      </c>
      <c r="I409" t="s">
        <v>81</v>
      </c>
    </row>
    <row r="410" spans="1:9" x14ac:dyDescent="0.25">
      <c r="A410" t="s">
        <v>394</v>
      </c>
      <c r="B410" t="s">
        <v>395</v>
      </c>
      <c r="C410" t="s">
        <v>11</v>
      </c>
      <c r="D410" s="1">
        <v>71.489999999999995</v>
      </c>
      <c r="E410" s="2">
        <v>9</v>
      </c>
      <c r="F410" s="1">
        <v>71.489999999999995</v>
      </c>
      <c r="G410" s="1">
        <v>22.05</v>
      </c>
      <c r="H410" s="2">
        <v>9</v>
      </c>
      <c r="I410" t="s">
        <v>81</v>
      </c>
    </row>
    <row r="411" spans="1:9" x14ac:dyDescent="0.25">
      <c r="A411" t="s">
        <v>396</v>
      </c>
      <c r="B411" t="s">
        <v>397</v>
      </c>
      <c r="C411" t="s">
        <v>11</v>
      </c>
      <c r="D411" s="1">
        <v>71.13</v>
      </c>
      <c r="E411" s="2">
        <v>7</v>
      </c>
      <c r="F411" s="1">
        <v>71.13</v>
      </c>
      <c r="G411" s="1">
        <v>51.8</v>
      </c>
      <c r="H411" s="2">
        <v>7</v>
      </c>
      <c r="I411" s="2">
        <v>1</v>
      </c>
    </row>
    <row r="412" spans="1:9" x14ac:dyDescent="0.25">
      <c r="A412" t="s">
        <v>398</v>
      </c>
      <c r="B412" t="s">
        <v>399</v>
      </c>
      <c r="C412" t="s">
        <v>28</v>
      </c>
      <c r="D412" s="1">
        <v>71.099999999999994</v>
      </c>
      <c r="E412" s="2">
        <v>2</v>
      </c>
      <c r="F412" s="1">
        <v>29.94</v>
      </c>
      <c r="G412" s="1">
        <v>23.17</v>
      </c>
      <c r="H412" s="2">
        <v>1</v>
      </c>
      <c r="I412" t="s">
        <v>81</v>
      </c>
    </row>
    <row r="413" spans="1:9" x14ac:dyDescent="0.25">
      <c r="A413" t="s">
        <v>400</v>
      </c>
      <c r="B413" t="s">
        <v>401</v>
      </c>
      <c r="C413" t="s">
        <v>11</v>
      </c>
      <c r="D413" s="1">
        <v>70.88</v>
      </c>
      <c r="E413" s="2">
        <v>1</v>
      </c>
      <c r="F413" s="1">
        <v>70.88</v>
      </c>
      <c r="G413" s="1">
        <v>112.5</v>
      </c>
      <c r="H413" s="2">
        <v>1</v>
      </c>
      <c r="I413" t="s">
        <v>81</v>
      </c>
    </row>
    <row r="414" spans="1:9" x14ac:dyDescent="0.25">
      <c r="A414" t="s">
        <v>306</v>
      </c>
      <c r="B414" t="s">
        <v>307</v>
      </c>
      <c r="C414" t="s">
        <v>28</v>
      </c>
      <c r="D414" s="1">
        <v>70.209999999999994</v>
      </c>
      <c r="E414" s="2">
        <v>6</v>
      </c>
      <c r="F414" s="1">
        <v>58.11</v>
      </c>
      <c r="G414" s="1">
        <v>32.21</v>
      </c>
      <c r="H414" s="2">
        <v>5</v>
      </c>
      <c r="I414" t="s">
        <v>81</v>
      </c>
    </row>
    <row r="415" spans="1:9" x14ac:dyDescent="0.25">
      <c r="A415" t="s">
        <v>45</v>
      </c>
      <c r="B415" t="s">
        <v>46</v>
      </c>
      <c r="C415" t="s">
        <v>25</v>
      </c>
      <c r="D415" s="1">
        <v>69.849999999999994</v>
      </c>
      <c r="E415" s="2">
        <v>5</v>
      </c>
      <c r="F415" s="1">
        <v>69.849999999999994</v>
      </c>
      <c r="G415" s="1">
        <v>49.62</v>
      </c>
      <c r="H415" s="2">
        <v>5</v>
      </c>
      <c r="I415" t="s">
        <v>81</v>
      </c>
    </row>
    <row r="416" spans="1:9" x14ac:dyDescent="0.25">
      <c r="A416" t="s">
        <v>63</v>
      </c>
      <c r="B416" t="s">
        <v>64</v>
      </c>
      <c r="C416" t="s">
        <v>266</v>
      </c>
      <c r="D416" s="1">
        <v>69.13</v>
      </c>
      <c r="E416" s="2">
        <v>1</v>
      </c>
      <c r="F416" s="1">
        <v>69.13</v>
      </c>
      <c r="G416" s="1">
        <v>54</v>
      </c>
      <c r="H416" s="2">
        <v>1</v>
      </c>
      <c r="I416" t="s">
        <v>81</v>
      </c>
    </row>
    <row r="417" spans="1:9" x14ac:dyDescent="0.25">
      <c r="A417" t="s">
        <v>118</v>
      </c>
      <c r="B417" t="s">
        <v>119</v>
      </c>
      <c r="C417" t="s">
        <v>25</v>
      </c>
      <c r="D417" s="1">
        <v>69.08</v>
      </c>
      <c r="E417" s="2">
        <v>4</v>
      </c>
      <c r="F417" s="1">
        <v>103.62</v>
      </c>
      <c r="G417" s="1">
        <v>70.34</v>
      </c>
      <c r="H417" s="2">
        <v>6</v>
      </c>
      <c r="I417" t="s">
        <v>81</v>
      </c>
    </row>
    <row r="418" spans="1:9" x14ac:dyDescent="0.25">
      <c r="A418" t="s">
        <v>164</v>
      </c>
      <c r="B418" t="s">
        <v>165</v>
      </c>
      <c r="C418" t="s">
        <v>25</v>
      </c>
      <c r="D418" s="1">
        <v>68.400000000000006</v>
      </c>
      <c r="E418" s="2">
        <v>1</v>
      </c>
      <c r="F418" s="1">
        <v>68.400000000000006</v>
      </c>
      <c r="G418" s="1">
        <v>32.42</v>
      </c>
      <c r="H418" s="2">
        <v>1</v>
      </c>
      <c r="I418" t="s">
        <v>81</v>
      </c>
    </row>
    <row r="419" spans="1:9" x14ac:dyDescent="0.25">
      <c r="A419" t="s">
        <v>402</v>
      </c>
      <c r="B419" t="s">
        <v>403</v>
      </c>
      <c r="C419" t="s">
        <v>11</v>
      </c>
      <c r="D419" s="1">
        <v>68.34</v>
      </c>
      <c r="E419" s="2">
        <v>17</v>
      </c>
      <c r="F419" s="1">
        <v>68.34</v>
      </c>
      <c r="G419" s="1">
        <v>30.6</v>
      </c>
      <c r="H419" s="2">
        <v>17</v>
      </c>
      <c r="I419" t="s">
        <v>81</v>
      </c>
    </row>
    <row r="420" spans="1:9" x14ac:dyDescent="0.25">
      <c r="A420" t="s">
        <v>202</v>
      </c>
      <c r="B420" t="s">
        <v>197</v>
      </c>
      <c r="C420" t="s">
        <v>28</v>
      </c>
      <c r="D420" s="1">
        <v>68.3</v>
      </c>
      <c r="E420" s="2">
        <v>5</v>
      </c>
      <c r="F420" s="1">
        <v>68.3</v>
      </c>
      <c r="G420" s="1">
        <v>27</v>
      </c>
      <c r="H420" s="2">
        <v>5</v>
      </c>
      <c r="I420" t="s">
        <v>81</v>
      </c>
    </row>
    <row r="421" spans="1:9" x14ac:dyDescent="0.25">
      <c r="A421" t="s">
        <v>202</v>
      </c>
      <c r="B421" t="s">
        <v>197</v>
      </c>
      <c r="C421" t="s">
        <v>25</v>
      </c>
      <c r="D421" s="1">
        <v>67.75</v>
      </c>
      <c r="E421" s="2">
        <v>5</v>
      </c>
      <c r="F421" s="1">
        <v>67.75</v>
      </c>
      <c r="G421" s="1">
        <v>29.31</v>
      </c>
      <c r="H421" s="2">
        <v>5</v>
      </c>
      <c r="I421" s="2">
        <v>2</v>
      </c>
    </row>
    <row r="422" spans="1:9" x14ac:dyDescent="0.25">
      <c r="A422" t="s">
        <v>51</v>
      </c>
      <c r="B422" t="s">
        <v>52</v>
      </c>
      <c r="C422" t="s">
        <v>16</v>
      </c>
      <c r="D422" s="1">
        <v>67.290000000000006</v>
      </c>
      <c r="E422" s="2">
        <v>3</v>
      </c>
      <c r="F422" s="1">
        <v>87.05</v>
      </c>
      <c r="G422" s="1">
        <v>47.2</v>
      </c>
      <c r="H422" s="2">
        <v>4</v>
      </c>
      <c r="I422" t="s">
        <v>81</v>
      </c>
    </row>
    <row r="423" spans="1:9" x14ac:dyDescent="0.25">
      <c r="A423" t="s">
        <v>388</v>
      </c>
      <c r="B423" t="s">
        <v>389</v>
      </c>
      <c r="C423" t="s">
        <v>16</v>
      </c>
      <c r="D423" s="1">
        <v>67.22</v>
      </c>
      <c r="E423" s="2">
        <v>1</v>
      </c>
      <c r="F423" s="1">
        <v>67.22</v>
      </c>
      <c r="G423" s="1">
        <v>44.55</v>
      </c>
      <c r="H423" s="2">
        <v>1</v>
      </c>
      <c r="I423" s="2">
        <v>2</v>
      </c>
    </row>
    <row r="424" spans="1:9" x14ac:dyDescent="0.25">
      <c r="A424" t="s">
        <v>148</v>
      </c>
      <c r="B424" t="s">
        <v>149</v>
      </c>
      <c r="C424" t="s">
        <v>16</v>
      </c>
      <c r="D424" s="1">
        <v>67.06</v>
      </c>
      <c r="E424" s="2">
        <v>2</v>
      </c>
      <c r="F424" s="1">
        <v>100.59</v>
      </c>
      <c r="G424" s="1">
        <v>72.819999999999993</v>
      </c>
      <c r="H424" s="2">
        <v>3</v>
      </c>
      <c r="I424" s="2">
        <v>1</v>
      </c>
    </row>
    <row r="425" spans="1:9" x14ac:dyDescent="0.25">
      <c r="A425" t="s">
        <v>238</v>
      </c>
      <c r="B425" t="s">
        <v>239</v>
      </c>
      <c r="C425" t="s">
        <v>16</v>
      </c>
      <c r="D425" s="1">
        <v>66.88</v>
      </c>
      <c r="E425" s="2">
        <v>4</v>
      </c>
      <c r="F425" s="1">
        <v>66.88</v>
      </c>
      <c r="G425" s="1">
        <v>33.659999999999997</v>
      </c>
      <c r="H425" s="2">
        <v>4</v>
      </c>
      <c r="I425" s="2">
        <v>1</v>
      </c>
    </row>
    <row r="426" spans="1:9" x14ac:dyDescent="0.25">
      <c r="A426" t="s">
        <v>362</v>
      </c>
      <c r="B426" t="s">
        <v>363</v>
      </c>
      <c r="C426" t="s">
        <v>16</v>
      </c>
      <c r="D426" s="1">
        <v>66.88</v>
      </c>
      <c r="E426" s="2">
        <v>4</v>
      </c>
      <c r="F426" s="1">
        <v>66.88</v>
      </c>
      <c r="G426" s="1">
        <v>47.2</v>
      </c>
      <c r="H426" s="2">
        <v>4</v>
      </c>
      <c r="I426" s="2">
        <v>1</v>
      </c>
    </row>
    <row r="427" spans="1:9" x14ac:dyDescent="0.25">
      <c r="A427" t="s">
        <v>260</v>
      </c>
      <c r="B427" t="s">
        <v>261</v>
      </c>
      <c r="C427" t="s">
        <v>25</v>
      </c>
      <c r="D427" s="1">
        <v>66.709999999999994</v>
      </c>
      <c r="E427" s="2">
        <v>1</v>
      </c>
      <c r="F427" s="1">
        <v>66.709999999999994</v>
      </c>
      <c r="G427" s="1">
        <v>47.34</v>
      </c>
      <c r="H427" s="2">
        <v>1</v>
      </c>
      <c r="I427" t="s">
        <v>81</v>
      </c>
    </row>
    <row r="428" spans="1:9" x14ac:dyDescent="0.25">
      <c r="A428" t="s">
        <v>356</v>
      </c>
      <c r="B428" t="s">
        <v>357</v>
      </c>
      <c r="C428" t="s">
        <v>16</v>
      </c>
      <c r="D428" s="1">
        <v>66.56</v>
      </c>
      <c r="E428" s="2">
        <v>8</v>
      </c>
      <c r="F428" s="1">
        <v>66.56</v>
      </c>
      <c r="G428" s="1">
        <v>37.6</v>
      </c>
      <c r="H428" s="2">
        <v>8</v>
      </c>
      <c r="I428" t="s">
        <v>81</v>
      </c>
    </row>
    <row r="429" spans="1:9" x14ac:dyDescent="0.25">
      <c r="A429" t="s">
        <v>172</v>
      </c>
      <c r="B429" t="s">
        <v>173</v>
      </c>
      <c r="C429" t="s">
        <v>207</v>
      </c>
      <c r="D429" s="1">
        <v>66.459999999999994</v>
      </c>
      <c r="E429" s="2">
        <v>2</v>
      </c>
      <c r="F429" s="1">
        <v>102.48</v>
      </c>
      <c r="G429" s="1">
        <v>61.07</v>
      </c>
      <c r="H429" s="2">
        <v>3</v>
      </c>
      <c r="I429" t="s">
        <v>81</v>
      </c>
    </row>
    <row r="430" spans="1:9" x14ac:dyDescent="0.25">
      <c r="A430" t="s">
        <v>77</v>
      </c>
      <c r="B430" t="s">
        <v>78</v>
      </c>
      <c r="C430" t="s">
        <v>266</v>
      </c>
      <c r="D430" s="1">
        <v>66.11</v>
      </c>
      <c r="E430" s="2">
        <v>1</v>
      </c>
      <c r="F430" s="1">
        <v>66.11</v>
      </c>
      <c r="G430" s="1">
        <v>37.130000000000003</v>
      </c>
      <c r="H430" s="2">
        <v>1</v>
      </c>
      <c r="I430" t="s">
        <v>81</v>
      </c>
    </row>
    <row r="431" spans="1:9" x14ac:dyDescent="0.25">
      <c r="A431" t="s">
        <v>178</v>
      </c>
      <c r="B431" t="s">
        <v>179</v>
      </c>
      <c r="C431" t="s">
        <v>25</v>
      </c>
      <c r="D431" s="1">
        <v>65.959999999999994</v>
      </c>
      <c r="E431" s="2">
        <v>2</v>
      </c>
      <c r="F431" s="1">
        <v>65.959999999999994</v>
      </c>
      <c r="G431" s="1">
        <v>50.34</v>
      </c>
      <c r="H431" s="2">
        <v>2</v>
      </c>
      <c r="I431" t="s">
        <v>81</v>
      </c>
    </row>
    <row r="432" spans="1:9" x14ac:dyDescent="0.25">
      <c r="A432" t="s">
        <v>404</v>
      </c>
      <c r="B432" t="s">
        <v>405</v>
      </c>
      <c r="C432" t="s">
        <v>25</v>
      </c>
      <c r="D432" s="1">
        <v>65.7</v>
      </c>
      <c r="E432" s="2">
        <v>3</v>
      </c>
      <c r="F432" s="1">
        <v>65.7</v>
      </c>
      <c r="G432" s="1">
        <v>45.03</v>
      </c>
      <c r="H432" s="2">
        <v>3</v>
      </c>
      <c r="I432" s="2">
        <v>1</v>
      </c>
    </row>
    <row r="433" spans="1:9" x14ac:dyDescent="0.25">
      <c r="A433" t="s">
        <v>406</v>
      </c>
      <c r="B433" t="s">
        <v>407</v>
      </c>
      <c r="C433" t="s">
        <v>11</v>
      </c>
      <c r="D433" s="1">
        <v>65.239999999999995</v>
      </c>
      <c r="E433" s="2">
        <v>4</v>
      </c>
      <c r="F433" s="1">
        <v>65.239999999999995</v>
      </c>
      <c r="G433" s="1">
        <v>51.32</v>
      </c>
      <c r="H433" s="2">
        <v>4</v>
      </c>
      <c r="I433" t="s">
        <v>81</v>
      </c>
    </row>
    <row r="434" spans="1:9" x14ac:dyDescent="0.25">
      <c r="A434" t="s">
        <v>408</v>
      </c>
      <c r="B434" t="s">
        <v>409</v>
      </c>
      <c r="C434" t="s">
        <v>11</v>
      </c>
      <c r="D434" s="1">
        <v>64.61</v>
      </c>
      <c r="E434" s="2">
        <v>1</v>
      </c>
      <c r="F434" t="s">
        <v>81</v>
      </c>
      <c r="G434" t="s">
        <v>81</v>
      </c>
      <c r="H434" t="s">
        <v>81</v>
      </c>
      <c r="I434" t="s">
        <v>81</v>
      </c>
    </row>
    <row r="435" spans="1:9" x14ac:dyDescent="0.25">
      <c r="A435" t="s">
        <v>228</v>
      </c>
      <c r="B435" t="s">
        <v>229</v>
      </c>
      <c r="C435" t="s">
        <v>299</v>
      </c>
      <c r="D435" s="1">
        <v>64.37</v>
      </c>
      <c r="E435" s="2">
        <v>3</v>
      </c>
      <c r="F435" s="1">
        <v>64.37</v>
      </c>
      <c r="G435" s="1">
        <v>38.630000000000003</v>
      </c>
      <c r="H435" s="2">
        <v>3</v>
      </c>
      <c r="I435" s="2">
        <v>1</v>
      </c>
    </row>
    <row r="436" spans="1:9" x14ac:dyDescent="0.25">
      <c r="A436" t="s">
        <v>390</v>
      </c>
      <c r="B436" t="s">
        <v>391</v>
      </c>
      <c r="C436" t="s">
        <v>28</v>
      </c>
      <c r="D436" s="1">
        <v>63.13</v>
      </c>
      <c r="E436" s="2">
        <v>1</v>
      </c>
      <c r="F436" s="1">
        <v>63.13</v>
      </c>
      <c r="G436" s="1">
        <v>37.5</v>
      </c>
      <c r="H436" s="2">
        <v>1</v>
      </c>
      <c r="I436" t="s">
        <v>81</v>
      </c>
    </row>
    <row r="437" spans="1:9" x14ac:dyDescent="0.25">
      <c r="A437" t="s">
        <v>220</v>
      </c>
      <c r="B437" t="s">
        <v>221</v>
      </c>
      <c r="C437" t="s">
        <v>11</v>
      </c>
      <c r="D437" s="1">
        <v>61.23</v>
      </c>
      <c r="E437" s="2">
        <v>3</v>
      </c>
      <c r="F437" s="1">
        <v>81.64</v>
      </c>
      <c r="G437" s="1">
        <v>45.6</v>
      </c>
      <c r="H437" s="2">
        <v>4</v>
      </c>
      <c r="I437" t="s">
        <v>81</v>
      </c>
    </row>
    <row r="438" spans="1:9" x14ac:dyDescent="0.25">
      <c r="A438" t="s">
        <v>23</v>
      </c>
      <c r="B438" t="s">
        <v>24</v>
      </c>
      <c r="C438" t="s">
        <v>266</v>
      </c>
      <c r="D438" s="1">
        <v>61.04</v>
      </c>
      <c r="E438" s="2">
        <v>6</v>
      </c>
      <c r="F438" s="1">
        <v>61.04</v>
      </c>
      <c r="G438" s="1">
        <v>29.79</v>
      </c>
      <c r="H438" s="2">
        <v>6</v>
      </c>
      <c r="I438" t="s">
        <v>81</v>
      </c>
    </row>
    <row r="439" spans="1:9" x14ac:dyDescent="0.25">
      <c r="A439" t="s">
        <v>250</v>
      </c>
      <c r="B439" t="s">
        <v>251</v>
      </c>
      <c r="C439" t="s">
        <v>28</v>
      </c>
      <c r="D439" s="1">
        <v>60.68</v>
      </c>
      <c r="E439" s="2">
        <v>1</v>
      </c>
      <c r="F439" s="1">
        <v>60.68</v>
      </c>
      <c r="G439" s="1">
        <v>40.5</v>
      </c>
      <c r="H439" s="2">
        <v>1</v>
      </c>
      <c r="I439" t="s">
        <v>81</v>
      </c>
    </row>
    <row r="440" spans="1:9" x14ac:dyDescent="0.25">
      <c r="A440" t="s">
        <v>256</v>
      </c>
      <c r="B440" t="s">
        <v>257</v>
      </c>
      <c r="C440" t="s">
        <v>25</v>
      </c>
      <c r="D440" s="1">
        <v>58.7</v>
      </c>
      <c r="E440" s="2">
        <v>2</v>
      </c>
      <c r="F440" s="1">
        <v>58.7</v>
      </c>
      <c r="G440" s="1">
        <v>50</v>
      </c>
      <c r="H440" s="2">
        <v>2</v>
      </c>
      <c r="I440" t="s">
        <v>81</v>
      </c>
    </row>
    <row r="441" spans="1:9" x14ac:dyDescent="0.25">
      <c r="A441" t="s">
        <v>404</v>
      </c>
      <c r="B441" t="s">
        <v>405</v>
      </c>
      <c r="C441" t="s">
        <v>28</v>
      </c>
      <c r="D441" s="1">
        <v>57.89</v>
      </c>
      <c r="E441" s="2">
        <v>2</v>
      </c>
      <c r="F441" s="1">
        <v>57.89</v>
      </c>
      <c r="G441" s="1">
        <v>17.5</v>
      </c>
      <c r="H441" s="2">
        <v>2</v>
      </c>
      <c r="I441" s="2">
        <v>1</v>
      </c>
    </row>
    <row r="442" spans="1:9" x14ac:dyDescent="0.25">
      <c r="A442" t="s">
        <v>134</v>
      </c>
      <c r="B442" t="s">
        <v>135</v>
      </c>
      <c r="C442" t="s">
        <v>207</v>
      </c>
      <c r="D442" s="1">
        <v>57.69</v>
      </c>
      <c r="E442" s="2">
        <v>1</v>
      </c>
      <c r="F442" s="1">
        <v>57.69</v>
      </c>
      <c r="G442" s="1">
        <v>41.57</v>
      </c>
      <c r="H442" s="2">
        <v>1</v>
      </c>
      <c r="I442" t="s">
        <v>81</v>
      </c>
    </row>
    <row r="443" spans="1:9" x14ac:dyDescent="0.25">
      <c r="A443" t="s">
        <v>224</v>
      </c>
      <c r="B443" t="s">
        <v>225</v>
      </c>
      <c r="C443" t="s">
        <v>16</v>
      </c>
      <c r="D443" s="1">
        <v>57.32</v>
      </c>
      <c r="E443" s="2">
        <v>4</v>
      </c>
      <c r="F443" s="1">
        <v>57.32</v>
      </c>
      <c r="G443" s="1">
        <v>39.6</v>
      </c>
      <c r="H443" s="2">
        <v>4</v>
      </c>
      <c r="I443" s="2">
        <v>1</v>
      </c>
    </row>
    <row r="444" spans="1:9" x14ac:dyDescent="0.25">
      <c r="A444" t="s">
        <v>410</v>
      </c>
      <c r="B444" t="s">
        <v>411</v>
      </c>
      <c r="C444" t="s">
        <v>11</v>
      </c>
      <c r="D444" s="1">
        <v>56.23</v>
      </c>
      <c r="E444" s="2">
        <v>1</v>
      </c>
      <c r="F444" s="1">
        <v>56.23</v>
      </c>
      <c r="G444" s="1">
        <v>33.75</v>
      </c>
      <c r="H444" s="2">
        <v>1</v>
      </c>
      <c r="I444" t="s">
        <v>81</v>
      </c>
    </row>
    <row r="445" spans="1:9" x14ac:dyDescent="0.25">
      <c r="A445" t="s">
        <v>308</v>
      </c>
      <c r="B445" t="s">
        <v>309</v>
      </c>
      <c r="C445" t="s">
        <v>16</v>
      </c>
      <c r="D445" s="1">
        <v>55.46</v>
      </c>
      <c r="E445" s="2">
        <v>2</v>
      </c>
      <c r="F445" s="1">
        <v>55.46</v>
      </c>
      <c r="G445" s="1">
        <v>33.42</v>
      </c>
      <c r="H445" s="2">
        <v>2</v>
      </c>
      <c r="I445" t="s">
        <v>81</v>
      </c>
    </row>
    <row r="446" spans="1:9" x14ac:dyDescent="0.25">
      <c r="A446" t="s">
        <v>412</v>
      </c>
      <c r="B446" t="s">
        <v>413</v>
      </c>
      <c r="C446" t="s">
        <v>25</v>
      </c>
      <c r="D446" s="1">
        <v>55.17</v>
      </c>
      <c r="E446" s="2">
        <v>3</v>
      </c>
      <c r="F446" s="1">
        <v>55.17</v>
      </c>
      <c r="G446" s="1">
        <v>60.75</v>
      </c>
      <c r="H446" s="2">
        <v>3</v>
      </c>
      <c r="I446" t="s">
        <v>81</v>
      </c>
    </row>
    <row r="447" spans="1:9" x14ac:dyDescent="0.25">
      <c r="A447" t="s">
        <v>126</v>
      </c>
      <c r="B447" t="s">
        <v>127</v>
      </c>
      <c r="C447" t="s">
        <v>16</v>
      </c>
      <c r="D447" s="1">
        <v>54.56</v>
      </c>
      <c r="E447" s="2">
        <v>11</v>
      </c>
      <c r="F447" s="1">
        <v>64.48</v>
      </c>
      <c r="G447" s="1">
        <v>36.82</v>
      </c>
      <c r="H447" s="2">
        <v>13</v>
      </c>
      <c r="I447" s="2">
        <v>2</v>
      </c>
    </row>
    <row r="448" spans="1:9" x14ac:dyDescent="0.25">
      <c r="A448" t="s">
        <v>164</v>
      </c>
      <c r="B448" t="s">
        <v>165</v>
      </c>
      <c r="C448" t="s">
        <v>266</v>
      </c>
      <c r="D448" s="1">
        <v>54.54</v>
      </c>
      <c r="E448" s="2">
        <v>1</v>
      </c>
      <c r="F448" s="1">
        <v>54.54</v>
      </c>
      <c r="G448" s="1">
        <v>32.42</v>
      </c>
      <c r="H448" s="2">
        <v>1</v>
      </c>
      <c r="I448" t="s">
        <v>81</v>
      </c>
    </row>
    <row r="449" spans="1:9" x14ac:dyDescent="0.25">
      <c r="A449" t="s">
        <v>118</v>
      </c>
      <c r="B449" t="s">
        <v>119</v>
      </c>
      <c r="C449" t="s">
        <v>299</v>
      </c>
      <c r="D449" s="1">
        <v>54.24</v>
      </c>
      <c r="E449" s="2">
        <v>3</v>
      </c>
      <c r="F449" s="1">
        <v>54.24</v>
      </c>
      <c r="G449" s="1">
        <v>40.9</v>
      </c>
      <c r="H449" s="2">
        <v>3</v>
      </c>
      <c r="I449" t="s">
        <v>81</v>
      </c>
    </row>
    <row r="450" spans="1:9" x14ac:dyDescent="0.25">
      <c r="A450" t="s">
        <v>258</v>
      </c>
      <c r="B450" t="s">
        <v>259</v>
      </c>
      <c r="C450" t="s">
        <v>25</v>
      </c>
      <c r="D450" s="1">
        <v>54.09</v>
      </c>
      <c r="E450" s="2">
        <v>2</v>
      </c>
      <c r="F450" s="1">
        <v>54.09</v>
      </c>
      <c r="G450" s="1">
        <v>44.54</v>
      </c>
      <c r="H450" s="2">
        <v>2</v>
      </c>
      <c r="I450" s="2">
        <v>1</v>
      </c>
    </row>
    <row r="451" spans="1:9" x14ac:dyDescent="0.25">
      <c r="A451" t="s">
        <v>244</v>
      </c>
      <c r="B451" t="s">
        <v>245</v>
      </c>
      <c r="C451" t="s">
        <v>299</v>
      </c>
      <c r="D451" s="1">
        <v>53.11</v>
      </c>
      <c r="E451" s="2">
        <v>2</v>
      </c>
      <c r="F451" s="1">
        <v>77.87</v>
      </c>
      <c r="G451" s="1">
        <v>90.14</v>
      </c>
      <c r="H451" s="2">
        <v>3</v>
      </c>
      <c r="I451" t="s">
        <v>81</v>
      </c>
    </row>
    <row r="452" spans="1:9" x14ac:dyDescent="0.25">
      <c r="A452" t="s">
        <v>55</v>
      </c>
      <c r="B452" t="s">
        <v>56</v>
      </c>
      <c r="C452" t="s">
        <v>16</v>
      </c>
      <c r="D452" s="1">
        <v>52.68</v>
      </c>
      <c r="E452" s="2">
        <v>3</v>
      </c>
      <c r="F452" s="1">
        <v>52.68</v>
      </c>
      <c r="G452" s="1">
        <v>35.700000000000003</v>
      </c>
      <c r="H452" s="2">
        <v>3</v>
      </c>
      <c r="I452" t="s">
        <v>81</v>
      </c>
    </row>
    <row r="453" spans="1:9" x14ac:dyDescent="0.25">
      <c r="A453" t="s">
        <v>150</v>
      </c>
      <c r="B453" t="s">
        <v>151</v>
      </c>
      <c r="C453" t="s">
        <v>28</v>
      </c>
      <c r="D453" s="1">
        <v>51.99</v>
      </c>
      <c r="E453" s="2">
        <v>5</v>
      </c>
      <c r="F453" s="1">
        <v>51.99</v>
      </c>
      <c r="G453" s="1">
        <v>23.25</v>
      </c>
      <c r="H453" s="2">
        <v>5</v>
      </c>
      <c r="I453" t="s">
        <v>81</v>
      </c>
    </row>
    <row r="454" spans="1:9" x14ac:dyDescent="0.25">
      <c r="A454" t="s">
        <v>414</v>
      </c>
      <c r="B454" t="s">
        <v>415</v>
      </c>
      <c r="C454" t="s">
        <v>11</v>
      </c>
      <c r="D454" s="1">
        <v>51.28</v>
      </c>
      <c r="E454" s="2">
        <v>2</v>
      </c>
      <c r="F454" s="1">
        <v>51.28</v>
      </c>
      <c r="G454" s="1">
        <v>38</v>
      </c>
      <c r="H454" s="2">
        <v>2</v>
      </c>
      <c r="I454" t="s">
        <v>81</v>
      </c>
    </row>
    <row r="455" spans="1:9" x14ac:dyDescent="0.25">
      <c r="A455" t="s">
        <v>14</v>
      </c>
      <c r="B455" t="s">
        <v>15</v>
      </c>
      <c r="C455" t="s">
        <v>299</v>
      </c>
      <c r="D455" s="1">
        <v>51</v>
      </c>
      <c r="E455" s="2">
        <v>4</v>
      </c>
      <c r="F455" s="1">
        <v>51</v>
      </c>
      <c r="G455" s="1">
        <v>30.64</v>
      </c>
      <c r="H455" s="2">
        <v>4</v>
      </c>
      <c r="I455" t="s">
        <v>81</v>
      </c>
    </row>
    <row r="456" spans="1:9" x14ac:dyDescent="0.25">
      <c r="A456" t="s">
        <v>31</v>
      </c>
      <c r="B456" t="s">
        <v>32</v>
      </c>
      <c r="C456" t="s">
        <v>207</v>
      </c>
      <c r="D456" s="1">
        <v>50.93</v>
      </c>
      <c r="E456" s="2">
        <v>8</v>
      </c>
      <c r="F456" s="1">
        <v>50.93</v>
      </c>
      <c r="G456" s="1">
        <v>47.06</v>
      </c>
      <c r="H456" s="2">
        <v>8</v>
      </c>
      <c r="I456" t="s">
        <v>81</v>
      </c>
    </row>
    <row r="457" spans="1:9" x14ac:dyDescent="0.25">
      <c r="A457" t="s">
        <v>386</v>
      </c>
      <c r="B457" t="s">
        <v>387</v>
      </c>
      <c r="C457" t="s">
        <v>16</v>
      </c>
      <c r="D457" s="1">
        <v>50.91</v>
      </c>
      <c r="E457" s="2">
        <v>2</v>
      </c>
      <c r="F457" s="1">
        <v>50.91</v>
      </c>
      <c r="G457" s="1">
        <v>28.44</v>
      </c>
      <c r="H457" s="2">
        <v>2</v>
      </c>
      <c r="I457" t="s">
        <v>81</v>
      </c>
    </row>
    <row r="458" spans="1:9" x14ac:dyDescent="0.25">
      <c r="A458" t="s">
        <v>328</v>
      </c>
      <c r="B458" t="s">
        <v>329</v>
      </c>
      <c r="C458" t="s">
        <v>25</v>
      </c>
      <c r="D458" s="1">
        <v>50.7</v>
      </c>
      <c r="E458" s="2">
        <v>4</v>
      </c>
      <c r="F458" s="1">
        <v>23.9</v>
      </c>
      <c r="G458" s="1">
        <v>25.35</v>
      </c>
      <c r="H458" s="2">
        <v>2</v>
      </c>
      <c r="I458" t="s">
        <v>81</v>
      </c>
    </row>
    <row r="459" spans="1:9" x14ac:dyDescent="0.25">
      <c r="A459" t="s">
        <v>364</v>
      </c>
      <c r="B459" t="s">
        <v>365</v>
      </c>
      <c r="C459" t="s">
        <v>16</v>
      </c>
      <c r="D459" s="1">
        <v>50.34</v>
      </c>
      <c r="E459" s="2">
        <v>1</v>
      </c>
      <c r="F459" s="1">
        <v>50.34</v>
      </c>
      <c r="G459" s="1">
        <v>31.95</v>
      </c>
      <c r="H459" s="2">
        <v>1</v>
      </c>
      <c r="I459" t="s">
        <v>81</v>
      </c>
    </row>
    <row r="460" spans="1:9" x14ac:dyDescent="0.25">
      <c r="A460" t="s">
        <v>248</v>
      </c>
      <c r="B460" t="s">
        <v>249</v>
      </c>
      <c r="C460" t="s">
        <v>16</v>
      </c>
      <c r="D460" s="1">
        <v>50.26</v>
      </c>
      <c r="E460" s="2">
        <v>2</v>
      </c>
      <c r="F460" s="1">
        <v>50.26</v>
      </c>
      <c r="G460" s="1">
        <v>39.76</v>
      </c>
      <c r="H460" s="2">
        <v>2</v>
      </c>
      <c r="I460" t="s">
        <v>81</v>
      </c>
    </row>
    <row r="461" spans="1:9" x14ac:dyDescent="0.25">
      <c r="A461" t="s">
        <v>220</v>
      </c>
      <c r="B461" t="s">
        <v>221</v>
      </c>
      <c r="C461" t="s">
        <v>16</v>
      </c>
      <c r="D461" s="1">
        <v>50.16</v>
      </c>
      <c r="E461" s="2">
        <v>3</v>
      </c>
      <c r="F461" s="1">
        <v>50.16</v>
      </c>
      <c r="G461" s="1">
        <v>34.799999999999997</v>
      </c>
      <c r="H461" s="2">
        <v>3</v>
      </c>
      <c r="I461" t="s">
        <v>81</v>
      </c>
    </row>
    <row r="462" spans="1:9" x14ac:dyDescent="0.25">
      <c r="A462" t="s">
        <v>416</v>
      </c>
      <c r="B462" t="s">
        <v>417</v>
      </c>
      <c r="C462" t="s">
        <v>28</v>
      </c>
      <c r="D462" s="1">
        <v>49.92</v>
      </c>
      <c r="E462" s="2">
        <v>1</v>
      </c>
      <c r="F462" s="1">
        <v>49.92</v>
      </c>
      <c r="G462" s="1">
        <v>39.380000000000003</v>
      </c>
      <c r="H462" s="2">
        <v>1</v>
      </c>
      <c r="I462" t="s">
        <v>81</v>
      </c>
    </row>
    <row r="463" spans="1:9" x14ac:dyDescent="0.25">
      <c r="A463" t="s">
        <v>248</v>
      </c>
      <c r="B463" t="s">
        <v>249</v>
      </c>
      <c r="C463" t="s">
        <v>25</v>
      </c>
      <c r="D463" s="1">
        <v>49.42</v>
      </c>
      <c r="E463" s="2">
        <v>2</v>
      </c>
      <c r="F463" s="1">
        <v>49.42</v>
      </c>
      <c r="G463" s="1">
        <v>40.78</v>
      </c>
      <c r="H463" s="2">
        <v>2</v>
      </c>
      <c r="I463" t="s">
        <v>81</v>
      </c>
    </row>
    <row r="464" spans="1:9" x14ac:dyDescent="0.25">
      <c r="A464" t="s">
        <v>418</v>
      </c>
      <c r="B464" t="s">
        <v>419</v>
      </c>
      <c r="C464" t="s">
        <v>25</v>
      </c>
      <c r="D464" s="1">
        <v>49.42</v>
      </c>
      <c r="E464" s="2">
        <v>2</v>
      </c>
      <c r="F464" s="1">
        <v>49.42</v>
      </c>
      <c r="G464" s="1">
        <v>34.04</v>
      </c>
      <c r="H464" s="2">
        <v>2</v>
      </c>
      <c r="I464" t="s">
        <v>81</v>
      </c>
    </row>
    <row r="465" spans="1:9" x14ac:dyDescent="0.25">
      <c r="A465" t="s">
        <v>220</v>
      </c>
      <c r="B465" t="s">
        <v>221</v>
      </c>
      <c r="C465" t="s">
        <v>266</v>
      </c>
      <c r="D465" s="1">
        <v>49.35</v>
      </c>
      <c r="E465" s="2">
        <v>3</v>
      </c>
      <c r="F465" s="1">
        <v>49.35</v>
      </c>
      <c r="G465" s="1">
        <v>34.799999999999997</v>
      </c>
      <c r="H465" s="2">
        <v>3</v>
      </c>
      <c r="I465" t="s">
        <v>81</v>
      </c>
    </row>
    <row r="466" spans="1:9" x14ac:dyDescent="0.25">
      <c r="A466" t="s">
        <v>420</v>
      </c>
      <c r="B466" t="s">
        <v>421</v>
      </c>
      <c r="C466" t="s">
        <v>11</v>
      </c>
      <c r="D466" s="1">
        <v>49.02</v>
      </c>
      <c r="E466" s="2">
        <v>2</v>
      </c>
      <c r="F466" s="1">
        <v>49.02</v>
      </c>
      <c r="G466" s="1">
        <v>26.56</v>
      </c>
      <c r="H466" s="2">
        <v>2</v>
      </c>
      <c r="I466" t="s">
        <v>81</v>
      </c>
    </row>
    <row r="467" spans="1:9" x14ac:dyDescent="0.25">
      <c r="A467" t="s">
        <v>422</v>
      </c>
      <c r="B467" t="s">
        <v>423</v>
      </c>
      <c r="C467" t="s">
        <v>11</v>
      </c>
      <c r="D467" s="1">
        <v>49.02</v>
      </c>
      <c r="E467" s="2">
        <v>2</v>
      </c>
      <c r="F467" s="1">
        <v>49.02</v>
      </c>
      <c r="G467" s="1">
        <v>30.96</v>
      </c>
      <c r="H467" s="2">
        <v>2</v>
      </c>
      <c r="I467" t="s">
        <v>81</v>
      </c>
    </row>
    <row r="468" spans="1:9" x14ac:dyDescent="0.25">
      <c r="A468" t="s">
        <v>424</v>
      </c>
      <c r="B468" t="s">
        <v>425</v>
      </c>
      <c r="C468" t="s">
        <v>11</v>
      </c>
      <c r="D468" s="1">
        <v>48.93</v>
      </c>
      <c r="E468" s="2">
        <v>3</v>
      </c>
      <c r="F468" s="1">
        <v>48.93</v>
      </c>
      <c r="G468" s="1">
        <v>32.86</v>
      </c>
      <c r="H468" s="2">
        <v>3</v>
      </c>
      <c r="I468" t="s">
        <v>81</v>
      </c>
    </row>
    <row r="469" spans="1:9" x14ac:dyDescent="0.25">
      <c r="A469" t="s">
        <v>426</v>
      </c>
      <c r="B469" t="s">
        <v>427</v>
      </c>
      <c r="C469" t="s">
        <v>11</v>
      </c>
      <c r="D469" s="1">
        <v>48.93</v>
      </c>
      <c r="E469" s="2">
        <v>3</v>
      </c>
      <c r="F469" s="1">
        <v>48.93</v>
      </c>
      <c r="G469" s="1">
        <v>36</v>
      </c>
      <c r="H469" s="2">
        <v>3</v>
      </c>
      <c r="I469" s="2">
        <v>1</v>
      </c>
    </row>
    <row r="470" spans="1:9" x14ac:dyDescent="0.25">
      <c r="A470" t="s">
        <v>277</v>
      </c>
      <c r="B470" t="s">
        <v>278</v>
      </c>
      <c r="C470" t="s">
        <v>16</v>
      </c>
      <c r="D470" s="1">
        <v>48.9</v>
      </c>
      <c r="E470" s="2">
        <v>4</v>
      </c>
      <c r="F470" s="1">
        <v>48.9</v>
      </c>
      <c r="G470" s="1">
        <v>36</v>
      </c>
      <c r="H470" s="2">
        <v>4</v>
      </c>
      <c r="I470" t="s">
        <v>81</v>
      </c>
    </row>
    <row r="471" spans="1:9" x14ac:dyDescent="0.25">
      <c r="A471" t="s">
        <v>49</v>
      </c>
      <c r="B471" t="s">
        <v>50</v>
      </c>
      <c r="C471" t="s">
        <v>266</v>
      </c>
      <c r="D471" s="1">
        <v>48.75</v>
      </c>
      <c r="E471" s="2">
        <v>1</v>
      </c>
      <c r="F471" s="1">
        <v>48.75</v>
      </c>
      <c r="G471" s="1">
        <v>36</v>
      </c>
      <c r="H471" s="2">
        <v>1</v>
      </c>
      <c r="I471" t="s">
        <v>81</v>
      </c>
    </row>
    <row r="472" spans="1:9" x14ac:dyDescent="0.25">
      <c r="A472" t="s">
        <v>142</v>
      </c>
      <c r="B472" t="s">
        <v>143</v>
      </c>
      <c r="C472" t="s">
        <v>25</v>
      </c>
      <c r="D472" s="1">
        <v>48.7</v>
      </c>
      <c r="E472" s="2">
        <v>2</v>
      </c>
      <c r="F472" s="1">
        <v>48.7</v>
      </c>
      <c r="G472" s="1">
        <v>30.22</v>
      </c>
      <c r="H472" s="2">
        <v>2</v>
      </c>
      <c r="I472" t="s">
        <v>81</v>
      </c>
    </row>
    <row r="473" spans="1:9" x14ac:dyDescent="0.25">
      <c r="A473" t="s">
        <v>428</v>
      </c>
      <c r="B473" t="s">
        <v>429</v>
      </c>
      <c r="C473" t="s">
        <v>11</v>
      </c>
      <c r="D473" s="1">
        <v>47.98</v>
      </c>
      <c r="E473" s="2">
        <v>1</v>
      </c>
      <c r="F473" s="1">
        <v>47.98</v>
      </c>
      <c r="G473" s="1">
        <v>36.799999999999997</v>
      </c>
      <c r="H473" s="2">
        <v>1</v>
      </c>
      <c r="I473" s="2">
        <v>1</v>
      </c>
    </row>
    <row r="474" spans="1:9" x14ac:dyDescent="0.25">
      <c r="A474" t="s">
        <v>416</v>
      </c>
      <c r="B474" t="s">
        <v>417</v>
      </c>
      <c r="C474" t="s">
        <v>16</v>
      </c>
      <c r="D474" s="1">
        <v>47.62</v>
      </c>
      <c r="E474" s="2">
        <v>1</v>
      </c>
      <c r="F474" s="1">
        <v>47.62</v>
      </c>
      <c r="G474" s="1">
        <v>39.380000000000003</v>
      </c>
      <c r="H474" s="2">
        <v>1</v>
      </c>
      <c r="I474" t="s">
        <v>81</v>
      </c>
    </row>
    <row r="475" spans="1:9" x14ac:dyDescent="0.25">
      <c r="A475" t="s">
        <v>19</v>
      </c>
      <c r="B475" t="s">
        <v>20</v>
      </c>
      <c r="C475" t="s">
        <v>266</v>
      </c>
      <c r="D475" s="1">
        <v>46.46</v>
      </c>
      <c r="E475" s="2">
        <v>3</v>
      </c>
      <c r="F475" s="1">
        <v>33.380000000000003</v>
      </c>
      <c r="G475" s="1">
        <v>22.26</v>
      </c>
      <c r="H475" s="2">
        <v>2</v>
      </c>
      <c r="I475" t="s">
        <v>81</v>
      </c>
    </row>
    <row r="476" spans="1:9" x14ac:dyDescent="0.25">
      <c r="A476" t="s">
        <v>386</v>
      </c>
      <c r="B476" t="s">
        <v>387</v>
      </c>
      <c r="C476" t="s">
        <v>11</v>
      </c>
      <c r="D476" s="1">
        <v>45.58</v>
      </c>
      <c r="E476" s="2">
        <v>2</v>
      </c>
      <c r="F476" s="1">
        <v>45.58</v>
      </c>
      <c r="G476" s="1">
        <v>28.44</v>
      </c>
      <c r="H476" s="2">
        <v>2</v>
      </c>
      <c r="I476" t="s">
        <v>81</v>
      </c>
    </row>
    <row r="477" spans="1:9" x14ac:dyDescent="0.25">
      <c r="A477" t="s">
        <v>128</v>
      </c>
      <c r="B477" t="s">
        <v>129</v>
      </c>
      <c r="C477" t="s">
        <v>28</v>
      </c>
      <c r="D477" s="1">
        <v>44.76</v>
      </c>
      <c r="E477" s="2">
        <v>3</v>
      </c>
      <c r="F477" s="1">
        <v>44.76</v>
      </c>
      <c r="G477" s="1">
        <v>33.1</v>
      </c>
      <c r="H477" s="2">
        <v>3</v>
      </c>
      <c r="I477" t="s">
        <v>81</v>
      </c>
    </row>
    <row r="478" spans="1:9" x14ac:dyDescent="0.25">
      <c r="A478" t="s">
        <v>430</v>
      </c>
      <c r="B478" t="s">
        <v>431</v>
      </c>
      <c r="C478" t="s">
        <v>11</v>
      </c>
      <c r="D478" s="1">
        <v>44.57</v>
      </c>
      <c r="E478" s="2">
        <v>1</v>
      </c>
      <c r="F478" t="s">
        <v>81</v>
      </c>
      <c r="G478" t="s">
        <v>81</v>
      </c>
      <c r="H478" t="s">
        <v>81</v>
      </c>
      <c r="I478" t="s">
        <v>81</v>
      </c>
    </row>
    <row r="479" spans="1:9" x14ac:dyDescent="0.25">
      <c r="A479" t="s">
        <v>112</v>
      </c>
      <c r="B479" t="s">
        <v>113</v>
      </c>
      <c r="C479" t="s">
        <v>299</v>
      </c>
      <c r="D479" s="1">
        <v>44.35</v>
      </c>
      <c r="E479" s="2">
        <v>4</v>
      </c>
      <c r="F479" s="1">
        <v>44.35</v>
      </c>
      <c r="G479" s="1">
        <v>35.9</v>
      </c>
      <c r="H479" s="2">
        <v>4</v>
      </c>
      <c r="I479" t="s">
        <v>81</v>
      </c>
    </row>
    <row r="480" spans="1:9" x14ac:dyDescent="0.25">
      <c r="A480" t="s">
        <v>432</v>
      </c>
      <c r="B480" t="s">
        <v>433</v>
      </c>
      <c r="C480" t="s">
        <v>11</v>
      </c>
      <c r="D480" s="1">
        <v>44.07</v>
      </c>
      <c r="E480" s="2">
        <v>13</v>
      </c>
      <c r="F480" s="1">
        <v>44.07</v>
      </c>
      <c r="G480" s="1">
        <v>25.87</v>
      </c>
      <c r="H480" s="2">
        <v>13</v>
      </c>
      <c r="I480" t="s">
        <v>81</v>
      </c>
    </row>
    <row r="481" spans="1:9" x14ac:dyDescent="0.25">
      <c r="A481" t="s">
        <v>434</v>
      </c>
      <c r="B481" t="s">
        <v>435</v>
      </c>
      <c r="C481" t="s">
        <v>16</v>
      </c>
      <c r="D481" s="1">
        <v>43.7</v>
      </c>
      <c r="E481" s="2">
        <v>11</v>
      </c>
      <c r="F481" s="1">
        <v>55.88</v>
      </c>
      <c r="G481" s="1">
        <v>74.760000000000005</v>
      </c>
      <c r="H481" s="2">
        <v>14</v>
      </c>
      <c r="I481" t="s">
        <v>81</v>
      </c>
    </row>
    <row r="482" spans="1:9" x14ac:dyDescent="0.25">
      <c r="A482" t="s">
        <v>21</v>
      </c>
      <c r="B482" t="s">
        <v>22</v>
      </c>
      <c r="C482" t="s">
        <v>299</v>
      </c>
      <c r="D482" s="1">
        <v>43.06</v>
      </c>
      <c r="E482" s="2">
        <v>2</v>
      </c>
      <c r="F482" s="1">
        <v>43.06</v>
      </c>
      <c r="G482" s="1">
        <v>35.65</v>
      </c>
      <c r="H482" s="2">
        <v>2</v>
      </c>
      <c r="I482" t="s">
        <v>81</v>
      </c>
    </row>
    <row r="483" spans="1:9" x14ac:dyDescent="0.25">
      <c r="A483" t="s">
        <v>436</v>
      </c>
      <c r="B483" t="s">
        <v>437</v>
      </c>
      <c r="C483" t="s">
        <v>11</v>
      </c>
      <c r="D483" s="1">
        <v>42.76</v>
      </c>
      <c r="E483" s="2">
        <v>7</v>
      </c>
      <c r="F483" s="1">
        <v>42.76</v>
      </c>
      <c r="G483" s="1">
        <v>8.4499999999999993</v>
      </c>
      <c r="H483" s="2">
        <v>7</v>
      </c>
      <c r="I483" t="s">
        <v>81</v>
      </c>
    </row>
    <row r="484" spans="1:9" x14ac:dyDescent="0.25">
      <c r="A484" t="s">
        <v>59</v>
      </c>
      <c r="B484" t="s">
        <v>60</v>
      </c>
      <c r="C484" t="s">
        <v>299</v>
      </c>
      <c r="D484" s="1">
        <v>42.67</v>
      </c>
      <c r="E484" s="2">
        <v>2</v>
      </c>
      <c r="F484" s="1">
        <v>21.31</v>
      </c>
      <c r="G484" s="1">
        <v>15.1</v>
      </c>
      <c r="H484" s="2">
        <v>1</v>
      </c>
      <c r="I484" t="s">
        <v>81</v>
      </c>
    </row>
    <row r="485" spans="1:9" x14ac:dyDescent="0.25">
      <c r="A485" t="s">
        <v>287</v>
      </c>
      <c r="B485" t="s">
        <v>288</v>
      </c>
      <c r="C485" t="s">
        <v>16</v>
      </c>
      <c r="D485" s="1">
        <v>41.93</v>
      </c>
      <c r="E485" s="2">
        <v>1</v>
      </c>
      <c r="F485" s="1">
        <v>41.93</v>
      </c>
      <c r="G485" s="1">
        <v>34.200000000000003</v>
      </c>
      <c r="H485" s="2">
        <v>1</v>
      </c>
      <c r="I485" t="s">
        <v>81</v>
      </c>
    </row>
    <row r="486" spans="1:9" x14ac:dyDescent="0.25">
      <c r="A486" t="s">
        <v>35</v>
      </c>
      <c r="B486" t="s">
        <v>36</v>
      </c>
      <c r="C486" t="s">
        <v>16</v>
      </c>
      <c r="D486" s="1">
        <v>41.84</v>
      </c>
      <c r="E486" s="2">
        <v>2</v>
      </c>
      <c r="F486" t="s">
        <v>81</v>
      </c>
      <c r="G486" t="s">
        <v>81</v>
      </c>
      <c r="H486" t="s">
        <v>81</v>
      </c>
      <c r="I486" t="s">
        <v>81</v>
      </c>
    </row>
    <row r="487" spans="1:9" x14ac:dyDescent="0.25">
      <c r="A487" t="s">
        <v>438</v>
      </c>
      <c r="B487" t="s">
        <v>439</v>
      </c>
      <c r="C487" t="s">
        <v>11</v>
      </c>
      <c r="D487" s="1">
        <v>41.82</v>
      </c>
      <c r="E487" s="2">
        <v>7</v>
      </c>
      <c r="F487" s="1">
        <v>41.82</v>
      </c>
      <c r="G487" s="1">
        <v>19.32</v>
      </c>
      <c r="H487" s="2">
        <v>7</v>
      </c>
      <c r="I487" t="s">
        <v>81</v>
      </c>
    </row>
    <row r="488" spans="1:9" x14ac:dyDescent="0.25">
      <c r="A488" t="s">
        <v>194</v>
      </c>
      <c r="B488" t="s">
        <v>195</v>
      </c>
      <c r="C488" t="s">
        <v>266</v>
      </c>
      <c r="D488" s="1">
        <v>41.24</v>
      </c>
      <c r="E488" s="2">
        <v>1</v>
      </c>
      <c r="F488" s="1">
        <v>41.24</v>
      </c>
      <c r="G488" s="1">
        <v>29.92</v>
      </c>
      <c r="H488" s="2">
        <v>1</v>
      </c>
      <c r="I488" t="s">
        <v>81</v>
      </c>
    </row>
    <row r="489" spans="1:9" x14ac:dyDescent="0.25">
      <c r="A489" t="s">
        <v>440</v>
      </c>
      <c r="B489" t="s">
        <v>441</v>
      </c>
      <c r="C489" t="s">
        <v>25</v>
      </c>
      <c r="D489" s="1">
        <v>40.85</v>
      </c>
      <c r="E489" s="2">
        <v>1</v>
      </c>
      <c r="F489" s="1">
        <v>40.85</v>
      </c>
      <c r="G489" s="1">
        <v>32.42</v>
      </c>
      <c r="H489" s="2">
        <v>1</v>
      </c>
      <c r="I489" s="2">
        <v>1</v>
      </c>
    </row>
    <row r="490" spans="1:9" x14ac:dyDescent="0.25">
      <c r="A490" t="s">
        <v>442</v>
      </c>
      <c r="B490" t="s">
        <v>443</v>
      </c>
      <c r="C490" t="s">
        <v>28</v>
      </c>
      <c r="D490" s="1">
        <v>40.380000000000003</v>
      </c>
      <c r="E490" s="2">
        <v>2</v>
      </c>
      <c r="F490" s="1">
        <v>40.380000000000003</v>
      </c>
      <c r="G490" s="1">
        <v>28</v>
      </c>
      <c r="H490" s="2">
        <v>2</v>
      </c>
      <c r="I490" t="s">
        <v>81</v>
      </c>
    </row>
    <row r="491" spans="1:9" x14ac:dyDescent="0.25">
      <c r="A491" t="s">
        <v>116</v>
      </c>
      <c r="B491" t="s">
        <v>117</v>
      </c>
      <c r="C491" t="s">
        <v>28</v>
      </c>
      <c r="D491" s="1">
        <v>39.65</v>
      </c>
      <c r="E491" s="2">
        <v>2</v>
      </c>
      <c r="F491" s="1">
        <v>19.97</v>
      </c>
      <c r="G491" s="1">
        <v>12.5</v>
      </c>
      <c r="H491" s="2">
        <v>1</v>
      </c>
      <c r="I491" t="s">
        <v>81</v>
      </c>
    </row>
    <row r="492" spans="1:9" x14ac:dyDescent="0.25">
      <c r="A492" t="s">
        <v>35</v>
      </c>
      <c r="B492" t="s">
        <v>36</v>
      </c>
      <c r="C492" t="s">
        <v>266</v>
      </c>
      <c r="D492" s="1">
        <v>38.32</v>
      </c>
      <c r="E492" s="2">
        <v>2</v>
      </c>
      <c r="F492" t="s">
        <v>81</v>
      </c>
      <c r="G492" t="s">
        <v>81</v>
      </c>
      <c r="H492" t="s">
        <v>81</v>
      </c>
      <c r="I492" t="s">
        <v>81</v>
      </c>
    </row>
    <row r="493" spans="1:9" x14ac:dyDescent="0.25">
      <c r="A493" t="s">
        <v>444</v>
      </c>
      <c r="B493" t="s">
        <v>445</v>
      </c>
      <c r="C493" t="s">
        <v>299</v>
      </c>
      <c r="D493" s="1">
        <v>37.97</v>
      </c>
      <c r="E493" s="2">
        <v>1</v>
      </c>
      <c r="F493" t="s">
        <v>81</v>
      </c>
      <c r="G493" t="s">
        <v>81</v>
      </c>
      <c r="H493" t="s">
        <v>81</v>
      </c>
      <c r="I493" t="s">
        <v>81</v>
      </c>
    </row>
    <row r="494" spans="1:9" x14ac:dyDescent="0.25">
      <c r="A494" t="s">
        <v>75</v>
      </c>
      <c r="B494" t="s">
        <v>76</v>
      </c>
      <c r="C494" t="s">
        <v>16</v>
      </c>
      <c r="D494" s="1">
        <v>37.729999999999997</v>
      </c>
      <c r="E494" s="2">
        <v>1</v>
      </c>
      <c r="F494" s="1">
        <v>75.459999999999994</v>
      </c>
      <c r="G494" s="1">
        <v>70.12</v>
      </c>
      <c r="H494" s="2">
        <v>2</v>
      </c>
      <c r="I494" s="2">
        <v>2</v>
      </c>
    </row>
    <row r="495" spans="1:9" x14ac:dyDescent="0.25">
      <c r="A495" t="s">
        <v>232</v>
      </c>
      <c r="B495" t="s">
        <v>233</v>
      </c>
      <c r="C495" t="s">
        <v>299</v>
      </c>
      <c r="D495" s="1">
        <v>37.47</v>
      </c>
      <c r="E495" s="2">
        <v>1</v>
      </c>
      <c r="F495" t="s">
        <v>81</v>
      </c>
      <c r="G495" t="s">
        <v>81</v>
      </c>
      <c r="H495" t="s">
        <v>81</v>
      </c>
      <c r="I495" t="s">
        <v>81</v>
      </c>
    </row>
    <row r="496" spans="1:9" x14ac:dyDescent="0.25">
      <c r="A496" t="s">
        <v>267</v>
      </c>
      <c r="B496" t="s">
        <v>268</v>
      </c>
      <c r="C496" t="s">
        <v>25</v>
      </c>
      <c r="D496" s="1">
        <v>37.25</v>
      </c>
      <c r="E496" s="2">
        <v>3</v>
      </c>
      <c r="F496" s="1">
        <v>37.25</v>
      </c>
      <c r="G496" s="1">
        <v>18.239999999999998</v>
      </c>
      <c r="H496" s="2">
        <v>3</v>
      </c>
      <c r="I496" t="s">
        <v>81</v>
      </c>
    </row>
    <row r="497" spans="1:9" x14ac:dyDescent="0.25">
      <c r="A497" t="s">
        <v>446</v>
      </c>
      <c r="B497" t="s">
        <v>447</v>
      </c>
      <c r="C497" t="s">
        <v>11</v>
      </c>
      <c r="D497" s="1">
        <v>37.22</v>
      </c>
      <c r="E497" s="2">
        <v>9</v>
      </c>
      <c r="F497" s="1">
        <v>37.22</v>
      </c>
      <c r="G497" s="1">
        <v>8.65</v>
      </c>
      <c r="H497" s="2">
        <v>9</v>
      </c>
      <c r="I497" t="s">
        <v>81</v>
      </c>
    </row>
    <row r="498" spans="1:9" x14ac:dyDescent="0.25">
      <c r="A498" t="s">
        <v>448</v>
      </c>
      <c r="B498" t="s">
        <v>449</v>
      </c>
      <c r="C498" t="s">
        <v>11</v>
      </c>
      <c r="D498" s="1">
        <v>36.18</v>
      </c>
      <c r="E498" s="2">
        <v>9</v>
      </c>
      <c r="F498" s="1">
        <v>32.159999999999997</v>
      </c>
      <c r="G498" s="1">
        <v>16</v>
      </c>
      <c r="H498" s="2">
        <v>8</v>
      </c>
      <c r="I498" t="s">
        <v>81</v>
      </c>
    </row>
    <row r="499" spans="1:9" x14ac:dyDescent="0.25">
      <c r="A499" t="s">
        <v>306</v>
      </c>
      <c r="B499" t="s">
        <v>307</v>
      </c>
      <c r="C499" t="s">
        <v>25</v>
      </c>
      <c r="D499" s="1">
        <v>34.99</v>
      </c>
      <c r="E499" s="2">
        <v>2</v>
      </c>
      <c r="F499" s="1">
        <v>34.99</v>
      </c>
      <c r="G499" s="1">
        <v>13.43</v>
      </c>
      <c r="H499" s="2">
        <v>2</v>
      </c>
      <c r="I499" s="2">
        <v>1</v>
      </c>
    </row>
    <row r="500" spans="1:9" x14ac:dyDescent="0.25">
      <c r="A500" t="s">
        <v>184</v>
      </c>
      <c r="B500" t="s">
        <v>185</v>
      </c>
      <c r="C500" t="s">
        <v>16</v>
      </c>
      <c r="D500" s="1">
        <v>34.130000000000003</v>
      </c>
      <c r="E500" s="2">
        <v>1</v>
      </c>
      <c r="F500" s="1">
        <v>34.130000000000003</v>
      </c>
      <c r="G500" s="1">
        <v>16.88</v>
      </c>
      <c r="H500" s="2">
        <v>1</v>
      </c>
      <c r="I500" t="s">
        <v>81</v>
      </c>
    </row>
    <row r="501" spans="1:9" x14ac:dyDescent="0.25">
      <c r="A501" t="s">
        <v>450</v>
      </c>
      <c r="B501" t="s">
        <v>451</v>
      </c>
      <c r="C501" t="s">
        <v>11</v>
      </c>
      <c r="D501" s="1">
        <v>34.130000000000003</v>
      </c>
      <c r="E501" s="2">
        <v>3</v>
      </c>
      <c r="F501" s="1">
        <v>34.130000000000003</v>
      </c>
      <c r="G501" s="1">
        <v>15.96</v>
      </c>
      <c r="H501" s="2">
        <v>3</v>
      </c>
      <c r="I501" s="2">
        <v>1</v>
      </c>
    </row>
    <row r="502" spans="1:9" x14ac:dyDescent="0.25">
      <c r="A502" t="s">
        <v>452</v>
      </c>
      <c r="B502" t="s">
        <v>453</v>
      </c>
      <c r="C502" t="s">
        <v>11</v>
      </c>
      <c r="D502" s="1">
        <v>33.9</v>
      </c>
      <c r="E502" s="2">
        <v>2</v>
      </c>
      <c r="F502" s="1">
        <v>16.95</v>
      </c>
      <c r="G502" s="1">
        <v>8.5</v>
      </c>
      <c r="H502" s="2">
        <v>1</v>
      </c>
      <c r="I502" t="s">
        <v>81</v>
      </c>
    </row>
    <row r="503" spans="1:9" x14ac:dyDescent="0.25">
      <c r="A503" t="s">
        <v>234</v>
      </c>
      <c r="B503" t="s">
        <v>235</v>
      </c>
      <c r="C503" t="s">
        <v>28</v>
      </c>
      <c r="D503" s="1">
        <v>33.72</v>
      </c>
      <c r="E503" s="2">
        <v>1</v>
      </c>
      <c r="F503" s="1">
        <v>33.72</v>
      </c>
      <c r="G503" s="1">
        <v>28.68</v>
      </c>
      <c r="H503" s="2">
        <v>1</v>
      </c>
      <c r="I503" s="2">
        <v>1</v>
      </c>
    </row>
    <row r="504" spans="1:9" x14ac:dyDescent="0.25">
      <c r="A504" t="s">
        <v>295</v>
      </c>
      <c r="B504" t="s">
        <v>296</v>
      </c>
      <c r="C504" t="s">
        <v>16</v>
      </c>
      <c r="D504" s="1">
        <v>33.53</v>
      </c>
      <c r="E504" s="2">
        <v>1</v>
      </c>
      <c r="F504" s="1">
        <v>33.53</v>
      </c>
      <c r="G504" s="1">
        <v>27.91</v>
      </c>
      <c r="H504" s="2">
        <v>1</v>
      </c>
      <c r="I504" t="s">
        <v>81</v>
      </c>
    </row>
    <row r="505" spans="1:9" x14ac:dyDescent="0.25">
      <c r="A505" t="s">
        <v>178</v>
      </c>
      <c r="B505" t="s">
        <v>179</v>
      </c>
      <c r="C505" t="s">
        <v>16</v>
      </c>
      <c r="D505" s="1">
        <v>33.53</v>
      </c>
      <c r="E505" s="2">
        <v>1</v>
      </c>
      <c r="F505" s="1">
        <v>33.53</v>
      </c>
      <c r="G505" s="1">
        <v>26.5</v>
      </c>
      <c r="H505" s="2">
        <v>1</v>
      </c>
      <c r="I505" t="s">
        <v>81</v>
      </c>
    </row>
    <row r="506" spans="1:9" x14ac:dyDescent="0.25">
      <c r="A506" t="s">
        <v>198</v>
      </c>
      <c r="B506" t="s">
        <v>199</v>
      </c>
      <c r="C506" t="s">
        <v>16</v>
      </c>
      <c r="D506" s="1">
        <v>33.44</v>
      </c>
      <c r="E506" s="2">
        <v>2</v>
      </c>
      <c r="F506" s="1">
        <v>33.44</v>
      </c>
      <c r="G506" s="1">
        <v>20</v>
      </c>
      <c r="H506" s="2">
        <v>2</v>
      </c>
      <c r="I506" s="2">
        <v>1</v>
      </c>
    </row>
    <row r="507" spans="1:9" x14ac:dyDescent="0.25">
      <c r="A507" t="s">
        <v>390</v>
      </c>
      <c r="B507" t="s">
        <v>391</v>
      </c>
      <c r="C507" t="s">
        <v>25</v>
      </c>
      <c r="D507" s="1">
        <v>33.42</v>
      </c>
      <c r="E507" s="2">
        <v>1</v>
      </c>
      <c r="F507" s="1">
        <v>33.42</v>
      </c>
      <c r="G507" s="1">
        <v>37.5</v>
      </c>
      <c r="H507" s="2">
        <v>1</v>
      </c>
      <c r="I507" t="s">
        <v>81</v>
      </c>
    </row>
    <row r="508" spans="1:9" x14ac:dyDescent="0.25">
      <c r="A508" t="s">
        <v>454</v>
      </c>
      <c r="B508" t="s">
        <v>455</v>
      </c>
      <c r="C508" t="s">
        <v>28</v>
      </c>
      <c r="D508" s="1">
        <v>33</v>
      </c>
      <c r="E508" s="2">
        <v>4</v>
      </c>
      <c r="F508" s="1">
        <v>33</v>
      </c>
      <c r="G508" s="1">
        <v>21.72</v>
      </c>
      <c r="H508" s="2">
        <v>4</v>
      </c>
      <c r="I508" s="2">
        <v>1</v>
      </c>
    </row>
    <row r="509" spans="1:9" x14ac:dyDescent="0.25">
      <c r="A509" t="s">
        <v>140</v>
      </c>
      <c r="B509" t="s">
        <v>141</v>
      </c>
      <c r="C509" t="s">
        <v>266</v>
      </c>
      <c r="D509" s="1">
        <v>32.9</v>
      </c>
      <c r="E509" s="2">
        <v>2</v>
      </c>
      <c r="F509" s="1">
        <v>32.9</v>
      </c>
      <c r="G509" s="1">
        <v>26.7</v>
      </c>
      <c r="H509" s="2">
        <v>2</v>
      </c>
      <c r="I509" t="s">
        <v>81</v>
      </c>
    </row>
    <row r="510" spans="1:9" x14ac:dyDescent="0.25">
      <c r="A510" t="s">
        <v>394</v>
      </c>
      <c r="B510" t="s">
        <v>395</v>
      </c>
      <c r="C510" t="s">
        <v>28</v>
      </c>
      <c r="D510" s="1">
        <v>32.75</v>
      </c>
      <c r="E510" s="2">
        <v>4</v>
      </c>
      <c r="F510" s="1">
        <v>32.75</v>
      </c>
      <c r="G510" s="1">
        <v>9</v>
      </c>
      <c r="H510" s="2">
        <v>4</v>
      </c>
      <c r="I510" t="s">
        <v>81</v>
      </c>
    </row>
    <row r="511" spans="1:9" x14ac:dyDescent="0.25">
      <c r="A511" t="s">
        <v>456</v>
      </c>
      <c r="B511" t="s">
        <v>457</v>
      </c>
      <c r="C511" t="s">
        <v>11</v>
      </c>
      <c r="D511" s="1">
        <v>32.659999999999997</v>
      </c>
      <c r="E511" s="2">
        <v>2</v>
      </c>
      <c r="F511" s="1">
        <v>32.659999999999997</v>
      </c>
      <c r="G511" s="1">
        <v>31.5</v>
      </c>
      <c r="H511" s="2">
        <v>2</v>
      </c>
      <c r="I511" t="s">
        <v>81</v>
      </c>
    </row>
    <row r="512" spans="1:9" x14ac:dyDescent="0.25">
      <c r="A512" t="s">
        <v>442</v>
      </c>
      <c r="B512" t="s">
        <v>443</v>
      </c>
      <c r="C512" t="s">
        <v>11</v>
      </c>
      <c r="D512" s="1">
        <v>32.619999999999997</v>
      </c>
      <c r="E512" s="2">
        <v>2</v>
      </c>
      <c r="F512" s="1">
        <v>32.619999999999997</v>
      </c>
      <c r="G512" s="1">
        <v>28</v>
      </c>
      <c r="H512" s="2">
        <v>2</v>
      </c>
      <c r="I512" s="2">
        <v>1</v>
      </c>
    </row>
    <row r="513" spans="1:9" x14ac:dyDescent="0.25">
      <c r="A513" t="s">
        <v>458</v>
      </c>
      <c r="B513" t="s">
        <v>459</v>
      </c>
      <c r="C513" t="s">
        <v>11</v>
      </c>
      <c r="D513" s="1">
        <v>32.47</v>
      </c>
      <c r="E513" s="2">
        <v>3</v>
      </c>
      <c r="F513" s="1">
        <v>32.47</v>
      </c>
      <c r="G513" s="1">
        <v>14.1</v>
      </c>
      <c r="H513" s="2">
        <v>3</v>
      </c>
      <c r="I513" t="s">
        <v>81</v>
      </c>
    </row>
    <row r="514" spans="1:9" x14ac:dyDescent="0.25">
      <c r="A514" t="s">
        <v>291</v>
      </c>
      <c r="B514" t="s">
        <v>292</v>
      </c>
      <c r="C514" t="s">
        <v>28</v>
      </c>
      <c r="D514" s="1">
        <v>32.44</v>
      </c>
      <c r="E514" s="2">
        <v>4</v>
      </c>
      <c r="F514" s="1">
        <v>32.44</v>
      </c>
      <c r="G514" s="1">
        <v>15.68</v>
      </c>
      <c r="H514" s="2">
        <v>4</v>
      </c>
      <c r="I514" t="s">
        <v>81</v>
      </c>
    </row>
    <row r="515" spans="1:9" x14ac:dyDescent="0.25">
      <c r="A515" t="s">
        <v>228</v>
      </c>
      <c r="B515" t="s">
        <v>229</v>
      </c>
      <c r="C515" t="s">
        <v>25</v>
      </c>
      <c r="D515" s="1">
        <v>32.07</v>
      </c>
      <c r="E515" s="2">
        <v>1</v>
      </c>
      <c r="F515" s="1">
        <v>32.07</v>
      </c>
      <c r="G515" s="1">
        <v>13.76</v>
      </c>
      <c r="H515" s="2">
        <v>1</v>
      </c>
      <c r="I515" t="s">
        <v>81</v>
      </c>
    </row>
    <row r="516" spans="1:9" x14ac:dyDescent="0.25">
      <c r="A516" t="s">
        <v>156</v>
      </c>
      <c r="B516" t="s">
        <v>157</v>
      </c>
      <c r="C516" t="s">
        <v>28</v>
      </c>
      <c r="D516" s="1">
        <v>31.99</v>
      </c>
      <c r="E516" s="2">
        <v>1</v>
      </c>
      <c r="F516" s="1">
        <v>31.99</v>
      </c>
      <c r="G516" s="1">
        <v>21.28</v>
      </c>
      <c r="H516" s="2">
        <v>1</v>
      </c>
      <c r="I516" t="s">
        <v>81</v>
      </c>
    </row>
    <row r="517" spans="1:9" x14ac:dyDescent="0.25">
      <c r="A517" t="s">
        <v>460</v>
      </c>
      <c r="B517" t="s">
        <v>461</v>
      </c>
      <c r="C517" t="s">
        <v>11</v>
      </c>
      <c r="D517" s="1">
        <v>31.75</v>
      </c>
      <c r="E517" s="2">
        <v>1</v>
      </c>
      <c r="F517" s="1">
        <v>31.75</v>
      </c>
      <c r="G517" s="1">
        <v>36.9</v>
      </c>
      <c r="H517" s="2">
        <v>1</v>
      </c>
      <c r="I517" t="s">
        <v>81</v>
      </c>
    </row>
    <row r="518" spans="1:9" x14ac:dyDescent="0.25">
      <c r="A518" t="s">
        <v>462</v>
      </c>
      <c r="B518" t="s">
        <v>463</v>
      </c>
      <c r="C518" t="s">
        <v>28</v>
      </c>
      <c r="D518" s="1">
        <v>31.23</v>
      </c>
      <c r="E518" s="2">
        <v>1</v>
      </c>
      <c r="F518" s="1">
        <v>31.23</v>
      </c>
      <c r="G518" s="1">
        <v>35.549999999999997</v>
      </c>
      <c r="H518" s="2">
        <v>1</v>
      </c>
      <c r="I518" t="s">
        <v>81</v>
      </c>
    </row>
    <row r="519" spans="1:9" x14ac:dyDescent="0.25">
      <c r="A519" t="s">
        <v>424</v>
      </c>
      <c r="B519" t="s">
        <v>425</v>
      </c>
      <c r="C519" t="s">
        <v>16</v>
      </c>
      <c r="D519" s="1">
        <v>31.22</v>
      </c>
      <c r="E519" s="2">
        <v>2</v>
      </c>
      <c r="F519" s="1">
        <v>31.22</v>
      </c>
      <c r="G519" s="1">
        <v>19</v>
      </c>
      <c r="H519" s="2">
        <v>2</v>
      </c>
      <c r="I519" t="s">
        <v>81</v>
      </c>
    </row>
    <row r="520" spans="1:9" x14ac:dyDescent="0.25">
      <c r="A520" t="s">
        <v>178</v>
      </c>
      <c r="B520" t="s">
        <v>179</v>
      </c>
      <c r="C520" t="s">
        <v>207</v>
      </c>
      <c r="D520" s="1">
        <v>31.11</v>
      </c>
      <c r="E520" s="2">
        <v>1</v>
      </c>
      <c r="F520" t="s">
        <v>81</v>
      </c>
      <c r="G520" t="s">
        <v>81</v>
      </c>
      <c r="H520" t="s">
        <v>81</v>
      </c>
      <c r="I520" t="s">
        <v>81</v>
      </c>
    </row>
    <row r="521" spans="1:9" x14ac:dyDescent="0.25">
      <c r="A521" t="s">
        <v>300</v>
      </c>
      <c r="B521" t="s">
        <v>301</v>
      </c>
      <c r="C521" t="s">
        <v>28</v>
      </c>
      <c r="D521" s="1">
        <v>30.85</v>
      </c>
      <c r="E521" s="2">
        <v>2</v>
      </c>
      <c r="F521" s="1">
        <v>30.85</v>
      </c>
      <c r="G521" s="1">
        <v>20.67</v>
      </c>
      <c r="H521" s="2">
        <v>2</v>
      </c>
      <c r="I521" t="s">
        <v>81</v>
      </c>
    </row>
    <row r="522" spans="1:9" x14ac:dyDescent="0.25">
      <c r="A522" t="s">
        <v>92</v>
      </c>
      <c r="B522" t="s">
        <v>93</v>
      </c>
      <c r="C522" t="s">
        <v>207</v>
      </c>
      <c r="D522" s="1">
        <v>30.42</v>
      </c>
      <c r="E522" s="2">
        <v>3</v>
      </c>
      <c r="F522" s="1">
        <v>30.42</v>
      </c>
      <c r="G522" s="1">
        <v>27.41</v>
      </c>
      <c r="H522" s="2">
        <v>3</v>
      </c>
      <c r="I522" s="2">
        <v>1</v>
      </c>
    </row>
    <row r="523" spans="1:9" x14ac:dyDescent="0.25">
      <c r="A523" t="s">
        <v>464</v>
      </c>
      <c r="B523" t="s">
        <v>465</v>
      </c>
      <c r="C523" t="s">
        <v>11</v>
      </c>
      <c r="D523" s="1">
        <v>30.37</v>
      </c>
      <c r="E523" s="2">
        <v>1</v>
      </c>
      <c r="F523" s="1">
        <v>30.37</v>
      </c>
      <c r="G523" s="1">
        <v>24.75</v>
      </c>
      <c r="H523" s="2">
        <v>1</v>
      </c>
      <c r="I523" t="s">
        <v>81</v>
      </c>
    </row>
    <row r="524" spans="1:9" x14ac:dyDescent="0.25">
      <c r="A524" t="s">
        <v>182</v>
      </c>
      <c r="B524" t="s">
        <v>183</v>
      </c>
      <c r="C524" t="s">
        <v>266</v>
      </c>
      <c r="D524" s="1">
        <v>30.26</v>
      </c>
      <c r="E524" s="2">
        <v>1</v>
      </c>
      <c r="F524" t="s">
        <v>81</v>
      </c>
      <c r="G524" t="s">
        <v>81</v>
      </c>
      <c r="H524" t="s">
        <v>81</v>
      </c>
      <c r="I524" t="s">
        <v>81</v>
      </c>
    </row>
    <row r="525" spans="1:9" x14ac:dyDescent="0.25">
      <c r="A525" t="s">
        <v>94</v>
      </c>
      <c r="B525" t="s">
        <v>95</v>
      </c>
      <c r="C525" t="s">
        <v>266</v>
      </c>
      <c r="D525" s="1">
        <v>29.66</v>
      </c>
      <c r="E525" s="2">
        <v>1</v>
      </c>
      <c r="F525" s="1">
        <v>29.66</v>
      </c>
      <c r="G525" s="1">
        <v>16.5</v>
      </c>
      <c r="H525" s="2">
        <v>1</v>
      </c>
      <c r="I525" s="2">
        <v>1</v>
      </c>
    </row>
    <row r="526" spans="1:9" x14ac:dyDescent="0.25">
      <c r="A526" t="s">
        <v>138</v>
      </c>
      <c r="B526" t="s">
        <v>139</v>
      </c>
      <c r="C526" t="s">
        <v>25</v>
      </c>
      <c r="D526" s="1">
        <v>29.44</v>
      </c>
      <c r="E526" s="2">
        <v>4</v>
      </c>
      <c r="F526" s="1">
        <v>29.44</v>
      </c>
      <c r="G526" s="1">
        <v>16.8</v>
      </c>
      <c r="H526" s="2">
        <v>4</v>
      </c>
      <c r="I526" t="s">
        <v>81</v>
      </c>
    </row>
    <row r="527" spans="1:9" x14ac:dyDescent="0.25">
      <c r="A527" t="s">
        <v>212</v>
      </c>
      <c r="B527" t="s">
        <v>213</v>
      </c>
      <c r="C527" t="s">
        <v>16</v>
      </c>
      <c r="D527" s="1">
        <v>29.33</v>
      </c>
      <c r="E527" s="2">
        <v>1</v>
      </c>
      <c r="F527" s="1">
        <v>29.33</v>
      </c>
      <c r="G527" s="1">
        <v>25.46</v>
      </c>
      <c r="H527" s="2">
        <v>1</v>
      </c>
      <c r="I527" t="s">
        <v>81</v>
      </c>
    </row>
    <row r="528" spans="1:9" x14ac:dyDescent="0.25">
      <c r="A528" t="s">
        <v>275</v>
      </c>
      <c r="B528" t="s">
        <v>276</v>
      </c>
      <c r="C528" t="s">
        <v>25</v>
      </c>
      <c r="D528" s="1">
        <v>29.24</v>
      </c>
      <c r="E528" s="2">
        <v>2</v>
      </c>
      <c r="F528" s="1">
        <v>29.24</v>
      </c>
      <c r="G528" s="1">
        <v>18.760000000000002</v>
      </c>
      <c r="H528" s="2">
        <v>2</v>
      </c>
      <c r="I528" s="2">
        <v>1</v>
      </c>
    </row>
    <row r="529" spans="1:9" x14ac:dyDescent="0.25">
      <c r="A529" t="s">
        <v>172</v>
      </c>
      <c r="B529" t="s">
        <v>173</v>
      </c>
      <c r="C529" t="s">
        <v>299</v>
      </c>
      <c r="D529" s="1">
        <v>29.22</v>
      </c>
      <c r="E529" s="2">
        <v>1</v>
      </c>
      <c r="F529" s="1">
        <v>29.22</v>
      </c>
      <c r="G529" s="1">
        <v>14.65</v>
      </c>
      <c r="H529" s="2">
        <v>1</v>
      </c>
      <c r="I529" t="s">
        <v>81</v>
      </c>
    </row>
    <row r="530" spans="1:9" x14ac:dyDescent="0.25">
      <c r="A530" t="s">
        <v>358</v>
      </c>
      <c r="B530" t="s">
        <v>359</v>
      </c>
      <c r="C530" t="s">
        <v>28</v>
      </c>
      <c r="D530" s="1">
        <v>29.14</v>
      </c>
      <c r="E530" s="2">
        <v>1</v>
      </c>
      <c r="F530" s="1">
        <v>29.14</v>
      </c>
      <c r="G530" s="1">
        <v>13.5</v>
      </c>
      <c r="H530" s="2">
        <v>1</v>
      </c>
      <c r="I530" t="s">
        <v>81</v>
      </c>
    </row>
    <row r="531" spans="1:9" x14ac:dyDescent="0.25">
      <c r="A531" t="s">
        <v>172</v>
      </c>
      <c r="B531" t="s">
        <v>173</v>
      </c>
      <c r="C531" t="s">
        <v>266</v>
      </c>
      <c r="D531" s="1">
        <v>28.84</v>
      </c>
      <c r="E531" s="2">
        <v>1</v>
      </c>
      <c r="F531" s="1">
        <v>28.84</v>
      </c>
      <c r="G531" s="1">
        <v>20.239999999999998</v>
      </c>
      <c r="H531" s="2">
        <v>1</v>
      </c>
      <c r="I531" t="s">
        <v>81</v>
      </c>
    </row>
    <row r="532" spans="1:9" x14ac:dyDescent="0.25">
      <c r="A532" t="s">
        <v>466</v>
      </c>
      <c r="B532" t="s">
        <v>467</v>
      </c>
      <c r="C532" t="s">
        <v>28</v>
      </c>
      <c r="D532" s="1">
        <v>28.84</v>
      </c>
      <c r="E532" s="2">
        <v>1</v>
      </c>
      <c r="F532" s="1">
        <v>28.84</v>
      </c>
      <c r="G532" s="1">
        <v>23.12</v>
      </c>
      <c r="H532" s="2">
        <v>1</v>
      </c>
      <c r="I532" t="s">
        <v>81</v>
      </c>
    </row>
    <row r="533" spans="1:9" x14ac:dyDescent="0.25">
      <c r="A533" t="s">
        <v>468</v>
      </c>
      <c r="B533" t="s">
        <v>469</v>
      </c>
      <c r="C533" t="s">
        <v>16</v>
      </c>
      <c r="D533" s="1">
        <v>28.72</v>
      </c>
      <c r="E533" s="2">
        <v>1</v>
      </c>
      <c r="F533" s="1">
        <v>28.72</v>
      </c>
      <c r="G533" s="1">
        <v>24.01</v>
      </c>
      <c r="H533" s="2">
        <v>1</v>
      </c>
      <c r="I533" t="s">
        <v>81</v>
      </c>
    </row>
    <row r="534" spans="1:9" x14ac:dyDescent="0.25">
      <c r="A534" t="s">
        <v>271</v>
      </c>
      <c r="B534" t="s">
        <v>272</v>
      </c>
      <c r="C534" t="s">
        <v>25</v>
      </c>
      <c r="D534" s="1">
        <v>28.7</v>
      </c>
      <c r="E534" s="2">
        <v>1</v>
      </c>
      <c r="F534" s="1">
        <v>61.68</v>
      </c>
      <c r="G534" s="1">
        <v>50</v>
      </c>
      <c r="H534" s="2">
        <v>2</v>
      </c>
      <c r="I534" s="2">
        <v>1</v>
      </c>
    </row>
    <row r="535" spans="1:9" x14ac:dyDescent="0.25">
      <c r="A535" t="s">
        <v>120</v>
      </c>
      <c r="B535" t="s">
        <v>121</v>
      </c>
      <c r="C535" t="s">
        <v>11</v>
      </c>
      <c r="D535" s="1">
        <v>28.61</v>
      </c>
      <c r="E535" s="2">
        <v>1</v>
      </c>
      <c r="F535" s="1">
        <v>28.61</v>
      </c>
      <c r="G535" s="1">
        <v>19.23</v>
      </c>
      <c r="H535" s="2">
        <v>1</v>
      </c>
      <c r="I535" s="2">
        <v>1</v>
      </c>
    </row>
    <row r="536" spans="1:9" x14ac:dyDescent="0.25">
      <c r="A536" t="s">
        <v>45</v>
      </c>
      <c r="B536" t="s">
        <v>46</v>
      </c>
      <c r="C536" t="s">
        <v>16</v>
      </c>
      <c r="D536" s="1">
        <v>28.4</v>
      </c>
      <c r="E536" s="2">
        <v>2</v>
      </c>
      <c r="F536" s="1">
        <v>28.4</v>
      </c>
      <c r="G536" s="1">
        <v>22.14</v>
      </c>
      <c r="H536" s="2">
        <v>2</v>
      </c>
      <c r="I536" t="s">
        <v>81</v>
      </c>
    </row>
    <row r="537" spans="1:9" x14ac:dyDescent="0.25">
      <c r="A537" t="s">
        <v>470</v>
      </c>
      <c r="B537" t="s">
        <v>471</v>
      </c>
      <c r="C537" t="s">
        <v>25</v>
      </c>
      <c r="D537" s="1">
        <v>28.03</v>
      </c>
      <c r="E537" s="2">
        <v>1</v>
      </c>
      <c r="F537" s="1">
        <v>28.03</v>
      </c>
      <c r="G537" s="1">
        <v>37.130000000000003</v>
      </c>
      <c r="H537" s="2">
        <v>1</v>
      </c>
      <c r="I537" t="s">
        <v>81</v>
      </c>
    </row>
    <row r="538" spans="1:9" x14ac:dyDescent="0.25">
      <c r="A538" t="s">
        <v>142</v>
      </c>
      <c r="B538" t="s">
        <v>143</v>
      </c>
      <c r="C538" t="s">
        <v>266</v>
      </c>
      <c r="D538" s="1">
        <v>27.99</v>
      </c>
      <c r="E538" s="2">
        <v>1</v>
      </c>
      <c r="F538" s="1">
        <v>27.99</v>
      </c>
      <c r="G538" s="1">
        <v>20.14</v>
      </c>
      <c r="H538" s="2">
        <v>1</v>
      </c>
      <c r="I538" t="s">
        <v>81</v>
      </c>
    </row>
    <row r="539" spans="1:9" x14ac:dyDescent="0.25">
      <c r="A539" t="s">
        <v>23</v>
      </c>
      <c r="B539" t="s">
        <v>24</v>
      </c>
      <c r="C539" t="s">
        <v>207</v>
      </c>
      <c r="D539" s="1">
        <v>27.95</v>
      </c>
      <c r="E539" s="2">
        <v>3</v>
      </c>
      <c r="F539" s="1">
        <v>27.95</v>
      </c>
      <c r="G539" s="1">
        <v>16.190000000000001</v>
      </c>
      <c r="H539" s="2">
        <v>3</v>
      </c>
      <c r="I539" t="s">
        <v>81</v>
      </c>
    </row>
    <row r="540" spans="1:9" x14ac:dyDescent="0.25">
      <c r="A540" t="s">
        <v>472</v>
      </c>
      <c r="B540" t="s">
        <v>473</v>
      </c>
      <c r="C540" t="s">
        <v>11</v>
      </c>
      <c r="D540" s="1">
        <v>27.93</v>
      </c>
      <c r="E540" s="2">
        <v>1</v>
      </c>
      <c r="F540" t="s">
        <v>81</v>
      </c>
      <c r="G540" t="s">
        <v>81</v>
      </c>
      <c r="H540" t="s">
        <v>81</v>
      </c>
      <c r="I540" t="s">
        <v>81</v>
      </c>
    </row>
    <row r="541" spans="1:9" x14ac:dyDescent="0.25">
      <c r="A541" t="s">
        <v>474</v>
      </c>
      <c r="B541" t="s">
        <v>475</v>
      </c>
      <c r="C541" t="s">
        <v>16</v>
      </c>
      <c r="D541" s="1">
        <v>27.73</v>
      </c>
      <c r="E541" s="2">
        <v>1</v>
      </c>
      <c r="F541" s="1">
        <v>27.73</v>
      </c>
      <c r="G541" s="1">
        <v>9.92</v>
      </c>
      <c r="H541" s="2">
        <v>1</v>
      </c>
      <c r="I541" s="2">
        <v>1</v>
      </c>
    </row>
    <row r="542" spans="1:9" x14ac:dyDescent="0.25">
      <c r="A542" t="s">
        <v>476</v>
      </c>
      <c r="B542" t="s">
        <v>477</v>
      </c>
      <c r="C542" t="s">
        <v>11</v>
      </c>
      <c r="D542" s="1">
        <v>27.55</v>
      </c>
      <c r="E542" s="2">
        <v>4</v>
      </c>
      <c r="F542" s="1">
        <v>21.89</v>
      </c>
      <c r="G542" s="1">
        <v>17.600000000000001</v>
      </c>
      <c r="H542" s="2">
        <v>3</v>
      </c>
      <c r="I542" t="s">
        <v>81</v>
      </c>
    </row>
    <row r="543" spans="1:9" x14ac:dyDescent="0.25">
      <c r="A543" t="s">
        <v>474</v>
      </c>
      <c r="B543" t="s">
        <v>475</v>
      </c>
      <c r="C543" t="s">
        <v>28</v>
      </c>
      <c r="D543" s="1">
        <v>27.41</v>
      </c>
      <c r="E543" s="2">
        <v>1</v>
      </c>
      <c r="F543" s="1">
        <v>27.41</v>
      </c>
      <c r="G543" s="1">
        <v>17.77</v>
      </c>
      <c r="H543" s="2">
        <v>1</v>
      </c>
      <c r="I543" t="s">
        <v>81</v>
      </c>
    </row>
    <row r="544" spans="1:9" x14ac:dyDescent="0.25">
      <c r="A544" t="s">
        <v>122</v>
      </c>
      <c r="B544" t="s">
        <v>123</v>
      </c>
      <c r="C544" t="s">
        <v>25</v>
      </c>
      <c r="D544" s="1">
        <v>27.19</v>
      </c>
      <c r="E544" s="2">
        <v>1</v>
      </c>
      <c r="F544" s="1">
        <v>27.19</v>
      </c>
      <c r="G544" s="1">
        <v>18.7</v>
      </c>
      <c r="H544" s="2">
        <v>1</v>
      </c>
      <c r="I544" t="s">
        <v>81</v>
      </c>
    </row>
    <row r="545" spans="1:9" x14ac:dyDescent="0.25">
      <c r="A545" t="s">
        <v>136</v>
      </c>
      <c r="B545" t="s">
        <v>137</v>
      </c>
      <c r="C545" t="s">
        <v>266</v>
      </c>
      <c r="D545" s="1">
        <v>27.18</v>
      </c>
      <c r="E545" s="2">
        <v>1</v>
      </c>
      <c r="F545" s="1">
        <v>27.18</v>
      </c>
      <c r="G545" s="1">
        <v>14.25</v>
      </c>
      <c r="H545" s="2">
        <v>1</v>
      </c>
      <c r="I545" t="s">
        <v>81</v>
      </c>
    </row>
    <row r="546" spans="1:9" x14ac:dyDescent="0.25">
      <c r="A546" t="s">
        <v>378</v>
      </c>
      <c r="B546" t="s">
        <v>379</v>
      </c>
      <c r="C546" t="s">
        <v>25</v>
      </c>
      <c r="D546" s="1">
        <v>27.1</v>
      </c>
      <c r="E546" s="2">
        <v>2</v>
      </c>
      <c r="F546" s="1">
        <v>27.1</v>
      </c>
      <c r="G546" s="1">
        <v>13.06</v>
      </c>
      <c r="H546" s="2">
        <v>2</v>
      </c>
      <c r="I546" t="s">
        <v>81</v>
      </c>
    </row>
    <row r="547" spans="1:9" x14ac:dyDescent="0.25">
      <c r="A547" t="s">
        <v>59</v>
      </c>
      <c r="B547" t="s">
        <v>60</v>
      </c>
      <c r="C547" t="s">
        <v>266</v>
      </c>
      <c r="D547" s="1">
        <v>26.92</v>
      </c>
      <c r="E547" s="2">
        <v>1</v>
      </c>
      <c r="F547" t="s">
        <v>81</v>
      </c>
      <c r="G547" t="s">
        <v>81</v>
      </c>
      <c r="H547" t="s">
        <v>81</v>
      </c>
      <c r="I547" t="s">
        <v>81</v>
      </c>
    </row>
    <row r="548" spans="1:9" x14ac:dyDescent="0.25">
      <c r="A548" t="s">
        <v>293</v>
      </c>
      <c r="B548" t="s">
        <v>294</v>
      </c>
      <c r="C548" t="s">
        <v>11</v>
      </c>
      <c r="D548" s="1">
        <v>26.88</v>
      </c>
      <c r="E548" s="2">
        <v>2</v>
      </c>
      <c r="F548" s="1">
        <v>26.88</v>
      </c>
      <c r="G548" s="1">
        <v>16.46</v>
      </c>
      <c r="H548" s="2">
        <v>2</v>
      </c>
      <c r="I548" t="s">
        <v>81</v>
      </c>
    </row>
    <row r="549" spans="1:9" x14ac:dyDescent="0.25">
      <c r="A549" t="s">
        <v>73</v>
      </c>
      <c r="B549" t="s">
        <v>74</v>
      </c>
      <c r="C549" t="s">
        <v>207</v>
      </c>
      <c r="D549" s="1">
        <v>26.54</v>
      </c>
      <c r="E549" s="2">
        <v>2</v>
      </c>
      <c r="F549" s="1">
        <v>13.27</v>
      </c>
      <c r="G549" s="1">
        <v>5.09</v>
      </c>
      <c r="H549" s="2">
        <v>1</v>
      </c>
      <c r="I549" t="s">
        <v>81</v>
      </c>
    </row>
    <row r="550" spans="1:9" x14ac:dyDescent="0.25">
      <c r="A550" t="s">
        <v>468</v>
      </c>
      <c r="B550" t="s">
        <v>469</v>
      </c>
      <c r="C550" t="s">
        <v>28</v>
      </c>
      <c r="D550" s="1">
        <v>26.16</v>
      </c>
      <c r="E550" s="2">
        <v>1</v>
      </c>
      <c r="F550" s="1">
        <v>26.16</v>
      </c>
      <c r="G550" s="1">
        <v>26</v>
      </c>
      <c r="H550" s="2">
        <v>1</v>
      </c>
      <c r="I550" t="s">
        <v>81</v>
      </c>
    </row>
    <row r="551" spans="1:9" x14ac:dyDescent="0.25">
      <c r="A551" t="s">
        <v>271</v>
      </c>
      <c r="B551" t="s">
        <v>272</v>
      </c>
      <c r="C551" t="s">
        <v>16</v>
      </c>
      <c r="D551" s="1">
        <v>26.13</v>
      </c>
      <c r="E551" s="2">
        <v>1</v>
      </c>
      <c r="F551" s="1">
        <v>26.13</v>
      </c>
      <c r="G551" s="1">
        <v>25</v>
      </c>
      <c r="H551" s="2">
        <v>1</v>
      </c>
      <c r="I551" s="2">
        <v>3</v>
      </c>
    </row>
    <row r="552" spans="1:9" x14ac:dyDescent="0.25">
      <c r="A552" t="s">
        <v>98</v>
      </c>
      <c r="B552" t="s">
        <v>99</v>
      </c>
      <c r="C552" t="s">
        <v>299</v>
      </c>
      <c r="D552" s="1">
        <v>25.49</v>
      </c>
      <c r="E552" s="2">
        <v>1</v>
      </c>
      <c r="F552" s="1">
        <v>25.49</v>
      </c>
      <c r="G552" s="1">
        <v>10.75</v>
      </c>
      <c r="H552" s="2">
        <v>1</v>
      </c>
      <c r="I552" t="s">
        <v>81</v>
      </c>
    </row>
    <row r="553" spans="1:9" x14ac:dyDescent="0.25">
      <c r="A553" t="s">
        <v>136</v>
      </c>
      <c r="B553" t="s">
        <v>137</v>
      </c>
      <c r="C553" t="s">
        <v>25</v>
      </c>
      <c r="D553" s="1">
        <v>25.45</v>
      </c>
      <c r="E553" s="2">
        <v>1</v>
      </c>
      <c r="F553" s="1">
        <v>25.45</v>
      </c>
      <c r="G553" s="1">
        <v>14.25</v>
      </c>
      <c r="H553" s="2">
        <v>1</v>
      </c>
      <c r="I553" t="s">
        <v>81</v>
      </c>
    </row>
    <row r="554" spans="1:9" x14ac:dyDescent="0.25">
      <c r="A554" t="s">
        <v>160</v>
      </c>
      <c r="B554" t="s">
        <v>161</v>
      </c>
      <c r="C554" t="s">
        <v>299</v>
      </c>
      <c r="D554" s="1">
        <v>25.29</v>
      </c>
      <c r="E554" s="2">
        <v>2</v>
      </c>
      <c r="F554" s="1">
        <v>12.53</v>
      </c>
      <c r="G554" s="1">
        <v>8.75</v>
      </c>
      <c r="H554" s="2">
        <v>1</v>
      </c>
      <c r="I554" t="s">
        <v>81</v>
      </c>
    </row>
    <row r="555" spans="1:9" x14ac:dyDescent="0.25">
      <c r="A555" t="s">
        <v>160</v>
      </c>
      <c r="B555" t="s">
        <v>161</v>
      </c>
      <c r="C555" t="s">
        <v>16</v>
      </c>
      <c r="D555" s="1">
        <v>25.04</v>
      </c>
      <c r="E555" s="2">
        <v>2</v>
      </c>
      <c r="F555" s="1">
        <v>25.04</v>
      </c>
      <c r="G555" s="1">
        <v>18.399999999999999</v>
      </c>
      <c r="H555" s="2">
        <v>2</v>
      </c>
      <c r="I555" t="s">
        <v>81</v>
      </c>
    </row>
    <row r="556" spans="1:9" x14ac:dyDescent="0.25">
      <c r="A556" t="s">
        <v>478</v>
      </c>
      <c r="B556" t="s">
        <v>479</v>
      </c>
      <c r="C556" t="s">
        <v>28</v>
      </c>
      <c r="D556" s="1">
        <v>24.92</v>
      </c>
      <c r="E556" s="2">
        <v>1</v>
      </c>
      <c r="F556" s="1">
        <v>24.92</v>
      </c>
      <c r="G556" s="1">
        <v>17.399999999999999</v>
      </c>
      <c r="H556" s="2">
        <v>1</v>
      </c>
      <c r="I556" t="s">
        <v>81</v>
      </c>
    </row>
    <row r="557" spans="1:9" x14ac:dyDescent="0.25">
      <c r="A557" t="s">
        <v>480</v>
      </c>
      <c r="B557" t="s">
        <v>481</v>
      </c>
      <c r="C557" t="s">
        <v>28</v>
      </c>
      <c r="D557" s="1">
        <v>24.92</v>
      </c>
      <c r="E557" s="2">
        <v>1</v>
      </c>
      <c r="F557" s="1">
        <v>24.92</v>
      </c>
      <c r="G557" s="1">
        <v>19.670000000000002</v>
      </c>
      <c r="H557" s="2">
        <v>1</v>
      </c>
      <c r="I557" t="s">
        <v>81</v>
      </c>
    </row>
    <row r="558" spans="1:9" x14ac:dyDescent="0.25">
      <c r="A558" t="s">
        <v>482</v>
      </c>
      <c r="B558" t="s">
        <v>483</v>
      </c>
      <c r="C558" t="s">
        <v>28</v>
      </c>
      <c r="D558" s="1">
        <v>24.92</v>
      </c>
      <c r="E558" s="2">
        <v>1</v>
      </c>
      <c r="F558" s="1">
        <v>24.92</v>
      </c>
      <c r="G558" s="1">
        <v>24.3</v>
      </c>
      <c r="H558" s="2">
        <v>1</v>
      </c>
      <c r="I558" t="s">
        <v>81</v>
      </c>
    </row>
    <row r="559" spans="1:9" x14ac:dyDescent="0.25">
      <c r="A559" t="s">
        <v>484</v>
      </c>
      <c r="B559" t="s">
        <v>485</v>
      </c>
      <c r="C559" t="s">
        <v>11</v>
      </c>
      <c r="D559" s="1">
        <v>24.51</v>
      </c>
      <c r="E559" s="2">
        <v>1</v>
      </c>
      <c r="F559" s="1">
        <v>24.51</v>
      </c>
      <c r="G559" s="1">
        <v>16.87</v>
      </c>
      <c r="H559" s="2">
        <v>1</v>
      </c>
      <c r="I559" t="s">
        <v>81</v>
      </c>
    </row>
    <row r="560" spans="1:9" x14ac:dyDescent="0.25">
      <c r="A560" t="s">
        <v>384</v>
      </c>
      <c r="B560" t="s">
        <v>385</v>
      </c>
      <c r="C560" t="s">
        <v>11</v>
      </c>
      <c r="D560" s="1">
        <v>24.42</v>
      </c>
      <c r="E560" s="2">
        <v>2</v>
      </c>
      <c r="F560" s="1">
        <v>24.42</v>
      </c>
      <c r="G560" s="1">
        <v>13.9</v>
      </c>
      <c r="H560" s="2">
        <v>2</v>
      </c>
      <c r="I560" t="s">
        <v>81</v>
      </c>
    </row>
    <row r="561" spans="1:9" x14ac:dyDescent="0.25">
      <c r="A561" t="s">
        <v>218</v>
      </c>
      <c r="B561" t="s">
        <v>219</v>
      </c>
      <c r="C561" t="s">
        <v>25</v>
      </c>
      <c r="D561" s="1">
        <v>24.4</v>
      </c>
      <c r="E561" s="2">
        <v>5</v>
      </c>
      <c r="F561" s="1">
        <v>24.4</v>
      </c>
      <c r="G561" s="1">
        <v>16.78</v>
      </c>
      <c r="H561" s="2">
        <v>5</v>
      </c>
      <c r="I561" t="s">
        <v>81</v>
      </c>
    </row>
    <row r="562" spans="1:9" x14ac:dyDescent="0.25">
      <c r="A562" t="s">
        <v>154</v>
      </c>
      <c r="B562" t="s">
        <v>155</v>
      </c>
      <c r="C562" t="s">
        <v>16</v>
      </c>
      <c r="D562" s="1">
        <v>24.37</v>
      </c>
      <c r="E562" s="2">
        <v>1</v>
      </c>
      <c r="F562" s="1">
        <v>24.37</v>
      </c>
      <c r="G562" s="1">
        <v>16.72</v>
      </c>
      <c r="H562" s="2">
        <v>1</v>
      </c>
      <c r="I562" t="s">
        <v>81</v>
      </c>
    </row>
    <row r="563" spans="1:9" x14ac:dyDescent="0.25">
      <c r="A563" t="s">
        <v>267</v>
      </c>
      <c r="B563" t="s">
        <v>268</v>
      </c>
      <c r="C563" t="s">
        <v>207</v>
      </c>
      <c r="D563" s="1">
        <v>23.93</v>
      </c>
      <c r="E563" s="2">
        <v>1</v>
      </c>
      <c r="F563" s="1">
        <v>23.93</v>
      </c>
      <c r="G563" s="1">
        <v>6.03</v>
      </c>
      <c r="H563" s="2">
        <v>1</v>
      </c>
      <c r="I563" t="s">
        <v>81</v>
      </c>
    </row>
    <row r="564" spans="1:9" x14ac:dyDescent="0.25">
      <c r="A564" t="s">
        <v>190</v>
      </c>
      <c r="B564" t="s">
        <v>191</v>
      </c>
      <c r="C564" t="s">
        <v>266</v>
      </c>
      <c r="D564" s="1">
        <v>23.93</v>
      </c>
      <c r="E564" s="2">
        <v>1</v>
      </c>
      <c r="F564" s="1">
        <v>23.93</v>
      </c>
      <c r="G564" s="1">
        <v>14.72</v>
      </c>
      <c r="H564" s="2">
        <v>1</v>
      </c>
      <c r="I564" t="s">
        <v>81</v>
      </c>
    </row>
    <row r="565" spans="1:9" x14ac:dyDescent="0.25">
      <c r="A565" t="s">
        <v>486</v>
      </c>
      <c r="B565" t="s">
        <v>487</v>
      </c>
      <c r="C565" t="s">
        <v>11</v>
      </c>
      <c r="D565" s="1">
        <v>23.6</v>
      </c>
      <c r="E565" s="2">
        <v>2</v>
      </c>
      <c r="F565" s="1">
        <v>23.6</v>
      </c>
      <c r="G565" s="1">
        <v>12.64</v>
      </c>
      <c r="H565" s="2">
        <v>2</v>
      </c>
      <c r="I565" t="s">
        <v>81</v>
      </c>
    </row>
    <row r="566" spans="1:9" x14ac:dyDescent="0.25">
      <c r="A566" t="s">
        <v>29</v>
      </c>
      <c r="B566" t="s">
        <v>30</v>
      </c>
      <c r="C566" t="s">
        <v>299</v>
      </c>
      <c r="D566" s="1">
        <v>23.45</v>
      </c>
      <c r="E566" s="2">
        <v>1</v>
      </c>
      <c r="F566" s="1">
        <v>23.45</v>
      </c>
      <c r="G566" s="1">
        <v>14.34</v>
      </c>
      <c r="H566" s="2">
        <v>1</v>
      </c>
      <c r="I566" t="s">
        <v>81</v>
      </c>
    </row>
    <row r="567" spans="1:9" x14ac:dyDescent="0.25">
      <c r="A567" t="s">
        <v>450</v>
      </c>
      <c r="B567" t="s">
        <v>451</v>
      </c>
      <c r="C567" t="s">
        <v>25</v>
      </c>
      <c r="D567" s="1">
        <v>23.34</v>
      </c>
      <c r="E567" s="2">
        <v>2</v>
      </c>
      <c r="F567" s="1">
        <v>23.34</v>
      </c>
      <c r="G567" s="1">
        <v>10.64</v>
      </c>
      <c r="H567" s="2">
        <v>2</v>
      </c>
      <c r="I567" t="s">
        <v>81</v>
      </c>
    </row>
    <row r="568" spans="1:9" x14ac:dyDescent="0.25">
      <c r="A568" t="s">
        <v>366</v>
      </c>
      <c r="B568" t="s">
        <v>367</v>
      </c>
      <c r="C568" t="s">
        <v>25</v>
      </c>
      <c r="D568" s="1">
        <v>23.09</v>
      </c>
      <c r="E568" s="2">
        <v>2</v>
      </c>
      <c r="F568" s="1">
        <v>23.09</v>
      </c>
      <c r="G568" s="1">
        <v>9.6999999999999993</v>
      </c>
      <c r="H568" s="2">
        <v>2</v>
      </c>
      <c r="I568" t="s">
        <v>81</v>
      </c>
    </row>
    <row r="569" spans="1:9" x14ac:dyDescent="0.25">
      <c r="A569" t="s">
        <v>316</v>
      </c>
      <c r="B569" t="s">
        <v>317</v>
      </c>
      <c r="C569" t="s">
        <v>28</v>
      </c>
      <c r="D569" s="1">
        <v>22.72</v>
      </c>
      <c r="E569" s="2">
        <v>3</v>
      </c>
      <c r="F569" s="1">
        <v>22.72</v>
      </c>
      <c r="G569" s="1">
        <v>14.75</v>
      </c>
      <c r="H569" s="2">
        <v>3</v>
      </c>
      <c r="I569" t="s">
        <v>81</v>
      </c>
    </row>
    <row r="570" spans="1:9" x14ac:dyDescent="0.25">
      <c r="A570" t="s">
        <v>336</v>
      </c>
      <c r="B570" t="s">
        <v>337</v>
      </c>
      <c r="C570" t="s">
        <v>25</v>
      </c>
      <c r="D570" s="1">
        <v>22.64</v>
      </c>
      <c r="E570" s="2">
        <v>1</v>
      </c>
      <c r="F570" s="1">
        <v>45.28</v>
      </c>
      <c r="G570" s="1">
        <v>28.16</v>
      </c>
      <c r="H570" s="2">
        <v>2</v>
      </c>
      <c r="I570" t="s">
        <v>81</v>
      </c>
    </row>
    <row r="571" spans="1:9" x14ac:dyDescent="0.25">
      <c r="A571" t="s">
        <v>279</v>
      </c>
      <c r="B571" t="s">
        <v>280</v>
      </c>
      <c r="C571" t="s">
        <v>25</v>
      </c>
      <c r="D571" s="1">
        <v>22.64</v>
      </c>
      <c r="E571" s="2">
        <v>1</v>
      </c>
      <c r="F571" s="1">
        <v>22.64</v>
      </c>
      <c r="G571" s="1">
        <v>18.02</v>
      </c>
      <c r="H571" s="2">
        <v>1</v>
      </c>
      <c r="I571" t="s">
        <v>81</v>
      </c>
    </row>
    <row r="572" spans="1:9" x14ac:dyDescent="0.25">
      <c r="A572" t="s">
        <v>434</v>
      </c>
      <c r="B572" t="s">
        <v>435</v>
      </c>
      <c r="C572" t="s">
        <v>25</v>
      </c>
      <c r="D572" s="1">
        <v>22.37</v>
      </c>
      <c r="E572" s="2">
        <v>5</v>
      </c>
      <c r="F572" s="1">
        <v>22.37</v>
      </c>
      <c r="G572" s="1">
        <v>26.6</v>
      </c>
      <c r="H572" s="2">
        <v>5</v>
      </c>
      <c r="I572" t="s">
        <v>81</v>
      </c>
    </row>
    <row r="573" spans="1:9" x14ac:dyDescent="0.25">
      <c r="A573" t="s">
        <v>252</v>
      </c>
      <c r="B573" t="s">
        <v>253</v>
      </c>
      <c r="C573" t="s">
        <v>266</v>
      </c>
      <c r="D573" s="1">
        <v>22.02</v>
      </c>
      <c r="E573" s="2">
        <v>1</v>
      </c>
      <c r="F573" s="1">
        <v>22.02</v>
      </c>
      <c r="G573" s="1">
        <v>14.65</v>
      </c>
      <c r="H573" s="2">
        <v>1</v>
      </c>
      <c r="I573" t="s">
        <v>81</v>
      </c>
    </row>
    <row r="574" spans="1:9" x14ac:dyDescent="0.25">
      <c r="A574" t="s">
        <v>98</v>
      </c>
      <c r="B574" t="s">
        <v>99</v>
      </c>
      <c r="C574" t="s">
        <v>266</v>
      </c>
      <c r="D574" s="1">
        <v>21.9</v>
      </c>
      <c r="E574" s="2">
        <v>1</v>
      </c>
      <c r="F574" s="1">
        <v>21.9</v>
      </c>
      <c r="G574" s="1">
        <v>18.32</v>
      </c>
      <c r="H574" s="2">
        <v>1</v>
      </c>
      <c r="I574" t="s">
        <v>81</v>
      </c>
    </row>
    <row r="575" spans="1:9" x14ac:dyDescent="0.25">
      <c r="A575" t="s">
        <v>344</v>
      </c>
      <c r="B575" t="s">
        <v>345</v>
      </c>
      <c r="C575" t="s">
        <v>25</v>
      </c>
      <c r="D575" s="1">
        <v>21.56</v>
      </c>
      <c r="E575" s="2">
        <v>2</v>
      </c>
      <c r="F575" s="1">
        <v>21.56</v>
      </c>
      <c r="G575" s="1">
        <v>21.88</v>
      </c>
      <c r="H575" s="2">
        <v>2</v>
      </c>
      <c r="I575" t="s">
        <v>81</v>
      </c>
    </row>
    <row r="576" spans="1:9" x14ac:dyDescent="0.25">
      <c r="A576" t="s">
        <v>488</v>
      </c>
      <c r="B576" t="s">
        <v>489</v>
      </c>
      <c r="C576" t="s">
        <v>11</v>
      </c>
      <c r="D576" s="1">
        <v>21.51</v>
      </c>
      <c r="E576" s="2">
        <v>1</v>
      </c>
      <c r="F576" t="s">
        <v>81</v>
      </c>
      <c r="G576" t="s">
        <v>81</v>
      </c>
      <c r="H576" t="s">
        <v>81</v>
      </c>
      <c r="I576" t="s">
        <v>81</v>
      </c>
    </row>
    <row r="577" spans="1:9" x14ac:dyDescent="0.25">
      <c r="A577" t="s">
        <v>51</v>
      </c>
      <c r="B577" t="s">
        <v>52</v>
      </c>
      <c r="C577" t="s">
        <v>299</v>
      </c>
      <c r="D577" s="1">
        <v>21.26</v>
      </c>
      <c r="E577" s="2">
        <v>1</v>
      </c>
      <c r="F577" t="s">
        <v>81</v>
      </c>
      <c r="G577" t="s">
        <v>81</v>
      </c>
      <c r="H577" t="s">
        <v>81</v>
      </c>
      <c r="I577" t="s">
        <v>81</v>
      </c>
    </row>
    <row r="578" spans="1:9" x14ac:dyDescent="0.25">
      <c r="A578" t="s">
        <v>406</v>
      </c>
      <c r="B578" t="s">
        <v>407</v>
      </c>
      <c r="C578" t="s">
        <v>16</v>
      </c>
      <c r="D578" s="1">
        <v>21.21</v>
      </c>
      <c r="E578" s="2">
        <v>1</v>
      </c>
      <c r="F578" t="s">
        <v>81</v>
      </c>
      <c r="G578" t="s">
        <v>81</v>
      </c>
      <c r="H578" t="s">
        <v>81</v>
      </c>
      <c r="I578" t="s">
        <v>81</v>
      </c>
    </row>
    <row r="579" spans="1:9" x14ac:dyDescent="0.25">
      <c r="A579" t="s">
        <v>35</v>
      </c>
      <c r="B579" t="s">
        <v>36</v>
      </c>
      <c r="C579" t="s">
        <v>299</v>
      </c>
      <c r="D579" s="1">
        <v>20.95</v>
      </c>
      <c r="E579" s="2">
        <v>1</v>
      </c>
      <c r="F579" s="1">
        <v>20.95</v>
      </c>
      <c r="G579" s="1">
        <v>14.82</v>
      </c>
      <c r="H579" s="2">
        <v>1</v>
      </c>
      <c r="I579" t="s">
        <v>81</v>
      </c>
    </row>
    <row r="580" spans="1:9" x14ac:dyDescent="0.25">
      <c r="A580" t="s">
        <v>228</v>
      </c>
      <c r="B580" t="s">
        <v>229</v>
      </c>
      <c r="C580" t="s">
        <v>16</v>
      </c>
      <c r="D580" s="1">
        <v>20.92</v>
      </c>
      <c r="E580" s="2">
        <v>1</v>
      </c>
      <c r="F580" s="1">
        <v>20.92</v>
      </c>
      <c r="G580" s="1">
        <v>13.76</v>
      </c>
      <c r="H580" s="2">
        <v>1</v>
      </c>
      <c r="I580" t="s">
        <v>81</v>
      </c>
    </row>
    <row r="581" spans="1:9" x14ac:dyDescent="0.25">
      <c r="A581" t="s">
        <v>47</v>
      </c>
      <c r="B581" t="s">
        <v>48</v>
      </c>
      <c r="C581" t="s">
        <v>16</v>
      </c>
      <c r="D581" s="1">
        <v>20.87</v>
      </c>
      <c r="E581" s="2">
        <v>1</v>
      </c>
      <c r="F581" s="1">
        <v>20.87</v>
      </c>
      <c r="G581" s="1">
        <v>17.07</v>
      </c>
      <c r="H581" s="2">
        <v>1</v>
      </c>
      <c r="I581" t="s">
        <v>81</v>
      </c>
    </row>
    <row r="582" spans="1:9" x14ac:dyDescent="0.25">
      <c r="A582" t="s">
        <v>285</v>
      </c>
      <c r="B582" t="s">
        <v>286</v>
      </c>
      <c r="C582" t="s">
        <v>16</v>
      </c>
      <c r="D582" s="1">
        <v>20.66</v>
      </c>
      <c r="E582" s="2">
        <v>1</v>
      </c>
      <c r="F582" s="1">
        <v>20.66</v>
      </c>
      <c r="G582" s="1">
        <v>13.01</v>
      </c>
      <c r="H582" s="2">
        <v>1</v>
      </c>
      <c r="I582" t="s">
        <v>81</v>
      </c>
    </row>
    <row r="583" spans="1:9" x14ac:dyDescent="0.25">
      <c r="A583" t="s">
        <v>269</v>
      </c>
      <c r="B583" t="s">
        <v>270</v>
      </c>
      <c r="C583" t="s">
        <v>266</v>
      </c>
      <c r="D583" s="1">
        <v>20.62</v>
      </c>
      <c r="E583" s="2">
        <v>2</v>
      </c>
      <c r="F583" s="1">
        <v>10.31</v>
      </c>
      <c r="G583" s="1">
        <v>4.16</v>
      </c>
      <c r="H583" s="2">
        <v>1</v>
      </c>
      <c r="I583" t="s">
        <v>81</v>
      </c>
    </row>
    <row r="584" spans="1:9" x14ac:dyDescent="0.25">
      <c r="A584" t="s">
        <v>490</v>
      </c>
      <c r="B584" t="s">
        <v>491</v>
      </c>
      <c r="C584" t="s">
        <v>11</v>
      </c>
      <c r="D584" s="1">
        <v>20.59</v>
      </c>
      <c r="E584" s="2">
        <v>1</v>
      </c>
      <c r="F584" s="1">
        <v>20.59</v>
      </c>
      <c r="G584" s="1">
        <v>11.25</v>
      </c>
      <c r="H584" s="2">
        <v>1</v>
      </c>
      <c r="I584" t="s">
        <v>81</v>
      </c>
    </row>
    <row r="585" spans="1:9" x14ac:dyDescent="0.25">
      <c r="A585" t="s">
        <v>374</v>
      </c>
      <c r="B585" t="s">
        <v>375</v>
      </c>
      <c r="C585" t="s">
        <v>25</v>
      </c>
      <c r="D585" s="1">
        <v>20.58</v>
      </c>
      <c r="E585" s="2">
        <v>1</v>
      </c>
      <c r="F585" s="1">
        <v>20.58</v>
      </c>
      <c r="G585" s="1">
        <v>14.28</v>
      </c>
      <c r="H585" s="2">
        <v>1</v>
      </c>
      <c r="I585" t="s">
        <v>81</v>
      </c>
    </row>
    <row r="586" spans="1:9" x14ac:dyDescent="0.25">
      <c r="A586" t="s">
        <v>492</v>
      </c>
      <c r="B586" t="s">
        <v>493</v>
      </c>
      <c r="C586" t="s">
        <v>11</v>
      </c>
      <c r="D586" s="1">
        <v>20.41</v>
      </c>
      <c r="E586" s="2">
        <v>1</v>
      </c>
      <c r="F586" t="s">
        <v>81</v>
      </c>
      <c r="G586" t="s">
        <v>81</v>
      </c>
      <c r="H586" t="s">
        <v>81</v>
      </c>
      <c r="I586" t="s">
        <v>81</v>
      </c>
    </row>
    <row r="587" spans="1:9" x14ac:dyDescent="0.25">
      <c r="A587" t="s">
        <v>494</v>
      </c>
      <c r="B587" t="s">
        <v>495</v>
      </c>
      <c r="C587" t="s">
        <v>11</v>
      </c>
      <c r="D587" s="1">
        <v>19.690000000000001</v>
      </c>
      <c r="E587" s="2">
        <v>1</v>
      </c>
      <c r="F587" s="1">
        <v>19.690000000000001</v>
      </c>
      <c r="G587" s="1">
        <v>14</v>
      </c>
      <c r="H587" s="2">
        <v>1</v>
      </c>
      <c r="I587" t="s">
        <v>81</v>
      </c>
    </row>
    <row r="588" spans="1:9" x14ac:dyDescent="0.25">
      <c r="A588" t="s">
        <v>39</v>
      </c>
      <c r="B588" t="s">
        <v>40</v>
      </c>
      <c r="C588" t="s">
        <v>207</v>
      </c>
      <c r="D588" s="1">
        <v>19.03</v>
      </c>
      <c r="E588" s="2">
        <v>2</v>
      </c>
      <c r="F588" s="1">
        <v>19.03</v>
      </c>
      <c r="G588" s="1">
        <v>12.41</v>
      </c>
      <c r="H588" s="2">
        <v>2</v>
      </c>
      <c r="I588" t="s">
        <v>81</v>
      </c>
    </row>
    <row r="589" spans="1:9" x14ac:dyDescent="0.25">
      <c r="A589" t="s">
        <v>338</v>
      </c>
      <c r="B589" t="s">
        <v>339</v>
      </c>
      <c r="C589" t="s">
        <v>28</v>
      </c>
      <c r="D589" s="1">
        <v>18.399999999999999</v>
      </c>
      <c r="E589" s="2">
        <v>1</v>
      </c>
      <c r="F589" s="1">
        <v>18.399999999999999</v>
      </c>
      <c r="G589" s="1">
        <v>12.4</v>
      </c>
      <c r="H589" s="2">
        <v>1</v>
      </c>
      <c r="I589" t="s">
        <v>81</v>
      </c>
    </row>
    <row r="590" spans="1:9" x14ac:dyDescent="0.25">
      <c r="A590" t="s">
        <v>424</v>
      </c>
      <c r="B590" t="s">
        <v>425</v>
      </c>
      <c r="C590" t="s">
        <v>28</v>
      </c>
      <c r="D590" s="1">
        <v>18.239999999999998</v>
      </c>
      <c r="E590" s="2">
        <v>1</v>
      </c>
      <c r="F590" s="1">
        <v>18.239999999999998</v>
      </c>
      <c r="G590" s="1">
        <v>9.5</v>
      </c>
      <c r="H590" s="2">
        <v>1</v>
      </c>
      <c r="I590" t="s">
        <v>81</v>
      </c>
    </row>
    <row r="591" spans="1:9" x14ac:dyDescent="0.25">
      <c r="A591" t="s">
        <v>496</v>
      </c>
      <c r="B591" t="s">
        <v>497</v>
      </c>
      <c r="C591" t="s">
        <v>28</v>
      </c>
      <c r="D591" s="1">
        <v>18.239999999999998</v>
      </c>
      <c r="E591" s="2">
        <v>1</v>
      </c>
      <c r="F591" s="1">
        <v>18.239999999999998</v>
      </c>
      <c r="G591" s="1">
        <v>9.76</v>
      </c>
      <c r="H591" s="2">
        <v>1</v>
      </c>
      <c r="I591" t="s">
        <v>81</v>
      </c>
    </row>
    <row r="592" spans="1:9" x14ac:dyDescent="0.25">
      <c r="A592" t="s">
        <v>43</v>
      </c>
      <c r="B592" t="s">
        <v>44</v>
      </c>
      <c r="C592" t="s">
        <v>299</v>
      </c>
      <c r="D592" s="1">
        <v>17.579999999999998</v>
      </c>
      <c r="E592" s="2">
        <v>3</v>
      </c>
      <c r="F592" s="1">
        <v>17.579999999999998</v>
      </c>
      <c r="G592" s="1">
        <v>9.67</v>
      </c>
      <c r="H592" s="2">
        <v>3</v>
      </c>
      <c r="I592" t="s">
        <v>81</v>
      </c>
    </row>
    <row r="593" spans="1:9" x14ac:dyDescent="0.25">
      <c r="A593" t="s">
        <v>226</v>
      </c>
      <c r="B593" t="s">
        <v>227</v>
      </c>
      <c r="C593" t="s">
        <v>16</v>
      </c>
      <c r="D593" s="1">
        <v>17.399999999999999</v>
      </c>
      <c r="E593" s="2">
        <v>3</v>
      </c>
      <c r="F593" s="1">
        <v>17.399999999999999</v>
      </c>
      <c r="G593" s="1">
        <v>7.89</v>
      </c>
      <c r="H593" s="2">
        <v>3</v>
      </c>
      <c r="I593" t="s">
        <v>81</v>
      </c>
    </row>
    <row r="594" spans="1:9" x14ac:dyDescent="0.25">
      <c r="A594" t="s">
        <v>92</v>
      </c>
      <c r="B594" t="s">
        <v>93</v>
      </c>
      <c r="C594" t="s">
        <v>299</v>
      </c>
      <c r="D594" s="1">
        <v>17.13</v>
      </c>
      <c r="E594" s="2">
        <v>1</v>
      </c>
      <c r="F594" s="1">
        <v>17.13</v>
      </c>
      <c r="G594" s="1">
        <v>9.5</v>
      </c>
      <c r="H594" s="2">
        <v>1</v>
      </c>
      <c r="I594" t="s">
        <v>81</v>
      </c>
    </row>
    <row r="595" spans="1:9" x14ac:dyDescent="0.25">
      <c r="A595" t="s">
        <v>152</v>
      </c>
      <c r="B595" t="s">
        <v>153</v>
      </c>
      <c r="C595" t="s">
        <v>299</v>
      </c>
      <c r="D595" s="1">
        <v>17.100000000000001</v>
      </c>
      <c r="E595" s="2">
        <v>1</v>
      </c>
      <c r="F595" s="1">
        <v>17.100000000000001</v>
      </c>
      <c r="G595" s="1">
        <v>14.55</v>
      </c>
      <c r="H595" s="2">
        <v>1</v>
      </c>
      <c r="I595" t="s">
        <v>81</v>
      </c>
    </row>
    <row r="596" spans="1:9" x14ac:dyDescent="0.25">
      <c r="A596" t="s">
        <v>452</v>
      </c>
      <c r="B596" t="s">
        <v>453</v>
      </c>
      <c r="C596" t="s">
        <v>16</v>
      </c>
      <c r="D596" s="1">
        <v>16.95</v>
      </c>
      <c r="E596" s="2">
        <v>1</v>
      </c>
      <c r="F596" s="1">
        <v>16.95</v>
      </c>
      <c r="G596" s="1">
        <v>8.5</v>
      </c>
      <c r="H596" s="2">
        <v>1</v>
      </c>
      <c r="I596" t="s">
        <v>81</v>
      </c>
    </row>
    <row r="597" spans="1:9" x14ac:dyDescent="0.25">
      <c r="A597" t="s">
        <v>283</v>
      </c>
      <c r="B597" t="s">
        <v>284</v>
      </c>
      <c r="C597" t="s">
        <v>16</v>
      </c>
      <c r="D597" s="1">
        <v>16.72</v>
      </c>
      <c r="E597" s="2">
        <v>2</v>
      </c>
      <c r="F597" s="1">
        <v>16.72</v>
      </c>
      <c r="G597" s="1">
        <v>9.3800000000000008</v>
      </c>
      <c r="H597" s="2">
        <v>2</v>
      </c>
      <c r="I597" t="s">
        <v>81</v>
      </c>
    </row>
    <row r="598" spans="1:9" x14ac:dyDescent="0.25">
      <c r="A598" t="s">
        <v>452</v>
      </c>
      <c r="B598" t="s">
        <v>453</v>
      </c>
      <c r="C598" t="s">
        <v>28</v>
      </c>
      <c r="D598" s="1">
        <v>16.66</v>
      </c>
      <c r="E598" s="2">
        <v>1</v>
      </c>
      <c r="F598" t="s">
        <v>81</v>
      </c>
      <c r="G598" t="s">
        <v>81</v>
      </c>
      <c r="H598" t="s">
        <v>81</v>
      </c>
      <c r="I598" t="s">
        <v>81</v>
      </c>
    </row>
    <row r="599" spans="1:9" x14ac:dyDescent="0.25">
      <c r="A599" t="s">
        <v>108</v>
      </c>
      <c r="B599" t="s">
        <v>109</v>
      </c>
      <c r="C599" t="s">
        <v>16</v>
      </c>
      <c r="D599" s="1">
        <v>16.64</v>
      </c>
      <c r="E599" s="2">
        <v>2</v>
      </c>
      <c r="F599" s="1">
        <v>16.64</v>
      </c>
      <c r="G599" s="1">
        <v>12</v>
      </c>
      <c r="H599" s="2">
        <v>2</v>
      </c>
      <c r="I599" t="s">
        <v>81</v>
      </c>
    </row>
    <row r="600" spans="1:9" x14ac:dyDescent="0.25">
      <c r="A600" t="s">
        <v>269</v>
      </c>
      <c r="B600" t="s">
        <v>270</v>
      </c>
      <c r="C600" t="s">
        <v>16</v>
      </c>
      <c r="D600" s="1">
        <v>16.64</v>
      </c>
      <c r="E600" s="2">
        <v>2</v>
      </c>
      <c r="F600" s="1">
        <v>16.64</v>
      </c>
      <c r="G600" s="1">
        <v>8.32</v>
      </c>
      <c r="H600" s="2">
        <v>2</v>
      </c>
      <c r="I600" t="s">
        <v>81</v>
      </c>
    </row>
    <row r="601" spans="1:9" x14ac:dyDescent="0.25">
      <c r="A601" t="s">
        <v>426</v>
      </c>
      <c r="B601" t="s">
        <v>427</v>
      </c>
      <c r="C601" t="s">
        <v>28</v>
      </c>
      <c r="D601" s="1">
        <v>16.579999999999998</v>
      </c>
      <c r="E601" s="2">
        <v>1</v>
      </c>
      <c r="F601" s="1">
        <v>16.579999999999998</v>
      </c>
      <c r="G601" s="1">
        <v>12</v>
      </c>
      <c r="H601" s="2">
        <v>1</v>
      </c>
      <c r="I601" t="s">
        <v>81</v>
      </c>
    </row>
    <row r="602" spans="1:9" x14ac:dyDescent="0.25">
      <c r="A602" t="s">
        <v>498</v>
      </c>
      <c r="B602" t="s">
        <v>499</v>
      </c>
      <c r="C602" t="s">
        <v>16</v>
      </c>
      <c r="D602" s="1">
        <v>16.48</v>
      </c>
      <c r="E602" s="2">
        <v>4</v>
      </c>
      <c r="F602" s="1">
        <v>16.48</v>
      </c>
      <c r="G602" s="1">
        <v>11.04</v>
      </c>
      <c r="H602" s="2">
        <v>4</v>
      </c>
      <c r="I602" t="s">
        <v>81</v>
      </c>
    </row>
    <row r="603" spans="1:9" x14ac:dyDescent="0.25">
      <c r="A603" t="s">
        <v>300</v>
      </c>
      <c r="B603" t="s">
        <v>301</v>
      </c>
      <c r="C603" t="s">
        <v>266</v>
      </c>
      <c r="D603" s="1">
        <v>16.45</v>
      </c>
      <c r="E603" s="2">
        <v>1</v>
      </c>
      <c r="F603" s="1">
        <v>16.45</v>
      </c>
      <c r="G603" s="1">
        <v>10.07</v>
      </c>
      <c r="H603" s="2">
        <v>1</v>
      </c>
      <c r="I603" t="s">
        <v>81</v>
      </c>
    </row>
    <row r="604" spans="1:9" x14ac:dyDescent="0.25">
      <c r="A604" t="s">
        <v>426</v>
      </c>
      <c r="B604" t="s">
        <v>427</v>
      </c>
      <c r="C604" t="s">
        <v>25</v>
      </c>
      <c r="D604" s="1">
        <v>16.45</v>
      </c>
      <c r="E604" s="2">
        <v>1</v>
      </c>
      <c r="F604" s="1">
        <v>32.9</v>
      </c>
      <c r="G604" s="1">
        <v>24</v>
      </c>
      <c r="H604" s="2">
        <v>2</v>
      </c>
      <c r="I604" t="s">
        <v>81</v>
      </c>
    </row>
    <row r="605" spans="1:9" x14ac:dyDescent="0.25">
      <c r="A605" t="s">
        <v>380</v>
      </c>
      <c r="B605" t="s">
        <v>381</v>
      </c>
      <c r="C605" t="s">
        <v>25</v>
      </c>
      <c r="D605" s="1">
        <v>16.36</v>
      </c>
      <c r="E605" s="2">
        <v>2</v>
      </c>
      <c r="F605" s="1">
        <v>16.36</v>
      </c>
      <c r="G605" s="1">
        <v>10.9</v>
      </c>
      <c r="H605" s="2">
        <v>2</v>
      </c>
      <c r="I605" t="s">
        <v>81</v>
      </c>
    </row>
    <row r="606" spans="1:9" x14ac:dyDescent="0.25">
      <c r="A606" t="s">
        <v>448</v>
      </c>
      <c r="B606" t="s">
        <v>449</v>
      </c>
      <c r="C606" t="s">
        <v>299</v>
      </c>
      <c r="D606" s="1">
        <v>16.18</v>
      </c>
      <c r="E606" s="2">
        <v>4</v>
      </c>
      <c r="F606" s="1">
        <v>16.18</v>
      </c>
      <c r="G606" s="1">
        <v>8.0299999999999994</v>
      </c>
      <c r="H606" s="2">
        <v>4</v>
      </c>
      <c r="I606" t="s">
        <v>81</v>
      </c>
    </row>
    <row r="607" spans="1:9" x14ac:dyDescent="0.25">
      <c r="A607" t="s">
        <v>412</v>
      </c>
      <c r="B607" t="s">
        <v>413</v>
      </c>
      <c r="C607" t="s">
        <v>299</v>
      </c>
      <c r="D607" s="1">
        <v>16.09</v>
      </c>
      <c r="E607" s="2">
        <v>1</v>
      </c>
      <c r="F607" s="1">
        <v>16.09</v>
      </c>
      <c r="G607" s="1">
        <v>19.48</v>
      </c>
      <c r="H607" s="2">
        <v>1</v>
      </c>
      <c r="I607" t="s">
        <v>81</v>
      </c>
    </row>
    <row r="608" spans="1:9" x14ac:dyDescent="0.25">
      <c r="A608" t="s">
        <v>55</v>
      </c>
      <c r="B608" t="s">
        <v>56</v>
      </c>
      <c r="C608" t="s">
        <v>207</v>
      </c>
      <c r="D608" s="1">
        <v>15.46</v>
      </c>
      <c r="E608" s="2">
        <v>1</v>
      </c>
      <c r="F608" s="1">
        <v>15.46</v>
      </c>
      <c r="G608" s="1">
        <v>15.88</v>
      </c>
      <c r="H608" s="2">
        <v>1</v>
      </c>
      <c r="I608" t="s">
        <v>81</v>
      </c>
    </row>
    <row r="609" spans="1:9" x14ac:dyDescent="0.25">
      <c r="A609" t="s">
        <v>300</v>
      </c>
      <c r="B609" t="s">
        <v>301</v>
      </c>
      <c r="C609" t="s">
        <v>16</v>
      </c>
      <c r="D609" s="1">
        <v>15.24</v>
      </c>
      <c r="E609" s="2">
        <v>1</v>
      </c>
      <c r="F609" s="1">
        <v>15.24</v>
      </c>
      <c r="G609" s="1">
        <v>10.07</v>
      </c>
      <c r="H609" s="2">
        <v>1</v>
      </c>
      <c r="I609" t="s">
        <v>81</v>
      </c>
    </row>
    <row r="610" spans="1:9" x14ac:dyDescent="0.25">
      <c r="A610" t="s">
        <v>338</v>
      </c>
      <c r="B610" t="s">
        <v>339</v>
      </c>
      <c r="C610" t="s">
        <v>16</v>
      </c>
      <c r="D610" s="1">
        <v>14.85</v>
      </c>
      <c r="E610" s="2">
        <v>1</v>
      </c>
      <c r="F610" s="1">
        <v>14.85</v>
      </c>
      <c r="G610" s="1">
        <v>12.4</v>
      </c>
      <c r="H610" s="2">
        <v>1</v>
      </c>
      <c r="I610" s="2">
        <v>1</v>
      </c>
    </row>
    <row r="611" spans="1:9" x14ac:dyDescent="0.25">
      <c r="A611" t="s">
        <v>376</v>
      </c>
      <c r="B611" t="s">
        <v>377</v>
      </c>
      <c r="C611" t="s">
        <v>25</v>
      </c>
      <c r="D611" s="1">
        <v>14.64</v>
      </c>
      <c r="E611" s="2">
        <v>3</v>
      </c>
      <c r="F611" s="1">
        <v>14.64</v>
      </c>
      <c r="G611" s="1">
        <v>8.3000000000000007</v>
      </c>
      <c r="H611" s="2">
        <v>3</v>
      </c>
      <c r="I611" t="s">
        <v>81</v>
      </c>
    </row>
    <row r="612" spans="1:9" x14ac:dyDescent="0.25">
      <c r="A612" t="s">
        <v>494</v>
      </c>
      <c r="B612" t="s">
        <v>495</v>
      </c>
      <c r="C612" t="s">
        <v>28</v>
      </c>
      <c r="D612" s="1">
        <v>14.49</v>
      </c>
      <c r="E612" s="2">
        <v>1</v>
      </c>
      <c r="F612" s="1">
        <v>14.49</v>
      </c>
      <c r="G612" s="1">
        <v>15.5</v>
      </c>
      <c r="H612" s="2">
        <v>1</v>
      </c>
      <c r="I612" t="s">
        <v>81</v>
      </c>
    </row>
    <row r="613" spans="1:9" x14ac:dyDescent="0.25">
      <c r="A613" t="s">
        <v>500</v>
      </c>
      <c r="B613" t="s">
        <v>501</v>
      </c>
      <c r="C613" t="s">
        <v>266</v>
      </c>
      <c r="D613" s="1">
        <v>13.76</v>
      </c>
      <c r="E613" s="2">
        <v>1</v>
      </c>
      <c r="F613" s="1">
        <v>13.76</v>
      </c>
      <c r="G613" s="1">
        <v>7</v>
      </c>
      <c r="H613" s="2">
        <v>1</v>
      </c>
      <c r="I613" t="s">
        <v>81</v>
      </c>
    </row>
    <row r="614" spans="1:9" x14ac:dyDescent="0.25">
      <c r="A614" t="s">
        <v>502</v>
      </c>
      <c r="B614" t="s">
        <v>503</v>
      </c>
      <c r="C614" t="s">
        <v>25</v>
      </c>
      <c r="D614" s="1">
        <v>13.06</v>
      </c>
      <c r="E614" s="2">
        <v>1</v>
      </c>
      <c r="F614" t="s">
        <v>81</v>
      </c>
      <c r="G614" t="s">
        <v>81</v>
      </c>
      <c r="H614" t="s">
        <v>81</v>
      </c>
      <c r="I614" t="s">
        <v>81</v>
      </c>
    </row>
    <row r="615" spans="1:9" x14ac:dyDescent="0.25">
      <c r="A615" t="s">
        <v>216</v>
      </c>
      <c r="B615" t="s">
        <v>217</v>
      </c>
      <c r="C615" t="s">
        <v>25</v>
      </c>
      <c r="D615" s="1">
        <v>12.82</v>
      </c>
      <c r="E615" s="2">
        <v>1</v>
      </c>
      <c r="F615" s="1">
        <v>12.82</v>
      </c>
      <c r="G615" s="1">
        <v>5.51</v>
      </c>
      <c r="H615" s="2">
        <v>1</v>
      </c>
      <c r="I615" t="s">
        <v>81</v>
      </c>
    </row>
    <row r="616" spans="1:9" x14ac:dyDescent="0.25">
      <c r="A616" t="s">
        <v>9</v>
      </c>
      <c r="B616" t="s">
        <v>10</v>
      </c>
      <c r="C616" t="s">
        <v>299</v>
      </c>
      <c r="D616" s="1">
        <v>12.8</v>
      </c>
      <c r="E616" s="2">
        <v>1</v>
      </c>
      <c r="F616" s="1">
        <v>12.8</v>
      </c>
      <c r="G616" s="1">
        <v>6.17</v>
      </c>
      <c r="H616" s="2">
        <v>1</v>
      </c>
      <c r="I616" t="s">
        <v>81</v>
      </c>
    </row>
    <row r="617" spans="1:9" x14ac:dyDescent="0.25">
      <c r="A617" t="s">
        <v>504</v>
      </c>
      <c r="B617" t="s">
        <v>505</v>
      </c>
      <c r="C617" t="s">
        <v>25</v>
      </c>
      <c r="D617" s="1">
        <v>12.65</v>
      </c>
      <c r="E617" s="2">
        <v>1</v>
      </c>
      <c r="F617" s="1">
        <v>12.65</v>
      </c>
      <c r="G617" s="1">
        <v>19</v>
      </c>
      <c r="H617" s="2">
        <v>1</v>
      </c>
      <c r="I617" t="s">
        <v>81</v>
      </c>
    </row>
    <row r="618" spans="1:9" x14ac:dyDescent="0.25">
      <c r="A618" t="s">
        <v>312</v>
      </c>
      <c r="B618" t="s">
        <v>313</v>
      </c>
      <c r="C618" t="s">
        <v>16</v>
      </c>
      <c r="D618" s="1">
        <v>12.65</v>
      </c>
      <c r="E618" s="2">
        <v>1</v>
      </c>
      <c r="F618" s="1">
        <v>12.65</v>
      </c>
      <c r="G618" s="1">
        <v>17.82</v>
      </c>
      <c r="H618" s="2">
        <v>1</v>
      </c>
      <c r="I618" s="2">
        <v>1</v>
      </c>
    </row>
    <row r="619" spans="1:9" x14ac:dyDescent="0.25">
      <c r="A619" t="s">
        <v>314</v>
      </c>
      <c r="B619" t="s">
        <v>315</v>
      </c>
      <c r="C619" t="s">
        <v>16</v>
      </c>
      <c r="D619" s="1">
        <v>12.61</v>
      </c>
      <c r="E619" s="2">
        <v>1</v>
      </c>
      <c r="F619" s="1">
        <v>12.61</v>
      </c>
      <c r="G619" s="1">
        <v>3.42</v>
      </c>
      <c r="H619" s="2">
        <v>1</v>
      </c>
      <c r="I619" t="s">
        <v>81</v>
      </c>
    </row>
    <row r="620" spans="1:9" x14ac:dyDescent="0.25">
      <c r="A620" t="s">
        <v>384</v>
      </c>
      <c r="B620" t="s">
        <v>385</v>
      </c>
      <c r="C620" t="s">
        <v>16</v>
      </c>
      <c r="D620" s="1">
        <v>12.52</v>
      </c>
      <c r="E620" s="2">
        <v>1</v>
      </c>
      <c r="F620" s="1">
        <v>12.52</v>
      </c>
      <c r="G620" s="1">
        <v>6.95</v>
      </c>
      <c r="H620" s="2">
        <v>1</v>
      </c>
      <c r="I620" t="s">
        <v>81</v>
      </c>
    </row>
    <row r="621" spans="1:9" x14ac:dyDescent="0.25">
      <c r="A621" t="s">
        <v>281</v>
      </c>
      <c r="B621" t="s">
        <v>282</v>
      </c>
      <c r="C621" t="s">
        <v>28</v>
      </c>
      <c r="D621" s="1">
        <v>12.42</v>
      </c>
      <c r="E621" s="2">
        <v>1</v>
      </c>
      <c r="F621" s="1">
        <v>12.42</v>
      </c>
      <c r="G621" s="1">
        <v>5.51</v>
      </c>
      <c r="H621" s="2">
        <v>1</v>
      </c>
      <c r="I621" s="2">
        <v>1</v>
      </c>
    </row>
    <row r="622" spans="1:9" x14ac:dyDescent="0.25">
      <c r="A622" t="s">
        <v>506</v>
      </c>
      <c r="B622" t="s">
        <v>507</v>
      </c>
      <c r="C622" t="s">
        <v>207</v>
      </c>
      <c r="D622" s="1">
        <v>12.4</v>
      </c>
      <c r="E622" s="2">
        <v>1</v>
      </c>
      <c r="F622" t="s">
        <v>81</v>
      </c>
      <c r="G622" t="s">
        <v>81</v>
      </c>
      <c r="H622" t="s">
        <v>81</v>
      </c>
      <c r="I622" t="s">
        <v>81</v>
      </c>
    </row>
    <row r="623" spans="1:9" x14ac:dyDescent="0.25">
      <c r="A623" t="s">
        <v>267</v>
      </c>
      <c r="B623" t="s">
        <v>268</v>
      </c>
      <c r="C623" t="s">
        <v>16</v>
      </c>
      <c r="D623" s="1">
        <v>12.36</v>
      </c>
      <c r="E623" s="2">
        <v>1</v>
      </c>
      <c r="F623" s="1">
        <v>12.36</v>
      </c>
      <c r="G623" s="1">
        <v>6.08</v>
      </c>
      <c r="H623" s="2">
        <v>1</v>
      </c>
      <c r="I623" t="s">
        <v>81</v>
      </c>
    </row>
    <row r="624" spans="1:9" x14ac:dyDescent="0.25">
      <c r="A624" t="s">
        <v>500</v>
      </c>
      <c r="B624" t="s">
        <v>501</v>
      </c>
      <c r="C624" t="s">
        <v>25</v>
      </c>
      <c r="D624" s="1">
        <v>12.31</v>
      </c>
      <c r="E624" s="2">
        <v>1</v>
      </c>
      <c r="F624" s="1">
        <v>12.31</v>
      </c>
      <c r="G624" s="1">
        <v>7</v>
      </c>
      <c r="H624" s="2">
        <v>1</v>
      </c>
      <c r="I624" t="s">
        <v>81</v>
      </c>
    </row>
    <row r="625" spans="1:9" x14ac:dyDescent="0.25">
      <c r="A625" t="s">
        <v>508</v>
      </c>
      <c r="B625" t="s">
        <v>509</v>
      </c>
      <c r="C625" t="s">
        <v>28</v>
      </c>
      <c r="D625" s="1">
        <v>11.83</v>
      </c>
      <c r="E625" s="2">
        <v>1</v>
      </c>
      <c r="F625" s="1">
        <v>11.83</v>
      </c>
      <c r="G625" s="1">
        <v>9.9</v>
      </c>
      <c r="H625" s="2">
        <v>1</v>
      </c>
      <c r="I625" t="s">
        <v>81</v>
      </c>
    </row>
    <row r="626" spans="1:9" x14ac:dyDescent="0.25">
      <c r="A626" t="s">
        <v>510</v>
      </c>
      <c r="B626" t="s">
        <v>511</v>
      </c>
      <c r="C626" t="s">
        <v>11</v>
      </c>
      <c r="D626" s="1">
        <v>11.82</v>
      </c>
      <c r="E626" s="2">
        <v>1</v>
      </c>
      <c r="F626" s="1">
        <v>11.82</v>
      </c>
      <c r="G626" s="1">
        <v>11.38</v>
      </c>
      <c r="H626" s="2">
        <v>1</v>
      </c>
      <c r="I626" t="s">
        <v>81</v>
      </c>
    </row>
    <row r="627" spans="1:9" x14ac:dyDescent="0.25">
      <c r="A627" t="s">
        <v>12</v>
      </c>
      <c r="B627" t="s">
        <v>13</v>
      </c>
      <c r="C627" t="s">
        <v>266</v>
      </c>
      <c r="D627" s="1">
        <v>11.78</v>
      </c>
      <c r="E627" s="2">
        <v>1</v>
      </c>
      <c r="F627" t="s">
        <v>81</v>
      </c>
      <c r="G627" t="s">
        <v>81</v>
      </c>
      <c r="H627" t="s">
        <v>81</v>
      </c>
      <c r="I627" t="s">
        <v>81</v>
      </c>
    </row>
    <row r="628" spans="1:9" x14ac:dyDescent="0.25">
      <c r="A628" t="s">
        <v>254</v>
      </c>
      <c r="B628" t="s">
        <v>255</v>
      </c>
      <c r="C628" t="s">
        <v>299</v>
      </c>
      <c r="D628" s="1">
        <v>11.61</v>
      </c>
      <c r="E628" s="2">
        <v>2</v>
      </c>
      <c r="F628" s="1">
        <v>11.61</v>
      </c>
      <c r="G628" s="1">
        <v>6.93</v>
      </c>
      <c r="H628" s="2">
        <v>2</v>
      </c>
      <c r="I628" t="s">
        <v>81</v>
      </c>
    </row>
    <row r="629" spans="1:9" x14ac:dyDescent="0.25">
      <c r="A629" t="s">
        <v>512</v>
      </c>
      <c r="B629" t="s">
        <v>513</v>
      </c>
      <c r="C629" t="s">
        <v>16</v>
      </c>
      <c r="D629" s="1">
        <v>11.5</v>
      </c>
      <c r="E629" s="2">
        <v>1</v>
      </c>
      <c r="F629" s="1">
        <v>11.5</v>
      </c>
      <c r="G629" s="1">
        <v>13.76</v>
      </c>
      <c r="H629" s="2">
        <v>1</v>
      </c>
      <c r="I629" s="2">
        <v>1</v>
      </c>
    </row>
    <row r="630" spans="1:9" x14ac:dyDescent="0.25">
      <c r="A630" t="s">
        <v>218</v>
      </c>
      <c r="B630" t="s">
        <v>219</v>
      </c>
      <c r="C630" t="s">
        <v>28</v>
      </c>
      <c r="D630" s="1">
        <v>11.5</v>
      </c>
      <c r="E630" s="2">
        <v>2</v>
      </c>
      <c r="F630" s="1">
        <v>11.5</v>
      </c>
      <c r="G630" s="1">
        <v>6.64</v>
      </c>
      <c r="H630" s="2">
        <v>2</v>
      </c>
      <c r="I630" t="s">
        <v>81</v>
      </c>
    </row>
    <row r="631" spans="1:9" x14ac:dyDescent="0.25">
      <c r="A631" t="s">
        <v>512</v>
      </c>
      <c r="B631" t="s">
        <v>513</v>
      </c>
      <c r="C631" t="s">
        <v>25</v>
      </c>
      <c r="D631" s="1">
        <v>11.5</v>
      </c>
      <c r="E631" s="2">
        <v>1</v>
      </c>
      <c r="F631" s="1">
        <v>11.5</v>
      </c>
      <c r="G631" s="1">
        <v>10.32</v>
      </c>
      <c r="H631" s="2">
        <v>1</v>
      </c>
      <c r="I631" t="s">
        <v>81</v>
      </c>
    </row>
    <row r="632" spans="1:9" x14ac:dyDescent="0.25">
      <c r="A632" t="s">
        <v>376</v>
      </c>
      <c r="B632" t="s">
        <v>377</v>
      </c>
      <c r="C632" t="s">
        <v>28</v>
      </c>
      <c r="D632" s="1">
        <v>11.5</v>
      </c>
      <c r="E632" s="2">
        <v>2</v>
      </c>
      <c r="F632" s="1">
        <v>11.5</v>
      </c>
      <c r="G632" s="1">
        <v>7</v>
      </c>
      <c r="H632" s="2">
        <v>2</v>
      </c>
      <c r="I632" t="s">
        <v>81</v>
      </c>
    </row>
    <row r="633" spans="1:9" x14ac:dyDescent="0.25">
      <c r="A633" t="s">
        <v>112</v>
      </c>
      <c r="B633" t="s">
        <v>113</v>
      </c>
      <c r="C633" t="s">
        <v>266</v>
      </c>
      <c r="D633" s="1">
        <v>11.49</v>
      </c>
      <c r="E633" s="2">
        <v>1</v>
      </c>
      <c r="F633" s="1">
        <v>11.49</v>
      </c>
      <c r="G633" s="1">
        <v>9.07</v>
      </c>
      <c r="H633" s="2">
        <v>1</v>
      </c>
      <c r="I633" t="s">
        <v>81</v>
      </c>
    </row>
    <row r="634" spans="1:9" x14ac:dyDescent="0.25">
      <c r="A634" t="s">
        <v>216</v>
      </c>
      <c r="B634" t="s">
        <v>217</v>
      </c>
      <c r="C634" t="s">
        <v>28</v>
      </c>
      <c r="D634" s="1">
        <v>11.37</v>
      </c>
      <c r="E634" s="2">
        <v>1</v>
      </c>
      <c r="F634" s="1">
        <v>11.37</v>
      </c>
      <c r="G634" s="1">
        <v>5.51</v>
      </c>
      <c r="H634" s="2">
        <v>1</v>
      </c>
      <c r="I634" t="s">
        <v>81</v>
      </c>
    </row>
    <row r="635" spans="1:9" x14ac:dyDescent="0.25">
      <c r="A635" t="s">
        <v>436</v>
      </c>
      <c r="B635" t="s">
        <v>437</v>
      </c>
      <c r="C635" t="s">
        <v>28</v>
      </c>
      <c r="D635" s="1">
        <v>11.34</v>
      </c>
      <c r="E635" s="2">
        <v>2</v>
      </c>
      <c r="F635" s="1">
        <v>11.34</v>
      </c>
      <c r="G635" s="1">
        <v>2.65</v>
      </c>
      <c r="H635" s="2">
        <v>2</v>
      </c>
      <c r="I635" t="s">
        <v>81</v>
      </c>
    </row>
    <row r="636" spans="1:9" x14ac:dyDescent="0.25">
      <c r="A636" t="s">
        <v>512</v>
      </c>
      <c r="B636" t="s">
        <v>513</v>
      </c>
      <c r="C636" t="s">
        <v>28</v>
      </c>
      <c r="D636" s="1">
        <v>11.17</v>
      </c>
      <c r="E636" s="2">
        <v>1</v>
      </c>
      <c r="F636" s="1">
        <v>11.17</v>
      </c>
      <c r="G636" s="1">
        <v>10.32</v>
      </c>
      <c r="H636" s="2">
        <v>1</v>
      </c>
      <c r="I636" t="s">
        <v>81</v>
      </c>
    </row>
    <row r="637" spans="1:9" x14ac:dyDescent="0.25">
      <c r="A637" t="s">
        <v>500</v>
      </c>
      <c r="B637" t="s">
        <v>501</v>
      </c>
      <c r="C637" t="s">
        <v>28</v>
      </c>
      <c r="D637" s="1">
        <v>11.02</v>
      </c>
      <c r="E637" s="2">
        <v>1</v>
      </c>
      <c r="F637" s="1">
        <v>11.02</v>
      </c>
      <c r="G637" s="1">
        <v>7</v>
      </c>
      <c r="H637" s="2">
        <v>1</v>
      </c>
      <c r="I637" t="s">
        <v>81</v>
      </c>
    </row>
    <row r="638" spans="1:9" x14ac:dyDescent="0.25">
      <c r="A638" t="s">
        <v>512</v>
      </c>
      <c r="B638" t="s">
        <v>513</v>
      </c>
      <c r="C638" t="s">
        <v>11</v>
      </c>
      <c r="D638" s="1">
        <v>10.83</v>
      </c>
      <c r="E638" s="2">
        <v>1</v>
      </c>
      <c r="F638" s="1">
        <v>10.83</v>
      </c>
      <c r="G638" s="1">
        <v>10.32</v>
      </c>
      <c r="H638" s="2">
        <v>1</v>
      </c>
      <c r="I638" t="s">
        <v>81</v>
      </c>
    </row>
    <row r="639" spans="1:9" x14ac:dyDescent="0.25">
      <c r="A639" t="s">
        <v>514</v>
      </c>
      <c r="B639" t="s">
        <v>515</v>
      </c>
      <c r="C639" t="s">
        <v>11</v>
      </c>
      <c r="D639" s="1">
        <v>10.57</v>
      </c>
      <c r="E639" s="2">
        <v>1</v>
      </c>
      <c r="F639" s="1">
        <v>10.57</v>
      </c>
      <c r="G639" s="1">
        <v>8.5</v>
      </c>
      <c r="H639" s="2">
        <v>1</v>
      </c>
      <c r="I639" t="s">
        <v>81</v>
      </c>
    </row>
    <row r="640" spans="1:9" x14ac:dyDescent="0.25">
      <c r="A640" t="s">
        <v>291</v>
      </c>
      <c r="B640" t="s">
        <v>292</v>
      </c>
      <c r="C640" t="s">
        <v>25</v>
      </c>
      <c r="D640" s="1">
        <v>10.55</v>
      </c>
      <c r="E640" s="2">
        <v>1</v>
      </c>
      <c r="F640" s="1">
        <v>10.55</v>
      </c>
      <c r="G640" s="1">
        <v>3.92</v>
      </c>
      <c r="H640" s="2">
        <v>1</v>
      </c>
      <c r="I640" t="s">
        <v>81</v>
      </c>
    </row>
    <row r="641" spans="1:9" x14ac:dyDescent="0.25">
      <c r="A641" t="s">
        <v>23</v>
      </c>
      <c r="B641" t="s">
        <v>24</v>
      </c>
      <c r="C641" t="s">
        <v>299</v>
      </c>
      <c r="D641" s="1">
        <v>9.92</v>
      </c>
      <c r="E641" s="2">
        <v>1</v>
      </c>
      <c r="F641" s="1">
        <v>9.92</v>
      </c>
      <c r="G641" s="1">
        <v>5.52</v>
      </c>
      <c r="H641" s="2">
        <v>1</v>
      </c>
      <c r="I641" t="s">
        <v>81</v>
      </c>
    </row>
    <row r="642" spans="1:9" x14ac:dyDescent="0.25">
      <c r="A642" t="s">
        <v>168</v>
      </c>
      <c r="B642" t="s">
        <v>169</v>
      </c>
      <c r="C642" t="s">
        <v>25</v>
      </c>
      <c r="D642" s="1">
        <v>9</v>
      </c>
      <c r="E642" s="2">
        <v>1</v>
      </c>
      <c r="F642" s="1">
        <v>9</v>
      </c>
      <c r="G642" s="1">
        <v>3.8</v>
      </c>
      <c r="H642" s="2">
        <v>1</v>
      </c>
      <c r="I642" t="s">
        <v>81</v>
      </c>
    </row>
    <row r="643" spans="1:9" x14ac:dyDescent="0.25">
      <c r="A643" t="s">
        <v>516</v>
      </c>
      <c r="B643" t="s">
        <v>517</v>
      </c>
      <c r="C643" t="s">
        <v>16</v>
      </c>
      <c r="D643" s="1">
        <v>8.32</v>
      </c>
      <c r="E643" s="2">
        <v>1</v>
      </c>
      <c r="F643" t="s">
        <v>81</v>
      </c>
      <c r="G643" t="s">
        <v>81</v>
      </c>
      <c r="H643" t="s">
        <v>81</v>
      </c>
      <c r="I643" t="s">
        <v>81</v>
      </c>
    </row>
    <row r="644" spans="1:9" x14ac:dyDescent="0.25">
      <c r="A644" t="s">
        <v>174</v>
      </c>
      <c r="B644" t="s">
        <v>175</v>
      </c>
      <c r="C644" t="s">
        <v>28</v>
      </c>
      <c r="D644" s="1">
        <v>8.25</v>
      </c>
      <c r="E644" s="2">
        <v>1</v>
      </c>
      <c r="F644" s="1">
        <v>8.25</v>
      </c>
      <c r="G644" s="1">
        <v>4.13</v>
      </c>
      <c r="H644" s="2">
        <v>1</v>
      </c>
      <c r="I644" t="s">
        <v>81</v>
      </c>
    </row>
    <row r="645" spans="1:9" x14ac:dyDescent="0.25">
      <c r="A645" t="s">
        <v>518</v>
      </c>
      <c r="B645" t="s">
        <v>519</v>
      </c>
      <c r="C645" t="s">
        <v>25</v>
      </c>
      <c r="D645" s="1">
        <v>7.86</v>
      </c>
      <c r="E645" s="2">
        <v>1</v>
      </c>
      <c r="F645" s="1">
        <v>7.86</v>
      </c>
      <c r="G645" s="1">
        <v>16</v>
      </c>
      <c r="H645" s="2">
        <v>1</v>
      </c>
      <c r="I645" t="s">
        <v>81</v>
      </c>
    </row>
    <row r="646" spans="1:9" x14ac:dyDescent="0.25">
      <c r="A646" t="s">
        <v>150</v>
      </c>
      <c r="B646" t="s">
        <v>151</v>
      </c>
      <c r="C646" t="s">
        <v>299</v>
      </c>
      <c r="D646" s="1">
        <v>7.66</v>
      </c>
      <c r="E646" s="2">
        <v>1</v>
      </c>
      <c r="F646" s="1">
        <v>7.66</v>
      </c>
      <c r="G646" s="1">
        <v>4.18</v>
      </c>
      <c r="H646" s="2">
        <v>1</v>
      </c>
      <c r="I646" t="s">
        <v>81</v>
      </c>
    </row>
    <row r="647" spans="1:9" x14ac:dyDescent="0.25">
      <c r="A647" t="s">
        <v>434</v>
      </c>
      <c r="B647" t="s">
        <v>435</v>
      </c>
      <c r="C647" t="s">
        <v>11</v>
      </c>
      <c r="D647" s="1">
        <v>6.89</v>
      </c>
      <c r="E647" s="2">
        <v>1</v>
      </c>
      <c r="F647" s="1">
        <v>6.89</v>
      </c>
      <c r="G647" s="1">
        <v>5.32</v>
      </c>
      <c r="H647" s="2">
        <v>1</v>
      </c>
      <c r="I647" t="s">
        <v>81</v>
      </c>
    </row>
    <row r="648" spans="1:9" x14ac:dyDescent="0.25">
      <c r="A648" t="s">
        <v>43</v>
      </c>
      <c r="B648" t="s">
        <v>44</v>
      </c>
      <c r="C648" t="s">
        <v>16</v>
      </c>
      <c r="D648" s="1">
        <v>5.8</v>
      </c>
      <c r="E648" s="2">
        <v>1</v>
      </c>
      <c r="F648" s="1">
        <v>5.8</v>
      </c>
      <c r="G648" s="1">
        <v>3.26</v>
      </c>
      <c r="H648" s="2">
        <v>1</v>
      </c>
      <c r="I648" t="s">
        <v>81</v>
      </c>
    </row>
    <row r="649" spans="1:9" x14ac:dyDescent="0.25">
      <c r="A649" t="s">
        <v>254</v>
      </c>
      <c r="B649" t="s">
        <v>255</v>
      </c>
      <c r="C649" t="s">
        <v>16</v>
      </c>
      <c r="D649" s="1">
        <v>5.8</v>
      </c>
      <c r="E649" s="2">
        <v>1</v>
      </c>
      <c r="F649" s="1">
        <v>5.8</v>
      </c>
      <c r="G649" s="1">
        <v>3.01</v>
      </c>
      <c r="H649" s="2">
        <v>1</v>
      </c>
      <c r="I649" t="s">
        <v>81</v>
      </c>
    </row>
    <row r="650" spans="1:9" x14ac:dyDescent="0.25">
      <c r="A650" t="s">
        <v>376</v>
      </c>
      <c r="B650" t="s">
        <v>377</v>
      </c>
      <c r="C650" t="s">
        <v>16</v>
      </c>
      <c r="D650" s="1">
        <v>5.8</v>
      </c>
      <c r="E650" s="2">
        <v>1</v>
      </c>
      <c r="F650" s="1">
        <v>5.8</v>
      </c>
      <c r="G650" s="1">
        <v>3.32</v>
      </c>
      <c r="H650" s="2">
        <v>1</v>
      </c>
      <c r="I650" t="s">
        <v>81</v>
      </c>
    </row>
    <row r="651" spans="1:9" x14ac:dyDescent="0.25">
      <c r="A651" t="s">
        <v>226</v>
      </c>
      <c r="B651" t="s">
        <v>227</v>
      </c>
      <c r="C651" t="s">
        <v>28</v>
      </c>
      <c r="D651" s="1">
        <v>5.75</v>
      </c>
      <c r="E651" s="2">
        <v>1</v>
      </c>
      <c r="F651" s="1">
        <v>5.75</v>
      </c>
      <c r="G651" s="1">
        <v>2.63</v>
      </c>
      <c r="H651" s="2">
        <v>1</v>
      </c>
      <c r="I651" t="s">
        <v>81</v>
      </c>
    </row>
    <row r="652" spans="1:9" x14ac:dyDescent="0.25">
      <c r="A652" t="s">
        <v>43</v>
      </c>
      <c r="B652" t="s">
        <v>44</v>
      </c>
      <c r="C652" t="s">
        <v>28</v>
      </c>
      <c r="D652" s="1">
        <v>5.75</v>
      </c>
      <c r="E652" s="2">
        <v>1</v>
      </c>
      <c r="F652" s="1">
        <v>5.75</v>
      </c>
      <c r="G652" s="1">
        <v>3.26</v>
      </c>
      <c r="H652" s="2">
        <v>1</v>
      </c>
      <c r="I652" t="s">
        <v>81</v>
      </c>
    </row>
    <row r="653" spans="1:9" x14ac:dyDescent="0.25">
      <c r="A653" t="s">
        <v>254</v>
      </c>
      <c r="B653" t="s">
        <v>255</v>
      </c>
      <c r="C653" t="s">
        <v>28</v>
      </c>
      <c r="D653" s="1">
        <v>5.75</v>
      </c>
      <c r="E653" s="2">
        <v>1</v>
      </c>
      <c r="F653" s="1">
        <v>5.75</v>
      </c>
      <c r="G653" s="1">
        <v>3.5</v>
      </c>
      <c r="H653" s="2">
        <v>1</v>
      </c>
      <c r="I653" s="2">
        <v>1</v>
      </c>
    </row>
    <row r="654" spans="1:9" x14ac:dyDescent="0.25">
      <c r="A654" t="s">
        <v>226</v>
      </c>
      <c r="B654" t="s">
        <v>227</v>
      </c>
      <c r="C654" t="s">
        <v>266</v>
      </c>
      <c r="D654" s="1">
        <v>5.7</v>
      </c>
      <c r="E654" s="2">
        <v>1</v>
      </c>
      <c r="F654" s="1">
        <v>5.7</v>
      </c>
      <c r="G654" s="1">
        <v>2.63</v>
      </c>
      <c r="H654" s="2">
        <v>1</v>
      </c>
      <c r="I654" t="s">
        <v>81</v>
      </c>
    </row>
    <row r="655" spans="1:9" x14ac:dyDescent="0.25">
      <c r="A655" t="s">
        <v>520</v>
      </c>
      <c r="B655" t="s">
        <v>521</v>
      </c>
      <c r="C655" t="s">
        <v>16</v>
      </c>
      <c r="D655" s="1">
        <v>5.54</v>
      </c>
      <c r="E655" s="2">
        <v>1</v>
      </c>
      <c r="F655" s="1">
        <v>5.54</v>
      </c>
      <c r="G655" s="1">
        <v>1.85</v>
      </c>
      <c r="H655" s="2">
        <v>1</v>
      </c>
      <c r="I655" t="s">
        <v>81</v>
      </c>
    </row>
    <row r="656" spans="1:9" x14ac:dyDescent="0.25">
      <c r="A656" t="s">
        <v>522</v>
      </c>
      <c r="B656" t="s">
        <v>523</v>
      </c>
      <c r="C656" t="s">
        <v>16</v>
      </c>
      <c r="D656" s="1">
        <v>0</v>
      </c>
      <c r="E656" s="2">
        <v>0</v>
      </c>
      <c r="F656" t="s">
        <v>81</v>
      </c>
      <c r="G656" t="s">
        <v>81</v>
      </c>
      <c r="H656" t="s">
        <v>81</v>
      </c>
      <c r="I656" s="2">
        <v>2</v>
      </c>
    </row>
    <row r="657" spans="1:9" x14ac:dyDescent="0.25">
      <c r="A657" t="s">
        <v>84</v>
      </c>
      <c r="B657" t="s">
        <v>85</v>
      </c>
      <c r="C657" t="s">
        <v>16</v>
      </c>
      <c r="D657" s="1">
        <v>0</v>
      </c>
      <c r="E657" s="2">
        <v>0</v>
      </c>
      <c r="F657" t="s">
        <v>81</v>
      </c>
      <c r="G657" t="s">
        <v>81</v>
      </c>
      <c r="H657" t="s">
        <v>81</v>
      </c>
      <c r="I657" s="2">
        <v>1</v>
      </c>
    </row>
    <row r="658" spans="1:9" x14ac:dyDescent="0.25">
      <c r="A658" t="s">
        <v>368</v>
      </c>
      <c r="B658" t="s">
        <v>369</v>
      </c>
      <c r="C658" t="s">
        <v>28</v>
      </c>
      <c r="D658" s="1">
        <v>0</v>
      </c>
      <c r="E658" s="2">
        <v>0</v>
      </c>
      <c r="F658" t="s">
        <v>81</v>
      </c>
      <c r="G658" t="s">
        <v>81</v>
      </c>
      <c r="H658" t="s">
        <v>81</v>
      </c>
      <c r="I658" s="2">
        <v>1</v>
      </c>
    </row>
    <row r="659" spans="1:9" x14ac:dyDescent="0.25">
      <c r="A659" t="s">
        <v>406</v>
      </c>
      <c r="B659" t="s">
        <v>407</v>
      </c>
      <c r="C659" t="s">
        <v>28</v>
      </c>
      <c r="D659" s="1">
        <v>0</v>
      </c>
      <c r="E659" s="2">
        <v>0</v>
      </c>
      <c r="F659" t="s">
        <v>81</v>
      </c>
      <c r="G659" t="s">
        <v>81</v>
      </c>
      <c r="H659" t="s">
        <v>81</v>
      </c>
      <c r="I659" t="s">
        <v>81</v>
      </c>
    </row>
    <row r="660" spans="1:9" x14ac:dyDescent="0.25">
      <c r="A660" t="s">
        <v>524</v>
      </c>
      <c r="B660" t="s">
        <v>525</v>
      </c>
      <c r="C660" t="s">
        <v>207</v>
      </c>
      <c r="D660" s="1">
        <v>0</v>
      </c>
      <c r="E660" s="2">
        <v>0</v>
      </c>
      <c r="F660" t="s">
        <v>81</v>
      </c>
      <c r="G660" t="s">
        <v>81</v>
      </c>
      <c r="H660" t="s">
        <v>81</v>
      </c>
      <c r="I660" t="s">
        <v>81</v>
      </c>
    </row>
    <row r="661" spans="1:9" x14ac:dyDescent="0.25">
      <c r="A661" t="s">
        <v>186</v>
      </c>
      <c r="B661" t="s">
        <v>187</v>
      </c>
      <c r="C661" t="s">
        <v>266</v>
      </c>
      <c r="D661" s="1">
        <v>0</v>
      </c>
      <c r="E661" s="2">
        <v>0</v>
      </c>
      <c r="F661" t="s">
        <v>81</v>
      </c>
      <c r="G661" t="s">
        <v>81</v>
      </c>
      <c r="H661" t="s">
        <v>81</v>
      </c>
      <c r="I661" s="2">
        <v>1</v>
      </c>
    </row>
    <row r="662" spans="1:9" x14ac:dyDescent="0.25">
      <c r="A662" t="s">
        <v>526</v>
      </c>
      <c r="B662" t="s">
        <v>527</v>
      </c>
      <c r="C662" t="s">
        <v>25</v>
      </c>
      <c r="D662" s="1">
        <v>0</v>
      </c>
      <c r="E662" s="2">
        <v>0</v>
      </c>
      <c r="F662" t="s">
        <v>81</v>
      </c>
      <c r="G662" t="s">
        <v>81</v>
      </c>
      <c r="H662" t="s">
        <v>81</v>
      </c>
      <c r="I662" t="s">
        <v>81</v>
      </c>
    </row>
    <row r="663" spans="1:9" x14ac:dyDescent="0.25">
      <c r="A663" t="s">
        <v>528</v>
      </c>
      <c r="B663" t="s">
        <v>529</v>
      </c>
      <c r="C663" t="s">
        <v>207</v>
      </c>
      <c r="D663" s="1">
        <v>0</v>
      </c>
      <c r="E663" s="2">
        <v>0</v>
      </c>
      <c r="F663" t="s">
        <v>81</v>
      </c>
      <c r="G663" t="s">
        <v>81</v>
      </c>
      <c r="H663" t="s">
        <v>81</v>
      </c>
      <c r="I663" t="s">
        <v>81</v>
      </c>
    </row>
    <row r="664" spans="1:9" x14ac:dyDescent="0.25">
      <c r="A664" t="s">
        <v>400</v>
      </c>
      <c r="B664" t="s">
        <v>401</v>
      </c>
      <c r="C664" t="s">
        <v>16</v>
      </c>
      <c r="D664" s="1">
        <v>0</v>
      </c>
      <c r="E664" s="2">
        <v>0</v>
      </c>
      <c r="F664" t="s">
        <v>81</v>
      </c>
      <c r="G664" t="s">
        <v>81</v>
      </c>
      <c r="H664" t="s">
        <v>81</v>
      </c>
      <c r="I664" t="s">
        <v>81</v>
      </c>
    </row>
    <row r="665" spans="1:9" x14ac:dyDescent="0.25">
      <c r="A665" t="s">
        <v>530</v>
      </c>
      <c r="B665" t="s">
        <v>531</v>
      </c>
      <c r="C665" t="s">
        <v>11</v>
      </c>
      <c r="D665" s="1">
        <v>0</v>
      </c>
      <c r="E665" s="2">
        <v>0</v>
      </c>
      <c r="F665" t="s">
        <v>81</v>
      </c>
      <c r="G665" t="s">
        <v>81</v>
      </c>
      <c r="H665" t="s">
        <v>81</v>
      </c>
      <c r="I665" t="s">
        <v>81</v>
      </c>
    </row>
    <row r="666" spans="1:9" x14ac:dyDescent="0.25">
      <c r="A666" t="s">
        <v>326</v>
      </c>
      <c r="B666" t="s">
        <v>327</v>
      </c>
      <c r="C666" t="s">
        <v>25</v>
      </c>
      <c r="D666" s="1">
        <v>0</v>
      </c>
      <c r="E666" s="2">
        <v>0</v>
      </c>
      <c r="F666" t="s">
        <v>81</v>
      </c>
      <c r="G666" t="s">
        <v>81</v>
      </c>
      <c r="H666" t="s">
        <v>81</v>
      </c>
      <c r="I666" s="2">
        <v>1</v>
      </c>
    </row>
    <row r="667" spans="1:9" x14ac:dyDescent="0.25">
      <c r="A667" t="s">
        <v>532</v>
      </c>
      <c r="B667" t="s">
        <v>533</v>
      </c>
      <c r="C667" t="s">
        <v>28</v>
      </c>
      <c r="D667" s="1">
        <v>0</v>
      </c>
      <c r="E667" s="2">
        <v>0</v>
      </c>
      <c r="F667" t="s">
        <v>81</v>
      </c>
      <c r="G667" t="s">
        <v>81</v>
      </c>
      <c r="H667" t="s">
        <v>81</v>
      </c>
      <c r="I667" t="s">
        <v>81</v>
      </c>
    </row>
    <row r="668" spans="1:9" x14ac:dyDescent="0.25">
      <c r="A668" t="s">
        <v>277</v>
      </c>
      <c r="B668" t="s">
        <v>278</v>
      </c>
      <c r="C668" t="s">
        <v>28</v>
      </c>
      <c r="D668" s="1">
        <v>0</v>
      </c>
      <c r="E668" s="2">
        <v>0</v>
      </c>
      <c r="F668" t="s">
        <v>81</v>
      </c>
      <c r="G668" t="s">
        <v>81</v>
      </c>
      <c r="H668" t="s">
        <v>81</v>
      </c>
      <c r="I668" t="s">
        <v>81</v>
      </c>
    </row>
    <row r="669" spans="1:9" x14ac:dyDescent="0.25">
      <c r="A669" t="s">
        <v>468</v>
      </c>
      <c r="B669" t="s">
        <v>469</v>
      </c>
      <c r="C669" t="s">
        <v>25</v>
      </c>
      <c r="D669" s="1">
        <v>0</v>
      </c>
      <c r="E669" s="2">
        <v>0</v>
      </c>
      <c r="F669" t="s">
        <v>81</v>
      </c>
      <c r="G669" t="s">
        <v>81</v>
      </c>
      <c r="H669" t="s">
        <v>81</v>
      </c>
      <c r="I669" s="2">
        <v>1</v>
      </c>
    </row>
    <row r="670" spans="1:9" x14ac:dyDescent="0.25">
      <c r="A670" t="s">
        <v>534</v>
      </c>
      <c r="B670" t="s">
        <v>535</v>
      </c>
      <c r="C670" t="s">
        <v>11</v>
      </c>
      <c r="D670" s="1">
        <v>0</v>
      </c>
      <c r="E670" s="2">
        <v>0</v>
      </c>
      <c r="F670" t="s">
        <v>81</v>
      </c>
      <c r="G670" t="s">
        <v>81</v>
      </c>
      <c r="H670" t="s">
        <v>81</v>
      </c>
      <c r="I670" t="s">
        <v>81</v>
      </c>
    </row>
    <row r="671" spans="1:9" x14ac:dyDescent="0.25">
      <c r="A671" t="s">
        <v>124</v>
      </c>
      <c r="B671" t="s">
        <v>125</v>
      </c>
      <c r="C671" t="s">
        <v>299</v>
      </c>
      <c r="D671" s="1">
        <v>0</v>
      </c>
      <c r="E671" s="2">
        <v>0</v>
      </c>
      <c r="F671" t="s">
        <v>81</v>
      </c>
      <c r="G671" t="s">
        <v>81</v>
      </c>
      <c r="H671" t="s">
        <v>81</v>
      </c>
      <c r="I671" s="2">
        <v>1</v>
      </c>
    </row>
    <row r="672" spans="1:9" x14ac:dyDescent="0.25">
      <c r="A672" t="s">
        <v>536</v>
      </c>
      <c r="B672" t="s">
        <v>537</v>
      </c>
      <c r="C672" t="s">
        <v>11</v>
      </c>
      <c r="D672" s="1">
        <v>0</v>
      </c>
      <c r="E672" s="2">
        <v>0</v>
      </c>
      <c r="F672" t="s">
        <v>81</v>
      </c>
      <c r="G672" t="s">
        <v>81</v>
      </c>
      <c r="H672" t="s">
        <v>81</v>
      </c>
      <c r="I672" t="s">
        <v>81</v>
      </c>
    </row>
    <row r="673" spans="1:9" x14ac:dyDescent="0.25">
      <c r="A673" t="s">
        <v>350</v>
      </c>
      <c r="B673" t="s">
        <v>351</v>
      </c>
      <c r="C673" t="s">
        <v>28</v>
      </c>
      <c r="D673" s="1">
        <v>0</v>
      </c>
      <c r="E673" s="2">
        <v>0</v>
      </c>
      <c r="F673" s="1">
        <v>9.1999999999999993</v>
      </c>
      <c r="G673" s="1">
        <v>2.79</v>
      </c>
      <c r="H673" s="2">
        <v>1</v>
      </c>
      <c r="I673" t="s">
        <v>81</v>
      </c>
    </row>
    <row r="674" spans="1:9" x14ac:dyDescent="0.25">
      <c r="A674" t="s">
        <v>295</v>
      </c>
      <c r="B674" t="s">
        <v>296</v>
      </c>
      <c r="C674" t="s">
        <v>207</v>
      </c>
      <c r="D674" s="1">
        <v>0</v>
      </c>
      <c r="E674" s="2">
        <v>0</v>
      </c>
      <c r="F674" t="s">
        <v>81</v>
      </c>
      <c r="G674" t="s">
        <v>81</v>
      </c>
      <c r="H674" t="s">
        <v>81</v>
      </c>
      <c r="I674" t="s">
        <v>81</v>
      </c>
    </row>
    <row r="675" spans="1:9" x14ac:dyDescent="0.25">
      <c r="A675" t="s">
        <v>538</v>
      </c>
      <c r="B675" t="s">
        <v>539</v>
      </c>
      <c r="C675" t="s">
        <v>25</v>
      </c>
      <c r="D675" s="1">
        <v>0</v>
      </c>
      <c r="E675" s="2">
        <v>0</v>
      </c>
      <c r="F675" t="s">
        <v>81</v>
      </c>
      <c r="G675" t="s">
        <v>81</v>
      </c>
      <c r="H675" t="s">
        <v>81</v>
      </c>
      <c r="I675" t="s">
        <v>81</v>
      </c>
    </row>
    <row r="676" spans="1:9" x14ac:dyDescent="0.25">
      <c r="A676" t="s">
        <v>293</v>
      </c>
      <c r="B676" t="s">
        <v>294</v>
      </c>
      <c r="C676" t="s">
        <v>299</v>
      </c>
      <c r="D676" s="1">
        <v>0</v>
      </c>
      <c r="E676" s="2">
        <v>0</v>
      </c>
      <c r="F676" t="s">
        <v>81</v>
      </c>
      <c r="G676" t="s">
        <v>81</v>
      </c>
      <c r="H676" t="s">
        <v>81</v>
      </c>
      <c r="I676" t="s">
        <v>81</v>
      </c>
    </row>
    <row r="677" spans="1:9" x14ac:dyDescent="0.25">
      <c r="A677" t="s">
        <v>194</v>
      </c>
      <c r="B677" t="s">
        <v>195</v>
      </c>
      <c r="C677" t="s">
        <v>207</v>
      </c>
      <c r="D677" s="1">
        <v>0</v>
      </c>
      <c r="E677" s="2">
        <v>0</v>
      </c>
      <c r="F677" s="1">
        <v>43.76</v>
      </c>
      <c r="G677" s="1">
        <v>33.42</v>
      </c>
      <c r="H677" s="2">
        <v>1</v>
      </c>
      <c r="I677" t="s">
        <v>81</v>
      </c>
    </row>
    <row r="678" spans="1:9" x14ac:dyDescent="0.25">
      <c r="A678" t="s">
        <v>540</v>
      </c>
      <c r="B678" t="s">
        <v>541</v>
      </c>
      <c r="C678" t="s">
        <v>25</v>
      </c>
      <c r="D678" s="1">
        <v>0</v>
      </c>
      <c r="E678" s="2">
        <v>0</v>
      </c>
      <c r="F678" t="s">
        <v>81</v>
      </c>
      <c r="G678" t="s">
        <v>81</v>
      </c>
      <c r="H678" t="s">
        <v>81</v>
      </c>
      <c r="I678" t="s">
        <v>81</v>
      </c>
    </row>
    <row r="679" spans="1:9" x14ac:dyDescent="0.25">
      <c r="A679" t="s">
        <v>94</v>
      </c>
      <c r="B679" t="s">
        <v>95</v>
      </c>
      <c r="C679" t="s">
        <v>207</v>
      </c>
      <c r="D679" s="1">
        <v>0</v>
      </c>
      <c r="E679" s="2">
        <v>0</v>
      </c>
      <c r="F679" t="s">
        <v>81</v>
      </c>
      <c r="G679" t="s">
        <v>81</v>
      </c>
      <c r="H679" t="s">
        <v>81</v>
      </c>
      <c r="I679" t="s">
        <v>81</v>
      </c>
    </row>
    <row r="680" spans="1:9" x14ac:dyDescent="0.25">
      <c r="A680" t="s">
        <v>61</v>
      </c>
      <c r="B680" t="s">
        <v>62</v>
      </c>
      <c r="C680" t="s">
        <v>28</v>
      </c>
      <c r="D680" s="1">
        <v>0</v>
      </c>
      <c r="E680" s="2">
        <v>0</v>
      </c>
      <c r="F680" t="s">
        <v>81</v>
      </c>
      <c r="G680" t="s">
        <v>81</v>
      </c>
      <c r="H680" t="s">
        <v>81</v>
      </c>
      <c r="I680" s="2">
        <v>1</v>
      </c>
    </row>
    <row r="681" spans="1:9" x14ac:dyDescent="0.25">
      <c r="A681" t="s">
        <v>542</v>
      </c>
      <c r="B681" t="s">
        <v>543</v>
      </c>
      <c r="C681" t="s">
        <v>11</v>
      </c>
      <c r="D681" s="1">
        <v>0</v>
      </c>
      <c r="E681" s="2">
        <v>0</v>
      </c>
      <c r="F681" t="s">
        <v>81</v>
      </c>
      <c r="G681" t="s">
        <v>81</v>
      </c>
      <c r="H681" t="s">
        <v>81</v>
      </c>
      <c r="I681" t="s">
        <v>81</v>
      </c>
    </row>
    <row r="682" spans="1:9" x14ac:dyDescent="0.25">
      <c r="A682" t="s">
        <v>264</v>
      </c>
      <c r="B682" t="s">
        <v>265</v>
      </c>
      <c r="C682" t="s">
        <v>28</v>
      </c>
      <c r="D682" s="1">
        <v>0</v>
      </c>
      <c r="E682" s="2">
        <v>0</v>
      </c>
      <c r="F682" t="s">
        <v>81</v>
      </c>
      <c r="G682" t="s">
        <v>81</v>
      </c>
      <c r="H682" t="s">
        <v>81</v>
      </c>
      <c r="I682" s="2">
        <v>1</v>
      </c>
    </row>
    <row r="683" spans="1:9" x14ac:dyDescent="0.25">
      <c r="A683" t="s">
        <v>544</v>
      </c>
      <c r="B683" t="s">
        <v>545</v>
      </c>
      <c r="C683" t="s">
        <v>16</v>
      </c>
      <c r="D683" s="1">
        <v>0</v>
      </c>
      <c r="E683" s="2">
        <v>0</v>
      </c>
      <c r="F683" t="s">
        <v>81</v>
      </c>
      <c r="G683" t="s">
        <v>81</v>
      </c>
      <c r="H683" t="s">
        <v>81</v>
      </c>
      <c r="I683" t="s">
        <v>81</v>
      </c>
    </row>
    <row r="684" spans="1:9" x14ac:dyDescent="0.25">
      <c r="A684" t="s">
        <v>114</v>
      </c>
      <c r="B684" t="s">
        <v>115</v>
      </c>
      <c r="C684" t="s">
        <v>207</v>
      </c>
      <c r="D684" s="1">
        <v>0</v>
      </c>
      <c r="E684" s="2">
        <v>0</v>
      </c>
      <c r="F684" t="s">
        <v>81</v>
      </c>
      <c r="G684" t="s">
        <v>81</v>
      </c>
      <c r="H684" t="s">
        <v>81</v>
      </c>
      <c r="I684" t="s">
        <v>81</v>
      </c>
    </row>
    <row r="685" spans="1:9" x14ac:dyDescent="0.25">
      <c r="A685" t="s">
        <v>546</v>
      </c>
      <c r="B685" t="s">
        <v>547</v>
      </c>
      <c r="C685" t="s">
        <v>11</v>
      </c>
      <c r="D685" s="1">
        <v>0</v>
      </c>
      <c r="E685" s="2">
        <v>0</v>
      </c>
      <c r="F685" t="s">
        <v>81</v>
      </c>
      <c r="G685" t="s">
        <v>81</v>
      </c>
      <c r="H685" t="s">
        <v>81</v>
      </c>
      <c r="I685" s="2">
        <v>2</v>
      </c>
    </row>
    <row r="686" spans="1:9" x14ac:dyDescent="0.25">
      <c r="A686" t="s">
        <v>548</v>
      </c>
      <c r="B686" t="s">
        <v>549</v>
      </c>
      <c r="C686" t="s">
        <v>28</v>
      </c>
      <c r="D686" s="1">
        <v>0</v>
      </c>
      <c r="E686" s="2">
        <v>0</v>
      </c>
      <c r="F686" t="s">
        <v>81</v>
      </c>
      <c r="G686" t="s">
        <v>81</v>
      </c>
      <c r="H686" t="s">
        <v>81</v>
      </c>
      <c r="I686" s="2">
        <v>2</v>
      </c>
    </row>
    <row r="687" spans="1:9" x14ac:dyDescent="0.25">
      <c r="A687" t="s">
        <v>210</v>
      </c>
      <c r="B687" t="s">
        <v>211</v>
      </c>
      <c r="C687" t="s">
        <v>25</v>
      </c>
      <c r="D687" s="1">
        <v>0</v>
      </c>
      <c r="E687" s="2">
        <v>0</v>
      </c>
      <c r="F687" s="1">
        <v>12.31</v>
      </c>
      <c r="G687" s="1">
        <v>7.36</v>
      </c>
      <c r="H687" s="2">
        <v>1</v>
      </c>
      <c r="I687" t="s">
        <v>81</v>
      </c>
    </row>
    <row r="688" spans="1:9" x14ac:dyDescent="0.25">
      <c r="A688" t="s">
        <v>516</v>
      </c>
      <c r="B688" t="s">
        <v>517</v>
      </c>
      <c r="C688" t="s">
        <v>28</v>
      </c>
      <c r="D688" s="1">
        <v>0</v>
      </c>
      <c r="E688" s="2">
        <v>0</v>
      </c>
      <c r="F688" t="s">
        <v>81</v>
      </c>
      <c r="G688" t="s">
        <v>81</v>
      </c>
      <c r="H688" t="s">
        <v>81</v>
      </c>
      <c r="I688" t="s">
        <v>81</v>
      </c>
    </row>
    <row r="689" spans="1:9" x14ac:dyDescent="0.25">
      <c r="A689" t="s">
        <v>275</v>
      </c>
      <c r="B689" t="s">
        <v>276</v>
      </c>
      <c r="C689" t="s">
        <v>16</v>
      </c>
      <c r="D689" s="1">
        <v>0</v>
      </c>
      <c r="E689" s="2">
        <v>0</v>
      </c>
      <c r="F689" t="s">
        <v>81</v>
      </c>
      <c r="G689" t="s">
        <v>81</v>
      </c>
      <c r="H689" t="s">
        <v>81</v>
      </c>
      <c r="I689" t="s">
        <v>81</v>
      </c>
    </row>
    <row r="690" spans="1:9" x14ac:dyDescent="0.25">
      <c r="A690" t="s">
        <v>226</v>
      </c>
      <c r="B690" t="s">
        <v>227</v>
      </c>
      <c r="C690" t="s">
        <v>299</v>
      </c>
      <c r="D690" s="1">
        <v>0</v>
      </c>
      <c r="E690" s="2">
        <v>0</v>
      </c>
      <c r="F690" s="1">
        <v>5.74</v>
      </c>
      <c r="G690" s="1">
        <v>2.5</v>
      </c>
      <c r="H690" s="2">
        <v>1</v>
      </c>
      <c r="I690" t="s">
        <v>81</v>
      </c>
    </row>
    <row r="691" spans="1:9" x14ac:dyDescent="0.25">
      <c r="A691" t="s">
        <v>518</v>
      </c>
      <c r="B691" t="s">
        <v>519</v>
      </c>
      <c r="C691" t="s">
        <v>16</v>
      </c>
      <c r="D691" s="1">
        <v>0</v>
      </c>
      <c r="E691" s="2">
        <v>0</v>
      </c>
      <c r="F691" s="1">
        <v>16.559999999999999</v>
      </c>
      <c r="G691" s="1">
        <v>96</v>
      </c>
      <c r="H691" s="2">
        <v>6</v>
      </c>
      <c r="I691" s="2">
        <v>7</v>
      </c>
    </row>
    <row r="692" spans="1:9" x14ac:dyDescent="0.25">
      <c r="A692" t="s">
        <v>538</v>
      </c>
      <c r="B692" t="s">
        <v>539</v>
      </c>
      <c r="C692" t="s">
        <v>266</v>
      </c>
      <c r="D692" s="1">
        <v>0</v>
      </c>
      <c r="E692" s="2">
        <v>0</v>
      </c>
      <c r="F692" t="s">
        <v>81</v>
      </c>
      <c r="G692" t="s">
        <v>81</v>
      </c>
      <c r="H692" t="s">
        <v>81</v>
      </c>
      <c r="I692" t="s">
        <v>81</v>
      </c>
    </row>
    <row r="693" spans="1:9" x14ac:dyDescent="0.25">
      <c r="A693" t="s">
        <v>550</v>
      </c>
      <c r="B693" t="s">
        <v>551</v>
      </c>
      <c r="C693" t="s">
        <v>11</v>
      </c>
      <c r="D693" s="1">
        <v>0</v>
      </c>
      <c r="E693" s="2">
        <v>0</v>
      </c>
      <c r="F693" s="1">
        <v>33.9</v>
      </c>
      <c r="G693" s="1">
        <v>29.25</v>
      </c>
      <c r="H693" s="2">
        <v>1</v>
      </c>
      <c r="I693" t="s">
        <v>81</v>
      </c>
    </row>
    <row r="694" spans="1:9" x14ac:dyDescent="0.25">
      <c r="A694" t="s">
        <v>238</v>
      </c>
      <c r="B694" t="s">
        <v>239</v>
      </c>
      <c r="C694" t="s">
        <v>207</v>
      </c>
      <c r="D694" s="1">
        <v>0</v>
      </c>
      <c r="E694" s="2">
        <v>0</v>
      </c>
      <c r="F694" t="s">
        <v>81</v>
      </c>
      <c r="G694" t="s">
        <v>81</v>
      </c>
      <c r="H694" t="s">
        <v>81</v>
      </c>
      <c r="I694" s="2">
        <v>2</v>
      </c>
    </row>
    <row r="695" spans="1:9" x14ac:dyDescent="0.25">
      <c r="A695" t="s">
        <v>29</v>
      </c>
      <c r="B695" t="s">
        <v>30</v>
      </c>
      <c r="C695" t="s">
        <v>16</v>
      </c>
      <c r="D695" s="1">
        <v>0</v>
      </c>
      <c r="E695" s="2">
        <v>0</v>
      </c>
      <c r="F695" t="s">
        <v>81</v>
      </c>
      <c r="G695" t="s">
        <v>81</v>
      </c>
      <c r="H695" t="s">
        <v>81</v>
      </c>
      <c r="I695" s="2">
        <v>2</v>
      </c>
    </row>
    <row r="696" spans="1:9" x14ac:dyDescent="0.25">
      <c r="A696" t="s">
        <v>283</v>
      </c>
      <c r="B696" t="s">
        <v>284</v>
      </c>
      <c r="C696" t="s">
        <v>25</v>
      </c>
      <c r="D696" s="1">
        <v>0</v>
      </c>
      <c r="E696" s="2">
        <v>0</v>
      </c>
      <c r="F696" t="s">
        <v>81</v>
      </c>
      <c r="G696" t="s">
        <v>81</v>
      </c>
      <c r="H696" t="s">
        <v>81</v>
      </c>
      <c r="I696" t="s">
        <v>81</v>
      </c>
    </row>
    <row r="697" spans="1:9" x14ac:dyDescent="0.25">
      <c r="A697" t="s">
        <v>552</v>
      </c>
      <c r="B697" t="s">
        <v>553</v>
      </c>
      <c r="C697" t="s">
        <v>16</v>
      </c>
      <c r="D697" s="1">
        <v>0</v>
      </c>
      <c r="E697" s="2">
        <v>0</v>
      </c>
      <c r="F697" t="s">
        <v>81</v>
      </c>
      <c r="G697" t="s">
        <v>81</v>
      </c>
      <c r="H697" t="s">
        <v>81</v>
      </c>
      <c r="I697" t="s">
        <v>81</v>
      </c>
    </row>
    <row r="698" spans="1:9" x14ac:dyDescent="0.25">
      <c r="A698" t="s">
        <v>554</v>
      </c>
      <c r="B698" t="s">
        <v>555</v>
      </c>
      <c r="C698" t="s">
        <v>266</v>
      </c>
      <c r="D698" s="1">
        <v>0</v>
      </c>
      <c r="E698" s="2">
        <v>0</v>
      </c>
      <c r="F698" t="s">
        <v>81</v>
      </c>
      <c r="G698" t="s">
        <v>81</v>
      </c>
      <c r="H698" t="s">
        <v>81</v>
      </c>
      <c r="I698" t="s">
        <v>81</v>
      </c>
    </row>
    <row r="699" spans="1:9" x14ac:dyDescent="0.25">
      <c r="A699" t="s">
        <v>346</v>
      </c>
      <c r="B699" t="s">
        <v>347</v>
      </c>
      <c r="C699" t="s">
        <v>28</v>
      </c>
      <c r="D699" s="1">
        <v>0</v>
      </c>
      <c r="E699" s="2">
        <v>0</v>
      </c>
      <c r="F699" t="s">
        <v>81</v>
      </c>
      <c r="G699" t="s">
        <v>81</v>
      </c>
      <c r="H699" t="s">
        <v>81</v>
      </c>
      <c r="I699" t="s">
        <v>81</v>
      </c>
    </row>
    <row r="700" spans="1:9" x14ac:dyDescent="0.25">
      <c r="A700" t="s">
        <v>176</v>
      </c>
      <c r="B700" t="s">
        <v>177</v>
      </c>
      <c r="C700" t="s">
        <v>207</v>
      </c>
      <c r="D700" s="1">
        <v>0</v>
      </c>
      <c r="E700" s="2">
        <v>0</v>
      </c>
      <c r="F700" t="s">
        <v>81</v>
      </c>
      <c r="G700" t="s">
        <v>81</v>
      </c>
      <c r="H700" t="s">
        <v>81</v>
      </c>
      <c r="I700" s="2">
        <v>1</v>
      </c>
    </row>
    <row r="701" spans="1:9" x14ac:dyDescent="0.25">
      <c r="A701" t="s">
        <v>556</v>
      </c>
      <c r="B701" t="s">
        <v>557</v>
      </c>
      <c r="C701" t="s">
        <v>25</v>
      </c>
      <c r="D701" s="1">
        <v>0</v>
      </c>
      <c r="E701" s="2">
        <v>0</v>
      </c>
      <c r="F701" t="s">
        <v>81</v>
      </c>
      <c r="G701" t="s">
        <v>81</v>
      </c>
      <c r="H701" t="s">
        <v>81</v>
      </c>
      <c r="I701" t="s">
        <v>81</v>
      </c>
    </row>
    <row r="702" spans="1:9" x14ac:dyDescent="0.25">
      <c r="A702" t="s">
        <v>558</v>
      </c>
      <c r="B702" t="s">
        <v>559</v>
      </c>
      <c r="C702" t="s">
        <v>11</v>
      </c>
      <c r="D702" s="1">
        <v>0</v>
      </c>
      <c r="E702" s="2">
        <v>0</v>
      </c>
      <c r="F702" t="s">
        <v>81</v>
      </c>
      <c r="G702" t="s">
        <v>81</v>
      </c>
      <c r="H702" t="s">
        <v>81</v>
      </c>
      <c r="I702" t="s">
        <v>81</v>
      </c>
    </row>
    <row r="703" spans="1:9" x14ac:dyDescent="0.25">
      <c r="A703" t="s">
        <v>560</v>
      </c>
      <c r="B703" t="s">
        <v>561</v>
      </c>
      <c r="C703" t="s">
        <v>11</v>
      </c>
      <c r="D703" s="1">
        <v>0</v>
      </c>
      <c r="E703" s="2">
        <v>0</v>
      </c>
      <c r="F703" t="s">
        <v>81</v>
      </c>
      <c r="G703" t="s">
        <v>81</v>
      </c>
      <c r="H703" t="s">
        <v>81</v>
      </c>
      <c r="I703" t="s">
        <v>81</v>
      </c>
    </row>
    <row r="704" spans="1:9" x14ac:dyDescent="0.25">
      <c r="A704" t="s">
        <v>562</v>
      </c>
      <c r="B704" t="s">
        <v>563</v>
      </c>
      <c r="C704" t="s">
        <v>25</v>
      </c>
      <c r="D704" s="1">
        <v>0</v>
      </c>
      <c r="E704" s="2">
        <v>0</v>
      </c>
      <c r="F704" s="1">
        <v>76.84</v>
      </c>
      <c r="G704" s="1">
        <v>51.94</v>
      </c>
      <c r="H704" s="2">
        <v>1</v>
      </c>
      <c r="I704" t="s">
        <v>81</v>
      </c>
    </row>
    <row r="705" spans="1:9" x14ac:dyDescent="0.25">
      <c r="A705" t="s">
        <v>138</v>
      </c>
      <c r="B705" t="s">
        <v>139</v>
      </c>
      <c r="C705" t="s">
        <v>16</v>
      </c>
      <c r="D705" s="1">
        <v>0</v>
      </c>
      <c r="E705" s="2">
        <v>0</v>
      </c>
      <c r="F705" t="s">
        <v>81</v>
      </c>
      <c r="G705" t="s">
        <v>81</v>
      </c>
      <c r="H705" t="s">
        <v>81</v>
      </c>
      <c r="I705" s="2">
        <v>1</v>
      </c>
    </row>
    <row r="706" spans="1:9" x14ac:dyDescent="0.25">
      <c r="A706" t="s">
        <v>564</v>
      </c>
      <c r="B706" t="s">
        <v>565</v>
      </c>
      <c r="C706" t="s">
        <v>25</v>
      </c>
      <c r="D706" s="1">
        <v>0</v>
      </c>
      <c r="E706" s="2">
        <v>0</v>
      </c>
      <c r="F706" t="s">
        <v>81</v>
      </c>
      <c r="G706" t="s">
        <v>81</v>
      </c>
      <c r="H706" t="s">
        <v>81</v>
      </c>
      <c r="I706" t="s">
        <v>81</v>
      </c>
    </row>
    <row r="707" spans="1:9" x14ac:dyDescent="0.25">
      <c r="A707" t="s">
        <v>176</v>
      </c>
      <c r="B707" t="s">
        <v>177</v>
      </c>
      <c r="C707" t="s">
        <v>28</v>
      </c>
      <c r="D707" s="1">
        <v>0</v>
      </c>
      <c r="E707" s="2">
        <v>0</v>
      </c>
      <c r="F707" t="s">
        <v>81</v>
      </c>
      <c r="G707" t="s">
        <v>81</v>
      </c>
      <c r="H707" t="s">
        <v>81</v>
      </c>
      <c r="I707" t="s">
        <v>81</v>
      </c>
    </row>
    <row r="708" spans="1:9" x14ac:dyDescent="0.25">
      <c r="A708" t="s">
        <v>566</v>
      </c>
      <c r="B708" t="s">
        <v>567</v>
      </c>
      <c r="C708" t="s">
        <v>11</v>
      </c>
      <c r="D708" s="1">
        <v>0</v>
      </c>
      <c r="E708" s="2">
        <v>0</v>
      </c>
      <c r="F708" t="s">
        <v>81</v>
      </c>
      <c r="G708" t="s">
        <v>81</v>
      </c>
      <c r="H708" t="s">
        <v>81</v>
      </c>
      <c r="I708" s="2">
        <v>2</v>
      </c>
    </row>
    <row r="709" spans="1:9" x14ac:dyDescent="0.25">
      <c r="A709" t="s">
        <v>568</v>
      </c>
      <c r="B709" t="s">
        <v>569</v>
      </c>
      <c r="C709" t="s">
        <v>11</v>
      </c>
      <c r="D709" s="1">
        <v>0</v>
      </c>
      <c r="E709" s="2">
        <v>0</v>
      </c>
      <c r="F709" t="s">
        <v>81</v>
      </c>
      <c r="G709" t="s">
        <v>81</v>
      </c>
      <c r="H709" t="s">
        <v>81</v>
      </c>
      <c r="I709" t="s">
        <v>81</v>
      </c>
    </row>
    <row r="710" spans="1:9" x14ac:dyDescent="0.25">
      <c r="A710" t="s">
        <v>340</v>
      </c>
      <c r="B710" t="s">
        <v>341</v>
      </c>
      <c r="C710" t="s">
        <v>207</v>
      </c>
      <c r="D710" s="1">
        <v>0</v>
      </c>
      <c r="E710" s="2">
        <v>0</v>
      </c>
      <c r="F710" t="s">
        <v>81</v>
      </c>
      <c r="G710" t="s">
        <v>81</v>
      </c>
      <c r="H710" t="s">
        <v>81</v>
      </c>
      <c r="I710" t="s">
        <v>81</v>
      </c>
    </row>
    <row r="711" spans="1:9" x14ac:dyDescent="0.25">
      <c r="A711" t="s">
        <v>570</v>
      </c>
      <c r="B711" t="s">
        <v>571</v>
      </c>
      <c r="C711" t="s">
        <v>11</v>
      </c>
      <c r="D711" s="1">
        <v>0</v>
      </c>
      <c r="E711" s="2">
        <v>0</v>
      </c>
      <c r="F711" t="s">
        <v>81</v>
      </c>
      <c r="G711" t="s">
        <v>81</v>
      </c>
      <c r="H711" t="s">
        <v>81</v>
      </c>
      <c r="I711" t="s">
        <v>81</v>
      </c>
    </row>
    <row r="712" spans="1:9" x14ac:dyDescent="0.25">
      <c r="A712" t="s">
        <v>182</v>
      </c>
      <c r="B712" t="s">
        <v>183</v>
      </c>
      <c r="C712" t="s">
        <v>16</v>
      </c>
      <c r="D712" s="1">
        <v>0</v>
      </c>
      <c r="E712" s="2">
        <v>0</v>
      </c>
      <c r="F712" t="s">
        <v>81</v>
      </c>
      <c r="G712" t="s">
        <v>81</v>
      </c>
      <c r="H712" t="s">
        <v>81</v>
      </c>
      <c r="I712" s="2">
        <v>1</v>
      </c>
    </row>
    <row r="713" spans="1:9" x14ac:dyDescent="0.25">
      <c r="A713" t="s">
        <v>154</v>
      </c>
      <c r="B713" t="s">
        <v>155</v>
      </c>
      <c r="C713" t="s">
        <v>207</v>
      </c>
      <c r="D713" s="1">
        <v>0</v>
      </c>
      <c r="E713" s="2">
        <v>0</v>
      </c>
      <c r="F713" t="s">
        <v>81</v>
      </c>
      <c r="G713" t="s">
        <v>81</v>
      </c>
      <c r="H713" t="s">
        <v>81</v>
      </c>
      <c r="I713" t="s">
        <v>81</v>
      </c>
    </row>
    <row r="714" spans="1:9" x14ac:dyDescent="0.25">
      <c r="A714" t="s">
        <v>368</v>
      </c>
      <c r="B714" t="s">
        <v>369</v>
      </c>
      <c r="C714" t="s">
        <v>25</v>
      </c>
      <c r="D714" s="1">
        <v>0</v>
      </c>
      <c r="E714" s="2">
        <v>0</v>
      </c>
      <c r="F714" t="s">
        <v>81</v>
      </c>
      <c r="G714" t="s">
        <v>81</v>
      </c>
      <c r="H714" t="s">
        <v>81</v>
      </c>
      <c r="I714" s="2">
        <v>1</v>
      </c>
    </row>
    <row r="715" spans="1:9" x14ac:dyDescent="0.25">
      <c r="A715" t="s">
        <v>384</v>
      </c>
      <c r="B715" t="s">
        <v>385</v>
      </c>
      <c r="C715" t="s">
        <v>25</v>
      </c>
      <c r="D715" s="1">
        <v>0</v>
      </c>
      <c r="E715" s="2">
        <v>0</v>
      </c>
      <c r="F715" t="s">
        <v>81</v>
      </c>
      <c r="G715" t="s">
        <v>81</v>
      </c>
      <c r="H715" t="s">
        <v>81</v>
      </c>
      <c r="I715" s="2">
        <v>1</v>
      </c>
    </row>
    <row r="716" spans="1:9" x14ac:dyDescent="0.25">
      <c r="A716" t="s">
        <v>96</v>
      </c>
      <c r="B716" t="s">
        <v>97</v>
      </c>
      <c r="C716" t="s">
        <v>299</v>
      </c>
      <c r="D716" s="1">
        <v>0</v>
      </c>
      <c r="E716" s="2">
        <v>0</v>
      </c>
      <c r="F716" s="1">
        <v>14.02</v>
      </c>
      <c r="G716" s="1">
        <v>9.91</v>
      </c>
      <c r="H716" s="2">
        <v>1</v>
      </c>
      <c r="I716" t="s">
        <v>81</v>
      </c>
    </row>
    <row r="717" spans="1:9" x14ac:dyDescent="0.25">
      <c r="A717" t="s">
        <v>538</v>
      </c>
      <c r="B717" t="s">
        <v>539</v>
      </c>
      <c r="C717" t="s">
        <v>11</v>
      </c>
      <c r="D717" s="1">
        <v>0</v>
      </c>
      <c r="E717" s="2">
        <v>0</v>
      </c>
      <c r="F717" t="s">
        <v>81</v>
      </c>
      <c r="G717" t="s">
        <v>81</v>
      </c>
      <c r="H717" t="s">
        <v>81</v>
      </c>
      <c r="I717" t="s">
        <v>81</v>
      </c>
    </row>
    <row r="718" spans="1:9" x14ac:dyDescent="0.25">
      <c r="A718" t="s">
        <v>340</v>
      </c>
      <c r="B718" t="s">
        <v>341</v>
      </c>
      <c r="C718" t="s">
        <v>266</v>
      </c>
      <c r="D718" s="1">
        <v>0</v>
      </c>
      <c r="E718" s="2">
        <v>0</v>
      </c>
      <c r="F718" t="s">
        <v>81</v>
      </c>
      <c r="G718" t="s">
        <v>81</v>
      </c>
      <c r="H718" t="s">
        <v>81</v>
      </c>
      <c r="I718" s="2">
        <v>1</v>
      </c>
    </row>
    <row r="719" spans="1:9" x14ac:dyDescent="0.25">
      <c r="A719" t="s">
        <v>572</v>
      </c>
      <c r="B719" t="s">
        <v>573</v>
      </c>
      <c r="C719" t="s">
        <v>25</v>
      </c>
      <c r="D719" s="1">
        <v>0</v>
      </c>
      <c r="E719" s="2">
        <v>0</v>
      </c>
      <c r="F719" t="s">
        <v>81</v>
      </c>
      <c r="G719" t="s">
        <v>81</v>
      </c>
      <c r="H719" t="s">
        <v>81</v>
      </c>
      <c r="I719" t="s">
        <v>81</v>
      </c>
    </row>
    <row r="720" spans="1:9" x14ac:dyDescent="0.25">
      <c r="A720" t="s">
        <v>574</v>
      </c>
      <c r="B720" t="s">
        <v>575</v>
      </c>
      <c r="C720" t="s">
        <v>25</v>
      </c>
      <c r="D720" s="1">
        <v>0</v>
      </c>
      <c r="E720" s="2">
        <v>0</v>
      </c>
      <c r="F720" t="s">
        <v>81</v>
      </c>
      <c r="G720" t="s">
        <v>81</v>
      </c>
      <c r="H720" t="s">
        <v>81</v>
      </c>
      <c r="I720" t="s">
        <v>81</v>
      </c>
    </row>
    <row r="721" spans="1:9" x14ac:dyDescent="0.25">
      <c r="A721" t="s">
        <v>316</v>
      </c>
      <c r="B721" t="s">
        <v>317</v>
      </c>
      <c r="C721" t="s">
        <v>266</v>
      </c>
      <c r="D721" s="1">
        <v>0</v>
      </c>
      <c r="E721" s="2">
        <v>0</v>
      </c>
      <c r="F721" t="s">
        <v>81</v>
      </c>
      <c r="G721" t="s">
        <v>81</v>
      </c>
      <c r="H721" t="s">
        <v>81</v>
      </c>
      <c r="I721" t="s">
        <v>81</v>
      </c>
    </row>
    <row r="722" spans="1:9" x14ac:dyDescent="0.25">
      <c r="A722" t="s">
        <v>230</v>
      </c>
      <c r="B722" t="s">
        <v>231</v>
      </c>
      <c r="C722" t="s">
        <v>28</v>
      </c>
      <c r="D722" s="1">
        <v>0</v>
      </c>
      <c r="E722" s="2">
        <v>0</v>
      </c>
      <c r="F722" t="s">
        <v>81</v>
      </c>
      <c r="G722" t="s">
        <v>81</v>
      </c>
      <c r="H722" t="s">
        <v>81</v>
      </c>
      <c r="I722" t="s">
        <v>81</v>
      </c>
    </row>
    <row r="723" spans="1:9" x14ac:dyDescent="0.25">
      <c r="A723" t="s">
        <v>576</v>
      </c>
      <c r="B723" t="s">
        <v>577</v>
      </c>
      <c r="C723" t="s">
        <v>16</v>
      </c>
      <c r="D723" s="1">
        <v>0</v>
      </c>
      <c r="E723" s="2">
        <v>0</v>
      </c>
      <c r="F723" t="s">
        <v>81</v>
      </c>
      <c r="G723" t="s">
        <v>81</v>
      </c>
      <c r="H723" t="s">
        <v>81</v>
      </c>
      <c r="I723" t="s">
        <v>81</v>
      </c>
    </row>
    <row r="724" spans="1:9" x14ac:dyDescent="0.25">
      <c r="A724" t="s">
        <v>106</v>
      </c>
      <c r="B724" t="s">
        <v>107</v>
      </c>
      <c r="C724" t="s">
        <v>299</v>
      </c>
      <c r="D724" s="1">
        <v>0</v>
      </c>
      <c r="E724" s="2">
        <v>0</v>
      </c>
      <c r="F724" t="s">
        <v>81</v>
      </c>
      <c r="G724" t="s">
        <v>81</v>
      </c>
      <c r="H724" t="s">
        <v>81</v>
      </c>
      <c r="I724" t="s">
        <v>81</v>
      </c>
    </row>
    <row r="725" spans="1:9" x14ac:dyDescent="0.25">
      <c r="A725" t="s">
        <v>386</v>
      </c>
      <c r="B725" t="s">
        <v>387</v>
      </c>
      <c r="C725" t="s">
        <v>299</v>
      </c>
      <c r="D725" s="1">
        <v>0</v>
      </c>
      <c r="E725" s="2">
        <v>0</v>
      </c>
      <c r="F725" t="s">
        <v>81</v>
      </c>
      <c r="G725" t="s">
        <v>81</v>
      </c>
      <c r="H725" t="s">
        <v>81</v>
      </c>
      <c r="I725" t="s">
        <v>81</v>
      </c>
    </row>
    <row r="726" spans="1:9" x14ac:dyDescent="0.25">
      <c r="A726" t="s">
        <v>578</v>
      </c>
      <c r="B726" t="s">
        <v>579</v>
      </c>
      <c r="C726" t="s">
        <v>25</v>
      </c>
      <c r="D726" s="1">
        <v>0</v>
      </c>
      <c r="E726" s="2">
        <v>0</v>
      </c>
      <c r="F726" t="s">
        <v>81</v>
      </c>
      <c r="G726" t="s">
        <v>81</v>
      </c>
      <c r="H726" t="s">
        <v>81</v>
      </c>
      <c r="I726" t="s">
        <v>81</v>
      </c>
    </row>
    <row r="727" spans="1:9" x14ac:dyDescent="0.25">
      <c r="A727" t="s">
        <v>196</v>
      </c>
      <c r="B727" t="s">
        <v>197</v>
      </c>
      <c r="C727" t="s">
        <v>25</v>
      </c>
      <c r="D727" s="1">
        <v>0</v>
      </c>
      <c r="E727" s="2">
        <v>0</v>
      </c>
      <c r="F727" t="s">
        <v>81</v>
      </c>
      <c r="G727" t="s">
        <v>81</v>
      </c>
      <c r="H727" t="s">
        <v>81</v>
      </c>
      <c r="I727" s="2">
        <v>1</v>
      </c>
    </row>
    <row r="728" spans="1:9" x14ac:dyDescent="0.25">
      <c r="A728" t="s">
        <v>580</v>
      </c>
      <c r="B728" t="s">
        <v>581</v>
      </c>
      <c r="C728" t="s">
        <v>16</v>
      </c>
      <c r="D728" s="1">
        <v>0</v>
      </c>
      <c r="E728" s="2">
        <v>0</v>
      </c>
      <c r="F728" t="s">
        <v>81</v>
      </c>
      <c r="G728" t="s">
        <v>81</v>
      </c>
      <c r="H728" t="s">
        <v>81</v>
      </c>
      <c r="I728" t="s">
        <v>81</v>
      </c>
    </row>
    <row r="729" spans="1:9" x14ac:dyDescent="0.25">
      <c r="A729" t="s">
        <v>582</v>
      </c>
      <c r="B729" t="s">
        <v>583</v>
      </c>
      <c r="C729" t="s">
        <v>11</v>
      </c>
      <c r="D729" s="1">
        <v>0</v>
      </c>
      <c r="E729" s="2">
        <v>0</v>
      </c>
      <c r="F729" t="s">
        <v>81</v>
      </c>
      <c r="G729" t="s">
        <v>81</v>
      </c>
      <c r="H729" t="s">
        <v>81</v>
      </c>
      <c r="I729" s="2">
        <v>1</v>
      </c>
    </row>
    <row r="730" spans="1:9" x14ac:dyDescent="0.25">
      <c r="A730" t="s">
        <v>584</v>
      </c>
      <c r="B730" t="s">
        <v>585</v>
      </c>
      <c r="C730" t="s">
        <v>11</v>
      </c>
      <c r="D730" s="1">
        <v>0</v>
      </c>
      <c r="E730" s="2">
        <v>0</v>
      </c>
      <c r="F730" t="s">
        <v>81</v>
      </c>
      <c r="G730" t="s">
        <v>81</v>
      </c>
      <c r="H730" t="s">
        <v>81</v>
      </c>
      <c r="I730" t="s">
        <v>81</v>
      </c>
    </row>
    <row r="731" spans="1:9" x14ac:dyDescent="0.25">
      <c r="A731" t="s">
        <v>180</v>
      </c>
      <c r="B731" t="s">
        <v>181</v>
      </c>
      <c r="C731" t="s">
        <v>16</v>
      </c>
      <c r="D731" s="1">
        <v>0</v>
      </c>
      <c r="E731" s="2">
        <v>0</v>
      </c>
      <c r="F731" t="s">
        <v>81</v>
      </c>
      <c r="G731" t="s">
        <v>81</v>
      </c>
      <c r="H731" t="s">
        <v>81</v>
      </c>
      <c r="I731" t="s">
        <v>81</v>
      </c>
    </row>
    <row r="732" spans="1:9" x14ac:dyDescent="0.25">
      <c r="A732" t="s">
        <v>586</v>
      </c>
      <c r="B732" t="s">
        <v>587</v>
      </c>
      <c r="C732" t="s">
        <v>28</v>
      </c>
      <c r="D732" s="1">
        <v>-10.75</v>
      </c>
      <c r="E732" s="2">
        <v>-1</v>
      </c>
      <c r="F732" t="s">
        <v>81</v>
      </c>
      <c r="G732" t="s">
        <v>81</v>
      </c>
      <c r="H732" t="s">
        <v>81</v>
      </c>
      <c r="I732" t="s">
        <v>81</v>
      </c>
    </row>
    <row r="733" spans="1:9" x14ac:dyDescent="0.25">
      <c r="A733" t="s">
        <v>560</v>
      </c>
      <c r="B733" t="s">
        <v>561</v>
      </c>
      <c r="C733" t="s">
        <v>16</v>
      </c>
      <c r="D733" s="1">
        <v>-10.84</v>
      </c>
      <c r="E733" s="2">
        <v>-1</v>
      </c>
      <c r="F733" t="s">
        <v>81</v>
      </c>
      <c r="G733" t="s">
        <v>81</v>
      </c>
      <c r="H733" t="s">
        <v>81</v>
      </c>
      <c r="I733" t="s">
        <v>81</v>
      </c>
    </row>
    <row r="734" spans="1:9" x14ac:dyDescent="0.25">
      <c r="A734" t="s">
        <v>588</v>
      </c>
      <c r="B734" t="s">
        <v>589</v>
      </c>
      <c r="C734" t="s">
        <v>11</v>
      </c>
      <c r="D734" s="1">
        <v>-11.39</v>
      </c>
      <c r="E734" s="2">
        <v>-1</v>
      </c>
      <c r="F734" t="s">
        <v>81</v>
      </c>
      <c r="G734" t="s">
        <v>81</v>
      </c>
      <c r="H734" t="s">
        <v>81</v>
      </c>
      <c r="I734" t="s">
        <v>81</v>
      </c>
    </row>
    <row r="735" spans="1:9" x14ac:dyDescent="0.25">
      <c r="A735" t="s">
        <v>590</v>
      </c>
      <c r="B735" t="s">
        <v>591</v>
      </c>
      <c r="C735" t="s">
        <v>11</v>
      </c>
      <c r="D735" s="1">
        <v>-14.75</v>
      </c>
      <c r="E735" s="2">
        <v>-1</v>
      </c>
      <c r="F735" t="s">
        <v>81</v>
      </c>
      <c r="G735" t="s">
        <v>81</v>
      </c>
      <c r="H735" t="s">
        <v>81</v>
      </c>
      <c r="I735" t="s">
        <v>81</v>
      </c>
    </row>
    <row r="736" spans="1:9" x14ac:dyDescent="0.25">
      <c r="A736" t="s">
        <v>592</v>
      </c>
      <c r="B736" t="s">
        <v>593</v>
      </c>
      <c r="C736" t="s">
        <v>11</v>
      </c>
      <c r="D736" s="1">
        <v>-16.309999999999999</v>
      </c>
      <c r="E736" s="2">
        <v>-1</v>
      </c>
      <c r="F736" t="s">
        <v>81</v>
      </c>
      <c r="G736" t="s">
        <v>81</v>
      </c>
      <c r="H736" t="s">
        <v>81</v>
      </c>
      <c r="I736" s="2">
        <v>1</v>
      </c>
    </row>
    <row r="737" spans="1:9" x14ac:dyDescent="0.25">
      <c r="A737" t="s">
        <v>594</v>
      </c>
      <c r="B737" t="s">
        <v>595</v>
      </c>
      <c r="C737" t="s">
        <v>28</v>
      </c>
      <c r="D737" s="1">
        <v>-16.5</v>
      </c>
      <c r="E737" s="2">
        <v>-2</v>
      </c>
      <c r="F737" t="s">
        <v>81</v>
      </c>
      <c r="G737" t="s">
        <v>81</v>
      </c>
      <c r="H737" t="s">
        <v>81</v>
      </c>
      <c r="I737" t="s">
        <v>81</v>
      </c>
    </row>
    <row r="738" spans="1:9" x14ac:dyDescent="0.25">
      <c r="A738" t="s">
        <v>596</v>
      </c>
      <c r="B738" t="s">
        <v>597</v>
      </c>
      <c r="C738" t="s">
        <v>16</v>
      </c>
      <c r="D738" s="1">
        <v>-16.97</v>
      </c>
      <c r="E738" s="2">
        <v>-1</v>
      </c>
      <c r="F738" t="s">
        <v>81</v>
      </c>
      <c r="G738" t="s">
        <v>81</v>
      </c>
      <c r="H738" t="s">
        <v>81</v>
      </c>
      <c r="I738" t="s">
        <v>81</v>
      </c>
    </row>
    <row r="739" spans="1:9" x14ac:dyDescent="0.25">
      <c r="A739" t="s">
        <v>37</v>
      </c>
      <c r="B739" t="s">
        <v>38</v>
      </c>
      <c r="C739" t="s">
        <v>16</v>
      </c>
      <c r="D739" s="1">
        <v>-41.18</v>
      </c>
      <c r="E739" s="2">
        <v>-1</v>
      </c>
      <c r="F739" t="s">
        <v>81</v>
      </c>
      <c r="G739" t="s">
        <v>81</v>
      </c>
      <c r="H739" t="s">
        <v>81</v>
      </c>
      <c r="I739" t="s">
        <v>81</v>
      </c>
    </row>
    <row r="740" spans="1:9" x14ac:dyDescent="0.25">
      <c r="A740" t="s">
        <v>49</v>
      </c>
      <c r="B740" t="s">
        <v>50</v>
      </c>
      <c r="C740" t="s">
        <v>299</v>
      </c>
      <c r="D740" s="1">
        <v>-41.8</v>
      </c>
      <c r="E740" s="2">
        <v>-1</v>
      </c>
      <c r="F740" t="s">
        <v>81</v>
      </c>
      <c r="G740" t="s">
        <v>81</v>
      </c>
      <c r="H740" t="s">
        <v>81</v>
      </c>
      <c r="I740" t="s">
        <v>81</v>
      </c>
    </row>
    <row r="741" spans="1:9" x14ac:dyDescent="0.25">
      <c r="A741" t="s">
        <v>138</v>
      </c>
      <c r="B741" t="s">
        <v>139</v>
      </c>
      <c r="C741" t="s">
        <v>28</v>
      </c>
      <c r="D741" s="1">
        <v>-44.52</v>
      </c>
      <c r="E741" s="2">
        <v>-6</v>
      </c>
      <c r="F741" s="1">
        <v>29.68</v>
      </c>
      <c r="G741" s="1">
        <v>18.48</v>
      </c>
      <c r="H741" s="2">
        <v>4</v>
      </c>
      <c r="I741" t="s">
        <v>81</v>
      </c>
    </row>
    <row r="742" spans="1:9" x14ac:dyDescent="0.25">
      <c r="A742" t="s">
        <v>598</v>
      </c>
      <c r="B742" t="s">
        <v>599</v>
      </c>
      <c r="C742" t="s">
        <v>207</v>
      </c>
      <c r="D742" s="1">
        <v>-55.37</v>
      </c>
      <c r="E742" s="2">
        <v>-3</v>
      </c>
      <c r="F742" s="1">
        <v>18.46</v>
      </c>
      <c r="G742" s="1">
        <v>6.97</v>
      </c>
      <c r="H742" s="2">
        <v>1</v>
      </c>
      <c r="I74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F07C-BA25-4842-A374-0D4BE610AC93}">
  <dimension ref="A1:I760"/>
  <sheetViews>
    <sheetView workbookViewId="0"/>
  </sheetViews>
  <sheetFormatPr defaultRowHeight="15" x14ac:dyDescent="0.25"/>
  <cols>
    <col min="1" max="9" width="31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29</v>
      </c>
      <c r="B2" t="s">
        <v>30</v>
      </c>
      <c r="C2" t="s">
        <v>11</v>
      </c>
      <c r="D2" s="1">
        <v>9074.8700000000008</v>
      </c>
      <c r="E2" s="2">
        <v>558</v>
      </c>
      <c r="F2" s="1">
        <v>8862.85</v>
      </c>
      <c r="G2" s="1">
        <v>6568.29</v>
      </c>
      <c r="H2" s="2">
        <v>545</v>
      </c>
      <c r="I2" s="2">
        <v>85</v>
      </c>
    </row>
    <row r="3" spans="1:9" x14ac:dyDescent="0.25">
      <c r="A3" t="s">
        <v>310</v>
      </c>
      <c r="B3" t="s">
        <v>311</v>
      </c>
      <c r="C3" t="s">
        <v>16</v>
      </c>
      <c r="D3" s="1">
        <v>8964.8799999999992</v>
      </c>
      <c r="E3" s="2">
        <v>634</v>
      </c>
      <c r="F3" s="1">
        <v>8911.52</v>
      </c>
      <c r="G3" s="1">
        <v>5696.78</v>
      </c>
      <c r="H3" s="2">
        <v>626</v>
      </c>
      <c r="I3" s="2">
        <v>45</v>
      </c>
    </row>
    <row r="4" spans="1:9" x14ac:dyDescent="0.25">
      <c r="A4" t="s">
        <v>310</v>
      </c>
      <c r="B4" t="s">
        <v>311</v>
      </c>
      <c r="C4" t="s">
        <v>11</v>
      </c>
      <c r="D4" s="1">
        <v>6983.03</v>
      </c>
      <c r="E4" s="2">
        <v>486</v>
      </c>
      <c r="F4" s="1">
        <v>6700.53</v>
      </c>
      <c r="G4" s="1">
        <v>4517.9799999999996</v>
      </c>
      <c r="H4" s="2">
        <v>466</v>
      </c>
      <c r="I4" s="2">
        <v>15</v>
      </c>
    </row>
    <row r="5" spans="1:9" x14ac:dyDescent="0.25">
      <c r="A5" t="s">
        <v>31</v>
      </c>
      <c r="B5" t="s">
        <v>32</v>
      </c>
      <c r="C5" t="s">
        <v>11</v>
      </c>
      <c r="D5" s="1">
        <v>5723.45</v>
      </c>
      <c r="E5" s="2">
        <v>544</v>
      </c>
      <c r="F5" s="1">
        <v>5533.77</v>
      </c>
      <c r="G5" s="1">
        <v>3168</v>
      </c>
      <c r="H5" s="2">
        <v>528</v>
      </c>
      <c r="I5" s="2">
        <v>28</v>
      </c>
    </row>
    <row r="6" spans="1:9" x14ac:dyDescent="0.25">
      <c r="A6" t="s">
        <v>14</v>
      </c>
      <c r="B6" t="s">
        <v>15</v>
      </c>
      <c r="C6" t="s">
        <v>16</v>
      </c>
      <c r="D6" s="1">
        <v>5380.42</v>
      </c>
      <c r="E6" s="2">
        <v>431</v>
      </c>
      <c r="F6" s="1">
        <v>5105.68</v>
      </c>
      <c r="G6" s="1">
        <v>3225.2</v>
      </c>
      <c r="H6" s="2">
        <v>409</v>
      </c>
      <c r="I6" s="2">
        <v>31</v>
      </c>
    </row>
    <row r="7" spans="1:9" x14ac:dyDescent="0.25">
      <c r="A7" t="s">
        <v>600</v>
      </c>
      <c r="B7" t="s">
        <v>601</v>
      </c>
      <c r="C7" t="s">
        <v>11</v>
      </c>
      <c r="D7" s="1">
        <v>5284.44</v>
      </c>
      <c r="E7" s="2">
        <v>324</v>
      </c>
      <c r="F7" s="1">
        <v>4990.8599999999997</v>
      </c>
      <c r="G7" s="1">
        <v>4284</v>
      </c>
      <c r="H7" s="2">
        <v>306</v>
      </c>
      <c r="I7" s="2">
        <v>24</v>
      </c>
    </row>
    <row r="8" spans="1:9" x14ac:dyDescent="0.25">
      <c r="A8" t="s">
        <v>79</v>
      </c>
      <c r="B8" t="s">
        <v>80</v>
      </c>
      <c r="C8" t="s">
        <v>11</v>
      </c>
      <c r="D8" s="1">
        <v>5023.29</v>
      </c>
      <c r="E8" s="2">
        <v>275</v>
      </c>
      <c r="F8" s="1">
        <v>4969.4399999999996</v>
      </c>
      <c r="G8" s="1">
        <v>3229</v>
      </c>
      <c r="H8" s="2">
        <v>272</v>
      </c>
      <c r="I8" t="s">
        <v>81</v>
      </c>
    </row>
    <row r="9" spans="1:9" x14ac:dyDescent="0.25">
      <c r="A9" t="s">
        <v>158</v>
      </c>
      <c r="B9" t="s">
        <v>159</v>
      </c>
      <c r="C9" t="s">
        <v>11</v>
      </c>
      <c r="D9" s="1">
        <v>5001.34</v>
      </c>
      <c r="E9" s="2">
        <v>57</v>
      </c>
      <c r="F9" s="1">
        <v>5079.9399999999996</v>
      </c>
      <c r="G9" s="1">
        <v>3342.7</v>
      </c>
      <c r="H9" s="2">
        <v>58</v>
      </c>
      <c r="I9" s="2">
        <v>16</v>
      </c>
    </row>
    <row r="10" spans="1:9" x14ac:dyDescent="0.25">
      <c r="A10" t="s">
        <v>132</v>
      </c>
      <c r="B10" t="s">
        <v>133</v>
      </c>
      <c r="C10" t="s">
        <v>28</v>
      </c>
      <c r="D10" s="1">
        <v>3652.58</v>
      </c>
      <c r="E10" s="2">
        <v>253</v>
      </c>
      <c r="F10" s="1">
        <v>3770.46</v>
      </c>
      <c r="G10" s="1">
        <v>2744.2</v>
      </c>
      <c r="H10" s="2">
        <v>262</v>
      </c>
      <c r="I10" s="2">
        <v>23</v>
      </c>
    </row>
    <row r="11" spans="1:9" x14ac:dyDescent="0.25">
      <c r="A11" t="s">
        <v>47</v>
      </c>
      <c r="B11" t="s">
        <v>48</v>
      </c>
      <c r="C11" t="s">
        <v>11</v>
      </c>
      <c r="D11" s="1">
        <v>3399.3</v>
      </c>
      <c r="E11" s="2">
        <v>168</v>
      </c>
      <c r="F11" s="1">
        <v>3460.53</v>
      </c>
      <c r="G11" s="1">
        <v>2565</v>
      </c>
      <c r="H11" s="2">
        <v>171</v>
      </c>
      <c r="I11" s="2">
        <v>34</v>
      </c>
    </row>
    <row r="12" spans="1:9" x14ac:dyDescent="0.25">
      <c r="A12" t="s">
        <v>277</v>
      </c>
      <c r="B12" t="s">
        <v>278</v>
      </c>
      <c r="C12" t="s">
        <v>28</v>
      </c>
      <c r="D12" s="1">
        <v>2885.72</v>
      </c>
      <c r="E12" s="2">
        <v>203</v>
      </c>
      <c r="F12" s="1">
        <v>2835.81</v>
      </c>
      <c r="G12" s="1">
        <v>1745.72</v>
      </c>
      <c r="H12" s="2">
        <v>200</v>
      </c>
      <c r="I12" s="2">
        <v>20</v>
      </c>
    </row>
    <row r="13" spans="1:9" x14ac:dyDescent="0.25">
      <c r="A13" t="s">
        <v>300</v>
      </c>
      <c r="B13" t="s">
        <v>301</v>
      </c>
      <c r="C13" t="s">
        <v>28</v>
      </c>
      <c r="D13" s="1">
        <v>2760.2</v>
      </c>
      <c r="E13" s="2">
        <v>185</v>
      </c>
      <c r="F13" s="1">
        <v>2715.44</v>
      </c>
      <c r="G13" s="1">
        <v>1833.8</v>
      </c>
      <c r="H13" s="2">
        <v>182</v>
      </c>
      <c r="I13" s="2">
        <v>15</v>
      </c>
    </row>
    <row r="14" spans="1:9" x14ac:dyDescent="0.25">
      <c r="A14" t="s">
        <v>17</v>
      </c>
      <c r="B14" t="s">
        <v>18</v>
      </c>
      <c r="C14" t="s">
        <v>11</v>
      </c>
      <c r="D14" s="1">
        <v>2651.93</v>
      </c>
      <c r="E14" s="2">
        <v>191</v>
      </c>
      <c r="F14" s="1">
        <v>2734.11</v>
      </c>
      <c r="G14" s="1">
        <v>1960.2</v>
      </c>
      <c r="H14" s="2">
        <v>198</v>
      </c>
      <c r="I14" s="2">
        <v>15</v>
      </c>
    </row>
    <row r="15" spans="1:9" x14ac:dyDescent="0.25">
      <c r="A15" t="s">
        <v>71</v>
      </c>
      <c r="B15" t="s">
        <v>72</v>
      </c>
      <c r="C15" t="s">
        <v>11</v>
      </c>
      <c r="D15" s="1">
        <v>2591.61</v>
      </c>
      <c r="E15" s="2">
        <v>105</v>
      </c>
      <c r="F15" s="1">
        <v>2542.59</v>
      </c>
      <c r="G15" s="1">
        <v>1854</v>
      </c>
      <c r="H15" s="2">
        <v>103</v>
      </c>
      <c r="I15" s="2">
        <v>1</v>
      </c>
    </row>
    <row r="16" spans="1:9" x14ac:dyDescent="0.25">
      <c r="A16" t="s">
        <v>39</v>
      </c>
      <c r="B16" t="s">
        <v>40</v>
      </c>
      <c r="C16" t="s">
        <v>11</v>
      </c>
      <c r="D16" s="1">
        <v>2397.59</v>
      </c>
      <c r="E16" s="2">
        <v>222</v>
      </c>
      <c r="F16" s="1">
        <v>2343.81</v>
      </c>
      <c r="G16" s="1">
        <v>1140.1199999999999</v>
      </c>
      <c r="H16" s="2">
        <v>217</v>
      </c>
      <c r="I16" s="2">
        <v>30</v>
      </c>
    </row>
    <row r="17" spans="1:9" x14ac:dyDescent="0.25">
      <c r="A17" t="s">
        <v>602</v>
      </c>
      <c r="B17" t="s">
        <v>603</v>
      </c>
      <c r="C17" t="s">
        <v>11</v>
      </c>
      <c r="D17" s="1">
        <v>2234.4699999999998</v>
      </c>
      <c r="E17" s="2">
        <v>137</v>
      </c>
      <c r="F17" s="1">
        <v>2201.85</v>
      </c>
      <c r="G17" s="1">
        <v>1890</v>
      </c>
      <c r="H17" s="2">
        <v>135</v>
      </c>
      <c r="I17" s="2">
        <v>5</v>
      </c>
    </row>
    <row r="18" spans="1:9" x14ac:dyDescent="0.25">
      <c r="A18" t="s">
        <v>126</v>
      </c>
      <c r="B18" t="s">
        <v>127</v>
      </c>
      <c r="C18" t="s">
        <v>11</v>
      </c>
      <c r="D18" s="1">
        <v>2224.23</v>
      </c>
      <c r="E18" s="2">
        <v>453</v>
      </c>
      <c r="F18" s="1">
        <v>2199.6799999999998</v>
      </c>
      <c r="G18" s="1">
        <v>950.98</v>
      </c>
      <c r="H18" s="2">
        <v>448</v>
      </c>
      <c r="I18" s="2">
        <v>1</v>
      </c>
    </row>
    <row r="19" spans="1:9" x14ac:dyDescent="0.25">
      <c r="A19" t="s">
        <v>452</v>
      </c>
      <c r="B19" t="s">
        <v>453</v>
      </c>
      <c r="C19" t="s">
        <v>11</v>
      </c>
      <c r="D19" s="1">
        <v>1977.32</v>
      </c>
      <c r="E19" s="2">
        <v>162</v>
      </c>
      <c r="F19" s="1">
        <v>1989.53</v>
      </c>
      <c r="G19" s="1">
        <v>1371.9</v>
      </c>
      <c r="H19" s="2">
        <v>163</v>
      </c>
      <c r="I19" s="2">
        <v>13</v>
      </c>
    </row>
    <row r="20" spans="1:9" x14ac:dyDescent="0.25">
      <c r="A20" t="s">
        <v>346</v>
      </c>
      <c r="B20" t="s">
        <v>347</v>
      </c>
      <c r="C20" t="s">
        <v>16</v>
      </c>
      <c r="D20" s="1">
        <v>1957.21</v>
      </c>
      <c r="E20" s="2">
        <v>42</v>
      </c>
      <c r="F20" s="1">
        <v>1957.21</v>
      </c>
      <c r="G20" s="1">
        <v>1438.29</v>
      </c>
      <c r="H20" s="2">
        <v>42</v>
      </c>
      <c r="I20" s="2">
        <v>21</v>
      </c>
    </row>
    <row r="21" spans="1:9" x14ac:dyDescent="0.25">
      <c r="A21" t="s">
        <v>134</v>
      </c>
      <c r="B21" t="s">
        <v>135</v>
      </c>
      <c r="C21" t="s">
        <v>16</v>
      </c>
      <c r="D21" s="1">
        <v>1761.85</v>
      </c>
      <c r="E21" s="2">
        <v>42</v>
      </c>
      <c r="F21" s="1">
        <v>1551.41</v>
      </c>
      <c r="G21" s="1">
        <v>1332</v>
      </c>
      <c r="H21" s="2">
        <v>37</v>
      </c>
      <c r="I21" s="2">
        <v>8</v>
      </c>
    </row>
    <row r="22" spans="1:9" x14ac:dyDescent="0.25">
      <c r="A22" t="s">
        <v>604</v>
      </c>
      <c r="B22" t="s">
        <v>605</v>
      </c>
      <c r="C22" t="s">
        <v>11</v>
      </c>
      <c r="D22" s="1">
        <v>1652.69</v>
      </c>
      <c r="E22" s="2">
        <v>51</v>
      </c>
      <c r="F22" s="1">
        <v>1748.54</v>
      </c>
      <c r="G22" s="1">
        <v>999</v>
      </c>
      <c r="H22" s="2">
        <v>54</v>
      </c>
      <c r="I22" s="2">
        <v>22</v>
      </c>
    </row>
    <row r="23" spans="1:9" x14ac:dyDescent="0.25">
      <c r="A23" t="s">
        <v>35</v>
      </c>
      <c r="B23" t="s">
        <v>36</v>
      </c>
      <c r="C23" t="s">
        <v>11</v>
      </c>
      <c r="D23" s="1">
        <v>1631</v>
      </c>
      <c r="E23" s="2">
        <v>100</v>
      </c>
      <c r="F23" s="1">
        <v>1679.93</v>
      </c>
      <c r="G23" s="1">
        <v>1448.18</v>
      </c>
      <c r="H23" s="2">
        <v>103</v>
      </c>
      <c r="I23" s="2">
        <v>9</v>
      </c>
    </row>
    <row r="24" spans="1:9" x14ac:dyDescent="0.25">
      <c r="A24" t="s">
        <v>606</v>
      </c>
      <c r="B24" t="s">
        <v>607</v>
      </c>
      <c r="C24" t="s">
        <v>11</v>
      </c>
      <c r="D24" s="1">
        <v>1549.45</v>
      </c>
      <c r="E24" s="2">
        <v>95</v>
      </c>
      <c r="F24" s="1">
        <v>1206.94</v>
      </c>
      <c r="G24" s="1">
        <v>1036</v>
      </c>
      <c r="H24" s="2">
        <v>74</v>
      </c>
      <c r="I24" s="2">
        <v>1</v>
      </c>
    </row>
    <row r="25" spans="1:9" x14ac:dyDescent="0.25">
      <c r="A25" t="s">
        <v>120</v>
      </c>
      <c r="B25" t="s">
        <v>121</v>
      </c>
      <c r="C25" t="s">
        <v>28</v>
      </c>
      <c r="D25" s="1">
        <v>1542.93</v>
      </c>
      <c r="E25" s="2">
        <v>54</v>
      </c>
      <c r="F25" s="1">
        <v>1514.68</v>
      </c>
      <c r="G25" s="1">
        <v>1106.5999999999999</v>
      </c>
      <c r="H25" s="2">
        <v>53</v>
      </c>
      <c r="I25" s="2">
        <v>7</v>
      </c>
    </row>
    <row r="26" spans="1:9" x14ac:dyDescent="0.25">
      <c r="A26" t="s">
        <v>49</v>
      </c>
      <c r="B26" t="s">
        <v>50</v>
      </c>
      <c r="C26" t="s">
        <v>11</v>
      </c>
      <c r="D26" s="1">
        <v>1525.2</v>
      </c>
      <c r="E26" s="2">
        <v>34</v>
      </c>
      <c r="F26" s="1">
        <v>1390.41</v>
      </c>
      <c r="G26" s="1">
        <v>1116</v>
      </c>
      <c r="H26" s="2">
        <v>31</v>
      </c>
      <c r="I26" s="2">
        <v>12</v>
      </c>
    </row>
    <row r="27" spans="1:9" x14ac:dyDescent="0.25">
      <c r="A27" t="s">
        <v>608</v>
      </c>
      <c r="B27" t="s">
        <v>609</v>
      </c>
      <c r="C27" t="s">
        <v>11</v>
      </c>
      <c r="D27" s="1">
        <v>1493.58</v>
      </c>
      <c r="E27" s="2">
        <v>168</v>
      </c>
      <c r="F27" s="1">
        <v>1507.33</v>
      </c>
      <c r="G27" s="1">
        <v>930.9</v>
      </c>
      <c r="H27" s="2">
        <v>169</v>
      </c>
      <c r="I27" s="2">
        <v>12</v>
      </c>
    </row>
    <row r="28" spans="1:9" x14ac:dyDescent="0.25">
      <c r="A28" t="s">
        <v>29</v>
      </c>
      <c r="B28" t="s">
        <v>30</v>
      </c>
      <c r="C28" t="s">
        <v>28</v>
      </c>
      <c r="D28" s="1">
        <v>1446.1</v>
      </c>
      <c r="E28" s="2">
        <v>59</v>
      </c>
      <c r="F28" s="1">
        <v>1348.4</v>
      </c>
      <c r="G28" s="1">
        <v>544.72</v>
      </c>
      <c r="H28" s="2">
        <v>54</v>
      </c>
      <c r="I28" s="2">
        <v>144</v>
      </c>
    </row>
    <row r="29" spans="1:9" x14ac:dyDescent="0.25">
      <c r="A29" t="s">
        <v>23</v>
      </c>
      <c r="B29" t="s">
        <v>24</v>
      </c>
      <c r="C29" t="s">
        <v>25</v>
      </c>
      <c r="D29" s="1">
        <v>1444.39</v>
      </c>
      <c r="E29" s="2">
        <v>151</v>
      </c>
      <c r="F29" s="1">
        <v>1371.17</v>
      </c>
      <c r="G29" s="1">
        <v>770.8</v>
      </c>
      <c r="H29" s="2">
        <v>144</v>
      </c>
      <c r="I29" s="2">
        <v>10</v>
      </c>
    </row>
    <row r="30" spans="1:9" x14ac:dyDescent="0.25">
      <c r="A30" t="s">
        <v>39</v>
      </c>
      <c r="B30" t="s">
        <v>40</v>
      </c>
      <c r="C30" t="s">
        <v>28</v>
      </c>
      <c r="D30" s="1">
        <v>1440.5</v>
      </c>
      <c r="E30" s="2">
        <v>134</v>
      </c>
      <c r="F30" s="1">
        <v>1397.5</v>
      </c>
      <c r="G30" s="1">
        <v>707.42</v>
      </c>
      <c r="H30" s="2">
        <v>130</v>
      </c>
      <c r="I30" s="2">
        <v>3</v>
      </c>
    </row>
    <row r="31" spans="1:9" x14ac:dyDescent="0.25">
      <c r="A31" t="s">
        <v>130</v>
      </c>
      <c r="B31" t="s">
        <v>131</v>
      </c>
      <c r="C31" t="s">
        <v>16</v>
      </c>
      <c r="D31" s="1">
        <v>1421.18</v>
      </c>
      <c r="E31" s="2">
        <v>27</v>
      </c>
      <c r="F31" s="1">
        <v>1366.04</v>
      </c>
      <c r="G31" s="1">
        <v>1206.4000000000001</v>
      </c>
      <c r="H31" s="2">
        <v>26</v>
      </c>
      <c r="I31" s="2">
        <v>12</v>
      </c>
    </row>
    <row r="32" spans="1:9" x14ac:dyDescent="0.25">
      <c r="A32" t="s">
        <v>33</v>
      </c>
      <c r="B32" t="s">
        <v>34</v>
      </c>
      <c r="C32" t="s">
        <v>11</v>
      </c>
      <c r="D32" s="1">
        <v>1395.95</v>
      </c>
      <c r="E32" s="2">
        <v>49</v>
      </c>
      <c r="F32" s="1">
        <v>1526.19</v>
      </c>
      <c r="G32" s="1">
        <v>1219</v>
      </c>
      <c r="H32" s="2">
        <v>53</v>
      </c>
      <c r="I32" s="2">
        <v>31</v>
      </c>
    </row>
    <row r="33" spans="1:9" x14ac:dyDescent="0.25">
      <c r="A33" t="s">
        <v>132</v>
      </c>
      <c r="B33" t="s">
        <v>133</v>
      </c>
      <c r="C33" t="s">
        <v>11</v>
      </c>
      <c r="D33" s="1">
        <v>1371.15</v>
      </c>
      <c r="E33" s="2">
        <v>99</v>
      </c>
      <c r="F33" s="1">
        <v>1343.45</v>
      </c>
      <c r="G33" s="1">
        <v>921.9</v>
      </c>
      <c r="H33" s="2">
        <v>97</v>
      </c>
      <c r="I33" s="2">
        <v>21</v>
      </c>
    </row>
    <row r="34" spans="1:9" x14ac:dyDescent="0.25">
      <c r="A34" t="s">
        <v>9</v>
      </c>
      <c r="B34" t="s">
        <v>10</v>
      </c>
      <c r="C34" t="s">
        <v>11</v>
      </c>
      <c r="D34" s="1">
        <v>1345.75</v>
      </c>
      <c r="E34" s="2">
        <v>107</v>
      </c>
      <c r="F34" s="1">
        <v>1492.27</v>
      </c>
      <c r="G34" s="1">
        <v>1003.17</v>
      </c>
      <c r="H34" s="2">
        <v>119</v>
      </c>
      <c r="I34" s="2">
        <v>84</v>
      </c>
    </row>
    <row r="35" spans="1:9" x14ac:dyDescent="0.25">
      <c r="A35" t="s">
        <v>610</v>
      </c>
      <c r="B35" t="s">
        <v>611</v>
      </c>
      <c r="C35" t="s">
        <v>11</v>
      </c>
      <c r="D35" s="1">
        <v>1342.61</v>
      </c>
      <c r="E35" s="2">
        <v>85</v>
      </c>
      <c r="F35" s="1">
        <v>1522.66</v>
      </c>
      <c r="G35" s="1">
        <v>931</v>
      </c>
      <c r="H35" s="2">
        <v>98</v>
      </c>
      <c r="I35" s="2">
        <v>111</v>
      </c>
    </row>
    <row r="36" spans="1:9" x14ac:dyDescent="0.25">
      <c r="A36" t="s">
        <v>94</v>
      </c>
      <c r="B36" t="s">
        <v>95</v>
      </c>
      <c r="C36" t="s">
        <v>16</v>
      </c>
      <c r="D36" s="1">
        <v>1317.4</v>
      </c>
      <c r="E36" s="2">
        <v>42</v>
      </c>
      <c r="F36" s="1">
        <v>1348.48</v>
      </c>
      <c r="G36" s="1">
        <v>870.75</v>
      </c>
      <c r="H36" s="2">
        <v>43</v>
      </c>
      <c r="I36" s="2">
        <v>6</v>
      </c>
    </row>
    <row r="37" spans="1:9" x14ac:dyDescent="0.25">
      <c r="A37" t="s">
        <v>612</v>
      </c>
      <c r="B37" t="s">
        <v>613</v>
      </c>
      <c r="C37" t="s">
        <v>28</v>
      </c>
      <c r="D37" s="1">
        <v>1312.02</v>
      </c>
      <c r="E37" s="2">
        <v>197</v>
      </c>
      <c r="F37" s="1">
        <v>1218.78</v>
      </c>
      <c r="G37" s="1">
        <v>533.70000000000005</v>
      </c>
      <c r="H37" s="2">
        <v>183</v>
      </c>
      <c r="I37" s="2">
        <v>2</v>
      </c>
    </row>
    <row r="38" spans="1:9" x14ac:dyDescent="0.25">
      <c r="A38" t="s">
        <v>96</v>
      </c>
      <c r="B38" t="s">
        <v>97</v>
      </c>
      <c r="C38" t="s">
        <v>11</v>
      </c>
      <c r="D38" s="1">
        <v>1274.2</v>
      </c>
      <c r="E38" s="2">
        <v>92</v>
      </c>
      <c r="F38" s="1">
        <v>1634.3</v>
      </c>
      <c r="G38" s="1">
        <v>1239</v>
      </c>
      <c r="H38" s="2">
        <v>118</v>
      </c>
      <c r="I38" s="2">
        <v>3</v>
      </c>
    </row>
    <row r="39" spans="1:9" x14ac:dyDescent="0.25">
      <c r="A39" t="s">
        <v>14</v>
      </c>
      <c r="B39" t="s">
        <v>15</v>
      </c>
      <c r="C39" t="s">
        <v>28</v>
      </c>
      <c r="D39" s="1">
        <v>1266.8399999999999</v>
      </c>
      <c r="E39" s="2">
        <v>102</v>
      </c>
      <c r="F39" s="1">
        <v>1254.42</v>
      </c>
      <c r="G39" s="1">
        <v>796</v>
      </c>
      <c r="H39" s="2">
        <v>101</v>
      </c>
      <c r="I39" s="2">
        <v>8</v>
      </c>
    </row>
    <row r="40" spans="1:9" x14ac:dyDescent="0.25">
      <c r="A40" t="s">
        <v>346</v>
      </c>
      <c r="B40" t="s">
        <v>347</v>
      </c>
      <c r="C40" t="s">
        <v>28</v>
      </c>
      <c r="D40" s="1">
        <v>1242.21</v>
      </c>
      <c r="E40" s="2">
        <v>28</v>
      </c>
      <c r="F40" s="1">
        <v>1242.21</v>
      </c>
      <c r="G40" s="1">
        <v>930.24</v>
      </c>
      <c r="H40" s="2">
        <v>28</v>
      </c>
      <c r="I40" s="2">
        <v>2</v>
      </c>
    </row>
    <row r="41" spans="1:9" x14ac:dyDescent="0.25">
      <c r="A41" t="s">
        <v>614</v>
      </c>
      <c r="B41" t="s">
        <v>615</v>
      </c>
      <c r="C41" t="s">
        <v>11</v>
      </c>
      <c r="D41" s="1">
        <v>1210</v>
      </c>
      <c r="E41" s="2">
        <v>40</v>
      </c>
      <c r="F41" s="1">
        <v>1300.75</v>
      </c>
      <c r="G41" s="1">
        <v>1139.5</v>
      </c>
      <c r="H41" s="2">
        <v>43</v>
      </c>
      <c r="I41" s="2">
        <v>10</v>
      </c>
    </row>
    <row r="42" spans="1:9" x14ac:dyDescent="0.25">
      <c r="A42" t="s">
        <v>14</v>
      </c>
      <c r="B42" t="s">
        <v>15</v>
      </c>
      <c r="C42" t="s">
        <v>11</v>
      </c>
      <c r="D42" s="1">
        <v>1179.03</v>
      </c>
      <c r="E42" s="2">
        <v>84</v>
      </c>
      <c r="F42" s="1">
        <v>1081.53</v>
      </c>
      <c r="G42" s="1">
        <v>580.4</v>
      </c>
      <c r="H42" s="2">
        <v>74</v>
      </c>
      <c r="I42" s="2">
        <v>8</v>
      </c>
    </row>
    <row r="43" spans="1:9" x14ac:dyDescent="0.25">
      <c r="A43" t="s">
        <v>104</v>
      </c>
      <c r="B43" t="s">
        <v>105</v>
      </c>
      <c r="C43" t="s">
        <v>11</v>
      </c>
      <c r="D43" s="1">
        <v>1136.27</v>
      </c>
      <c r="E43" s="2">
        <v>14</v>
      </c>
      <c r="F43" s="1">
        <v>1054.06</v>
      </c>
      <c r="G43" s="1">
        <v>871.5</v>
      </c>
      <c r="H43" s="2">
        <v>13</v>
      </c>
      <c r="I43" s="2">
        <v>4</v>
      </c>
    </row>
    <row r="44" spans="1:9" x14ac:dyDescent="0.25">
      <c r="A44" t="s">
        <v>612</v>
      </c>
      <c r="B44" t="s">
        <v>613</v>
      </c>
      <c r="C44" t="s">
        <v>11</v>
      </c>
      <c r="D44" s="1">
        <v>1134.1099999999999</v>
      </c>
      <c r="E44" s="2">
        <v>199</v>
      </c>
      <c r="F44" s="1">
        <v>1134.1099999999999</v>
      </c>
      <c r="G44" s="1">
        <v>574.79999999999995</v>
      </c>
      <c r="H44" s="2">
        <v>199</v>
      </c>
      <c r="I44" s="2">
        <v>2</v>
      </c>
    </row>
    <row r="45" spans="1:9" x14ac:dyDescent="0.25">
      <c r="A45" t="s">
        <v>128</v>
      </c>
      <c r="B45" t="s">
        <v>129</v>
      </c>
      <c r="C45" t="s">
        <v>16</v>
      </c>
      <c r="D45" s="1">
        <v>1126.8</v>
      </c>
      <c r="E45" s="2">
        <v>90</v>
      </c>
      <c r="F45" s="1">
        <v>1039.1600000000001</v>
      </c>
      <c r="G45" s="1">
        <v>799.23</v>
      </c>
      <c r="H45" s="2">
        <v>83</v>
      </c>
      <c r="I45" s="2">
        <v>8</v>
      </c>
    </row>
    <row r="46" spans="1:9" x14ac:dyDescent="0.25">
      <c r="A46" t="s">
        <v>65</v>
      </c>
      <c r="B46" t="s">
        <v>66</v>
      </c>
      <c r="C46" t="s">
        <v>28</v>
      </c>
      <c r="D46" s="1">
        <v>1116.1500000000001</v>
      </c>
      <c r="E46" s="2">
        <v>35</v>
      </c>
      <c r="F46" s="1">
        <v>1116.1500000000001</v>
      </c>
      <c r="G46" s="1">
        <v>609</v>
      </c>
      <c r="H46" s="2">
        <v>35</v>
      </c>
      <c r="I46" s="2">
        <v>2</v>
      </c>
    </row>
    <row r="47" spans="1:9" x14ac:dyDescent="0.25">
      <c r="A47" t="s">
        <v>140</v>
      </c>
      <c r="B47" t="s">
        <v>141</v>
      </c>
      <c r="C47" t="s">
        <v>16</v>
      </c>
      <c r="D47" s="1">
        <v>1115.92</v>
      </c>
      <c r="E47" s="2">
        <v>58</v>
      </c>
      <c r="F47" s="1">
        <v>1000.48</v>
      </c>
      <c r="G47" s="1">
        <v>731.12</v>
      </c>
      <c r="H47" s="2">
        <v>52</v>
      </c>
      <c r="I47" s="2">
        <v>2</v>
      </c>
    </row>
    <row r="48" spans="1:9" x14ac:dyDescent="0.25">
      <c r="A48" t="s">
        <v>23</v>
      </c>
      <c r="B48" t="s">
        <v>24</v>
      </c>
      <c r="C48" t="s">
        <v>28</v>
      </c>
      <c r="D48" s="1">
        <v>1104.9100000000001</v>
      </c>
      <c r="E48" s="2">
        <v>108</v>
      </c>
      <c r="F48" s="1">
        <v>1014.11</v>
      </c>
      <c r="G48" s="1">
        <v>515.44000000000005</v>
      </c>
      <c r="H48" s="2">
        <v>98</v>
      </c>
      <c r="I48" s="2">
        <v>7</v>
      </c>
    </row>
    <row r="49" spans="1:9" x14ac:dyDescent="0.25">
      <c r="A49" t="s">
        <v>57</v>
      </c>
      <c r="B49" t="s">
        <v>58</v>
      </c>
      <c r="C49" t="s">
        <v>16</v>
      </c>
      <c r="D49" s="1">
        <v>1099.2</v>
      </c>
      <c r="E49" s="2">
        <v>18</v>
      </c>
      <c r="F49" s="1">
        <v>1289.48</v>
      </c>
      <c r="G49" s="1">
        <v>945</v>
      </c>
      <c r="H49" s="2">
        <v>21</v>
      </c>
      <c r="I49" s="2">
        <v>1</v>
      </c>
    </row>
    <row r="50" spans="1:9" x14ac:dyDescent="0.25">
      <c r="A50" t="s">
        <v>506</v>
      </c>
      <c r="B50" t="s">
        <v>507</v>
      </c>
      <c r="C50" t="s">
        <v>11</v>
      </c>
      <c r="D50" s="1">
        <v>1096.6500000000001</v>
      </c>
      <c r="E50" s="2">
        <v>99</v>
      </c>
      <c r="F50" s="1">
        <v>1141.42</v>
      </c>
      <c r="G50" s="1">
        <v>746.91</v>
      </c>
      <c r="H50" s="2">
        <v>103</v>
      </c>
      <c r="I50" s="2">
        <v>21</v>
      </c>
    </row>
    <row r="51" spans="1:9" x14ac:dyDescent="0.25">
      <c r="A51" t="s">
        <v>57</v>
      </c>
      <c r="B51" t="s">
        <v>58</v>
      </c>
      <c r="C51" t="s">
        <v>11</v>
      </c>
      <c r="D51" s="1">
        <v>1088.7</v>
      </c>
      <c r="E51" s="2">
        <v>19</v>
      </c>
      <c r="F51" s="1">
        <v>1146</v>
      </c>
      <c r="G51" s="1">
        <v>900</v>
      </c>
      <c r="H51" s="2">
        <v>20</v>
      </c>
      <c r="I51" s="2">
        <v>4</v>
      </c>
    </row>
    <row r="52" spans="1:9" x14ac:dyDescent="0.25">
      <c r="A52" t="s">
        <v>164</v>
      </c>
      <c r="B52" t="s">
        <v>165</v>
      </c>
      <c r="C52" t="s">
        <v>16</v>
      </c>
      <c r="D52" s="1">
        <v>1085.57</v>
      </c>
      <c r="E52" s="2">
        <v>21</v>
      </c>
      <c r="F52" s="1">
        <v>1136.52</v>
      </c>
      <c r="G52" s="1">
        <v>891</v>
      </c>
      <c r="H52" s="2">
        <v>22</v>
      </c>
      <c r="I52" s="2">
        <v>6</v>
      </c>
    </row>
    <row r="53" spans="1:9" x14ac:dyDescent="0.25">
      <c r="A53" t="s">
        <v>506</v>
      </c>
      <c r="B53" t="s">
        <v>507</v>
      </c>
      <c r="C53" t="s">
        <v>28</v>
      </c>
      <c r="D53" s="1">
        <v>1030.8599999999999</v>
      </c>
      <c r="E53" s="2">
        <v>83</v>
      </c>
      <c r="F53" s="1">
        <v>981.18</v>
      </c>
      <c r="G53" s="1">
        <v>601.30999999999995</v>
      </c>
      <c r="H53" s="2">
        <v>79</v>
      </c>
      <c r="I53" s="2">
        <v>21</v>
      </c>
    </row>
    <row r="54" spans="1:9" x14ac:dyDescent="0.25">
      <c r="A54" t="s">
        <v>39</v>
      </c>
      <c r="B54" t="s">
        <v>40</v>
      </c>
      <c r="C54" t="s">
        <v>25</v>
      </c>
      <c r="D54" s="1">
        <v>1012.7</v>
      </c>
      <c r="E54" s="2">
        <v>95</v>
      </c>
      <c r="F54" s="1">
        <v>1044.68</v>
      </c>
      <c r="G54" s="1">
        <v>503.44</v>
      </c>
      <c r="H54" s="2">
        <v>98</v>
      </c>
      <c r="I54" s="2">
        <v>4</v>
      </c>
    </row>
    <row r="55" spans="1:9" x14ac:dyDescent="0.25">
      <c r="A55" t="s">
        <v>610</v>
      </c>
      <c r="B55" t="s">
        <v>611</v>
      </c>
      <c r="C55" t="s">
        <v>16</v>
      </c>
      <c r="D55" s="1">
        <v>993.84</v>
      </c>
      <c r="E55" s="2">
        <v>68</v>
      </c>
      <c r="F55" s="1">
        <v>965.44</v>
      </c>
      <c r="G55" s="1">
        <v>627</v>
      </c>
      <c r="H55" s="2">
        <v>66</v>
      </c>
      <c r="I55" s="2">
        <v>11</v>
      </c>
    </row>
    <row r="56" spans="1:9" x14ac:dyDescent="0.25">
      <c r="A56" t="s">
        <v>180</v>
      </c>
      <c r="B56" t="s">
        <v>181</v>
      </c>
      <c r="C56" t="s">
        <v>11</v>
      </c>
      <c r="D56" s="1">
        <v>993.72</v>
      </c>
      <c r="E56" s="2">
        <v>25</v>
      </c>
      <c r="F56" s="1">
        <v>954</v>
      </c>
      <c r="G56" s="1">
        <v>944.88</v>
      </c>
      <c r="H56" s="2">
        <v>24</v>
      </c>
      <c r="I56" s="2">
        <v>15</v>
      </c>
    </row>
    <row r="57" spans="1:9" x14ac:dyDescent="0.25">
      <c r="A57" t="s">
        <v>238</v>
      </c>
      <c r="B57" t="s">
        <v>239</v>
      </c>
      <c r="C57" t="s">
        <v>25</v>
      </c>
      <c r="D57" s="1">
        <v>935.56</v>
      </c>
      <c r="E57" s="2">
        <v>76</v>
      </c>
      <c r="F57" s="1">
        <v>898.63</v>
      </c>
      <c r="G57" s="1">
        <v>642.4</v>
      </c>
      <c r="H57" s="2">
        <v>73</v>
      </c>
      <c r="I57" s="2">
        <v>6</v>
      </c>
    </row>
    <row r="58" spans="1:9" x14ac:dyDescent="0.25">
      <c r="A58" t="s">
        <v>118</v>
      </c>
      <c r="B58" t="s">
        <v>119</v>
      </c>
      <c r="C58" t="s">
        <v>16</v>
      </c>
      <c r="D58" s="1">
        <v>919.6</v>
      </c>
      <c r="E58" s="2">
        <v>55</v>
      </c>
      <c r="F58" s="1">
        <v>785.84</v>
      </c>
      <c r="G58" s="1">
        <v>613.35</v>
      </c>
      <c r="H58" s="2">
        <v>47</v>
      </c>
      <c r="I58" s="2">
        <v>3</v>
      </c>
    </row>
    <row r="59" spans="1:9" x14ac:dyDescent="0.25">
      <c r="A59" t="s">
        <v>17</v>
      </c>
      <c r="B59" t="s">
        <v>18</v>
      </c>
      <c r="C59" t="s">
        <v>16</v>
      </c>
      <c r="D59" s="1">
        <v>908.8</v>
      </c>
      <c r="E59" s="2">
        <v>64</v>
      </c>
      <c r="F59" s="1">
        <v>923</v>
      </c>
      <c r="G59" s="1">
        <v>644.16999999999996</v>
      </c>
      <c r="H59" s="2">
        <v>65</v>
      </c>
      <c r="I59" s="2">
        <v>14</v>
      </c>
    </row>
    <row r="60" spans="1:9" x14ac:dyDescent="0.25">
      <c r="A60" t="s">
        <v>158</v>
      </c>
      <c r="B60" t="s">
        <v>159</v>
      </c>
      <c r="C60" t="s">
        <v>28</v>
      </c>
      <c r="D60" s="1">
        <v>908.3</v>
      </c>
      <c r="E60" s="2">
        <v>10</v>
      </c>
      <c r="F60" s="1">
        <v>908.3</v>
      </c>
      <c r="G60" s="1">
        <v>686.73</v>
      </c>
      <c r="H60" s="2">
        <v>10</v>
      </c>
      <c r="I60" s="2">
        <v>3</v>
      </c>
    </row>
    <row r="61" spans="1:9" x14ac:dyDescent="0.25">
      <c r="A61" t="s">
        <v>23</v>
      </c>
      <c r="B61" t="s">
        <v>24</v>
      </c>
      <c r="C61" t="s">
        <v>11</v>
      </c>
      <c r="D61" s="1">
        <v>906.26</v>
      </c>
      <c r="E61" s="2">
        <v>81</v>
      </c>
      <c r="F61" s="1">
        <v>923.06</v>
      </c>
      <c r="G61" s="1">
        <v>433.28</v>
      </c>
      <c r="H61" s="2">
        <v>82</v>
      </c>
      <c r="I61" s="2">
        <v>7</v>
      </c>
    </row>
    <row r="62" spans="1:9" x14ac:dyDescent="0.25">
      <c r="A62" t="s">
        <v>186</v>
      </c>
      <c r="B62" t="s">
        <v>187</v>
      </c>
      <c r="C62" t="s">
        <v>16</v>
      </c>
      <c r="D62" s="1">
        <v>905.64</v>
      </c>
      <c r="E62" s="2">
        <v>30</v>
      </c>
      <c r="F62" s="1">
        <v>817.65</v>
      </c>
      <c r="G62" s="1">
        <v>607.5</v>
      </c>
      <c r="H62" s="2">
        <v>27</v>
      </c>
      <c r="I62" s="2">
        <v>4</v>
      </c>
    </row>
    <row r="63" spans="1:9" x14ac:dyDescent="0.25">
      <c r="A63" t="s">
        <v>506</v>
      </c>
      <c r="B63" t="s">
        <v>507</v>
      </c>
      <c r="C63" t="s">
        <v>25</v>
      </c>
      <c r="D63" s="1">
        <v>900.25</v>
      </c>
      <c r="E63" s="2">
        <v>72</v>
      </c>
      <c r="F63" s="1">
        <v>900.25</v>
      </c>
      <c r="G63" s="1">
        <v>502.92</v>
      </c>
      <c r="H63" s="2">
        <v>72</v>
      </c>
      <c r="I63" s="2">
        <v>37</v>
      </c>
    </row>
    <row r="64" spans="1:9" x14ac:dyDescent="0.25">
      <c r="A64" t="s">
        <v>65</v>
      </c>
      <c r="B64" t="s">
        <v>66</v>
      </c>
      <c r="C64" t="s">
        <v>25</v>
      </c>
      <c r="D64" s="1">
        <v>864.85</v>
      </c>
      <c r="E64" s="2">
        <v>35</v>
      </c>
      <c r="F64" s="1">
        <v>1087.24</v>
      </c>
      <c r="G64" s="1">
        <v>765.6</v>
      </c>
      <c r="H64" s="2">
        <v>44</v>
      </c>
      <c r="I64" t="s">
        <v>81</v>
      </c>
    </row>
    <row r="65" spans="1:9" x14ac:dyDescent="0.25">
      <c r="A65" t="s">
        <v>128</v>
      </c>
      <c r="B65" t="s">
        <v>129</v>
      </c>
      <c r="C65" t="s">
        <v>28</v>
      </c>
      <c r="D65" s="1">
        <v>856.06</v>
      </c>
      <c r="E65" s="2">
        <v>61</v>
      </c>
      <c r="F65" s="1">
        <v>980.44</v>
      </c>
      <c r="G65" s="1">
        <v>703.36</v>
      </c>
      <c r="H65" s="2">
        <v>72</v>
      </c>
      <c r="I65" s="2">
        <v>10</v>
      </c>
    </row>
    <row r="66" spans="1:9" x14ac:dyDescent="0.25">
      <c r="A66" t="s">
        <v>600</v>
      </c>
      <c r="B66" t="s">
        <v>601</v>
      </c>
      <c r="C66" t="s">
        <v>16</v>
      </c>
      <c r="D66" s="1">
        <v>853.17</v>
      </c>
      <c r="E66" s="2">
        <v>45</v>
      </c>
      <c r="F66" s="1">
        <v>853.17</v>
      </c>
      <c r="G66" s="1">
        <v>630</v>
      </c>
      <c r="H66" s="2">
        <v>45</v>
      </c>
      <c r="I66" s="2">
        <v>3</v>
      </c>
    </row>
    <row r="67" spans="1:9" x14ac:dyDescent="0.25">
      <c r="A67" t="s">
        <v>222</v>
      </c>
      <c r="B67" t="s">
        <v>223</v>
      </c>
      <c r="C67" t="s">
        <v>11</v>
      </c>
      <c r="D67" s="1">
        <v>842.72</v>
      </c>
      <c r="E67" s="2">
        <v>8</v>
      </c>
      <c r="F67" s="1">
        <v>842.72</v>
      </c>
      <c r="G67" s="1">
        <v>646.4</v>
      </c>
      <c r="H67" s="2">
        <v>8</v>
      </c>
      <c r="I67" s="2">
        <v>11</v>
      </c>
    </row>
    <row r="68" spans="1:9" x14ac:dyDescent="0.25">
      <c r="A68" t="s">
        <v>71</v>
      </c>
      <c r="B68" t="s">
        <v>72</v>
      </c>
      <c r="C68" t="s">
        <v>25</v>
      </c>
      <c r="D68" s="1">
        <v>819.64</v>
      </c>
      <c r="E68" s="2">
        <v>34</v>
      </c>
      <c r="F68" s="1">
        <v>716.59</v>
      </c>
      <c r="G68" s="1">
        <v>522</v>
      </c>
      <c r="H68" s="2">
        <v>29</v>
      </c>
      <c r="I68" s="2">
        <v>1</v>
      </c>
    </row>
    <row r="69" spans="1:9" x14ac:dyDescent="0.25">
      <c r="A69" t="s">
        <v>176</v>
      </c>
      <c r="B69" t="s">
        <v>177</v>
      </c>
      <c r="C69" t="s">
        <v>11</v>
      </c>
      <c r="D69" s="1">
        <v>814.3</v>
      </c>
      <c r="E69" s="2">
        <v>17</v>
      </c>
      <c r="F69" s="1">
        <v>814.3</v>
      </c>
      <c r="G69" s="1">
        <v>670.85</v>
      </c>
      <c r="H69" s="2">
        <v>17</v>
      </c>
      <c r="I69" s="2">
        <v>6</v>
      </c>
    </row>
    <row r="70" spans="1:9" x14ac:dyDescent="0.25">
      <c r="A70" t="s">
        <v>222</v>
      </c>
      <c r="B70" t="s">
        <v>223</v>
      </c>
      <c r="C70" t="s">
        <v>28</v>
      </c>
      <c r="D70" s="1">
        <v>755.38</v>
      </c>
      <c r="E70" s="2">
        <v>7</v>
      </c>
      <c r="F70" s="1">
        <v>644.75</v>
      </c>
      <c r="G70" s="1">
        <v>484.8</v>
      </c>
      <c r="H70" s="2">
        <v>6</v>
      </c>
      <c r="I70" t="s">
        <v>81</v>
      </c>
    </row>
    <row r="71" spans="1:9" x14ac:dyDescent="0.25">
      <c r="A71" t="s">
        <v>156</v>
      </c>
      <c r="B71" t="s">
        <v>157</v>
      </c>
      <c r="C71" t="s">
        <v>11</v>
      </c>
      <c r="D71" s="1">
        <v>755.17</v>
      </c>
      <c r="E71" s="2">
        <v>37</v>
      </c>
      <c r="F71" s="1">
        <v>693.94</v>
      </c>
      <c r="G71" s="1">
        <v>657.9</v>
      </c>
      <c r="H71" s="2">
        <v>34</v>
      </c>
      <c r="I71" s="2">
        <v>4</v>
      </c>
    </row>
    <row r="72" spans="1:9" x14ac:dyDescent="0.25">
      <c r="A72" t="s">
        <v>194</v>
      </c>
      <c r="B72" t="s">
        <v>195</v>
      </c>
      <c r="C72" t="s">
        <v>28</v>
      </c>
      <c r="D72" s="1">
        <v>723.25</v>
      </c>
      <c r="E72" s="2">
        <v>21</v>
      </c>
      <c r="F72" s="1">
        <v>689.72</v>
      </c>
      <c r="G72" s="1">
        <v>598.4</v>
      </c>
      <c r="H72" s="2">
        <v>20</v>
      </c>
      <c r="I72" s="2">
        <v>2</v>
      </c>
    </row>
    <row r="73" spans="1:9" x14ac:dyDescent="0.25">
      <c r="A73" t="s">
        <v>238</v>
      </c>
      <c r="B73" t="s">
        <v>239</v>
      </c>
      <c r="C73" t="s">
        <v>16</v>
      </c>
      <c r="D73" s="1">
        <v>713.64</v>
      </c>
      <c r="E73" s="2">
        <v>57</v>
      </c>
      <c r="F73" s="1">
        <v>688.6</v>
      </c>
      <c r="G73" s="1">
        <v>484</v>
      </c>
      <c r="H73" s="2">
        <v>55</v>
      </c>
      <c r="I73" s="2">
        <v>8</v>
      </c>
    </row>
    <row r="74" spans="1:9" x14ac:dyDescent="0.25">
      <c r="A74" t="s">
        <v>110</v>
      </c>
      <c r="B74" t="s">
        <v>111</v>
      </c>
      <c r="C74" t="s">
        <v>28</v>
      </c>
      <c r="D74" s="1">
        <v>712.94</v>
      </c>
      <c r="E74" s="2">
        <v>43</v>
      </c>
      <c r="F74" s="1">
        <v>712.94</v>
      </c>
      <c r="G74" s="1">
        <v>580.5</v>
      </c>
      <c r="H74" s="2">
        <v>43</v>
      </c>
      <c r="I74" s="2">
        <v>8</v>
      </c>
    </row>
    <row r="75" spans="1:9" x14ac:dyDescent="0.25">
      <c r="A75" t="s">
        <v>92</v>
      </c>
      <c r="B75" t="s">
        <v>93</v>
      </c>
      <c r="C75" t="s">
        <v>11</v>
      </c>
      <c r="D75" s="1">
        <v>712.92</v>
      </c>
      <c r="E75" s="2">
        <v>43</v>
      </c>
      <c r="F75" s="1">
        <v>664.39</v>
      </c>
      <c r="G75" s="1">
        <v>450</v>
      </c>
      <c r="H75" s="2">
        <v>40</v>
      </c>
      <c r="I75" s="2">
        <v>14</v>
      </c>
    </row>
    <row r="76" spans="1:9" x14ac:dyDescent="0.25">
      <c r="A76" t="s">
        <v>130</v>
      </c>
      <c r="B76" t="s">
        <v>131</v>
      </c>
      <c r="C76" t="s">
        <v>11</v>
      </c>
      <c r="D76" s="1">
        <v>709.12</v>
      </c>
      <c r="E76" s="2">
        <v>12</v>
      </c>
      <c r="F76" s="1">
        <v>709.12</v>
      </c>
      <c r="G76" s="1">
        <v>556.79999999999995</v>
      </c>
      <c r="H76" s="2">
        <v>12</v>
      </c>
      <c r="I76" s="2">
        <v>6</v>
      </c>
    </row>
    <row r="77" spans="1:9" x14ac:dyDescent="0.25">
      <c r="A77" t="s">
        <v>346</v>
      </c>
      <c r="B77" t="s">
        <v>347</v>
      </c>
      <c r="C77" t="s">
        <v>25</v>
      </c>
      <c r="D77" s="1">
        <v>701.68</v>
      </c>
      <c r="E77" s="2">
        <v>18</v>
      </c>
      <c r="F77" s="1">
        <v>712.34</v>
      </c>
      <c r="G77" s="1">
        <v>615.6</v>
      </c>
      <c r="H77" s="2">
        <v>18</v>
      </c>
      <c r="I77" s="2">
        <v>1</v>
      </c>
    </row>
    <row r="78" spans="1:9" x14ac:dyDescent="0.25">
      <c r="A78" t="s">
        <v>108</v>
      </c>
      <c r="B78" t="s">
        <v>109</v>
      </c>
      <c r="C78" t="s">
        <v>28</v>
      </c>
      <c r="D78" s="1">
        <v>701.25</v>
      </c>
      <c r="E78" s="2">
        <v>85</v>
      </c>
      <c r="F78" s="1">
        <v>726</v>
      </c>
      <c r="G78" s="1">
        <v>528</v>
      </c>
      <c r="H78" s="2">
        <v>88</v>
      </c>
      <c r="I78" t="s">
        <v>81</v>
      </c>
    </row>
    <row r="79" spans="1:9" x14ac:dyDescent="0.25">
      <c r="A79" t="s">
        <v>112</v>
      </c>
      <c r="B79" t="s">
        <v>113</v>
      </c>
      <c r="C79" t="s">
        <v>11</v>
      </c>
      <c r="D79" s="1">
        <v>690.53</v>
      </c>
      <c r="E79" s="2">
        <v>62</v>
      </c>
      <c r="F79" s="1">
        <v>722.24</v>
      </c>
      <c r="G79" s="1">
        <v>479.37</v>
      </c>
      <c r="H79" s="2">
        <v>65</v>
      </c>
      <c r="I79" s="2">
        <v>4</v>
      </c>
    </row>
    <row r="80" spans="1:9" x14ac:dyDescent="0.25">
      <c r="A80" t="s">
        <v>324</v>
      </c>
      <c r="B80" t="s">
        <v>325</v>
      </c>
      <c r="C80" t="s">
        <v>28</v>
      </c>
      <c r="D80" s="1">
        <v>687.96</v>
      </c>
      <c r="E80" s="2">
        <v>93</v>
      </c>
      <c r="F80" s="1">
        <v>687.96</v>
      </c>
      <c r="G80" s="1">
        <v>587.76</v>
      </c>
      <c r="H80" s="2">
        <v>93</v>
      </c>
      <c r="I80" s="2">
        <v>1</v>
      </c>
    </row>
    <row r="81" spans="1:9" x14ac:dyDescent="0.25">
      <c r="A81" t="s">
        <v>102</v>
      </c>
      <c r="B81" t="s">
        <v>103</v>
      </c>
      <c r="C81" t="s">
        <v>11</v>
      </c>
      <c r="D81" s="1">
        <v>686.19</v>
      </c>
      <c r="E81" s="2">
        <v>19</v>
      </c>
      <c r="F81" s="1">
        <v>751.59</v>
      </c>
      <c r="G81" s="1">
        <v>567</v>
      </c>
      <c r="H81" s="2">
        <v>21</v>
      </c>
      <c r="I81" s="2">
        <v>6</v>
      </c>
    </row>
    <row r="82" spans="1:9" x14ac:dyDescent="0.25">
      <c r="A82" t="s">
        <v>90</v>
      </c>
      <c r="B82" t="s">
        <v>91</v>
      </c>
      <c r="C82" t="s">
        <v>11</v>
      </c>
      <c r="D82" s="1">
        <v>685.1</v>
      </c>
      <c r="E82" s="2">
        <v>11</v>
      </c>
      <c r="F82" s="1">
        <v>742.4</v>
      </c>
      <c r="G82" s="1">
        <v>511.44</v>
      </c>
      <c r="H82" s="2">
        <v>12</v>
      </c>
      <c r="I82" s="2">
        <v>4</v>
      </c>
    </row>
    <row r="83" spans="1:9" x14ac:dyDescent="0.25">
      <c r="A83" t="s">
        <v>610</v>
      </c>
      <c r="B83" t="s">
        <v>611</v>
      </c>
      <c r="C83" t="s">
        <v>28</v>
      </c>
      <c r="D83" s="1">
        <v>677.25</v>
      </c>
      <c r="E83" s="2">
        <v>43</v>
      </c>
      <c r="F83" s="1">
        <v>693</v>
      </c>
      <c r="G83" s="1">
        <v>418</v>
      </c>
      <c r="H83" s="2">
        <v>44</v>
      </c>
      <c r="I83" s="2">
        <v>31</v>
      </c>
    </row>
    <row r="84" spans="1:9" x14ac:dyDescent="0.25">
      <c r="A84" t="s">
        <v>69</v>
      </c>
      <c r="B84" t="s">
        <v>70</v>
      </c>
      <c r="C84" t="s">
        <v>11</v>
      </c>
      <c r="D84" s="1">
        <v>676.38</v>
      </c>
      <c r="E84" s="2">
        <v>28</v>
      </c>
      <c r="F84" s="1">
        <v>674.09</v>
      </c>
      <c r="G84" s="1">
        <v>563.27</v>
      </c>
      <c r="H84" s="2">
        <v>28</v>
      </c>
      <c r="I84" s="2">
        <v>5</v>
      </c>
    </row>
    <row r="85" spans="1:9" x14ac:dyDescent="0.25">
      <c r="A85" t="s">
        <v>200</v>
      </c>
      <c r="B85" t="s">
        <v>201</v>
      </c>
      <c r="C85" t="s">
        <v>11</v>
      </c>
      <c r="D85" s="1">
        <v>665.8</v>
      </c>
      <c r="E85" s="2">
        <v>51</v>
      </c>
      <c r="F85" s="1">
        <v>653.66999999999996</v>
      </c>
      <c r="G85" s="1">
        <v>485.8</v>
      </c>
      <c r="H85" s="2">
        <v>50</v>
      </c>
      <c r="I85" t="s">
        <v>81</v>
      </c>
    </row>
    <row r="86" spans="1:9" x14ac:dyDescent="0.25">
      <c r="A86" t="s">
        <v>616</v>
      </c>
      <c r="B86" t="s">
        <v>617</v>
      </c>
      <c r="C86" t="s">
        <v>28</v>
      </c>
      <c r="D86" s="1">
        <v>665.28</v>
      </c>
      <c r="E86" s="2">
        <v>16</v>
      </c>
      <c r="F86" s="1">
        <v>582.12</v>
      </c>
      <c r="G86" s="1">
        <v>420</v>
      </c>
      <c r="H86" s="2">
        <v>14</v>
      </c>
      <c r="I86" s="2">
        <v>2</v>
      </c>
    </row>
    <row r="87" spans="1:9" x14ac:dyDescent="0.25">
      <c r="A87" t="s">
        <v>164</v>
      </c>
      <c r="B87" t="s">
        <v>165</v>
      </c>
      <c r="C87" t="s">
        <v>25</v>
      </c>
      <c r="D87" s="1">
        <v>643.5</v>
      </c>
      <c r="E87" s="2">
        <v>13</v>
      </c>
      <c r="F87" s="1">
        <v>643.5</v>
      </c>
      <c r="G87" s="1">
        <v>526.5</v>
      </c>
      <c r="H87" s="2">
        <v>13</v>
      </c>
      <c r="I87" s="2">
        <v>3</v>
      </c>
    </row>
    <row r="88" spans="1:9" x14ac:dyDescent="0.25">
      <c r="A88" t="s">
        <v>618</v>
      </c>
      <c r="B88" t="s">
        <v>619</v>
      </c>
      <c r="C88" t="s">
        <v>11</v>
      </c>
      <c r="D88" s="1">
        <v>631.29999999999995</v>
      </c>
      <c r="E88" s="2">
        <v>12</v>
      </c>
      <c r="F88" s="1">
        <v>575.15</v>
      </c>
      <c r="G88" s="1">
        <v>450.49</v>
      </c>
      <c r="H88" s="2">
        <v>11</v>
      </c>
      <c r="I88" t="s">
        <v>81</v>
      </c>
    </row>
    <row r="89" spans="1:9" x14ac:dyDescent="0.25">
      <c r="A89" t="s">
        <v>41</v>
      </c>
      <c r="B89" t="s">
        <v>42</v>
      </c>
      <c r="C89" t="s">
        <v>28</v>
      </c>
      <c r="D89" s="1">
        <v>627.89</v>
      </c>
      <c r="E89" s="2">
        <v>44</v>
      </c>
      <c r="F89" s="1">
        <v>667.19</v>
      </c>
      <c r="G89" s="1">
        <v>455.9</v>
      </c>
      <c r="H89" s="2">
        <v>47</v>
      </c>
      <c r="I89" s="2">
        <v>8</v>
      </c>
    </row>
    <row r="90" spans="1:9" x14ac:dyDescent="0.25">
      <c r="A90" t="s">
        <v>118</v>
      </c>
      <c r="B90" t="s">
        <v>119</v>
      </c>
      <c r="C90" t="s">
        <v>28</v>
      </c>
      <c r="D90" s="1">
        <v>626.08000000000004</v>
      </c>
      <c r="E90" s="2">
        <v>38</v>
      </c>
      <c r="F90" s="1">
        <v>495.42</v>
      </c>
      <c r="G90" s="1">
        <v>391.5</v>
      </c>
      <c r="H90" s="2">
        <v>30</v>
      </c>
      <c r="I90" s="2">
        <v>2</v>
      </c>
    </row>
    <row r="91" spans="1:9" x14ac:dyDescent="0.25">
      <c r="A91" t="s">
        <v>238</v>
      </c>
      <c r="B91" t="s">
        <v>239</v>
      </c>
      <c r="C91" t="s">
        <v>28</v>
      </c>
      <c r="D91" s="1">
        <v>621</v>
      </c>
      <c r="E91" s="2">
        <v>50</v>
      </c>
      <c r="F91" s="1">
        <v>683.1</v>
      </c>
      <c r="G91" s="1">
        <v>484</v>
      </c>
      <c r="H91" s="2">
        <v>55</v>
      </c>
      <c r="I91" s="2">
        <v>4</v>
      </c>
    </row>
    <row r="92" spans="1:9" x14ac:dyDescent="0.25">
      <c r="A92" t="s">
        <v>608</v>
      </c>
      <c r="B92" t="s">
        <v>609</v>
      </c>
      <c r="C92" t="s">
        <v>28</v>
      </c>
      <c r="D92" s="1">
        <v>618.75</v>
      </c>
      <c r="E92" s="2">
        <v>75</v>
      </c>
      <c r="F92" s="1">
        <v>594</v>
      </c>
      <c r="G92" s="1">
        <v>390.08</v>
      </c>
      <c r="H92" s="2">
        <v>72</v>
      </c>
      <c r="I92" s="2">
        <v>3</v>
      </c>
    </row>
    <row r="93" spans="1:9" x14ac:dyDescent="0.25">
      <c r="A93" t="s">
        <v>31</v>
      </c>
      <c r="B93" t="s">
        <v>32</v>
      </c>
      <c r="C93" t="s">
        <v>28</v>
      </c>
      <c r="D93" s="1">
        <v>618.75</v>
      </c>
      <c r="E93" s="2">
        <v>75</v>
      </c>
      <c r="F93" s="1">
        <v>577.5</v>
      </c>
      <c r="G93" s="1">
        <v>420</v>
      </c>
      <c r="H93" s="2">
        <v>70</v>
      </c>
      <c r="I93" s="2">
        <v>4</v>
      </c>
    </row>
    <row r="94" spans="1:9" x14ac:dyDescent="0.25">
      <c r="A94" t="s">
        <v>14</v>
      </c>
      <c r="B94" t="s">
        <v>15</v>
      </c>
      <c r="C94" t="s">
        <v>25</v>
      </c>
      <c r="D94" s="1">
        <v>615.5</v>
      </c>
      <c r="E94" s="2">
        <v>50</v>
      </c>
      <c r="F94" s="1">
        <v>590.88</v>
      </c>
      <c r="G94" s="1">
        <v>383.6</v>
      </c>
      <c r="H94" s="2">
        <v>48</v>
      </c>
      <c r="I94" s="2">
        <v>1</v>
      </c>
    </row>
    <row r="95" spans="1:9" x14ac:dyDescent="0.25">
      <c r="A95" t="s">
        <v>506</v>
      </c>
      <c r="B95" t="s">
        <v>507</v>
      </c>
      <c r="C95" t="s">
        <v>16</v>
      </c>
      <c r="D95" s="1">
        <v>613.48</v>
      </c>
      <c r="E95" s="2">
        <v>49</v>
      </c>
      <c r="F95" s="1">
        <v>626</v>
      </c>
      <c r="G95" s="1">
        <v>375.66</v>
      </c>
      <c r="H95" s="2">
        <v>50</v>
      </c>
      <c r="I95" s="2">
        <v>48</v>
      </c>
    </row>
    <row r="96" spans="1:9" x14ac:dyDescent="0.25">
      <c r="A96" t="s">
        <v>136</v>
      </c>
      <c r="B96" t="s">
        <v>137</v>
      </c>
      <c r="C96" t="s">
        <v>11</v>
      </c>
      <c r="D96" s="1">
        <v>612.75</v>
      </c>
      <c r="E96" s="2">
        <v>25</v>
      </c>
      <c r="F96" s="1">
        <v>612.75</v>
      </c>
      <c r="G96" s="1">
        <v>448.25</v>
      </c>
      <c r="H96" s="2">
        <v>25</v>
      </c>
      <c r="I96" s="2">
        <v>1</v>
      </c>
    </row>
    <row r="97" spans="1:9" x14ac:dyDescent="0.25">
      <c r="A97" t="s">
        <v>39</v>
      </c>
      <c r="B97" t="s">
        <v>40</v>
      </c>
      <c r="C97" t="s">
        <v>207</v>
      </c>
      <c r="D97" s="1">
        <v>606.35</v>
      </c>
      <c r="E97" s="2">
        <v>54</v>
      </c>
      <c r="F97" s="1">
        <v>573.37</v>
      </c>
      <c r="G97" s="1">
        <v>315.19</v>
      </c>
      <c r="H97" s="2">
        <v>51</v>
      </c>
      <c r="I97" s="2">
        <v>2</v>
      </c>
    </row>
    <row r="98" spans="1:9" x14ac:dyDescent="0.25">
      <c r="A98" t="s">
        <v>106</v>
      </c>
      <c r="B98" t="s">
        <v>107</v>
      </c>
      <c r="C98" t="s">
        <v>11</v>
      </c>
      <c r="D98" s="1">
        <v>573.30999999999995</v>
      </c>
      <c r="E98" s="2">
        <v>40</v>
      </c>
      <c r="F98" s="1">
        <v>569.67999999999995</v>
      </c>
      <c r="G98" s="1">
        <v>261.60000000000002</v>
      </c>
      <c r="H98" s="2">
        <v>40</v>
      </c>
      <c r="I98" s="2">
        <v>11</v>
      </c>
    </row>
    <row r="99" spans="1:9" x14ac:dyDescent="0.25">
      <c r="A99" t="s">
        <v>205</v>
      </c>
      <c r="B99" t="s">
        <v>206</v>
      </c>
      <c r="C99" t="s">
        <v>25</v>
      </c>
      <c r="D99" s="1">
        <v>572.74</v>
      </c>
      <c r="E99" s="2">
        <v>7</v>
      </c>
      <c r="F99" s="1">
        <v>572.74</v>
      </c>
      <c r="G99" s="1">
        <v>465.5</v>
      </c>
      <c r="H99" s="2">
        <v>7</v>
      </c>
      <c r="I99" t="s">
        <v>81</v>
      </c>
    </row>
    <row r="100" spans="1:9" x14ac:dyDescent="0.25">
      <c r="A100" t="s">
        <v>200</v>
      </c>
      <c r="B100" t="s">
        <v>201</v>
      </c>
      <c r="C100" t="s">
        <v>28</v>
      </c>
      <c r="D100" s="1">
        <v>569.75</v>
      </c>
      <c r="E100" s="2">
        <v>43</v>
      </c>
      <c r="F100" s="1">
        <v>530</v>
      </c>
      <c r="G100" s="1">
        <v>356.8</v>
      </c>
      <c r="H100" s="2">
        <v>40</v>
      </c>
      <c r="I100" s="2">
        <v>2</v>
      </c>
    </row>
    <row r="101" spans="1:9" x14ac:dyDescent="0.25">
      <c r="A101" t="s">
        <v>108</v>
      </c>
      <c r="B101" t="s">
        <v>109</v>
      </c>
      <c r="C101" t="s">
        <v>11</v>
      </c>
      <c r="D101" s="1">
        <v>567.63</v>
      </c>
      <c r="E101" s="2">
        <v>63</v>
      </c>
      <c r="F101" s="1">
        <v>558.62</v>
      </c>
      <c r="G101" s="1">
        <v>372</v>
      </c>
      <c r="H101" s="2">
        <v>62</v>
      </c>
      <c r="I101" t="s">
        <v>81</v>
      </c>
    </row>
    <row r="102" spans="1:9" x14ac:dyDescent="0.25">
      <c r="A102" t="s">
        <v>124</v>
      </c>
      <c r="B102" t="s">
        <v>125</v>
      </c>
      <c r="C102" t="s">
        <v>11</v>
      </c>
      <c r="D102" s="1">
        <v>549.39</v>
      </c>
      <c r="E102" s="2">
        <v>21</v>
      </c>
      <c r="F102" s="1">
        <v>602.99</v>
      </c>
      <c r="G102" s="1">
        <v>344.08</v>
      </c>
      <c r="H102" s="2">
        <v>23</v>
      </c>
      <c r="I102" s="2">
        <v>4</v>
      </c>
    </row>
    <row r="103" spans="1:9" x14ac:dyDescent="0.25">
      <c r="A103" t="s">
        <v>620</v>
      </c>
      <c r="B103" t="s">
        <v>621</v>
      </c>
      <c r="C103" t="s">
        <v>16</v>
      </c>
      <c r="D103" s="1">
        <v>545.09</v>
      </c>
      <c r="E103" s="2">
        <v>13</v>
      </c>
      <c r="F103" s="1">
        <v>545.09</v>
      </c>
      <c r="G103" s="1">
        <v>455</v>
      </c>
      <c r="H103" s="2">
        <v>13</v>
      </c>
      <c r="I103" s="2">
        <v>1</v>
      </c>
    </row>
    <row r="104" spans="1:9" x14ac:dyDescent="0.25">
      <c r="A104" t="s">
        <v>196</v>
      </c>
      <c r="B104" t="s">
        <v>197</v>
      </c>
      <c r="C104" t="s">
        <v>11</v>
      </c>
      <c r="D104" s="1">
        <v>540.71</v>
      </c>
      <c r="E104" s="2">
        <v>25</v>
      </c>
      <c r="F104" s="1">
        <v>540.71</v>
      </c>
      <c r="G104" s="1">
        <v>416.25</v>
      </c>
      <c r="H104" s="2">
        <v>25</v>
      </c>
      <c r="I104" s="2">
        <v>3</v>
      </c>
    </row>
    <row r="105" spans="1:9" x14ac:dyDescent="0.25">
      <c r="A105" t="s">
        <v>614</v>
      </c>
      <c r="B105" t="s">
        <v>615</v>
      </c>
      <c r="C105" t="s">
        <v>25</v>
      </c>
      <c r="D105" s="1">
        <v>518.91</v>
      </c>
      <c r="E105" s="2">
        <v>21</v>
      </c>
      <c r="F105" s="1">
        <v>518.91</v>
      </c>
      <c r="G105" s="1">
        <v>556.5</v>
      </c>
      <c r="H105" s="2">
        <v>21</v>
      </c>
      <c r="I105" s="2">
        <v>1</v>
      </c>
    </row>
    <row r="106" spans="1:9" x14ac:dyDescent="0.25">
      <c r="A106" t="s">
        <v>140</v>
      </c>
      <c r="B106" t="s">
        <v>141</v>
      </c>
      <c r="C106" t="s">
        <v>11</v>
      </c>
      <c r="D106" s="1">
        <v>516.37</v>
      </c>
      <c r="E106" s="2">
        <v>28</v>
      </c>
      <c r="F106" s="1">
        <v>479.06</v>
      </c>
      <c r="G106" s="1">
        <v>365.56</v>
      </c>
      <c r="H106" s="2">
        <v>26</v>
      </c>
      <c r="I106" s="2">
        <v>5</v>
      </c>
    </row>
    <row r="107" spans="1:9" x14ac:dyDescent="0.25">
      <c r="A107" t="s">
        <v>610</v>
      </c>
      <c r="B107" t="s">
        <v>611</v>
      </c>
      <c r="C107" t="s">
        <v>25</v>
      </c>
      <c r="D107" s="1">
        <v>498.28</v>
      </c>
      <c r="E107" s="2">
        <v>32</v>
      </c>
      <c r="F107" s="1">
        <v>498.28</v>
      </c>
      <c r="G107" s="1">
        <v>304</v>
      </c>
      <c r="H107" s="2">
        <v>32</v>
      </c>
      <c r="I107" s="2">
        <v>17</v>
      </c>
    </row>
    <row r="108" spans="1:9" x14ac:dyDescent="0.25">
      <c r="A108" t="s">
        <v>604</v>
      </c>
      <c r="B108" t="s">
        <v>605</v>
      </c>
      <c r="C108" t="s">
        <v>28</v>
      </c>
      <c r="D108" s="1">
        <v>493.56</v>
      </c>
      <c r="E108" s="2">
        <v>18</v>
      </c>
      <c r="F108" s="1">
        <v>493.56</v>
      </c>
      <c r="G108" s="1">
        <v>333</v>
      </c>
      <c r="H108" s="2">
        <v>18</v>
      </c>
      <c r="I108" s="2">
        <v>3</v>
      </c>
    </row>
    <row r="109" spans="1:9" x14ac:dyDescent="0.25">
      <c r="A109" t="s">
        <v>154</v>
      </c>
      <c r="B109" t="s">
        <v>155</v>
      </c>
      <c r="C109" t="s">
        <v>11</v>
      </c>
      <c r="D109" s="1">
        <v>490.2</v>
      </c>
      <c r="E109" s="2">
        <v>20</v>
      </c>
      <c r="F109" s="1">
        <v>514.71</v>
      </c>
      <c r="G109" s="1">
        <v>353.76</v>
      </c>
      <c r="H109" s="2">
        <v>21</v>
      </c>
      <c r="I109" s="2">
        <v>4</v>
      </c>
    </row>
    <row r="110" spans="1:9" x14ac:dyDescent="0.25">
      <c r="A110" t="s">
        <v>622</v>
      </c>
      <c r="B110" t="s">
        <v>623</v>
      </c>
      <c r="C110" t="s">
        <v>11</v>
      </c>
      <c r="D110" s="1">
        <v>489.7</v>
      </c>
      <c r="E110" s="2">
        <v>21</v>
      </c>
      <c r="F110" s="1">
        <v>489.7</v>
      </c>
      <c r="G110" s="1">
        <v>306.39</v>
      </c>
      <c r="H110" s="2">
        <v>21</v>
      </c>
      <c r="I110" s="2">
        <v>26</v>
      </c>
    </row>
    <row r="111" spans="1:9" x14ac:dyDescent="0.25">
      <c r="A111" t="s">
        <v>118</v>
      </c>
      <c r="B111" t="s">
        <v>119</v>
      </c>
      <c r="C111" t="s">
        <v>11</v>
      </c>
      <c r="D111" s="1">
        <v>488.1</v>
      </c>
      <c r="E111" s="2">
        <v>30</v>
      </c>
      <c r="F111" s="1">
        <v>358.82</v>
      </c>
      <c r="G111" s="1">
        <v>286.75</v>
      </c>
      <c r="H111" s="2">
        <v>22</v>
      </c>
      <c r="I111" s="2">
        <v>6</v>
      </c>
    </row>
    <row r="112" spans="1:9" x14ac:dyDescent="0.25">
      <c r="A112" t="s">
        <v>112</v>
      </c>
      <c r="B112" t="s">
        <v>113</v>
      </c>
      <c r="C112" t="s">
        <v>28</v>
      </c>
      <c r="D112" s="1">
        <v>486.46</v>
      </c>
      <c r="E112" s="2">
        <v>40</v>
      </c>
      <c r="F112" s="1">
        <v>518.71</v>
      </c>
      <c r="G112" s="1">
        <v>324.76</v>
      </c>
      <c r="H112" s="2">
        <v>43</v>
      </c>
      <c r="I112" s="2">
        <v>5</v>
      </c>
    </row>
    <row r="113" spans="1:9" x14ac:dyDescent="0.25">
      <c r="A113" t="s">
        <v>43</v>
      </c>
      <c r="B113" t="s">
        <v>44</v>
      </c>
      <c r="C113" t="s">
        <v>28</v>
      </c>
      <c r="D113" s="1">
        <v>485.52</v>
      </c>
      <c r="E113" s="2">
        <v>77</v>
      </c>
      <c r="F113" s="1">
        <v>472.2</v>
      </c>
      <c r="G113" s="1">
        <v>232.54</v>
      </c>
      <c r="H113" s="2">
        <v>75</v>
      </c>
      <c r="I113" s="2">
        <v>3</v>
      </c>
    </row>
    <row r="114" spans="1:9" x14ac:dyDescent="0.25">
      <c r="A114" t="s">
        <v>128</v>
      </c>
      <c r="B114" t="s">
        <v>129</v>
      </c>
      <c r="C114" t="s">
        <v>25</v>
      </c>
      <c r="D114" s="1">
        <v>480.09</v>
      </c>
      <c r="E114" s="2">
        <v>39</v>
      </c>
      <c r="F114" s="1">
        <v>480.09</v>
      </c>
      <c r="G114" s="1">
        <v>412.04</v>
      </c>
      <c r="H114" s="2">
        <v>39</v>
      </c>
      <c r="I114" s="2">
        <v>1</v>
      </c>
    </row>
    <row r="115" spans="1:9" x14ac:dyDescent="0.25">
      <c r="A115" t="s">
        <v>57</v>
      </c>
      <c r="B115" t="s">
        <v>58</v>
      </c>
      <c r="C115" t="s">
        <v>28</v>
      </c>
      <c r="D115" s="1">
        <v>466</v>
      </c>
      <c r="E115" s="2">
        <v>8</v>
      </c>
      <c r="F115" s="1">
        <v>466</v>
      </c>
      <c r="G115" s="1">
        <v>360</v>
      </c>
      <c r="H115" s="2">
        <v>8</v>
      </c>
      <c r="I115" t="s">
        <v>81</v>
      </c>
    </row>
    <row r="116" spans="1:9" x14ac:dyDescent="0.25">
      <c r="A116" t="s">
        <v>624</v>
      </c>
      <c r="B116" t="s">
        <v>625</v>
      </c>
      <c r="C116" t="s">
        <v>11</v>
      </c>
      <c r="D116" s="1">
        <v>464.74</v>
      </c>
      <c r="E116" s="2">
        <v>12</v>
      </c>
      <c r="F116" s="1">
        <v>464.74</v>
      </c>
      <c r="G116" s="1">
        <v>307.8</v>
      </c>
      <c r="H116" s="2">
        <v>12</v>
      </c>
      <c r="I116" s="2">
        <v>8</v>
      </c>
    </row>
    <row r="117" spans="1:9" x14ac:dyDescent="0.25">
      <c r="A117" t="s">
        <v>626</v>
      </c>
      <c r="B117" t="s">
        <v>627</v>
      </c>
      <c r="C117" t="s">
        <v>25</v>
      </c>
      <c r="D117" s="1">
        <v>464.51</v>
      </c>
      <c r="E117" s="2">
        <v>8</v>
      </c>
      <c r="F117" s="1">
        <v>464.51</v>
      </c>
      <c r="G117" s="1">
        <v>288.64</v>
      </c>
      <c r="H117" s="2">
        <v>8</v>
      </c>
      <c r="I117" s="2">
        <v>1</v>
      </c>
    </row>
    <row r="118" spans="1:9" x14ac:dyDescent="0.25">
      <c r="A118" t="s">
        <v>164</v>
      </c>
      <c r="B118" t="s">
        <v>165</v>
      </c>
      <c r="C118" t="s">
        <v>28</v>
      </c>
      <c r="D118" s="1">
        <v>464.06</v>
      </c>
      <c r="E118" s="2">
        <v>5</v>
      </c>
      <c r="F118" s="1">
        <v>464.06</v>
      </c>
      <c r="G118" s="1">
        <v>202.5</v>
      </c>
      <c r="H118" s="2">
        <v>5</v>
      </c>
      <c r="I118" s="2">
        <v>1</v>
      </c>
    </row>
    <row r="119" spans="1:9" x14ac:dyDescent="0.25">
      <c r="A119" t="s">
        <v>336</v>
      </c>
      <c r="B119" t="s">
        <v>337</v>
      </c>
      <c r="C119" t="s">
        <v>25</v>
      </c>
      <c r="D119" s="1">
        <v>460.6</v>
      </c>
      <c r="E119" s="2">
        <v>28</v>
      </c>
      <c r="F119" s="1">
        <v>444.15</v>
      </c>
      <c r="G119" s="1">
        <v>351.03</v>
      </c>
      <c r="H119" s="2">
        <v>27</v>
      </c>
      <c r="I119" t="s">
        <v>81</v>
      </c>
    </row>
    <row r="120" spans="1:9" x14ac:dyDescent="0.25">
      <c r="A120" t="s">
        <v>194</v>
      </c>
      <c r="B120" t="s">
        <v>195</v>
      </c>
      <c r="C120" t="s">
        <v>11</v>
      </c>
      <c r="D120" s="1">
        <v>451.55</v>
      </c>
      <c r="E120" s="2">
        <v>12</v>
      </c>
      <c r="F120" s="1">
        <v>412.05</v>
      </c>
      <c r="G120" s="1">
        <v>329.12</v>
      </c>
      <c r="H120" s="2">
        <v>11</v>
      </c>
      <c r="I120" s="2">
        <v>2</v>
      </c>
    </row>
    <row r="121" spans="1:9" x14ac:dyDescent="0.25">
      <c r="A121" t="s">
        <v>310</v>
      </c>
      <c r="B121" t="s">
        <v>311</v>
      </c>
      <c r="C121" t="s">
        <v>25</v>
      </c>
      <c r="D121" s="1">
        <v>444.71</v>
      </c>
      <c r="E121" s="2">
        <v>34</v>
      </c>
      <c r="F121" s="1">
        <v>444.71</v>
      </c>
      <c r="G121" s="1">
        <v>339.02</v>
      </c>
      <c r="H121" s="2">
        <v>34</v>
      </c>
      <c r="I121" s="2">
        <v>2</v>
      </c>
    </row>
    <row r="122" spans="1:9" x14ac:dyDescent="0.25">
      <c r="A122" t="s">
        <v>224</v>
      </c>
      <c r="B122" t="s">
        <v>225</v>
      </c>
      <c r="C122" t="s">
        <v>28</v>
      </c>
      <c r="D122" s="1">
        <v>438.44</v>
      </c>
      <c r="E122" s="2">
        <v>32</v>
      </c>
      <c r="F122" s="1">
        <v>479.27</v>
      </c>
      <c r="G122" s="1">
        <v>343.79</v>
      </c>
      <c r="H122" s="2">
        <v>35</v>
      </c>
      <c r="I122" s="2">
        <v>2</v>
      </c>
    </row>
    <row r="123" spans="1:9" x14ac:dyDescent="0.25">
      <c r="A123" t="s">
        <v>146</v>
      </c>
      <c r="B123" t="s">
        <v>147</v>
      </c>
      <c r="C123" t="s">
        <v>25</v>
      </c>
      <c r="D123" s="1">
        <v>437.95</v>
      </c>
      <c r="E123" s="2">
        <v>5</v>
      </c>
      <c r="F123" s="1">
        <v>437.95</v>
      </c>
      <c r="G123" s="1">
        <v>365.75</v>
      </c>
      <c r="H123" s="2">
        <v>5</v>
      </c>
      <c r="I123" s="2">
        <v>1</v>
      </c>
    </row>
    <row r="124" spans="1:9" x14ac:dyDescent="0.25">
      <c r="A124" t="s">
        <v>104</v>
      </c>
      <c r="B124" t="s">
        <v>105</v>
      </c>
      <c r="C124" t="s">
        <v>25</v>
      </c>
      <c r="D124" s="1">
        <v>437.22</v>
      </c>
      <c r="E124" s="2">
        <v>7</v>
      </c>
      <c r="F124" s="1">
        <v>437.22</v>
      </c>
      <c r="G124" s="1">
        <v>472.5</v>
      </c>
      <c r="H124" s="2">
        <v>7</v>
      </c>
      <c r="I124" s="2">
        <v>1</v>
      </c>
    </row>
    <row r="125" spans="1:9" x14ac:dyDescent="0.25">
      <c r="A125" t="s">
        <v>304</v>
      </c>
      <c r="B125" t="s">
        <v>305</v>
      </c>
      <c r="C125" t="s">
        <v>11</v>
      </c>
      <c r="D125" s="1">
        <v>433.99</v>
      </c>
      <c r="E125" s="2">
        <v>7</v>
      </c>
      <c r="F125" s="1">
        <v>433.99</v>
      </c>
      <c r="G125" s="1">
        <v>406</v>
      </c>
      <c r="H125" s="2">
        <v>7</v>
      </c>
      <c r="I125" s="2">
        <v>1</v>
      </c>
    </row>
    <row r="126" spans="1:9" x14ac:dyDescent="0.25">
      <c r="A126" t="s">
        <v>210</v>
      </c>
      <c r="B126" t="s">
        <v>211</v>
      </c>
      <c r="C126" t="s">
        <v>11</v>
      </c>
      <c r="D126" s="1">
        <v>432.96</v>
      </c>
      <c r="E126" s="2">
        <v>33</v>
      </c>
      <c r="F126" s="1">
        <v>407.04</v>
      </c>
      <c r="G126" s="1">
        <v>145.5</v>
      </c>
      <c r="H126" s="2">
        <v>32</v>
      </c>
      <c r="I126" t="s">
        <v>81</v>
      </c>
    </row>
    <row r="127" spans="1:9" x14ac:dyDescent="0.25">
      <c r="A127" t="s">
        <v>71</v>
      </c>
      <c r="B127" t="s">
        <v>72</v>
      </c>
      <c r="C127" t="s">
        <v>16</v>
      </c>
      <c r="D127" s="1">
        <v>431.8</v>
      </c>
      <c r="E127" s="2">
        <v>20</v>
      </c>
      <c r="F127" s="1">
        <v>431.8</v>
      </c>
      <c r="G127" s="1">
        <v>361.21</v>
      </c>
      <c r="H127" s="2">
        <v>20</v>
      </c>
      <c r="I127" s="2">
        <v>1</v>
      </c>
    </row>
    <row r="128" spans="1:9" x14ac:dyDescent="0.25">
      <c r="A128" t="s">
        <v>17</v>
      </c>
      <c r="B128" t="s">
        <v>18</v>
      </c>
      <c r="C128" t="s">
        <v>28</v>
      </c>
      <c r="D128" s="1">
        <v>429.83</v>
      </c>
      <c r="E128" s="2">
        <v>30</v>
      </c>
      <c r="F128" s="1">
        <v>443.8</v>
      </c>
      <c r="G128" s="1">
        <v>306.89999999999998</v>
      </c>
      <c r="H128" s="2">
        <v>31</v>
      </c>
      <c r="I128" s="2">
        <v>9</v>
      </c>
    </row>
    <row r="129" spans="1:9" x14ac:dyDescent="0.25">
      <c r="A129" t="s">
        <v>310</v>
      </c>
      <c r="B129" t="s">
        <v>311</v>
      </c>
      <c r="C129" t="s">
        <v>28</v>
      </c>
      <c r="D129" s="1">
        <v>429.59</v>
      </c>
      <c r="E129" s="2">
        <v>29</v>
      </c>
      <c r="F129" s="1">
        <v>542.57000000000005</v>
      </c>
      <c r="G129" s="1">
        <v>327.08</v>
      </c>
      <c r="H129" s="2">
        <v>36</v>
      </c>
      <c r="I129" s="2">
        <v>3</v>
      </c>
    </row>
    <row r="130" spans="1:9" x14ac:dyDescent="0.25">
      <c r="A130" t="s">
        <v>92</v>
      </c>
      <c r="B130" t="s">
        <v>93</v>
      </c>
      <c r="C130" t="s">
        <v>16</v>
      </c>
      <c r="D130" s="1">
        <v>418</v>
      </c>
      <c r="E130" s="2">
        <v>25</v>
      </c>
      <c r="F130" s="1">
        <v>351.12</v>
      </c>
      <c r="G130" s="1">
        <v>236.25</v>
      </c>
      <c r="H130" s="2">
        <v>21</v>
      </c>
      <c r="I130" s="2">
        <v>3</v>
      </c>
    </row>
    <row r="131" spans="1:9" x14ac:dyDescent="0.25">
      <c r="A131" t="s">
        <v>120</v>
      </c>
      <c r="B131" t="s">
        <v>121</v>
      </c>
      <c r="C131" t="s">
        <v>16</v>
      </c>
      <c r="D131" s="1">
        <v>416.22</v>
      </c>
      <c r="E131" s="2">
        <v>13</v>
      </c>
      <c r="F131" s="1">
        <v>399.68</v>
      </c>
      <c r="G131" s="1">
        <v>271.7</v>
      </c>
      <c r="H131" s="2">
        <v>13</v>
      </c>
      <c r="I131" s="2">
        <v>4</v>
      </c>
    </row>
    <row r="132" spans="1:9" x14ac:dyDescent="0.25">
      <c r="A132" t="s">
        <v>100</v>
      </c>
      <c r="B132" t="s">
        <v>101</v>
      </c>
      <c r="C132" t="s">
        <v>11</v>
      </c>
      <c r="D132" s="1">
        <v>415.55</v>
      </c>
      <c r="E132" s="2">
        <v>7</v>
      </c>
      <c r="F132" s="1">
        <v>415.55</v>
      </c>
      <c r="G132" s="1">
        <v>399.79</v>
      </c>
      <c r="H132" s="2">
        <v>7</v>
      </c>
      <c r="I132" s="2">
        <v>4</v>
      </c>
    </row>
    <row r="133" spans="1:9" x14ac:dyDescent="0.25">
      <c r="A133" t="s">
        <v>110</v>
      </c>
      <c r="B133" t="s">
        <v>111</v>
      </c>
      <c r="C133" t="s">
        <v>16</v>
      </c>
      <c r="D133" s="1">
        <v>413.53</v>
      </c>
      <c r="E133" s="2">
        <v>24</v>
      </c>
      <c r="F133" s="1">
        <v>413.53</v>
      </c>
      <c r="G133" s="1">
        <v>319.05</v>
      </c>
      <c r="H133" s="2">
        <v>24</v>
      </c>
      <c r="I133" s="2">
        <v>2</v>
      </c>
    </row>
    <row r="134" spans="1:9" x14ac:dyDescent="0.25">
      <c r="A134" t="s">
        <v>140</v>
      </c>
      <c r="B134" t="s">
        <v>141</v>
      </c>
      <c r="C134" t="s">
        <v>28</v>
      </c>
      <c r="D134" s="1">
        <v>413.04</v>
      </c>
      <c r="E134" s="2">
        <v>18</v>
      </c>
      <c r="F134" s="1">
        <v>413.04</v>
      </c>
      <c r="G134" s="1">
        <v>253.08</v>
      </c>
      <c r="H134" s="2">
        <v>18</v>
      </c>
      <c r="I134" s="2">
        <v>1</v>
      </c>
    </row>
    <row r="135" spans="1:9" x14ac:dyDescent="0.25">
      <c r="A135" t="s">
        <v>126</v>
      </c>
      <c r="B135" t="s">
        <v>127</v>
      </c>
      <c r="C135" t="s">
        <v>25</v>
      </c>
      <c r="D135" s="1">
        <v>405.65</v>
      </c>
      <c r="E135" s="2">
        <v>85</v>
      </c>
      <c r="F135" s="1">
        <v>387.35</v>
      </c>
      <c r="G135" s="1">
        <v>164</v>
      </c>
      <c r="H135" s="2">
        <v>82</v>
      </c>
      <c r="I135" t="s">
        <v>81</v>
      </c>
    </row>
    <row r="136" spans="1:9" x14ac:dyDescent="0.25">
      <c r="A136" t="s">
        <v>63</v>
      </c>
      <c r="B136" t="s">
        <v>64</v>
      </c>
      <c r="C136" t="s">
        <v>25</v>
      </c>
      <c r="D136" s="1">
        <v>404.39</v>
      </c>
      <c r="E136" s="2">
        <v>7</v>
      </c>
      <c r="F136" s="1">
        <v>462.16</v>
      </c>
      <c r="G136" s="1">
        <v>388.96</v>
      </c>
      <c r="H136" s="2">
        <v>8</v>
      </c>
      <c r="I136" t="s">
        <v>81</v>
      </c>
    </row>
    <row r="137" spans="1:9" x14ac:dyDescent="0.25">
      <c r="A137" t="s">
        <v>306</v>
      </c>
      <c r="B137" t="s">
        <v>307</v>
      </c>
      <c r="C137" t="s">
        <v>11</v>
      </c>
      <c r="D137" s="1">
        <v>402.93</v>
      </c>
      <c r="E137" s="2">
        <v>33</v>
      </c>
      <c r="F137" s="1">
        <v>402.93</v>
      </c>
      <c r="G137" s="1">
        <v>214.35</v>
      </c>
      <c r="H137" s="2">
        <v>33</v>
      </c>
      <c r="I137" s="2">
        <v>3</v>
      </c>
    </row>
    <row r="138" spans="1:9" x14ac:dyDescent="0.25">
      <c r="A138" t="s">
        <v>604</v>
      </c>
      <c r="B138" t="s">
        <v>605</v>
      </c>
      <c r="C138" t="s">
        <v>16</v>
      </c>
      <c r="D138" s="1">
        <v>387.1</v>
      </c>
      <c r="E138" s="2">
        <v>14</v>
      </c>
      <c r="F138" s="1">
        <v>359.45</v>
      </c>
      <c r="G138" s="1">
        <v>240.5</v>
      </c>
      <c r="H138" s="2">
        <v>13</v>
      </c>
      <c r="I138" s="2">
        <v>2</v>
      </c>
    </row>
    <row r="139" spans="1:9" x14ac:dyDescent="0.25">
      <c r="A139" t="s">
        <v>82</v>
      </c>
      <c r="B139" t="s">
        <v>83</v>
      </c>
      <c r="C139" t="s">
        <v>11</v>
      </c>
      <c r="D139" s="1">
        <v>380.8</v>
      </c>
      <c r="E139" s="2">
        <v>4</v>
      </c>
      <c r="F139" s="1">
        <v>490.05</v>
      </c>
      <c r="G139" s="1">
        <v>280.55</v>
      </c>
      <c r="H139" s="2">
        <v>5</v>
      </c>
      <c r="I139" t="s">
        <v>81</v>
      </c>
    </row>
    <row r="140" spans="1:9" x14ac:dyDescent="0.25">
      <c r="A140" t="s">
        <v>304</v>
      </c>
      <c r="B140" t="s">
        <v>305</v>
      </c>
      <c r="C140" t="s">
        <v>16</v>
      </c>
      <c r="D140" s="1">
        <v>376.32</v>
      </c>
      <c r="E140" s="2">
        <v>9</v>
      </c>
      <c r="F140" s="1">
        <v>376.32</v>
      </c>
      <c r="G140" s="1">
        <v>522</v>
      </c>
      <c r="H140" s="2">
        <v>9</v>
      </c>
      <c r="I140" s="2">
        <v>2</v>
      </c>
    </row>
    <row r="141" spans="1:9" x14ac:dyDescent="0.25">
      <c r="A141" t="s">
        <v>134</v>
      </c>
      <c r="B141" t="s">
        <v>135</v>
      </c>
      <c r="C141" t="s">
        <v>28</v>
      </c>
      <c r="D141" s="1">
        <v>374.22</v>
      </c>
      <c r="E141" s="2">
        <v>9</v>
      </c>
      <c r="F141" s="1">
        <v>374.22</v>
      </c>
      <c r="G141" s="1">
        <v>324</v>
      </c>
      <c r="H141" s="2">
        <v>9</v>
      </c>
      <c r="I141" s="2">
        <v>1</v>
      </c>
    </row>
    <row r="142" spans="1:9" x14ac:dyDescent="0.25">
      <c r="A142" t="s">
        <v>136</v>
      </c>
      <c r="B142" t="s">
        <v>137</v>
      </c>
      <c r="C142" t="s">
        <v>28</v>
      </c>
      <c r="D142" s="1">
        <v>373.8</v>
      </c>
      <c r="E142" s="2">
        <v>15</v>
      </c>
      <c r="F142" s="1">
        <v>373.8</v>
      </c>
      <c r="G142" s="1">
        <v>268.95</v>
      </c>
      <c r="H142" s="2">
        <v>15</v>
      </c>
      <c r="I142" t="s">
        <v>81</v>
      </c>
    </row>
    <row r="143" spans="1:9" x14ac:dyDescent="0.25">
      <c r="A143" t="s">
        <v>49</v>
      </c>
      <c r="B143" t="s">
        <v>50</v>
      </c>
      <c r="C143" t="s">
        <v>28</v>
      </c>
      <c r="D143" s="1">
        <v>370.9</v>
      </c>
      <c r="E143" s="2">
        <v>9</v>
      </c>
      <c r="F143" s="1">
        <v>330.15</v>
      </c>
      <c r="G143" s="1">
        <v>288</v>
      </c>
      <c r="H143" s="2">
        <v>8</v>
      </c>
      <c r="I143" t="s">
        <v>81</v>
      </c>
    </row>
    <row r="144" spans="1:9" x14ac:dyDescent="0.25">
      <c r="A144" t="s">
        <v>17</v>
      </c>
      <c r="B144" t="s">
        <v>18</v>
      </c>
      <c r="C144" t="s">
        <v>25</v>
      </c>
      <c r="D144" s="1">
        <v>363.22</v>
      </c>
      <c r="E144" s="2">
        <v>26</v>
      </c>
      <c r="F144" s="1">
        <v>377.19</v>
      </c>
      <c r="G144" s="1">
        <v>267.3</v>
      </c>
      <c r="H144" s="2">
        <v>27</v>
      </c>
      <c r="I144" s="2">
        <v>2</v>
      </c>
    </row>
    <row r="145" spans="1:9" x14ac:dyDescent="0.25">
      <c r="A145" t="s">
        <v>254</v>
      </c>
      <c r="B145" t="s">
        <v>255</v>
      </c>
      <c r="C145" t="s">
        <v>11</v>
      </c>
      <c r="D145" s="1">
        <v>357.47</v>
      </c>
      <c r="E145" s="2">
        <v>57</v>
      </c>
      <c r="F145" s="1">
        <v>326.04000000000002</v>
      </c>
      <c r="G145" s="1">
        <v>156.52000000000001</v>
      </c>
      <c r="H145" s="2">
        <v>52</v>
      </c>
      <c r="I145" t="s">
        <v>81</v>
      </c>
    </row>
    <row r="146" spans="1:9" x14ac:dyDescent="0.25">
      <c r="A146" t="s">
        <v>156</v>
      </c>
      <c r="B146" t="s">
        <v>157</v>
      </c>
      <c r="C146" t="s">
        <v>28</v>
      </c>
      <c r="D146" s="1">
        <v>352.75</v>
      </c>
      <c r="E146" s="2">
        <v>17</v>
      </c>
      <c r="F146" s="1">
        <v>373.5</v>
      </c>
      <c r="G146" s="1">
        <v>348.3</v>
      </c>
      <c r="H146" s="2">
        <v>18</v>
      </c>
      <c r="I146" s="2">
        <v>4</v>
      </c>
    </row>
    <row r="147" spans="1:9" x14ac:dyDescent="0.25">
      <c r="A147" t="s">
        <v>186</v>
      </c>
      <c r="B147" t="s">
        <v>187</v>
      </c>
      <c r="C147" t="s">
        <v>28</v>
      </c>
      <c r="D147" s="1">
        <v>348.96</v>
      </c>
      <c r="E147" s="2">
        <v>12</v>
      </c>
      <c r="F147" s="1">
        <v>290.8</v>
      </c>
      <c r="G147" s="1">
        <v>225</v>
      </c>
      <c r="H147" s="2">
        <v>10</v>
      </c>
      <c r="I147" s="2">
        <v>1</v>
      </c>
    </row>
    <row r="148" spans="1:9" x14ac:dyDescent="0.25">
      <c r="A148" t="s">
        <v>94</v>
      </c>
      <c r="B148" t="s">
        <v>95</v>
      </c>
      <c r="C148" t="s">
        <v>28</v>
      </c>
      <c r="D148" s="1">
        <v>348.88</v>
      </c>
      <c r="E148" s="2">
        <v>14</v>
      </c>
      <c r="F148" s="1">
        <v>348.88</v>
      </c>
      <c r="G148" s="1">
        <v>283.5</v>
      </c>
      <c r="H148" s="2">
        <v>14</v>
      </c>
      <c r="I148" s="2">
        <v>3</v>
      </c>
    </row>
    <row r="149" spans="1:9" x14ac:dyDescent="0.25">
      <c r="A149" t="s">
        <v>205</v>
      </c>
      <c r="B149" t="s">
        <v>206</v>
      </c>
      <c r="C149" t="s">
        <v>28</v>
      </c>
      <c r="D149" s="1">
        <v>342.57</v>
      </c>
      <c r="E149" s="2">
        <v>3</v>
      </c>
      <c r="F149" s="1">
        <v>342.57</v>
      </c>
      <c r="G149" s="1">
        <v>199.5</v>
      </c>
      <c r="H149" s="2">
        <v>3</v>
      </c>
      <c r="I149" s="2">
        <v>1</v>
      </c>
    </row>
    <row r="150" spans="1:9" x14ac:dyDescent="0.25">
      <c r="A150" t="s">
        <v>41</v>
      </c>
      <c r="B150" t="s">
        <v>42</v>
      </c>
      <c r="C150" t="s">
        <v>25</v>
      </c>
      <c r="D150" s="1">
        <v>341.8</v>
      </c>
      <c r="E150" s="2">
        <v>26</v>
      </c>
      <c r="F150" s="1">
        <v>341.8</v>
      </c>
      <c r="G150" s="1">
        <v>252.2</v>
      </c>
      <c r="H150" s="2">
        <v>26</v>
      </c>
      <c r="I150" s="2">
        <v>3</v>
      </c>
    </row>
    <row r="151" spans="1:9" x14ac:dyDescent="0.25">
      <c r="A151" t="s">
        <v>112</v>
      </c>
      <c r="B151" t="s">
        <v>113</v>
      </c>
      <c r="C151" t="s">
        <v>25</v>
      </c>
      <c r="D151" s="1">
        <v>339.2</v>
      </c>
      <c r="E151" s="2">
        <v>32</v>
      </c>
      <c r="F151" s="1">
        <v>339.2</v>
      </c>
      <c r="G151" s="1">
        <v>247.5</v>
      </c>
      <c r="H151" s="2">
        <v>32</v>
      </c>
      <c r="I151" t="s">
        <v>81</v>
      </c>
    </row>
    <row r="152" spans="1:9" x14ac:dyDescent="0.25">
      <c r="A152" t="s">
        <v>218</v>
      </c>
      <c r="B152" t="s">
        <v>219</v>
      </c>
      <c r="C152" t="s">
        <v>28</v>
      </c>
      <c r="D152" s="1">
        <v>333</v>
      </c>
      <c r="E152" s="2">
        <v>50</v>
      </c>
      <c r="F152" s="1">
        <v>326.33999999999997</v>
      </c>
      <c r="G152" s="1">
        <v>164.04</v>
      </c>
      <c r="H152" s="2">
        <v>49</v>
      </c>
      <c r="I152" s="2">
        <v>1</v>
      </c>
    </row>
    <row r="153" spans="1:9" x14ac:dyDescent="0.25">
      <c r="A153" t="s">
        <v>71</v>
      </c>
      <c r="B153" t="s">
        <v>72</v>
      </c>
      <c r="C153" t="s">
        <v>28</v>
      </c>
      <c r="D153" s="1">
        <v>323.95999999999998</v>
      </c>
      <c r="E153" s="2">
        <v>13</v>
      </c>
      <c r="F153" s="1">
        <v>299.04000000000002</v>
      </c>
      <c r="G153" s="1">
        <v>216</v>
      </c>
      <c r="H153" s="2">
        <v>12</v>
      </c>
      <c r="I153" t="s">
        <v>81</v>
      </c>
    </row>
    <row r="154" spans="1:9" x14ac:dyDescent="0.25">
      <c r="A154" t="s">
        <v>146</v>
      </c>
      <c r="B154" t="s">
        <v>147</v>
      </c>
      <c r="C154" t="s">
        <v>11</v>
      </c>
      <c r="D154" s="1">
        <v>314.75</v>
      </c>
      <c r="E154" s="2">
        <v>4</v>
      </c>
      <c r="F154" s="1">
        <v>388.24</v>
      </c>
      <c r="G154" s="1">
        <v>365.75</v>
      </c>
      <c r="H154" s="2">
        <v>5</v>
      </c>
      <c r="I154" t="s">
        <v>81</v>
      </c>
    </row>
    <row r="155" spans="1:9" x14ac:dyDescent="0.25">
      <c r="A155" t="s">
        <v>624</v>
      </c>
      <c r="B155" t="s">
        <v>625</v>
      </c>
      <c r="C155" t="s">
        <v>16</v>
      </c>
      <c r="D155" s="1">
        <v>301.83999999999997</v>
      </c>
      <c r="E155" s="2">
        <v>8</v>
      </c>
      <c r="F155" s="1">
        <v>264.11</v>
      </c>
      <c r="G155" s="1">
        <v>179.55</v>
      </c>
      <c r="H155" s="2">
        <v>7</v>
      </c>
      <c r="I155" s="2">
        <v>3</v>
      </c>
    </row>
    <row r="156" spans="1:9" x14ac:dyDescent="0.25">
      <c r="A156" t="s">
        <v>164</v>
      </c>
      <c r="B156" t="s">
        <v>165</v>
      </c>
      <c r="C156" t="s">
        <v>11</v>
      </c>
      <c r="D156" s="1">
        <v>294.60000000000002</v>
      </c>
      <c r="E156" s="2">
        <v>6</v>
      </c>
      <c r="F156" s="1">
        <v>294.60000000000002</v>
      </c>
      <c r="G156" s="1">
        <v>243</v>
      </c>
      <c r="H156" s="2">
        <v>6</v>
      </c>
      <c r="I156" s="2">
        <v>2</v>
      </c>
    </row>
    <row r="157" spans="1:9" x14ac:dyDescent="0.25">
      <c r="A157" t="s">
        <v>376</v>
      </c>
      <c r="B157" t="s">
        <v>377</v>
      </c>
      <c r="C157" t="s">
        <v>11</v>
      </c>
      <c r="D157" s="1">
        <v>281</v>
      </c>
      <c r="E157" s="2">
        <v>45</v>
      </c>
      <c r="F157" s="1">
        <v>281</v>
      </c>
      <c r="G157" s="1">
        <v>118.69</v>
      </c>
      <c r="H157" s="2">
        <v>45</v>
      </c>
      <c r="I157" s="2">
        <v>2</v>
      </c>
    </row>
    <row r="158" spans="1:9" x14ac:dyDescent="0.25">
      <c r="A158" t="s">
        <v>138</v>
      </c>
      <c r="B158" t="s">
        <v>139</v>
      </c>
      <c r="C158" t="s">
        <v>11</v>
      </c>
      <c r="D158" s="1">
        <v>278.64</v>
      </c>
      <c r="E158" s="2">
        <v>43</v>
      </c>
      <c r="F158" s="1">
        <v>285.12</v>
      </c>
      <c r="G158" s="1">
        <v>160.80000000000001</v>
      </c>
      <c r="H158" s="2">
        <v>44</v>
      </c>
      <c r="I158" s="2">
        <v>2</v>
      </c>
    </row>
    <row r="159" spans="1:9" x14ac:dyDescent="0.25">
      <c r="A159" t="s">
        <v>160</v>
      </c>
      <c r="B159" t="s">
        <v>161</v>
      </c>
      <c r="C159" t="s">
        <v>25</v>
      </c>
      <c r="D159" s="1">
        <v>275.08</v>
      </c>
      <c r="E159" s="2">
        <v>25</v>
      </c>
      <c r="F159" s="1">
        <v>275.43</v>
      </c>
      <c r="G159" s="1">
        <v>172.5</v>
      </c>
      <c r="H159" s="2">
        <v>25</v>
      </c>
      <c r="I159" s="2">
        <v>2</v>
      </c>
    </row>
    <row r="160" spans="1:9" x14ac:dyDescent="0.25">
      <c r="A160" t="s">
        <v>158</v>
      </c>
      <c r="B160" t="s">
        <v>159</v>
      </c>
      <c r="C160" t="s">
        <v>16</v>
      </c>
      <c r="D160" s="1">
        <v>274.8</v>
      </c>
      <c r="E160" s="2">
        <v>3</v>
      </c>
      <c r="F160" s="1">
        <v>366.4</v>
      </c>
      <c r="G160" s="1">
        <v>272.51</v>
      </c>
      <c r="H160" s="2">
        <v>4</v>
      </c>
      <c r="I160" s="2">
        <v>3</v>
      </c>
    </row>
    <row r="161" spans="1:9" x14ac:dyDescent="0.25">
      <c r="A161" t="s">
        <v>152</v>
      </c>
      <c r="B161" t="s">
        <v>153</v>
      </c>
      <c r="C161" t="s">
        <v>16</v>
      </c>
      <c r="D161" s="1">
        <v>269.36</v>
      </c>
      <c r="E161" s="2">
        <v>14</v>
      </c>
      <c r="F161" s="1">
        <v>269.36</v>
      </c>
      <c r="G161" s="1">
        <v>195.3</v>
      </c>
      <c r="H161" s="2">
        <v>14</v>
      </c>
      <c r="I161" s="2">
        <v>5</v>
      </c>
    </row>
    <row r="162" spans="1:9" x14ac:dyDescent="0.25">
      <c r="A162" t="s">
        <v>67</v>
      </c>
      <c r="B162" t="s">
        <v>68</v>
      </c>
      <c r="C162" t="s">
        <v>28</v>
      </c>
      <c r="D162" s="1">
        <v>266.61</v>
      </c>
      <c r="E162" s="2">
        <v>6</v>
      </c>
      <c r="F162" s="1">
        <v>225.62</v>
      </c>
      <c r="G162" s="1">
        <v>202.5</v>
      </c>
      <c r="H162" s="2">
        <v>5</v>
      </c>
      <c r="I162" s="2">
        <v>1</v>
      </c>
    </row>
    <row r="163" spans="1:9" x14ac:dyDescent="0.25">
      <c r="A163" t="s">
        <v>628</v>
      </c>
      <c r="B163" t="s">
        <v>629</v>
      </c>
      <c r="C163" t="s">
        <v>16</v>
      </c>
      <c r="D163" s="1">
        <v>266.45999999999998</v>
      </c>
      <c r="E163" s="2">
        <v>2</v>
      </c>
      <c r="F163" s="1">
        <v>266.45999999999998</v>
      </c>
      <c r="G163" s="1">
        <v>196</v>
      </c>
      <c r="H163" s="2">
        <v>2</v>
      </c>
      <c r="I163" s="2">
        <v>1</v>
      </c>
    </row>
    <row r="164" spans="1:9" x14ac:dyDescent="0.25">
      <c r="A164" t="s">
        <v>293</v>
      </c>
      <c r="B164" t="s">
        <v>294</v>
      </c>
      <c r="C164" t="s">
        <v>11</v>
      </c>
      <c r="D164" s="1">
        <v>266.22000000000003</v>
      </c>
      <c r="E164" s="2">
        <v>22</v>
      </c>
      <c r="F164" s="1">
        <v>302.85000000000002</v>
      </c>
      <c r="G164" s="1">
        <v>201.97</v>
      </c>
      <c r="H164" s="2">
        <v>25</v>
      </c>
      <c r="I164" s="2">
        <v>3</v>
      </c>
    </row>
    <row r="165" spans="1:9" x14ac:dyDescent="0.25">
      <c r="A165" t="s">
        <v>370</v>
      </c>
      <c r="B165" t="s">
        <v>371</v>
      </c>
      <c r="C165" t="s">
        <v>16</v>
      </c>
      <c r="D165" s="1">
        <v>264.99</v>
      </c>
      <c r="E165" s="2">
        <v>21</v>
      </c>
      <c r="F165" s="1">
        <v>264.99</v>
      </c>
      <c r="G165" s="1">
        <v>405.3</v>
      </c>
      <c r="H165" s="2">
        <v>21</v>
      </c>
      <c r="I165" s="2">
        <v>2</v>
      </c>
    </row>
    <row r="166" spans="1:9" x14ac:dyDescent="0.25">
      <c r="A166" t="s">
        <v>168</v>
      </c>
      <c r="B166" t="s">
        <v>169</v>
      </c>
      <c r="C166" t="s">
        <v>11</v>
      </c>
      <c r="D166" s="1">
        <v>261.66000000000003</v>
      </c>
      <c r="E166" s="2">
        <v>54</v>
      </c>
      <c r="F166" s="1">
        <v>241.21</v>
      </c>
      <c r="G166" s="1">
        <v>248.17</v>
      </c>
      <c r="H166" s="2">
        <v>49</v>
      </c>
      <c r="I166" t="s">
        <v>81</v>
      </c>
    </row>
    <row r="167" spans="1:9" x14ac:dyDescent="0.25">
      <c r="A167" t="s">
        <v>234</v>
      </c>
      <c r="B167" t="s">
        <v>235</v>
      </c>
      <c r="C167" t="s">
        <v>11</v>
      </c>
      <c r="D167" s="1">
        <v>261.60000000000002</v>
      </c>
      <c r="E167" s="2">
        <v>8</v>
      </c>
      <c r="F167" s="1">
        <v>228.9</v>
      </c>
      <c r="G167" s="1">
        <v>141.05000000000001</v>
      </c>
      <c r="H167" s="2">
        <v>7</v>
      </c>
      <c r="I167" s="2">
        <v>3</v>
      </c>
    </row>
    <row r="168" spans="1:9" x14ac:dyDescent="0.25">
      <c r="A168" t="s">
        <v>12</v>
      </c>
      <c r="B168" t="s">
        <v>13</v>
      </c>
      <c r="C168" t="s">
        <v>11</v>
      </c>
      <c r="D168" s="1">
        <v>260.2</v>
      </c>
      <c r="E168" s="2">
        <v>14</v>
      </c>
      <c r="F168" s="1">
        <v>276.51</v>
      </c>
      <c r="G168" s="1">
        <v>147.15</v>
      </c>
      <c r="H168" s="2">
        <v>15</v>
      </c>
      <c r="I168" s="2">
        <v>160</v>
      </c>
    </row>
    <row r="169" spans="1:9" x14ac:dyDescent="0.25">
      <c r="A169" t="s">
        <v>122</v>
      </c>
      <c r="B169" t="s">
        <v>123</v>
      </c>
      <c r="C169" t="s">
        <v>11</v>
      </c>
      <c r="D169" s="1">
        <v>253.92</v>
      </c>
      <c r="E169" s="2">
        <v>10</v>
      </c>
      <c r="F169" s="1">
        <v>204.9</v>
      </c>
      <c r="G169" s="1">
        <v>153.11000000000001</v>
      </c>
      <c r="H169" s="2">
        <v>8</v>
      </c>
      <c r="I169" s="2">
        <v>16</v>
      </c>
    </row>
    <row r="170" spans="1:9" x14ac:dyDescent="0.25">
      <c r="A170" t="s">
        <v>624</v>
      </c>
      <c r="B170" t="s">
        <v>625</v>
      </c>
      <c r="C170" t="s">
        <v>207</v>
      </c>
      <c r="D170" s="1">
        <v>253.72</v>
      </c>
      <c r="E170" s="2">
        <v>10</v>
      </c>
      <c r="F170" s="1">
        <v>253.72</v>
      </c>
      <c r="G170" s="1">
        <v>316.75</v>
      </c>
      <c r="H170" s="2">
        <v>10</v>
      </c>
      <c r="I170" t="s">
        <v>81</v>
      </c>
    </row>
    <row r="171" spans="1:9" x14ac:dyDescent="0.25">
      <c r="A171" t="s">
        <v>136</v>
      </c>
      <c r="B171" t="s">
        <v>137</v>
      </c>
      <c r="C171" t="s">
        <v>16</v>
      </c>
      <c r="D171" s="1">
        <v>251.3</v>
      </c>
      <c r="E171" s="2">
        <v>10</v>
      </c>
      <c r="F171" s="1">
        <v>226.17</v>
      </c>
      <c r="G171" s="1">
        <v>161.37</v>
      </c>
      <c r="H171" s="2">
        <v>9</v>
      </c>
      <c r="I171" s="2">
        <v>2</v>
      </c>
    </row>
    <row r="172" spans="1:9" x14ac:dyDescent="0.25">
      <c r="A172" t="s">
        <v>604</v>
      </c>
      <c r="B172" t="s">
        <v>605</v>
      </c>
      <c r="C172" t="s">
        <v>25</v>
      </c>
      <c r="D172" s="1">
        <v>244.71</v>
      </c>
      <c r="E172" s="2">
        <v>9</v>
      </c>
      <c r="F172" s="1">
        <v>244.71</v>
      </c>
      <c r="G172" s="1">
        <v>166.5</v>
      </c>
      <c r="H172" s="2">
        <v>9</v>
      </c>
      <c r="I172" s="2">
        <v>1</v>
      </c>
    </row>
    <row r="173" spans="1:9" x14ac:dyDescent="0.25">
      <c r="A173" t="s">
        <v>104</v>
      </c>
      <c r="B173" t="s">
        <v>105</v>
      </c>
      <c r="C173" t="s">
        <v>28</v>
      </c>
      <c r="D173" s="1">
        <v>239.7</v>
      </c>
      <c r="E173" s="2">
        <v>3</v>
      </c>
      <c r="F173" s="1">
        <v>239.7</v>
      </c>
      <c r="G173" s="1">
        <v>202.5</v>
      </c>
      <c r="H173" s="2">
        <v>3</v>
      </c>
      <c r="I173" s="2">
        <v>1</v>
      </c>
    </row>
    <row r="174" spans="1:9" x14ac:dyDescent="0.25">
      <c r="A174" t="s">
        <v>26</v>
      </c>
      <c r="B174" t="s">
        <v>27</v>
      </c>
      <c r="C174" t="s">
        <v>28</v>
      </c>
      <c r="D174" s="1">
        <v>232.64</v>
      </c>
      <c r="E174" s="2">
        <v>8</v>
      </c>
      <c r="F174" s="1">
        <v>290.8</v>
      </c>
      <c r="G174" s="1">
        <v>259.88</v>
      </c>
      <c r="H174" s="2">
        <v>10</v>
      </c>
      <c r="I174" s="2">
        <v>24</v>
      </c>
    </row>
    <row r="175" spans="1:9" x14ac:dyDescent="0.25">
      <c r="A175" t="s">
        <v>194</v>
      </c>
      <c r="B175" t="s">
        <v>195</v>
      </c>
      <c r="C175" t="s">
        <v>25</v>
      </c>
      <c r="D175" s="1">
        <v>232.56</v>
      </c>
      <c r="E175" s="2">
        <v>6</v>
      </c>
      <c r="F175" s="1">
        <v>232.56</v>
      </c>
      <c r="G175" s="1">
        <v>179.52</v>
      </c>
      <c r="H175" s="2">
        <v>6</v>
      </c>
      <c r="I175" s="2">
        <v>4</v>
      </c>
    </row>
    <row r="176" spans="1:9" x14ac:dyDescent="0.25">
      <c r="A176" t="s">
        <v>120</v>
      </c>
      <c r="B176" t="s">
        <v>121</v>
      </c>
      <c r="C176" t="s">
        <v>25</v>
      </c>
      <c r="D176" s="1">
        <v>230.72</v>
      </c>
      <c r="E176" s="2">
        <v>8</v>
      </c>
      <c r="F176" s="1">
        <v>201.88</v>
      </c>
      <c r="G176" s="1">
        <v>145.19999999999999</v>
      </c>
      <c r="H176" s="2">
        <v>7</v>
      </c>
      <c r="I176" s="2">
        <v>4</v>
      </c>
    </row>
    <row r="177" spans="1:9" x14ac:dyDescent="0.25">
      <c r="A177" t="s">
        <v>140</v>
      </c>
      <c r="B177" t="s">
        <v>141</v>
      </c>
      <c r="C177" t="s">
        <v>25</v>
      </c>
      <c r="D177" s="1">
        <v>227.16</v>
      </c>
      <c r="E177" s="2">
        <v>12</v>
      </c>
      <c r="F177" s="1">
        <v>227.16</v>
      </c>
      <c r="G177" s="1">
        <v>168.72</v>
      </c>
      <c r="H177" s="2">
        <v>12</v>
      </c>
      <c r="I177" s="2">
        <v>1</v>
      </c>
    </row>
    <row r="178" spans="1:9" x14ac:dyDescent="0.25">
      <c r="A178" t="s">
        <v>156</v>
      </c>
      <c r="B178" t="s">
        <v>157</v>
      </c>
      <c r="C178" t="s">
        <v>25</v>
      </c>
      <c r="D178" s="1">
        <v>226.38</v>
      </c>
      <c r="E178" s="2">
        <v>11</v>
      </c>
      <c r="F178" s="1">
        <v>226.38</v>
      </c>
      <c r="G178" s="1">
        <v>212.85</v>
      </c>
      <c r="H178" s="2">
        <v>11</v>
      </c>
      <c r="I178" t="s">
        <v>81</v>
      </c>
    </row>
    <row r="179" spans="1:9" x14ac:dyDescent="0.25">
      <c r="A179" t="s">
        <v>624</v>
      </c>
      <c r="B179" t="s">
        <v>625</v>
      </c>
      <c r="C179" t="s">
        <v>28</v>
      </c>
      <c r="D179" s="1">
        <v>216.31</v>
      </c>
      <c r="E179" s="2">
        <v>4</v>
      </c>
      <c r="F179" s="1">
        <v>197.66</v>
      </c>
      <c r="G179" s="1">
        <v>102.6</v>
      </c>
      <c r="H179" s="2">
        <v>4</v>
      </c>
      <c r="I179" s="2">
        <v>1</v>
      </c>
    </row>
    <row r="180" spans="1:9" x14ac:dyDescent="0.25">
      <c r="A180" t="s">
        <v>254</v>
      </c>
      <c r="B180" t="s">
        <v>255</v>
      </c>
      <c r="C180" t="s">
        <v>28</v>
      </c>
      <c r="D180" s="1">
        <v>213.12</v>
      </c>
      <c r="E180" s="2">
        <v>32</v>
      </c>
      <c r="F180" s="1">
        <v>206.46</v>
      </c>
      <c r="G180" s="1">
        <v>93.31</v>
      </c>
      <c r="H180" s="2">
        <v>31</v>
      </c>
      <c r="I180" t="s">
        <v>81</v>
      </c>
    </row>
    <row r="181" spans="1:9" x14ac:dyDescent="0.25">
      <c r="A181" t="s">
        <v>203</v>
      </c>
      <c r="B181" t="s">
        <v>204</v>
      </c>
      <c r="C181" t="s">
        <v>11</v>
      </c>
      <c r="D181" s="1">
        <v>211.74</v>
      </c>
      <c r="E181" s="2">
        <v>36</v>
      </c>
      <c r="F181" s="1">
        <v>212.68</v>
      </c>
      <c r="G181" s="1">
        <v>119.21</v>
      </c>
      <c r="H181" s="2">
        <v>36</v>
      </c>
      <c r="I181" t="s">
        <v>81</v>
      </c>
    </row>
    <row r="182" spans="1:9" x14ac:dyDescent="0.25">
      <c r="A182" t="s">
        <v>364</v>
      </c>
      <c r="B182" t="s">
        <v>365</v>
      </c>
      <c r="C182" t="s">
        <v>16</v>
      </c>
      <c r="D182" s="1">
        <v>209.65</v>
      </c>
      <c r="E182" s="2">
        <v>5</v>
      </c>
      <c r="F182" s="1">
        <v>209.65</v>
      </c>
      <c r="G182" s="1">
        <v>119.8</v>
      </c>
      <c r="H182" s="2">
        <v>5</v>
      </c>
      <c r="I182" s="2">
        <v>1</v>
      </c>
    </row>
    <row r="183" spans="1:9" x14ac:dyDescent="0.25">
      <c r="A183" t="s">
        <v>19</v>
      </c>
      <c r="B183" t="s">
        <v>20</v>
      </c>
      <c r="C183" t="s">
        <v>11</v>
      </c>
      <c r="D183" s="1">
        <v>209.45</v>
      </c>
      <c r="E183" s="2">
        <v>15</v>
      </c>
      <c r="F183" s="1">
        <v>181.02</v>
      </c>
      <c r="G183" s="1">
        <v>91.85</v>
      </c>
      <c r="H183" s="2">
        <v>12</v>
      </c>
      <c r="I183" s="2">
        <v>72</v>
      </c>
    </row>
    <row r="184" spans="1:9" x14ac:dyDescent="0.25">
      <c r="A184" t="s">
        <v>279</v>
      </c>
      <c r="B184" t="s">
        <v>280</v>
      </c>
      <c r="C184" t="s">
        <v>16</v>
      </c>
      <c r="D184" s="1">
        <v>209.2</v>
      </c>
      <c r="E184" s="2">
        <v>10</v>
      </c>
      <c r="F184" s="1">
        <v>209.2</v>
      </c>
      <c r="G184" s="1">
        <v>151.82</v>
      </c>
      <c r="H184" s="2">
        <v>10</v>
      </c>
      <c r="I184" s="2">
        <v>3</v>
      </c>
    </row>
    <row r="185" spans="1:9" x14ac:dyDescent="0.25">
      <c r="A185" t="s">
        <v>152</v>
      </c>
      <c r="B185" t="s">
        <v>153</v>
      </c>
      <c r="C185" t="s">
        <v>11</v>
      </c>
      <c r="D185" s="1">
        <v>206.47</v>
      </c>
      <c r="E185" s="2">
        <v>11</v>
      </c>
      <c r="F185" s="1">
        <v>225.24</v>
      </c>
      <c r="G185" s="1">
        <v>167.4</v>
      </c>
      <c r="H185" s="2">
        <v>12</v>
      </c>
      <c r="I185" s="2">
        <v>1</v>
      </c>
    </row>
    <row r="186" spans="1:9" x14ac:dyDescent="0.25">
      <c r="A186" t="s">
        <v>41</v>
      </c>
      <c r="B186" t="s">
        <v>42</v>
      </c>
      <c r="C186" t="s">
        <v>11</v>
      </c>
      <c r="D186" s="1">
        <v>206.03</v>
      </c>
      <c r="E186" s="2">
        <v>16</v>
      </c>
      <c r="F186" s="1">
        <v>188.9</v>
      </c>
      <c r="G186" s="1">
        <v>145.5</v>
      </c>
      <c r="H186" s="2">
        <v>15</v>
      </c>
      <c r="I186" s="2">
        <v>6</v>
      </c>
    </row>
    <row r="187" spans="1:9" x14ac:dyDescent="0.25">
      <c r="A187" t="s">
        <v>616</v>
      </c>
      <c r="B187" t="s">
        <v>617</v>
      </c>
      <c r="C187" t="s">
        <v>11</v>
      </c>
      <c r="D187" s="1">
        <v>204.5</v>
      </c>
      <c r="E187" s="2">
        <v>5</v>
      </c>
      <c r="F187" s="1">
        <v>204.5</v>
      </c>
      <c r="G187" s="1">
        <v>150</v>
      </c>
      <c r="H187" s="2">
        <v>5</v>
      </c>
      <c r="I187" t="s">
        <v>81</v>
      </c>
    </row>
    <row r="188" spans="1:9" x14ac:dyDescent="0.25">
      <c r="A188" t="s">
        <v>630</v>
      </c>
      <c r="B188" t="s">
        <v>631</v>
      </c>
      <c r="C188" t="s">
        <v>11</v>
      </c>
      <c r="D188" s="1">
        <v>204.1</v>
      </c>
      <c r="E188" s="2">
        <v>10</v>
      </c>
      <c r="F188" s="1">
        <v>204.1</v>
      </c>
      <c r="G188" s="1">
        <v>152.08000000000001</v>
      </c>
      <c r="H188" s="2">
        <v>10</v>
      </c>
      <c r="I188" s="2">
        <v>1</v>
      </c>
    </row>
    <row r="189" spans="1:9" x14ac:dyDescent="0.25">
      <c r="A189" t="s">
        <v>289</v>
      </c>
      <c r="B189" t="s">
        <v>290</v>
      </c>
      <c r="C189" t="s">
        <v>11</v>
      </c>
      <c r="D189" s="1">
        <v>203.19</v>
      </c>
      <c r="E189" s="2">
        <v>9</v>
      </c>
      <c r="F189" s="1">
        <v>202.96</v>
      </c>
      <c r="G189" s="1">
        <v>118.9</v>
      </c>
      <c r="H189" s="2">
        <v>9</v>
      </c>
      <c r="I189" s="2">
        <v>1</v>
      </c>
    </row>
    <row r="190" spans="1:9" x14ac:dyDescent="0.25">
      <c r="A190" t="s">
        <v>277</v>
      </c>
      <c r="B190" t="s">
        <v>278</v>
      </c>
      <c r="C190" t="s">
        <v>25</v>
      </c>
      <c r="D190" s="1">
        <v>201.29</v>
      </c>
      <c r="E190" s="2">
        <v>15</v>
      </c>
      <c r="F190" s="1">
        <v>214.91</v>
      </c>
      <c r="G190" s="1">
        <v>149.15</v>
      </c>
      <c r="H190" s="2">
        <v>16</v>
      </c>
      <c r="I190" t="s">
        <v>81</v>
      </c>
    </row>
    <row r="191" spans="1:9" x14ac:dyDescent="0.25">
      <c r="A191" t="s">
        <v>158</v>
      </c>
      <c r="B191" t="s">
        <v>159</v>
      </c>
      <c r="C191" t="s">
        <v>299</v>
      </c>
      <c r="D191" s="1">
        <v>200.01</v>
      </c>
      <c r="E191" s="2">
        <v>2</v>
      </c>
      <c r="F191" s="1">
        <v>200.01</v>
      </c>
      <c r="G191" s="1">
        <v>147.87</v>
      </c>
      <c r="H191" s="2">
        <v>2</v>
      </c>
      <c r="I191" s="2">
        <v>1</v>
      </c>
    </row>
    <row r="192" spans="1:9" x14ac:dyDescent="0.25">
      <c r="A192" t="s">
        <v>142</v>
      </c>
      <c r="B192" t="s">
        <v>143</v>
      </c>
      <c r="C192" t="s">
        <v>28</v>
      </c>
      <c r="D192" s="1">
        <v>199.98</v>
      </c>
      <c r="E192" s="2">
        <v>9</v>
      </c>
      <c r="F192" s="1">
        <v>199.98</v>
      </c>
      <c r="G192" s="1">
        <v>164.79</v>
      </c>
      <c r="H192" s="2">
        <v>9</v>
      </c>
      <c r="I192" s="2">
        <v>4</v>
      </c>
    </row>
    <row r="193" spans="1:9" x14ac:dyDescent="0.25">
      <c r="A193" t="s">
        <v>90</v>
      </c>
      <c r="B193" t="s">
        <v>91</v>
      </c>
      <c r="C193" t="s">
        <v>28</v>
      </c>
      <c r="D193" s="1">
        <v>199.51</v>
      </c>
      <c r="E193" s="2">
        <v>3</v>
      </c>
      <c r="F193" s="1">
        <v>199.51</v>
      </c>
      <c r="G193" s="1">
        <v>144.06</v>
      </c>
      <c r="H193" s="2">
        <v>3</v>
      </c>
      <c r="I193" s="2">
        <v>2</v>
      </c>
    </row>
    <row r="194" spans="1:9" x14ac:dyDescent="0.25">
      <c r="A194" t="s">
        <v>96</v>
      </c>
      <c r="B194" t="s">
        <v>97</v>
      </c>
      <c r="C194" t="s">
        <v>28</v>
      </c>
      <c r="D194" s="1">
        <v>197.12</v>
      </c>
      <c r="E194" s="2">
        <v>14</v>
      </c>
      <c r="F194" s="1">
        <v>352</v>
      </c>
      <c r="G194" s="1">
        <v>262.5</v>
      </c>
      <c r="H194" s="2">
        <v>25</v>
      </c>
      <c r="I194" s="2">
        <v>1</v>
      </c>
    </row>
    <row r="195" spans="1:9" x14ac:dyDescent="0.25">
      <c r="A195" t="s">
        <v>252</v>
      </c>
      <c r="B195" t="s">
        <v>253</v>
      </c>
      <c r="C195" t="s">
        <v>16</v>
      </c>
      <c r="D195" s="1">
        <v>196.84</v>
      </c>
      <c r="E195" s="2">
        <v>11</v>
      </c>
      <c r="F195" s="1">
        <v>196.84</v>
      </c>
      <c r="G195" s="1">
        <v>149.96</v>
      </c>
      <c r="H195" s="2">
        <v>11</v>
      </c>
      <c r="I195" s="2">
        <v>7</v>
      </c>
    </row>
    <row r="196" spans="1:9" x14ac:dyDescent="0.25">
      <c r="A196" t="s">
        <v>37</v>
      </c>
      <c r="B196" t="s">
        <v>38</v>
      </c>
      <c r="C196" t="s">
        <v>16</v>
      </c>
      <c r="D196" s="1">
        <v>196.73</v>
      </c>
      <c r="E196" s="2">
        <v>4</v>
      </c>
      <c r="F196" s="1">
        <v>196.73</v>
      </c>
      <c r="G196" s="1">
        <v>141.76</v>
      </c>
      <c r="H196" s="2">
        <v>4</v>
      </c>
      <c r="I196" s="2">
        <v>1</v>
      </c>
    </row>
    <row r="197" spans="1:9" x14ac:dyDescent="0.25">
      <c r="A197" t="s">
        <v>148</v>
      </c>
      <c r="B197" t="s">
        <v>149</v>
      </c>
      <c r="C197" t="s">
        <v>11</v>
      </c>
      <c r="D197" s="1">
        <v>196.2</v>
      </c>
      <c r="E197" s="2">
        <v>6</v>
      </c>
      <c r="F197" s="1">
        <v>163.5</v>
      </c>
      <c r="G197" s="1">
        <v>119.06</v>
      </c>
      <c r="H197" s="2">
        <v>5</v>
      </c>
      <c r="I197" s="2">
        <v>4</v>
      </c>
    </row>
    <row r="198" spans="1:9" x14ac:dyDescent="0.25">
      <c r="A198" t="s">
        <v>112</v>
      </c>
      <c r="B198" t="s">
        <v>113</v>
      </c>
      <c r="C198" t="s">
        <v>207</v>
      </c>
      <c r="D198" s="1">
        <v>192.78</v>
      </c>
      <c r="E198" s="2">
        <v>10</v>
      </c>
      <c r="F198" s="1">
        <v>152.54</v>
      </c>
      <c r="G198" s="1">
        <v>75.5</v>
      </c>
      <c r="H198" s="2">
        <v>8</v>
      </c>
      <c r="I198" s="2">
        <v>1</v>
      </c>
    </row>
    <row r="199" spans="1:9" x14ac:dyDescent="0.25">
      <c r="A199" t="s">
        <v>218</v>
      </c>
      <c r="B199" t="s">
        <v>219</v>
      </c>
      <c r="C199" t="s">
        <v>11</v>
      </c>
      <c r="D199" s="1">
        <v>189.95</v>
      </c>
      <c r="E199" s="2">
        <v>29</v>
      </c>
      <c r="F199" s="1">
        <v>183.4</v>
      </c>
      <c r="G199" s="1">
        <v>96.08</v>
      </c>
      <c r="H199" s="2">
        <v>28</v>
      </c>
      <c r="I199" s="2">
        <v>1</v>
      </c>
    </row>
    <row r="200" spans="1:9" x14ac:dyDescent="0.25">
      <c r="A200" t="s">
        <v>632</v>
      </c>
      <c r="B200" t="s">
        <v>633</v>
      </c>
      <c r="C200" t="s">
        <v>11</v>
      </c>
      <c r="D200" s="1">
        <v>188.32</v>
      </c>
      <c r="E200" s="2">
        <v>11</v>
      </c>
      <c r="F200" s="1">
        <v>188.32</v>
      </c>
      <c r="G200" s="1">
        <v>198</v>
      </c>
      <c r="H200" s="2">
        <v>11</v>
      </c>
      <c r="I200" t="s">
        <v>81</v>
      </c>
    </row>
    <row r="201" spans="1:9" x14ac:dyDescent="0.25">
      <c r="A201" t="s">
        <v>277</v>
      </c>
      <c r="B201" t="s">
        <v>278</v>
      </c>
      <c r="C201" t="s">
        <v>11</v>
      </c>
      <c r="D201" s="1">
        <v>187.88</v>
      </c>
      <c r="E201" s="2">
        <v>13</v>
      </c>
      <c r="F201" s="1">
        <v>202.38</v>
      </c>
      <c r="G201" s="1">
        <v>132.53</v>
      </c>
      <c r="H201" s="2">
        <v>14</v>
      </c>
      <c r="I201" s="2">
        <v>9</v>
      </c>
    </row>
    <row r="202" spans="1:9" x14ac:dyDescent="0.25">
      <c r="A202" t="s">
        <v>304</v>
      </c>
      <c r="B202" t="s">
        <v>305</v>
      </c>
      <c r="C202" t="s">
        <v>28</v>
      </c>
      <c r="D202" s="1">
        <v>184.96</v>
      </c>
      <c r="E202" s="2">
        <v>4</v>
      </c>
      <c r="F202" s="1">
        <v>184.96</v>
      </c>
      <c r="G202" s="1">
        <v>232</v>
      </c>
      <c r="H202" s="2">
        <v>4</v>
      </c>
      <c r="I202" t="s">
        <v>81</v>
      </c>
    </row>
    <row r="203" spans="1:9" x14ac:dyDescent="0.25">
      <c r="A203" t="s">
        <v>150</v>
      </c>
      <c r="B203" t="s">
        <v>151</v>
      </c>
      <c r="C203" t="s">
        <v>25</v>
      </c>
      <c r="D203" s="1">
        <v>184.65</v>
      </c>
      <c r="E203" s="2">
        <v>15</v>
      </c>
      <c r="F203" s="1">
        <v>184.65</v>
      </c>
      <c r="G203" s="1">
        <v>118.05</v>
      </c>
      <c r="H203" s="2">
        <v>15</v>
      </c>
      <c r="I203" s="2">
        <v>2</v>
      </c>
    </row>
    <row r="204" spans="1:9" x14ac:dyDescent="0.25">
      <c r="A204" t="s">
        <v>47</v>
      </c>
      <c r="B204" t="s">
        <v>48</v>
      </c>
      <c r="C204" t="s">
        <v>28</v>
      </c>
      <c r="D204" s="1">
        <v>184.34</v>
      </c>
      <c r="E204" s="2">
        <v>9</v>
      </c>
      <c r="F204" s="1">
        <v>205.09</v>
      </c>
      <c r="G204" s="1">
        <v>150</v>
      </c>
      <c r="H204" s="2">
        <v>10</v>
      </c>
      <c r="I204" s="2">
        <v>1</v>
      </c>
    </row>
    <row r="205" spans="1:9" x14ac:dyDescent="0.25">
      <c r="A205" t="s">
        <v>110</v>
      </c>
      <c r="B205" t="s">
        <v>111</v>
      </c>
      <c r="C205" t="s">
        <v>11</v>
      </c>
      <c r="D205" s="1">
        <v>182.97</v>
      </c>
      <c r="E205" s="2">
        <v>9</v>
      </c>
      <c r="F205" s="1">
        <v>203.3</v>
      </c>
      <c r="G205" s="1">
        <v>135</v>
      </c>
      <c r="H205" s="2">
        <v>10</v>
      </c>
      <c r="I205" s="2">
        <v>2</v>
      </c>
    </row>
    <row r="206" spans="1:9" x14ac:dyDescent="0.25">
      <c r="A206" t="s">
        <v>128</v>
      </c>
      <c r="B206" t="s">
        <v>129</v>
      </c>
      <c r="C206" t="s">
        <v>11</v>
      </c>
      <c r="D206" s="1">
        <v>182.92</v>
      </c>
      <c r="E206" s="2">
        <v>13</v>
      </c>
      <c r="F206" s="1">
        <v>182.92</v>
      </c>
      <c r="G206" s="1">
        <v>125.84</v>
      </c>
      <c r="H206" s="2">
        <v>13</v>
      </c>
      <c r="I206" s="2">
        <v>37</v>
      </c>
    </row>
    <row r="207" spans="1:9" x14ac:dyDescent="0.25">
      <c r="A207" t="s">
        <v>158</v>
      </c>
      <c r="B207" t="s">
        <v>159</v>
      </c>
      <c r="C207" t="s">
        <v>25</v>
      </c>
      <c r="D207" s="1">
        <v>180.16</v>
      </c>
      <c r="E207" s="2">
        <v>2</v>
      </c>
      <c r="F207" s="1">
        <v>180.16</v>
      </c>
      <c r="G207" s="1">
        <v>127.17</v>
      </c>
      <c r="H207" s="2">
        <v>2</v>
      </c>
      <c r="I207" t="s">
        <v>81</v>
      </c>
    </row>
    <row r="208" spans="1:9" x14ac:dyDescent="0.25">
      <c r="A208" t="s">
        <v>144</v>
      </c>
      <c r="B208" t="s">
        <v>145</v>
      </c>
      <c r="C208" t="s">
        <v>11</v>
      </c>
      <c r="D208" s="1">
        <v>179.69</v>
      </c>
      <c r="E208" s="2">
        <v>17</v>
      </c>
      <c r="F208" s="1">
        <v>147.97999999999999</v>
      </c>
      <c r="G208" s="1">
        <v>92.4</v>
      </c>
      <c r="H208" s="2">
        <v>14</v>
      </c>
      <c r="I208" s="2">
        <v>26</v>
      </c>
    </row>
    <row r="209" spans="1:9" x14ac:dyDescent="0.25">
      <c r="A209" t="s">
        <v>106</v>
      </c>
      <c r="B209" t="s">
        <v>107</v>
      </c>
      <c r="C209" t="s">
        <v>28</v>
      </c>
      <c r="D209" s="1">
        <v>175.87</v>
      </c>
      <c r="E209" s="2">
        <v>11</v>
      </c>
      <c r="F209" s="1">
        <v>175.87</v>
      </c>
      <c r="G209" s="1">
        <v>85.34</v>
      </c>
      <c r="H209" s="2">
        <v>11</v>
      </c>
      <c r="I209" s="2">
        <v>11</v>
      </c>
    </row>
    <row r="210" spans="1:9" x14ac:dyDescent="0.25">
      <c r="A210" t="s">
        <v>134</v>
      </c>
      <c r="B210" t="s">
        <v>135</v>
      </c>
      <c r="C210" t="s">
        <v>299</v>
      </c>
      <c r="D210" s="1">
        <v>175.27</v>
      </c>
      <c r="E210" s="2">
        <v>4</v>
      </c>
      <c r="F210" s="1">
        <v>175.27</v>
      </c>
      <c r="G210" s="1">
        <v>147.02000000000001</v>
      </c>
      <c r="H210" s="2">
        <v>4</v>
      </c>
      <c r="I210" s="2">
        <v>1</v>
      </c>
    </row>
    <row r="211" spans="1:9" x14ac:dyDescent="0.25">
      <c r="A211" t="s">
        <v>285</v>
      </c>
      <c r="B211" t="s">
        <v>286</v>
      </c>
      <c r="C211" t="s">
        <v>25</v>
      </c>
      <c r="D211" s="1">
        <v>174.77</v>
      </c>
      <c r="E211" s="2">
        <v>9</v>
      </c>
      <c r="F211" s="1">
        <v>174.77</v>
      </c>
      <c r="G211" s="1">
        <v>111.09</v>
      </c>
      <c r="H211" s="2">
        <v>9</v>
      </c>
      <c r="I211" t="s">
        <v>81</v>
      </c>
    </row>
    <row r="212" spans="1:9" x14ac:dyDescent="0.25">
      <c r="A212" t="s">
        <v>614</v>
      </c>
      <c r="B212" t="s">
        <v>615</v>
      </c>
      <c r="C212" t="s">
        <v>28</v>
      </c>
      <c r="D212" s="1">
        <v>174.44</v>
      </c>
      <c r="E212" s="2">
        <v>7</v>
      </c>
      <c r="F212" s="1">
        <v>199.36</v>
      </c>
      <c r="G212" s="1">
        <v>212</v>
      </c>
      <c r="H212" s="2">
        <v>8</v>
      </c>
      <c r="I212" t="s">
        <v>81</v>
      </c>
    </row>
    <row r="213" spans="1:9" x14ac:dyDescent="0.25">
      <c r="A213" t="s">
        <v>634</v>
      </c>
      <c r="B213" t="s">
        <v>635</v>
      </c>
      <c r="C213" t="s">
        <v>28</v>
      </c>
      <c r="D213" s="1">
        <v>174.44</v>
      </c>
      <c r="E213" s="2">
        <v>7</v>
      </c>
      <c r="F213" s="1">
        <v>224.28</v>
      </c>
      <c r="G213" s="1">
        <v>153.09</v>
      </c>
      <c r="H213" s="2">
        <v>9</v>
      </c>
      <c r="I213" s="2">
        <v>2</v>
      </c>
    </row>
    <row r="214" spans="1:9" x14ac:dyDescent="0.25">
      <c r="A214" t="s">
        <v>43</v>
      </c>
      <c r="B214" t="s">
        <v>44</v>
      </c>
      <c r="C214" t="s">
        <v>11</v>
      </c>
      <c r="D214" s="1">
        <v>172.86</v>
      </c>
      <c r="E214" s="2">
        <v>31</v>
      </c>
      <c r="F214" s="1">
        <v>167.66</v>
      </c>
      <c r="G214" s="1">
        <v>91.54</v>
      </c>
      <c r="H214" s="2">
        <v>30</v>
      </c>
      <c r="I214" t="s">
        <v>81</v>
      </c>
    </row>
    <row r="215" spans="1:9" x14ac:dyDescent="0.25">
      <c r="A215" t="s">
        <v>277</v>
      </c>
      <c r="B215" t="s">
        <v>278</v>
      </c>
      <c r="C215" t="s">
        <v>16</v>
      </c>
      <c r="D215" s="1">
        <v>168.68</v>
      </c>
      <c r="E215" s="2">
        <v>12</v>
      </c>
      <c r="F215" s="1">
        <v>154.47999999999999</v>
      </c>
      <c r="G215" s="1">
        <v>87.91</v>
      </c>
      <c r="H215" s="2">
        <v>11</v>
      </c>
      <c r="I215" t="s">
        <v>81</v>
      </c>
    </row>
    <row r="216" spans="1:9" x14ac:dyDescent="0.25">
      <c r="A216" t="s">
        <v>192</v>
      </c>
      <c r="B216" t="s">
        <v>193</v>
      </c>
      <c r="C216" t="s">
        <v>299</v>
      </c>
      <c r="D216" s="1">
        <v>168.04</v>
      </c>
      <c r="E216" s="2">
        <v>2</v>
      </c>
      <c r="F216" s="1">
        <v>268.31</v>
      </c>
      <c r="G216" s="1">
        <v>244.72</v>
      </c>
      <c r="H216" s="2">
        <v>3</v>
      </c>
      <c r="I216" s="2">
        <v>1</v>
      </c>
    </row>
    <row r="217" spans="1:9" x14ac:dyDescent="0.25">
      <c r="A217" t="s">
        <v>256</v>
      </c>
      <c r="B217" t="s">
        <v>257</v>
      </c>
      <c r="C217" t="s">
        <v>16</v>
      </c>
      <c r="D217" s="1">
        <v>167.72</v>
      </c>
      <c r="E217" s="2">
        <v>4</v>
      </c>
      <c r="F217" s="1">
        <v>167.72</v>
      </c>
      <c r="G217" s="1">
        <v>86</v>
      </c>
      <c r="H217" s="2">
        <v>4</v>
      </c>
      <c r="I217" s="2">
        <v>1</v>
      </c>
    </row>
    <row r="218" spans="1:9" x14ac:dyDescent="0.25">
      <c r="A218" t="s">
        <v>216</v>
      </c>
      <c r="B218" t="s">
        <v>217</v>
      </c>
      <c r="C218" t="s">
        <v>11</v>
      </c>
      <c r="D218" s="1">
        <v>167.52</v>
      </c>
      <c r="E218" s="2">
        <v>16</v>
      </c>
      <c r="F218" s="1">
        <v>158.19</v>
      </c>
      <c r="G218" s="1">
        <v>83.52</v>
      </c>
      <c r="H218" s="2">
        <v>15</v>
      </c>
      <c r="I218" s="2">
        <v>1</v>
      </c>
    </row>
    <row r="219" spans="1:9" x14ac:dyDescent="0.25">
      <c r="A219" t="s">
        <v>336</v>
      </c>
      <c r="B219" t="s">
        <v>337</v>
      </c>
      <c r="C219" t="s">
        <v>16</v>
      </c>
      <c r="D219" s="1">
        <v>167.2</v>
      </c>
      <c r="E219" s="2">
        <v>10</v>
      </c>
      <c r="F219" s="1">
        <v>167.2</v>
      </c>
      <c r="G219" s="1">
        <v>132.69999999999999</v>
      </c>
      <c r="H219" s="2">
        <v>10</v>
      </c>
      <c r="I219" t="s">
        <v>81</v>
      </c>
    </row>
    <row r="220" spans="1:9" x14ac:dyDescent="0.25">
      <c r="A220" t="s">
        <v>364</v>
      </c>
      <c r="B220" t="s">
        <v>365</v>
      </c>
      <c r="C220" t="s">
        <v>28</v>
      </c>
      <c r="D220" s="1">
        <v>166.32</v>
      </c>
      <c r="E220" s="2">
        <v>4</v>
      </c>
      <c r="F220" s="1">
        <v>166.32</v>
      </c>
      <c r="G220" s="1">
        <v>119.81</v>
      </c>
      <c r="H220" s="2">
        <v>4</v>
      </c>
      <c r="I220" t="s">
        <v>81</v>
      </c>
    </row>
    <row r="221" spans="1:9" x14ac:dyDescent="0.25">
      <c r="A221" t="s">
        <v>118</v>
      </c>
      <c r="B221" t="s">
        <v>119</v>
      </c>
      <c r="C221" t="s">
        <v>25</v>
      </c>
      <c r="D221" s="1">
        <v>164.5</v>
      </c>
      <c r="E221" s="2">
        <v>10</v>
      </c>
      <c r="F221" s="1">
        <v>131.6</v>
      </c>
      <c r="G221" s="1">
        <v>104.4</v>
      </c>
      <c r="H221" s="2">
        <v>8</v>
      </c>
      <c r="I221" s="2">
        <v>1</v>
      </c>
    </row>
    <row r="222" spans="1:9" x14ac:dyDescent="0.25">
      <c r="A222" t="s">
        <v>636</v>
      </c>
      <c r="B222" t="s">
        <v>637</v>
      </c>
      <c r="C222" t="s">
        <v>11</v>
      </c>
      <c r="D222" s="1">
        <v>160.65</v>
      </c>
      <c r="E222" s="2">
        <v>1</v>
      </c>
      <c r="F222" s="1">
        <v>160.65</v>
      </c>
      <c r="G222" s="1">
        <v>164.25</v>
      </c>
      <c r="H222" s="2">
        <v>1</v>
      </c>
      <c r="I222" t="s">
        <v>81</v>
      </c>
    </row>
    <row r="223" spans="1:9" x14ac:dyDescent="0.25">
      <c r="A223" t="s">
        <v>246</v>
      </c>
      <c r="B223" t="s">
        <v>247</v>
      </c>
      <c r="C223" t="s">
        <v>11</v>
      </c>
      <c r="D223" s="1">
        <v>158.72999999999999</v>
      </c>
      <c r="E223" s="2">
        <v>13</v>
      </c>
      <c r="F223" s="1">
        <v>170.94</v>
      </c>
      <c r="G223" s="1">
        <v>112</v>
      </c>
      <c r="H223" s="2">
        <v>14</v>
      </c>
      <c r="I223" s="2">
        <v>8</v>
      </c>
    </row>
    <row r="224" spans="1:9" x14ac:dyDescent="0.25">
      <c r="A224" t="s">
        <v>67</v>
      </c>
      <c r="B224" t="s">
        <v>68</v>
      </c>
      <c r="C224" t="s">
        <v>11</v>
      </c>
      <c r="D224" s="1">
        <v>158.49</v>
      </c>
      <c r="E224" s="2">
        <v>4</v>
      </c>
      <c r="F224" s="1">
        <v>158.49</v>
      </c>
      <c r="G224" s="1">
        <v>150.97999999999999</v>
      </c>
      <c r="H224" s="2">
        <v>4</v>
      </c>
      <c r="I224" s="2">
        <v>2</v>
      </c>
    </row>
    <row r="225" spans="1:9" x14ac:dyDescent="0.25">
      <c r="A225" t="s">
        <v>216</v>
      </c>
      <c r="B225" t="s">
        <v>217</v>
      </c>
      <c r="C225" t="s">
        <v>16</v>
      </c>
      <c r="D225" s="1">
        <v>158</v>
      </c>
      <c r="E225" s="2">
        <v>11</v>
      </c>
      <c r="F225" s="1">
        <v>130.12</v>
      </c>
      <c r="G225" s="1">
        <v>48.43</v>
      </c>
      <c r="H225" s="2">
        <v>9</v>
      </c>
      <c r="I225" s="2">
        <v>4</v>
      </c>
    </row>
    <row r="226" spans="1:9" x14ac:dyDescent="0.25">
      <c r="A226" t="s">
        <v>638</v>
      </c>
      <c r="B226" t="s">
        <v>639</v>
      </c>
      <c r="C226" t="s">
        <v>28</v>
      </c>
      <c r="D226" s="1">
        <v>157.5</v>
      </c>
      <c r="E226" s="2">
        <v>1</v>
      </c>
      <c r="F226" s="1">
        <v>157.5</v>
      </c>
      <c r="G226" s="1">
        <v>98.25</v>
      </c>
      <c r="H226" s="2">
        <v>1</v>
      </c>
      <c r="I226" t="s">
        <v>81</v>
      </c>
    </row>
    <row r="227" spans="1:9" x14ac:dyDescent="0.25">
      <c r="A227" t="s">
        <v>248</v>
      </c>
      <c r="B227" t="s">
        <v>249</v>
      </c>
      <c r="C227" t="s">
        <v>11</v>
      </c>
      <c r="D227" s="1">
        <v>154.62</v>
      </c>
      <c r="E227" s="2">
        <v>6</v>
      </c>
      <c r="F227" s="1">
        <v>154.62</v>
      </c>
      <c r="G227" s="1">
        <v>98.9</v>
      </c>
      <c r="H227" s="2">
        <v>6</v>
      </c>
      <c r="I227" s="2">
        <v>1</v>
      </c>
    </row>
    <row r="228" spans="1:9" x14ac:dyDescent="0.25">
      <c r="A228" t="s">
        <v>39</v>
      </c>
      <c r="B228" t="s">
        <v>40</v>
      </c>
      <c r="C228" t="s">
        <v>16</v>
      </c>
      <c r="D228" s="1">
        <v>154</v>
      </c>
      <c r="E228" s="2">
        <v>15</v>
      </c>
      <c r="F228" s="1">
        <v>154</v>
      </c>
      <c r="G228" s="1">
        <v>81.59</v>
      </c>
      <c r="H228" s="2">
        <v>15</v>
      </c>
      <c r="I228" t="s">
        <v>81</v>
      </c>
    </row>
    <row r="229" spans="1:9" x14ac:dyDescent="0.25">
      <c r="A229" t="s">
        <v>312</v>
      </c>
      <c r="B229" t="s">
        <v>313</v>
      </c>
      <c r="C229" t="s">
        <v>25</v>
      </c>
      <c r="D229" s="1">
        <v>152.1</v>
      </c>
      <c r="E229" s="2">
        <v>19</v>
      </c>
      <c r="F229" s="1">
        <v>152.1</v>
      </c>
      <c r="G229" s="1">
        <v>254.03</v>
      </c>
      <c r="H229" s="2">
        <v>19</v>
      </c>
      <c r="I229" t="s">
        <v>81</v>
      </c>
    </row>
    <row r="230" spans="1:9" x14ac:dyDescent="0.25">
      <c r="A230" t="s">
        <v>386</v>
      </c>
      <c r="B230" t="s">
        <v>387</v>
      </c>
      <c r="C230" t="s">
        <v>16</v>
      </c>
      <c r="D230" s="1">
        <v>150.78</v>
      </c>
      <c r="E230" s="2">
        <v>6</v>
      </c>
      <c r="F230" s="1">
        <v>100.52</v>
      </c>
      <c r="G230" s="1">
        <v>75.84</v>
      </c>
      <c r="H230" s="2">
        <v>4</v>
      </c>
      <c r="I230" t="s">
        <v>81</v>
      </c>
    </row>
    <row r="231" spans="1:9" x14ac:dyDescent="0.25">
      <c r="A231" t="s">
        <v>262</v>
      </c>
      <c r="B231" t="s">
        <v>263</v>
      </c>
      <c r="C231" t="s">
        <v>11</v>
      </c>
      <c r="D231" s="1">
        <v>147.9</v>
      </c>
      <c r="E231" s="2">
        <v>6</v>
      </c>
      <c r="F231" s="1">
        <v>172.41</v>
      </c>
      <c r="G231" s="1">
        <v>118.09</v>
      </c>
      <c r="H231" s="2">
        <v>7</v>
      </c>
      <c r="I231" s="2">
        <v>1</v>
      </c>
    </row>
    <row r="232" spans="1:9" x14ac:dyDescent="0.25">
      <c r="A232" t="s">
        <v>244</v>
      </c>
      <c r="B232" t="s">
        <v>245</v>
      </c>
      <c r="C232" t="s">
        <v>11</v>
      </c>
      <c r="D232" s="1">
        <v>147.06</v>
      </c>
      <c r="E232" s="2">
        <v>6</v>
      </c>
      <c r="F232" s="1">
        <v>122.55</v>
      </c>
      <c r="G232" s="1">
        <v>135</v>
      </c>
      <c r="H232" s="2">
        <v>5</v>
      </c>
      <c r="I232" s="2">
        <v>4</v>
      </c>
    </row>
    <row r="233" spans="1:9" x14ac:dyDescent="0.25">
      <c r="A233" t="s">
        <v>94</v>
      </c>
      <c r="B233" t="s">
        <v>95</v>
      </c>
      <c r="C233" t="s">
        <v>11</v>
      </c>
      <c r="D233" s="1">
        <v>147.06</v>
      </c>
      <c r="E233" s="2">
        <v>6</v>
      </c>
      <c r="F233" s="1">
        <v>147.06</v>
      </c>
      <c r="G233" s="1">
        <v>121.5</v>
      </c>
      <c r="H233" s="2">
        <v>6</v>
      </c>
      <c r="I233" s="2">
        <v>1</v>
      </c>
    </row>
    <row r="234" spans="1:9" x14ac:dyDescent="0.25">
      <c r="A234" t="s">
        <v>622</v>
      </c>
      <c r="B234" t="s">
        <v>623</v>
      </c>
      <c r="C234" t="s">
        <v>16</v>
      </c>
      <c r="D234" s="1">
        <v>146.44</v>
      </c>
      <c r="E234" s="2">
        <v>7</v>
      </c>
      <c r="F234" s="1">
        <v>146.44</v>
      </c>
      <c r="G234" s="1">
        <v>106.75</v>
      </c>
      <c r="H234" s="2">
        <v>7</v>
      </c>
      <c r="I234" s="2">
        <v>1</v>
      </c>
    </row>
    <row r="235" spans="1:9" x14ac:dyDescent="0.25">
      <c r="A235" t="s">
        <v>126</v>
      </c>
      <c r="B235" t="s">
        <v>127</v>
      </c>
      <c r="C235" t="s">
        <v>28</v>
      </c>
      <c r="D235" s="1">
        <v>146.25</v>
      </c>
      <c r="E235" s="2">
        <v>23</v>
      </c>
      <c r="F235" s="1">
        <v>146.25</v>
      </c>
      <c r="G235" s="1">
        <v>55.51</v>
      </c>
      <c r="H235" s="2">
        <v>23</v>
      </c>
      <c r="I235" t="s">
        <v>81</v>
      </c>
    </row>
    <row r="236" spans="1:9" x14ac:dyDescent="0.25">
      <c r="A236" t="s">
        <v>344</v>
      </c>
      <c r="B236" t="s">
        <v>345</v>
      </c>
      <c r="C236" t="s">
        <v>16</v>
      </c>
      <c r="D236" s="1">
        <v>144.54</v>
      </c>
      <c r="E236" s="2">
        <v>12</v>
      </c>
      <c r="F236" s="1">
        <v>144.54</v>
      </c>
      <c r="G236" s="1">
        <v>118.8</v>
      </c>
      <c r="H236" s="2">
        <v>12</v>
      </c>
      <c r="I236" s="2">
        <v>2</v>
      </c>
    </row>
    <row r="237" spans="1:9" x14ac:dyDescent="0.25">
      <c r="A237" t="s">
        <v>622</v>
      </c>
      <c r="B237" t="s">
        <v>623</v>
      </c>
      <c r="C237" t="s">
        <v>266</v>
      </c>
      <c r="D237" s="1">
        <v>144.06</v>
      </c>
      <c r="E237" s="2">
        <v>7</v>
      </c>
      <c r="F237" s="1">
        <v>144.06</v>
      </c>
      <c r="G237" s="1">
        <v>106.75</v>
      </c>
      <c r="H237" s="2">
        <v>7</v>
      </c>
      <c r="I237" t="s">
        <v>81</v>
      </c>
    </row>
    <row r="238" spans="1:9" x14ac:dyDescent="0.25">
      <c r="A238" t="s">
        <v>240</v>
      </c>
      <c r="B238" t="s">
        <v>241</v>
      </c>
      <c r="C238" t="s">
        <v>28</v>
      </c>
      <c r="D238" s="1">
        <v>143.52000000000001</v>
      </c>
      <c r="E238" s="2">
        <v>2</v>
      </c>
      <c r="F238" s="1">
        <v>143.52000000000001</v>
      </c>
      <c r="G238" s="1">
        <v>184</v>
      </c>
      <c r="H238" s="2">
        <v>2</v>
      </c>
      <c r="I238" t="s">
        <v>81</v>
      </c>
    </row>
    <row r="239" spans="1:9" x14ac:dyDescent="0.25">
      <c r="A239" t="s">
        <v>640</v>
      </c>
      <c r="B239" t="s">
        <v>641</v>
      </c>
      <c r="C239" t="s">
        <v>11</v>
      </c>
      <c r="D239" s="1">
        <v>143.05000000000001</v>
      </c>
      <c r="E239" s="2">
        <v>5</v>
      </c>
      <c r="F239" s="1">
        <v>143.05000000000001</v>
      </c>
      <c r="G239" s="1">
        <v>122.44</v>
      </c>
      <c r="H239" s="2">
        <v>5</v>
      </c>
      <c r="I239" t="s">
        <v>81</v>
      </c>
    </row>
    <row r="240" spans="1:9" x14ac:dyDescent="0.25">
      <c r="A240" t="s">
        <v>412</v>
      </c>
      <c r="B240" t="s">
        <v>413</v>
      </c>
      <c r="C240" t="s">
        <v>16</v>
      </c>
      <c r="D240" s="1">
        <v>140.41999999999999</v>
      </c>
      <c r="E240" s="2">
        <v>6</v>
      </c>
      <c r="F240" s="1">
        <v>115.29</v>
      </c>
      <c r="G240" s="1">
        <v>77.22</v>
      </c>
      <c r="H240" s="2">
        <v>5</v>
      </c>
      <c r="I240" s="2">
        <v>1</v>
      </c>
    </row>
    <row r="241" spans="1:9" x14ac:dyDescent="0.25">
      <c r="A241" t="s">
        <v>630</v>
      </c>
      <c r="B241" t="s">
        <v>631</v>
      </c>
      <c r="C241" t="s">
        <v>25</v>
      </c>
      <c r="D241" s="1">
        <v>140.4</v>
      </c>
      <c r="E241" s="2">
        <v>5</v>
      </c>
      <c r="F241" s="1">
        <v>140.4</v>
      </c>
      <c r="G241" s="1">
        <v>75.36</v>
      </c>
      <c r="H241" s="2">
        <v>5</v>
      </c>
      <c r="I241" s="2">
        <v>1</v>
      </c>
    </row>
    <row r="242" spans="1:9" x14ac:dyDescent="0.25">
      <c r="A242" t="s">
        <v>254</v>
      </c>
      <c r="B242" t="s">
        <v>255</v>
      </c>
      <c r="C242" t="s">
        <v>25</v>
      </c>
      <c r="D242" s="1">
        <v>138.6</v>
      </c>
      <c r="E242" s="2">
        <v>21</v>
      </c>
      <c r="F242" s="1">
        <v>145.19999999999999</v>
      </c>
      <c r="G242" s="1">
        <v>66.22</v>
      </c>
      <c r="H242" s="2">
        <v>22</v>
      </c>
      <c r="I242" t="s">
        <v>81</v>
      </c>
    </row>
    <row r="243" spans="1:9" x14ac:dyDescent="0.25">
      <c r="A243" t="s">
        <v>134</v>
      </c>
      <c r="B243" t="s">
        <v>135</v>
      </c>
      <c r="C243" t="s">
        <v>266</v>
      </c>
      <c r="D243" s="1">
        <v>138.24</v>
      </c>
      <c r="E243" s="2">
        <v>3</v>
      </c>
      <c r="F243" s="1">
        <v>138.24</v>
      </c>
      <c r="G243" s="1">
        <v>108</v>
      </c>
      <c r="H243" s="2">
        <v>3</v>
      </c>
      <c r="I243" s="2">
        <v>1</v>
      </c>
    </row>
    <row r="244" spans="1:9" x14ac:dyDescent="0.25">
      <c r="A244" t="s">
        <v>31</v>
      </c>
      <c r="B244" t="s">
        <v>32</v>
      </c>
      <c r="C244" t="s">
        <v>16</v>
      </c>
      <c r="D244" s="1">
        <v>136.31</v>
      </c>
      <c r="E244" s="2">
        <v>12</v>
      </c>
      <c r="F244" s="1">
        <v>121.09</v>
      </c>
      <c r="G244" s="1">
        <v>72</v>
      </c>
      <c r="H244" s="2">
        <v>12</v>
      </c>
      <c r="I244" s="2">
        <v>4</v>
      </c>
    </row>
    <row r="245" spans="1:9" x14ac:dyDescent="0.25">
      <c r="A245" t="s">
        <v>108</v>
      </c>
      <c r="B245" t="s">
        <v>109</v>
      </c>
      <c r="C245" t="s">
        <v>25</v>
      </c>
      <c r="D245" s="1">
        <v>136.19999999999999</v>
      </c>
      <c r="E245" s="2">
        <v>15</v>
      </c>
      <c r="F245" s="1">
        <v>145.28</v>
      </c>
      <c r="G245" s="1">
        <v>96</v>
      </c>
      <c r="H245" s="2">
        <v>16</v>
      </c>
      <c r="I245" t="s">
        <v>81</v>
      </c>
    </row>
    <row r="246" spans="1:9" x14ac:dyDescent="0.25">
      <c r="A246" t="s">
        <v>300</v>
      </c>
      <c r="B246" t="s">
        <v>301</v>
      </c>
      <c r="C246" t="s">
        <v>16</v>
      </c>
      <c r="D246" s="1">
        <v>135.02000000000001</v>
      </c>
      <c r="E246" s="2">
        <v>9</v>
      </c>
      <c r="F246" s="1">
        <v>119.98</v>
      </c>
      <c r="G246" s="1">
        <v>81.62</v>
      </c>
      <c r="H246" s="2">
        <v>8</v>
      </c>
      <c r="I246" t="s">
        <v>81</v>
      </c>
    </row>
    <row r="247" spans="1:9" x14ac:dyDescent="0.25">
      <c r="A247" t="s">
        <v>289</v>
      </c>
      <c r="B247" t="s">
        <v>290</v>
      </c>
      <c r="C247" t="s">
        <v>28</v>
      </c>
      <c r="D247" s="1">
        <v>134.52000000000001</v>
      </c>
      <c r="E247" s="2">
        <v>6</v>
      </c>
      <c r="F247" s="1">
        <v>134.52000000000001</v>
      </c>
      <c r="G247" s="1">
        <v>82.82</v>
      </c>
      <c r="H247" s="2">
        <v>6</v>
      </c>
      <c r="I247" t="s">
        <v>81</v>
      </c>
    </row>
    <row r="248" spans="1:9" x14ac:dyDescent="0.25">
      <c r="A248" t="s">
        <v>628</v>
      </c>
      <c r="B248" t="s">
        <v>629</v>
      </c>
      <c r="C248" t="s">
        <v>207</v>
      </c>
      <c r="D248" s="1">
        <v>133.75</v>
      </c>
      <c r="E248" s="2">
        <v>1</v>
      </c>
      <c r="F248" s="1">
        <v>133.75</v>
      </c>
      <c r="G248" s="1">
        <v>107.26</v>
      </c>
      <c r="H248" s="2">
        <v>1</v>
      </c>
      <c r="I248" t="s">
        <v>81</v>
      </c>
    </row>
    <row r="249" spans="1:9" x14ac:dyDescent="0.25">
      <c r="A249" t="s">
        <v>148</v>
      </c>
      <c r="B249" t="s">
        <v>149</v>
      </c>
      <c r="C249" t="s">
        <v>28</v>
      </c>
      <c r="D249" s="1">
        <v>133</v>
      </c>
      <c r="E249" s="2">
        <v>4</v>
      </c>
      <c r="F249" s="1">
        <v>99.75</v>
      </c>
      <c r="G249" s="1">
        <v>70.459999999999994</v>
      </c>
      <c r="H249" s="2">
        <v>3</v>
      </c>
      <c r="I249" s="2">
        <v>1</v>
      </c>
    </row>
    <row r="250" spans="1:9" x14ac:dyDescent="0.25">
      <c r="A250" t="s">
        <v>35</v>
      </c>
      <c r="B250" t="s">
        <v>36</v>
      </c>
      <c r="C250" t="s">
        <v>28</v>
      </c>
      <c r="D250" s="1">
        <v>132.63999999999999</v>
      </c>
      <c r="E250" s="2">
        <v>8</v>
      </c>
      <c r="F250" s="1">
        <v>132.63999999999999</v>
      </c>
      <c r="G250" s="1">
        <v>112.48</v>
      </c>
      <c r="H250" s="2">
        <v>8</v>
      </c>
      <c r="I250" s="2">
        <v>1</v>
      </c>
    </row>
    <row r="251" spans="1:9" x14ac:dyDescent="0.25">
      <c r="A251" t="s">
        <v>344</v>
      </c>
      <c r="B251" t="s">
        <v>345</v>
      </c>
      <c r="C251" t="s">
        <v>11</v>
      </c>
      <c r="D251" s="1">
        <v>132.43</v>
      </c>
      <c r="E251" s="2">
        <v>12</v>
      </c>
      <c r="F251" s="1">
        <v>132.43</v>
      </c>
      <c r="G251" s="1">
        <v>112.56</v>
      </c>
      <c r="H251" s="2">
        <v>12</v>
      </c>
      <c r="I251" t="s">
        <v>81</v>
      </c>
    </row>
    <row r="252" spans="1:9" x14ac:dyDescent="0.25">
      <c r="A252" t="s">
        <v>612</v>
      </c>
      <c r="B252" t="s">
        <v>613</v>
      </c>
      <c r="C252" t="s">
        <v>25</v>
      </c>
      <c r="D252" s="1">
        <v>132</v>
      </c>
      <c r="E252" s="2">
        <v>20</v>
      </c>
      <c r="F252" s="1">
        <v>118.8</v>
      </c>
      <c r="G252" s="1">
        <v>51.9</v>
      </c>
      <c r="H252" s="2">
        <v>18</v>
      </c>
      <c r="I252" t="s">
        <v>81</v>
      </c>
    </row>
    <row r="253" spans="1:9" x14ac:dyDescent="0.25">
      <c r="A253" t="s">
        <v>642</v>
      </c>
      <c r="B253" t="s">
        <v>643</v>
      </c>
      <c r="C253" t="s">
        <v>25</v>
      </c>
      <c r="D253" s="1">
        <v>131.91999999999999</v>
      </c>
      <c r="E253" s="2">
        <v>4</v>
      </c>
      <c r="F253" s="1">
        <v>98.94</v>
      </c>
      <c r="G253" s="1">
        <v>77.58</v>
      </c>
      <c r="H253" s="2">
        <v>3</v>
      </c>
      <c r="I253" t="s">
        <v>81</v>
      </c>
    </row>
    <row r="254" spans="1:9" x14ac:dyDescent="0.25">
      <c r="A254" t="s">
        <v>148</v>
      </c>
      <c r="B254" t="s">
        <v>149</v>
      </c>
      <c r="C254" t="s">
        <v>25</v>
      </c>
      <c r="D254" s="1">
        <v>131.91999999999999</v>
      </c>
      <c r="E254" s="2">
        <v>4</v>
      </c>
      <c r="F254" s="1">
        <v>131.91999999999999</v>
      </c>
      <c r="G254" s="1">
        <v>97.2</v>
      </c>
      <c r="H254" s="2">
        <v>4</v>
      </c>
      <c r="I254" s="2">
        <v>2</v>
      </c>
    </row>
    <row r="255" spans="1:9" x14ac:dyDescent="0.25">
      <c r="A255" t="s">
        <v>184</v>
      </c>
      <c r="B255" t="s">
        <v>185</v>
      </c>
      <c r="C255" t="s">
        <v>11</v>
      </c>
      <c r="D255" s="1">
        <v>131.65</v>
      </c>
      <c r="E255" s="2">
        <v>7</v>
      </c>
      <c r="F255" s="1">
        <v>114.3</v>
      </c>
      <c r="G255" s="1">
        <v>101.28</v>
      </c>
      <c r="H255" s="2">
        <v>6</v>
      </c>
      <c r="I255" s="2">
        <v>1</v>
      </c>
    </row>
    <row r="256" spans="1:9" x14ac:dyDescent="0.25">
      <c r="A256" t="s">
        <v>644</v>
      </c>
      <c r="B256" t="s">
        <v>645</v>
      </c>
      <c r="C256" t="s">
        <v>16</v>
      </c>
      <c r="D256" s="1">
        <v>130.57</v>
      </c>
      <c r="E256" s="2">
        <v>3</v>
      </c>
      <c r="F256" s="1">
        <v>109.3</v>
      </c>
      <c r="G256" s="1">
        <v>120</v>
      </c>
      <c r="H256" s="2">
        <v>2</v>
      </c>
      <c r="I256" t="s">
        <v>81</v>
      </c>
    </row>
    <row r="257" spans="1:9" x14ac:dyDescent="0.25">
      <c r="A257" t="s">
        <v>31</v>
      </c>
      <c r="B257" t="s">
        <v>32</v>
      </c>
      <c r="C257" t="s">
        <v>25</v>
      </c>
      <c r="D257" s="1">
        <v>129.30000000000001</v>
      </c>
      <c r="E257" s="2">
        <v>9</v>
      </c>
      <c r="F257" s="1">
        <v>159.46</v>
      </c>
      <c r="G257" s="1">
        <v>66</v>
      </c>
      <c r="H257" s="2">
        <v>11</v>
      </c>
      <c r="I257" s="2">
        <v>1</v>
      </c>
    </row>
    <row r="258" spans="1:9" x14ac:dyDescent="0.25">
      <c r="A258" t="s">
        <v>230</v>
      </c>
      <c r="B258" t="s">
        <v>231</v>
      </c>
      <c r="C258" t="s">
        <v>11</v>
      </c>
      <c r="D258" s="1">
        <v>129.21</v>
      </c>
      <c r="E258" s="2">
        <v>5</v>
      </c>
      <c r="F258" s="1">
        <v>184.61</v>
      </c>
      <c r="G258" s="1">
        <v>81.27</v>
      </c>
      <c r="H258" s="2">
        <v>7</v>
      </c>
      <c r="I258" s="2">
        <v>2</v>
      </c>
    </row>
    <row r="259" spans="1:9" x14ac:dyDescent="0.25">
      <c r="A259" t="s">
        <v>41</v>
      </c>
      <c r="B259" t="s">
        <v>42</v>
      </c>
      <c r="C259" t="s">
        <v>16</v>
      </c>
      <c r="D259" s="1">
        <v>127.02</v>
      </c>
      <c r="E259" s="2">
        <v>11</v>
      </c>
      <c r="F259" s="1">
        <v>127.02</v>
      </c>
      <c r="G259" s="1">
        <v>106.7</v>
      </c>
      <c r="H259" s="2">
        <v>11</v>
      </c>
      <c r="I259" s="2">
        <v>1</v>
      </c>
    </row>
    <row r="260" spans="1:9" x14ac:dyDescent="0.25">
      <c r="A260" t="s">
        <v>364</v>
      </c>
      <c r="B260" t="s">
        <v>365</v>
      </c>
      <c r="C260" t="s">
        <v>25</v>
      </c>
      <c r="D260" s="1">
        <v>125.68</v>
      </c>
      <c r="E260" s="2">
        <v>3</v>
      </c>
      <c r="F260" s="1">
        <v>125.68</v>
      </c>
      <c r="G260" s="1">
        <v>71.88</v>
      </c>
      <c r="H260" s="2">
        <v>3</v>
      </c>
      <c r="I260" s="2">
        <v>1</v>
      </c>
    </row>
    <row r="261" spans="1:9" x14ac:dyDescent="0.25">
      <c r="A261" t="s">
        <v>248</v>
      </c>
      <c r="B261" t="s">
        <v>249</v>
      </c>
      <c r="C261" t="s">
        <v>16</v>
      </c>
      <c r="D261" s="1">
        <v>125.65</v>
      </c>
      <c r="E261" s="2">
        <v>5</v>
      </c>
      <c r="F261" s="1">
        <v>125.65</v>
      </c>
      <c r="G261" s="1">
        <v>83.35</v>
      </c>
      <c r="H261" s="2">
        <v>5</v>
      </c>
      <c r="I261" t="s">
        <v>81</v>
      </c>
    </row>
    <row r="262" spans="1:9" x14ac:dyDescent="0.25">
      <c r="A262" t="s">
        <v>114</v>
      </c>
      <c r="B262" t="s">
        <v>115</v>
      </c>
      <c r="C262" t="s">
        <v>28</v>
      </c>
      <c r="D262" s="1">
        <v>124.74</v>
      </c>
      <c r="E262" s="2">
        <v>3</v>
      </c>
      <c r="F262" s="1">
        <v>124.74</v>
      </c>
      <c r="G262" s="1">
        <v>94.5</v>
      </c>
      <c r="H262" s="2">
        <v>3</v>
      </c>
      <c r="I262" s="2">
        <v>2</v>
      </c>
    </row>
    <row r="263" spans="1:9" x14ac:dyDescent="0.25">
      <c r="A263" t="s">
        <v>9</v>
      </c>
      <c r="B263" t="s">
        <v>10</v>
      </c>
      <c r="C263" t="s">
        <v>28</v>
      </c>
      <c r="D263" s="1">
        <v>124.2</v>
      </c>
      <c r="E263" s="2">
        <v>10</v>
      </c>
      <c r="F263" s="1">
        <v>136.62</v>
      </c>
      <c r="G263" s="1">
        <v>92.5</v>
      </c>
      <c r="H263" s="2">
        <v>11</v>
      </c>
      <c r="I263" s="2">
        <v>10</v>
      </c>
    </row>
    <row r="264" spans="1:9" x14ac:dyDescent="0.25">
      <c r="A264" t="s">
        <v>620</v>
      </c>
      <c r="B264" t="s">
        <v>621</v>
      </c>
      <c r="C264" t="s">
        <v>25</v>
      </c>
      <c r="D264" s="1">
        <v>123.72</v>
      </c>
      <c r="E264" s="2">
        <v>3</v>
      </c>
      <c r="F264" s="1">
        <v>123.72</v>
      </c>
      <c r="G264" s="1">
        <v>105</v>
      </c>
      <c r="H264" s="2">
        <v>3</v>
      </c>
      <c r="I264" t="s">
        <v>81</v>
      </c>
    </row>
    <row r="265" spans="1:9" x14ac:dyDescent="0.25">
      <c r="A265" t="s">
        <v>134</v>
      </c>
      <c r="B265" t="s">
        <v>135</v>
      </c>
      <c r="C265" t="s">
        <v>25</v>
      </c>
      <c r="D265" s="1">
        <v>123.72</v>
      </c>
      <c r="E265" s="2">
        <v>3</v>
      </c>
      <c r="F265" s="1">
        <v>123.72</v>
      </c>
      <c r="G265" s="1">
        <v>108</v>
      </c>
      <c r="H265" s="2">
        <v>3</v>
      </c>
      <c r="I265" t="s">
        <v>81</v>
      </c>
    </row>
    <row r="266" spans="1:9" x14ac:dyDescent="0.25">
      <c r="A266" t="s">
        <v>308</v>
      </c>
      <c r="B266" t="s">
        <v>309</v>
      </c>
      <c r="C266" t="s">
        <v>25</v>
      </c>
      <c r="D266" s="1">
        <v>123.55</v>
      </c>
      <c r="E266" s="2">
        <v>5</v>
      </c>
      <c r="F266" s="1">
        <v>98.84</v>
      </c>
      <c r="G266" s="1">
        <v>81</v>
      </c>
      <c r="H266" s="2">
        <v>4</v>
      </c>
      <c r="I266" s="2">
        <v>1</v>
      </c>
    </row>
    <row r="267" spans="1:9" x14ac:dyDescent="0.25">
      <c r="A267" t="s">
        <v>646</v>
      </c>
      <c r="B267" t="s">
        <v>647</v>
      </c>
      <c r="C267" t="s">
        <v>11</v>
      </c>
      <c r="D267" s="1">
        <v>122.81</v>
      </c>
      <c r="E267" s="2">
        <v>24</v>
      </c>
      <c r="F267" s="1">
        <v>118.05</v>
      </c>
      <c r="G267" s="1">
        <v>69</v>
      </c>
      <c r="H267" s="2">
        <v>23</v>
      </c>
      <c r="I267" t="s">
        <v>81</v>
      </c>
    </row>
    <row r="268" spans="1:9" x14ac:dyDescent="0.25">
      <c r="A268" t="s">
        <v>620</v>
      </c>
      <c r="B268" t="s">
        <v>621</v>
      </c>
      <c r="C268" t="s">
        <v>11</v>
      </c>
      <c r="D268" s="1">
        <v>122.7</v>
      </c>
      <c r="E268" s="2">
        <v>3</v>
      </c>
      <c r="F268" s="1">
        <v>122.7</v>
      </c>
      <c r="G268" s="1">
        <v>105</v>
      </c>
      <c r="H268" s="2">
        <v>3</v>
      </c>
      <c r="I268" t="s">
        <v>81</v>
      </c>
    </row>
    <row r="269" spans="1:9" x14ac:dyDescent="0.25">
      <c r="A269" t="s">
        <v>63</v>
      </c>
      <c r="B269" t="s">
        <v>64</v>
      </c>
      <c r="C269" t="s">
        <v>16</v>
      </c>
      <c r="D269" s="1">
        <v>122.68</v>
      </c>
      <c r="E269" s="2">
        <v>2</v>
      </c>
      <c r="F269" s="1">
        <v>122.68</v>
      </c>
      <c r="G269" s="1">
        <v>97.24</v>
      </c>
      <c r="H269" s="2">
        <v>2</v>
      </c>
      <c r="I269" t="s">
        <v>81</v>
      </c>
    </row>
    <row r="270" spans="1:9" x14ac:dyDescent="0.25">
      <c r="A270" t="s">
        <v>246</v>
      </c>
      <c r="B270" t="s">
        <v>247</v>
      </c>
      <c r="C270" t="s">
        <v>28</v>
      </c>
      <c r="D270" s="1">
        <v>122.63</v>
      </c>
      <c r="E270" s="2">
        <v>10</v>
      </c>
      <c r="F270" s="1">
        <v>122.63</v>
      </c>
      <c r="G270" s="1">
        <v>80</v>
      </c>
      <c r="H270" s="2">
        <v>10</v>
      </c>
      <c r="I270" s="2">
        <v>1</v>
      </c>
    </row>
    <row r="271" spans="1:9" x14ac:dyDescent="0.25">
      <c r="A271" t="s">
        <v>336</v>
      </c>
      <c r="B271" t="s">
        <v>337</v>
      </c>
      <c r="C271" t="s">
        <v>11</v>
      </c>
      <c r="D271" s="1">
        <v>121.73</v>
      </c>
      <c r="E271" s="2">
        <v>7</v>
      </c>
      <c r="F271" s="1">
        <v>121.73</v>
      </c>
      <c r="G271" s="1">
        <v>92.23</v>
      </c>
      <c r="H271" s="2">
        <v>7</v>
      </c>
      <c r="I271" s="2">
        <v>2</v>
      </c>
    </row>
    <row r="272" spans="1:9" x14ac:dyDescent="0.25">
      <c r="A272" t="s">
        <v>100</v>
      </c>
      <c r="B272" t="s">
        <v>101</v>
      </c>
      <c r="C272" t="s">
        <v>16</v>
      </c>
      <c r="D272" s="1">
        <v>121.33</v>
      </c>
      <c r="E272" s="2">
        <v>2</v>
      </c>
      <c r="F272" s="1">
        <v>121.33</v>
      </c>
      <c r="G272" s="1">
        <v>107.42</v>
      </c>
      <c r="H272" s="2">
        <v>2</v>
      </c>
      <c r="I272" t="s">
        <v>81</v>
      </c>
    </row>
    <row r="273" spans="1:9" x14ac:dyDescent="0.25">
      <c r="A273" t="s">
        <v>302</v>
      </c>
      <c r="B273" t="s">
        <v>303</v>
      </c>
      <c r="C273" t="s">
        <v>25</v>
      </c>
      <c r="D273" s="1">
        <v>119.92</v>
      </c>
      <c r="E273" s="2">
        <v>3</v>
      </c>
      <c r="F273" s="1">
        <v>119.92</v>
      </c>
      <c r="G273" s="1">
        <v>66.900000000000006</v>
      </c>
      <c r="H273" s="2">
        <v>3</v>
      </c>
      <c r="I273" t="s">
        <v>81</v>
      </c>
    </row>
    <row r="274" spans="1:9" x14ac:dyDescent="0.25">
      <c r="A274" t="s">
        <v>194</v>
      </c>
      <c r="B274" t="s">
        <v>195</v>
      </c>
      <c r="C274" t="s">
        <v>16</v>
      </c>
      <c r="D274" s="1">
        <v>118.23</v>
      </c>
      <c r="E274" s="2">
        <v>3</v>
      </c>
      <c r="F274" s="1">
        <v>118.23</v>
      </c>
      <c r="G274" s="1">
        <v>89.76</v>
      </c>
      <c r="H274" s="2">
        <v>3</v>
      </c>
      <c r="I274" s="2">
        <v>1</v>
      </c>
    </row>
    <row r="275" spans="1:9" x14ac:dyDescent="0.25">
      <c r="A275" t="s">
        <v>138</v>
      </c>
      <c r="B275" t="s">
        <v>139</v>
      </c>
      <c r="C275" t="s">
        <v>25</v>
      </c>
      <c r="D275" s="1">
        <v>118.15</v>
      </c>
      <c r="E275" s="2">
        <v>19</v>
      </c>
      <c r="F275" s="1">
        <v>118.15</v>
      </c>
      <c r="G275" s="1">
        <v>75.599999999999994</v>
      </c>
      <c r="H275" s="2">
        <v>19</v>
      </c>
      <c r="I275" t="s">
        <v>81</v>
      </c>
    </row>
    <row r="276" spans="1:9" x14ac:dyDescent="0.25">
      <c r="A276" t="s">
        <v>648</v>
      </c>
      <c r="B276" t="s">
        <v>649</v>
      </c>
      <c r="C276" t="s">
        <v>25</v>
      </c>
      <c r="D276" s="1">
        <v>117.41</v>
      </c>
      <c r="E276" s="2">
        <v>1</v>
      </c>
      <c r="F276" s="1">
        <v>234.82</v>
      </c>
      <c r="G276" s="1">
        <v>204.64</v>
      </c>
      <c r="H276" s="2">
        <v>2</v>
      </c>
      <c r="I276" t="s">
        <v>81</v>
      </c>
    </row>
    <row r="277" spans="1:9" x14ac:dyDescent="0.25">
      <c r="A277" t="s">
        <v>650</v>
      </c>
      <c r="B277" t="s">
        <v>651</v>
      </c>
      <c r="C277" t="s">
        <v>11</v>
      </c>
      <c r="D277" s="1">
        <v>117.36</v>
      </c>
      <c r="E277" s="2">
        <v>8</v>
      </c>
      <c r="F277" s="1">
        <v>102.69</v>
      </c>
      <c r="G277" s="1">
        <v>70</v>
      </c>
      <c r="H277" s="2">
        <v>7</v>
      </c>
      <c r="I277" t="s">
        <v>81</v>
      </c>
    </row>
    <row r="278" spans="1:9" x14ac:dyDescent="0.25">
      <c r="A278" t="s">
        <v>652</v>
      </c>
      <c r="B278" t="s">
        <v>653</v>
      </c>
      <c r="C278" t="s">
        <v>28</v>
      </c>
      <c r="D278" s="1">
        <v>115.5</v>
      </c>
      <c r="E278" s="2">
        <v>3</v>
      </c>
      <c r="F278" s="1">
        <v>192.5</v>
      </c>
      <c r="G278" s="1">
        <v>220</v>
      </c>
      <c r="H278" s="2">
        <v>5</v>
      </c>
      <c r="I278" s="2">
        <v>3</v>
      </c>
    </row>
    <row r="279" spans="1:9" x14ac:dyDescent="0.25">
      <c r="A279" t="s">
        <v>338</v>
      </c>
      <c r="B279" t="s">
        <v>339</v>
      </c>
      <c r="C279" t="s">
        <v>11</v>
      </c>
      <c r="D279" s="1">
        <v>115.44</v>
      </c>
      <c r="E279" s="2">
        <v>8</v>
      </c>
      <c r="F279" s="1">
        <v>89.04</v>
      </c>
      <c r="G279" s="1">
        <v>70.680000000000007</v>
      </c>
      <c r="H279" s="2">
        <v>6</v>
      </c>
      <c r="I279" s="2">
        <v>2</v>
      </c>
    </row>
    <row r="280" spans="1:9" x14ac:dyDescent="0.25">
      <c r="A280" t="s">
        <v>608</v>
      </c>
      <c r="B280" t="s">
        <v>609</v>
      </c>
      <c r="C280" t="s">
        <v>25</v>
      </c>
      <c r="D280" s="1">
        <v>114.52</v>
      </c>
      <c r="E280" s="2">
        <v>14</v>
      </c>
      <c r="F280" s="1">
        <v>106.34</v>
      </c>
      <c r="G280" s="1">
        <v>74.349999999999994</v>
      </c>
      <c r="H280" s="2">
        <v>13</v>
      </c>
      <c r="I280" s="2">
        <v>2</v>
      </c>
    </row>
    <row r="281" spans="1:9" x14ac:dyDescent="0.25">
      <c r="A281" t="s">
        <v>152</v>
      </c>
      <c r="B281" t="s">
        <v>153</v>
      </c>
      <c r="C281" t="s">
        <v>25</v>
      </c>
      <c r="D281" s="1">
        <v>113.58</v>
      </c>
      <c r="E281" s="2">
        <v>6</v>
      </c>
      <c r="F281" s="1">
        <v>113.58</v>
      </c>
      <c r="G281" s="1">
        <v>83.7</v>
      </c>
      <c r="H281" s="2">
        <v>6</v>
      </c>
      <c r="I281" t="s">
        <v>81</v>
      </c>
    </row>
    <row r="282" spans="1:9" x14ac:dyDescent="0.25">
      <c r="A282" t="s">
        <v>240</v>
      </c>
      <c r="B282" t="s">
        <v>241</v>
      </c>
      <c r="C282" t="s">
        <v>16</v>
      </c>
      <c r="D282" s="1">
        <v>113.27</v>
      </c>
      <c r="E282" s="2">
        <v>3</v>
      </c>
      <c r="F282" s="1">
        <v>113.27</v>
      </c>
      <c r="G282" s="1">
        <v>276</v>
      </c>
      <c r="H282" s="2">
        <v>3</v>
      </c>
      <c r="I282" s="2">
        <v>1</v>
      </c>
    </row>
    <row r="283" spans="1:9" x14ac:dyDescent="0.25">
      <c r="A283" t="s">
        <v>654</v>
      </c>
      <c r="B283" t="s">
        <v>655</v>
      </c>
      <c r="C283" t="s">
        <v>28</v>
      </c>
      <c r="D283" s="1">
        <v>113.22</v>
      </c>
      <c r="E283" s="2">
        <v>17</v>
      </c>
      <c r="F283" s="1">
        <v>273.06</v>
      </c>
      <c r="G283" s="1">
        <v>163.80000000000001</v>
      </c>
      <c r="H283" s="2">
        <v>41</v>
      </c>
      <c r="I283" s="2">
        <v>32</v>
      </c>
    </row>
    <row r="284" spans="1:9" x14ac:dyDescent="0.25">
      <c r="A284" t="s">
        <v>412</v>
      </c>
      <c r="B284" t="s">
        <v>413</v>
      </c>
      <c r="C284" t="s">
        <v>25</v>
      </c>
      <c r="D284" s="1">
        <v>112.41</v>
      </c>
      <c r="E284" s="2">
        <v>5</v>
      </c>
      <c r="F284" s="1">
        <v>91.41</v>
      </c>
      <c r="G284" s="1">
        <v>57.92</v>
      </c>
      <c r="H284" s="2">
        <v>4</v>
      </c>
      <c r="I284" t="s">
        <v>81</v>
      </c>
    </row>
    <row r="285" spans="1:9" x14ac:dyDescent="0.25">
      <c r="A285" t="s">
        <v>120</v>
      </c>
      <c r="B285" t="s">
        <v>121</v>
      </c>
      <c r="C285" t="s">
        <v>11</v>
      </c>
      <c r="D285" s="1">
        <v>112.32</v>
      </c>
      <c r="E285" s="2">
        <v>4</v>
      </c>
      <c r="F285" s="1">
        <v>112.32</v>
      </c>
      <c r="G285" s="1">
        <v>83.6</v>
      </c>
      <c r="H285" s="2">
        <v>4</v>
      </c>
      <c r="I285" s="2">
        <v>4</v>
      </c>
    </row>
    <row r="286" spans="1:9" x14ac:dyDescent="0.25">
      <c r="A286" t="s">
        <v>224</v>
      </c>
      <c r="B286" t="s">
        <v>225</v>
      </c>
      <c r="C286" t="s">
        <v>11</v>
      </c>
      <c r="D286" s="1">
        <v>109.67</v>
      </c>
      <c r="E286" s="2">
        <v>6</v>
      </c>
      <c r="F286" s="1">
        <v>109.67</v>
      </c>
      <c r="G286" s="1">
        <v>44.58</v>
      </c>
      <c r="H286" s="2">
        <v>6</v>
      </c>
      <c r="I286" s="2">
        <v>1</v>
      </c>
    </row>
    <row r="287" spans="1:9" x14ac:dyDescent="0.25">
      <c r="A287" t="s">
        <v>222</v>
      </c>
      <c r="B287" t="s">
        <v>223</v>
      </c>
      <c r="C287" t="s">
        <v>16</v>
      </c>
      <c r="D287" s="1">
        <v>108.4</v>
      </c>
      <c r="E287" s="2">
        <v>1</v>
      </c>
      <c r="F287" s="1">
        <v>108.4</v>
      </c>
      <c r="G287" s="1">
        <v>80.8</v>
      </c>
      <c r="H287" s="2">
        <v>1</v>
      </c>
      <c r="I287" s="2">
        <v>1</v>
      </c>
    </row>
    <row r="288" spans="1:9" x14ac:dyDescent="0.25">
      <c r="A288" t="s">
        <v>176</v>
      </c>
      <c r="B288" t="s">
        <v>177</v>
      </c>
      <c r="C288" t="s">
        <v>28</v>
      </c>
      <c r="D288" s="1">
        <v>108.18</v>
      </c>
      <c r="E288" s="2">
        <v>2</v>
      </c>
      <c r="F288" s="1">
        <v>108.18</v>
      </c>
      <c r="G288" s="1">
        <v>74.3</v>
      </c>
      <c r="H288" s="2">
        <v>2</v>
      </c>
      <c r="I288" s="2">
        <v>1</v>
      </c>
    </row>
    <row r="289" spans="1:9" x14ac:dyDescent="0.25">
      <c r="A289" t="s">
        <v>304</v>
      </c>
      <c r="B289" t="s">
        <v>305</v>
      </c>
      <c r="C289" t="s">
        <v>25</v>
      </c>
      <c r="D289" s="1">
        <v>107.86</v>
      </c>
      <c r="E289" s="2">
        <v>2</v>
      </c>
      <c r="F289" s="1">
        <v>55.89</v>
      </c>
      <c r="G289" s="1">
        <v>61.04</v>
      </c>
      <c r="H289" s="2">
        <v>1</v>
      </c>
      <c r="I289" t="s">
        <v>81</v>
      </c>
    </row>
    <row r="290" spans="1:9" x14ac:dyDescent="0.25">
      <c r="A290" t="s">
        <v>92</v>
      </c>
      <c r="B290" t="s">
        <v>93</v>
      </c>
      <c r="C290" t="s">
        <v>207</v>
      </c>
      <c r="D290" s="1">
        <v>106.89</v>
      </c>
      <c r="E290" s="2">
        <v>6</v>
      </c>
      <c r="F290" s="1">
        <v>75.13</v>
      </c>
      <c r="G290" s="1">
        <v>43.81</v>
      </c>
      <c r="H290" s="2">
        <v>4</v>
      </c>
      <c r="I290" t="s">
        <v>81</v>
      </c>
    </row>
    <row r="291" spans="1:9" x14ac:dyDescent="0.25">
      <c r="A291" t="s">
        <v>656</v>
      </c>
      <c r="B291" t="s">
        <v>657</v>
      </c>
      <c r="C291" t="s">
        <v>16</v>
      </c>
      <c r="D291" s="1">
        <v>106.26</v>
      </c>
      <c r="E291" s="2">
        <v>3</v>
      </c>
      <c r="F291" s="1">
        <v>106.26</v>
      </c>
      <c r="G291" s="1">
        <v>0</v>
      </c>
      <c r="H291" s="2">
        <v>3</v>
      </c>
      <c r="I291" s="2">
        <v>2</v>
      </c>
    </row>
    <row r="292" spans="1:9" x14ac:dyDescent="0.25">
      <c r="A292" t="s">
        <v>302</v>
      </c>
      <c r="B292" t="s">
        <v>303</v>
      </c>
      <c r="C292" t="s">
        <v>28</v>
      </c>
      <c r="D292" s="1">
        <v>104.86</v>
      </c>
      <c r="E292" s="2">
        <v>3</v>
      </c>
      <c r="F292" s="1">
        <v>104.86</v>
      </c>
      <c r="G292" s="1">
        <v>65.7</v>
      </c>
      <c r="H292" s="2">
        <v>3</v>
      </c>
      <c r="I292" s="2">
        <v>4</v>
      </c>
    </row>
    <row r="293" spans="1:9" x14ac:dyDescent="0.25">
      <c r="A293" t="s">
        <v>658</v>
      </c>
      <c r="B293" t="s">
        <v>659</v>
      </c>
      <c r="C293" t="s">
        <v>28</v>
      </c>
      <c r="D293" s="1">
        <v>103.75</v>
      </c>
      <c r="E293" s="2">
        <v>5</v>
      </c>
      <c r="F293" s="1">
        <v>103.75</v>
      </c>
      <c r="G293" s="1">
        <v>70.900000000000006</v>
      </c>
      <c r="H293" s="2">
        <v>5</v>
      </c>
      <c r="I293" t="s">
        <v>81</v>
      </c>
    </row>
    <row r="294" spans="1:9" x14ac:dyDescent="0.25">
      <c r="A294" t="s">
        <v>354</v>
      </c>
      <c r="B294" t="s">
        <v>355</v>
      </c>
      <c r="C294" t="s">
        <v>16</v>
      </c>
      <c r="D294" s="1">
        <v>102.81</v>
      </c>
      <c r="E294" s="2">
        <v>2</v>
      </c>
      <c r="F294" s="1">
        <v>164.19</v>
      </c>
      <c r="G294" s="1">
        <v>78</v>
      </c>
      <c r="H294" s="2">
        <v>3</v>
      </c>
      <c r="I294" t="s">
        <v>81</v>
      </c>
    </row>
    <row r="295" spans="1:9" x14ac:dyDescent="0.25">
      <c r="A295" t="s">
        <v>14</v>
      </c>
      <c r="B295" t="s">
        <v>15</v>
      </c>
      <c r="C295" t="s">
        <v>207</v>
      </c>
      <c r="D295" s="1">
        <v>100.56</v>
      </c>
      <c r="E295" s="2">
        <v>7</v>
      </c>
      <c r="F295" s="1">
        <v>86.58</v>
      </c>
      <c r="G295" s="1">
        <v>44.37</v>
      </c>
      <c r="H295" s="2">
        <v>6</v>
      </c>
      <c r="I295" t="s">
        <v>81</v>
      </c>
    </row>
    <row r="296" spans="1:9" x14ac:dyDescent="0.25">
      <c r="A296" t="s">
        <v>146</v>
      </c>
      <c r="B296" t="s">
        <v>147</v>
      </c>
      <c r="C296" t="s">
        <v>16</v>
      </c>
      <c r="D296" s="1">
        <v>100</v>
      </c>
      <c r="E296" s="2">
        <v>1</v>
      </c>
      <c r="F296" s="1">
        <v>100</v>
      </c>
      <c r="G296" s="1">
        <v>77</v>
      </c>
      <c r="H296" s="2">
        <v>1</v>
      </c>
      <c r="I296" t="s">
        <v>81</v>
      </c>
    </row>
    <row r="297" spans="1:9" x14ac:dyDescent="0.25">
      <c r="A297" t="s">
        <v>192</v>
      </c>
      <c r="B297" t="s">
        <v>193</v>
      </c>
      <c r="C297" t="s">
        <v>11</v>
      </c>
      <c r="D297" s="1">
        <v>98.22</v>
      </c>
      <c r="E297" s="2">
        <v>1</v>
      </c>
      <c r="F297" s="1">
        <v>98.22</v>
      </c>
      <c r="G297" s="1">
        <v>75</v>
      </c>
      <c r="H297" s="2">
        <v>1</v>
      </c>
      <c r="I297" s="2">
        <v>1</v>
      </c>
    </row>
    <row r="298" spans="1:9" x14ac:dyDescent="0.25">
      <c r="A298" t="s">
        <v>250</v>
      </c>
      <c r="B298" t="s">
        <v>251</v>
      </c>
      <c r="C298" t="s">
        <v>11</v>
      </c>
      <c r="D298" s="1">
        <v>98.08</v>
      </c>
      <c r="E298" s="2">
        <v>2</v>
      </c>
      <c r="F298" s="1">
        <v>98.08</v>
      </c>
      <c r="G298" s="1">
        <v>79.8</v>
      </c>
      <c r="H298" s="2">
        <v>2</v>
      </c>
      <c r="I298" s="2">
        <v>3</v>
      </c>
    </row>
    <row r="299" spans="1:9" x14ac:dyDescent="0.25">
      <c r="A299" t="s">
        <v>174</v>
      </c>
      <c r="B299" t="s">
        <v>175</v>
      </c>
      <c r="C299" t="s">
        <v>299</v>
      </c>
      <c r="D299" s="1">
        <v>97.71</v>
      </c>
      <c r="E299" s="2">
        <v>11</v>
      </c>
      <c r="F299" s="1">
        <v>81.28</v>
      </c>
      <c r="G299" s="1">
        <v>35.51</v>
      </c>
      <c r="H299" s="2">
        <v>9</v>
      </c>
      <c r="I299" t="s">
        <v>81</v>
      </c>
    </row>
    <row r="300" spans="1:9" x14ac:dyDescent="0.25">
      <c r="A300" t="s">
        <v>43</v>
      </c>
      <c r="B300" t="s">
        <v>44</v>
      </c>
      <c r="C300" t="s">
        <v>299</v>
      </c>
      <c r="D300" s="1">
        <v>97.11</v>
      </c>
      <c r="E300" s="2">
        <v>12</v>
      </c>
      <c r="F300" s="1">
        <v>88.53</v>
      </c>
      <c r="G300" s="1">
        <v>34.51</v>
      </c>
      <c r="H300" s="2">
        <v>11</v>
      </c>
      <c r="I300" s="2">
        <v>1</v>
      </c>
    </row>
    <row r="301" spans="1:9" x14ac:dyDescent="0.25">
      <c r="A301" t="s">
        <v>140</v>
      </c>
      <c r="B301" t="s">
        <v>141</v>
      </c>
      <c r="C301" t="s">
        <v>207</v>
      </c>
      <c r="D301" s="1">
        <v>96.81</v>
      </c>
      <c r="E301" s="2">
        <v>5</v>
      </c>
      <c r="F301" s="1">
        <v>96.81</v>
      </c>
      <c r="G301" s="1">
        <v>68.92</v>
      </c>
      <c r="H301" s="2">
        <v>5</v>
      </c>
      <c r="I301" t="s">
        <v>81</v>
      </c>
    </row>
    <row r="302" spans="1:9" x14ac:dyDescent="0.25">
      <c r="A302" t="s">
        <v>532</v>
      </c>
      <c r="B302" t="s">
        <v>533</v>
      </c>
      <c r="C302" t="s">
        <v>28</v>
      </c>
      <c r="D302" s="1">
        <v>95.66</v>
      </c>
      <c r="E302" s="2">
        <v>8</v>
      </c>
      <c r="F302" s="1">
        <v>95.66</v>
      </c>
      <c r="G302" s="1">
        <v>58.52</v>
      </c>
      <c r="H302" s="2">
        <v>8</v>
      </c>
      <c r="I302" t="s">
        <v>81</v>
      </c>
    </row>
    <row r="303" spans="1:9" x14ac:dyDescent="0.25">
      <c r="A303" t="s">
        <v>416</v>
      </c>
      <c r="B303" t="s">
        <v>417</v>
      </c>
      <c r="C303" t="s">
        <v>28</v>
      </c>
      <c r="D303" s="1">
        <v>95.45</v>
      </c>
      <c r="E303" s="2">
        <v>2</v>
      </c>
      <c r="F303" s="1">
        <v>95.45</v>
      </c>
      <c r="G303" s="1">
        <v>59.08</v>
      </c>
      <c r="H303" s="2">
        <v>2</v>
      </c>
      <c r="I303" s="2">
        <v>1</v>
      </c>
    </row>
    <row r="304" spans="1:9" x14ac:dyDescent="0.25">
      <c r="A304" t="s">
        <v>252</v>
      </c>
      <c r="B304" t="s">
        <v>253</v>
      </c>
      <c r="C304" t="s">
        <v>11</v>
      </c>
      <c r="D304" s="1">
        <v>93.85</v>
      </c>
      <c r="E304" s="2">
        <v>5</v>
      </c>
      <c r="F304" s="1">
        <v>93.85</v>
      </c>
      <c r="G304" s="1">
        <v>62.77</v>
      </c>
      <c r="H304" s="2">
        <v>5</v>
      </c>
      <c r="I304" s="2">
        <v>2</v>
      </c>
    </row>
    <row r="305" spans="1:9" x14ac:dyDescent="0.25">
      <c r="A305" t="s">
        <v>606</v>
      </c>
      <c r="B305" t="s">
        <v>607</v>
      </c>
      <c r="C305" t="s">
        <v>16</v>
      </c>
      <c r="D305" s="1">
        <v>93.44</v>
      </c>
      <c r="E305" s="2">
        <v>5</v>
      </c>
      <c r="F305" s="1">
        <v>93.44</v>
      </c>
      <c r="G305" s="1">
        <v>70</v>
      </c>
      <c r="H305" s="2">
        <v>5</v>
      </c>
      <c r="I305" t="s">
        <v>81</v>
      </c>
    </row>
    <row r="306" spans="1:9" x14ac:dyDescent="0.25">
      <c r="A306" t="s">
        <v>150</v>
      </c>
      <c r="B306" t="s">
        <v>151</v>
      </c>
      <c r="C306" t="s">
        <v>11</v>
      </c>
      <c r="D306" s="1">
        <v>93.23</v>
      </c>
      <c r="E306" s="2">
        <v>5</v>
      </c>
      <c r="F306" s="1">
        <v>93.23</v>
      </c>
      <c r="G306" s="1">
        <v>39.35</v>
      </c>
      <c r="H306" s="2">
        <v>5</v>
      </c>
      <c r="I306" t="s">
        <v>81</v>
      </c>
    </row>
    <row r="307" spans="1:9" x14ac:dyDescent="0.25">
      <c r="A307" t="s">
        <v>188</v>
      </c>
      <c r="B307" t="s">
        <v>189</v>
      </c>
      <c r="C307" t="s">
        <v>11</v>
      </c>
      <c r="D307" s="1">
        <v>92.19</v>
      </c>
      <c r="E307" s="2">
        <v>3</v>
      </c>
      <c r="F307" s="1">
        <v>116.7</v>
      </c>
      <c r="G307" s="1">
        <v>72</v>
      </c>
      <c r="H307" s="2">
        <v>4</v>
      </c>
      <c r="I307" s="2">
        <v>5</v>
      </c>
    </row>
    <row r="308" spans="1:9" x14ac:dyDescent="0.25">
      <c r="A308" t="s">
        <v>404</v>
      </c>
      <c r="B308" t="s">
        <v>405</v>
      </c>
      <c r="C308" t="s">
        <v>25</v>
      </c>
      <c r="D308" s="1">
        <v>91.74</v>
      </c>
      <c r="E308" s="2">
        <v>6</v>
      </c>
      <c r="F308" s="1">
        <v>76.45</v>
      </c>
      <c r="G308" s="1">
        <v>75.05</v>
      </c>
      <c r="H308" s="2">
        <v>5</v>
      </c>
      <c r="I308" s="2">
        <v>1</v>
      </c>
    </row>
    <row r="309" spans="1:9" x14ac:dyDescent="0.25">
      <c r="A309" t="s">
        <v>37</v>
      </c>
      <c r="B309" t="s">
        <v>38</v>
      </c>
      <c r="C309" t="s">
        <v>11</v>
      </c>
      <c r="D309" s="1">
        <v>91.63</v>
      </c>
      <c r="E309" s="2">
        <v>2</v>
      </c>
      <c r="F309" s="1">
        <v>91.63</v>
      </c>
      <c r="G309" s="1">
        <v>67.5</v>
      </c>
      <c r="H309" s="2">
        <v>2</v>
      </c>
      <c r="I309" s="2">
        <v>1</v>
      </c>
    </row>
    <row r="310" spans="1:9" x14ac:dyDescent="0.25">
      <c r="A310" t="s">
        <v>562</v>
      </c>
      <c r="B310" t="s">
        <v>563</v>
      </c>
      <c r="C310" t="s">
        <v>16</v>
      </c>
      <c r="D310" s="1">
        <v>91.6</v>
      </c>
      <c r="E310" s="2">
        <v>1</v>
      </c>
      <c r="F310" s="1">
        <v>91.6</v>
      </c>
      <c r="G310" s="1">
        <v>48</v>
      </c>
      <c r="H310" s="2">
        <v>1</v>
      </c>
      <c r="I310" s="2">
        <v>1</v>
      </c>
    </row>
    <row r="311" spans="1:9" x14ac:dyDescent="0.25">
      <c r="A311" t="s">
        <v>287</v>
      </c>
      <c r="B311" t="s">
        <v>288</v>
      </c>
      <c r="C311" t="s">
        <v>11</v>
      </c>
      <c r="D311" s="1">
        <v>88.34</v>
      </c>
      <c r="E311" s="2">
        <v>2</v>
      </c>
      <c r="F311" s="1">
        <v>88.34</v>
      </c>
      <c r="G311" s="1">
        <v>58.14</v>
      </c>
      <c r="H311" s="2">
        <v>2</v>
      </c>
      <c r="I311" s="2">
        <v>3</v>
      </c>
    </row>
    <row r="312" spans="1:9" x14ac:dyDescent="0.25">
      <c r="A312" t="s">
        <v>328</v>
      </c>
      <c r="B312" t="s">
        <v>329</v>
      </c>
      <c r="C312" t="s">
        <v>11</v>
      </c>
      <c r="D312" s="1">
        <v>88.2</v>
      </c>
      <c r="E312" s="2">
        <v>4</v>
      </c>
      <c r="F312" s="1">
        <v>66.150000000000006</v>
      </c>
      <c r="G312" s="1">
        <v>38.85</v>
      </c>
      <c r="H312" s="2">
        <v>3</v>
      </c>
      <c r="I312" t="s">
        <v>81</v>
      </c>
    </row>
    <row r="313" spans="1:9" x14ac:dyDescent="0.25">
      <c r="A313" t="s">
        <v>236</v>
      </c>
      <c r="B313" t="s">
        <v>237</v>
      </c>
      <c r="C313" t="s">
        <v>11</v>
      </c>
      <c r="D313" s="1">
        <v>87.72</v>
      </c>
      <c r="E313" s="2">
        <v>2</v>
      </c>
      <c r="F313" s="1">
        <v>87.72</v>
      </c>
      <c r="G313" s="1">
        <v>44.08</v>
      </c>
      <c r="H313" s="2">
        <v>2</v>
      </c>
      <c r="I313" s="2">
        <v>1</v>
      </c>
    </row>
    <row r="314" spans="1:9" x14ac:dyDescent="0.25">
      <c r="A314" t="s">
        <v>43</v>
      </c>
      <c r="B314" t="s">
        <v>44</v>
      </c>
      <c r="C314" t="s">
        <v>16</v>
      </c>
      <c r="D314" s="1">
        <v>87.01</v>
      </c>
      <c r="E314" s="2">
        <v>12</v>
      </c>
      <c r="F314" s="1">
        <v>87.01</v>
      </c>
      <c r="G314" s="1">
        <v>36.36</v>
      </c>
      <c r="H314" s="2">
        <v>12</v>
      </c>
      <c r="I314" t="s">
        <v>81</v>
      </c>
    </row>
    <row r="315" spans="1:9" x14ac:dyDescent="0.25">
      <c r="A315" t="s">
        <v>205</v>
      </c>
      <c r="B315" t="s">
        <v>206</v>
      </c>
      <c r="C315" t="s">
        <v>11</v>
      </c>
      <c r="D315" s="1">
        <v>86.86</v>
      </c>
      <c r="E315" s="2">
        <v>1</v>
      </c>
      <c r="F315" s="1">
        <v>86.86</v>
      </c>
      <c r="G315" s="1">
        <v>66.5</v>
      </c>
      <c r="H315" s="2">
        <v>1</v>
      </c>
      <c r="I315" t="s">
        <v>81</v>
      </c>
    </row>
    <row r="316" spans="1:9" x14ac:dyDescent="0.25">
      <c r="A316" t="s">
        <v>318</v>
      </c>
      <c r="B316" t="s">
        <v>319</v>
      </c>
      <c r="C316" t="s">
        <v>25</v>
      </c>
      <c r="D316" s="1">
        <v>85.74</v>
      </c>
      <c r="E316" s="2">
        <v>1</v>
      </c>
      <c r="F316" s="1">
        <v>85.74</v>
      </c>
      <c r="G316" s="1">
        <v>91.35</v>
      </c>
      <c r="H316" s="2">
        <v>1</v>
      </c>
      <c r="I316" t="s">
        <v>81</v>
      </c>
    </row>
    <row r="317" spans="1:9" x14ac:dyDescent="0.25">
      <c r="A317" t="s">
        <v>174</v>
      </c>
      <c r="B317" t="s">
        <v>175</v>
      </c>
      <c r="C317" t="s">
        <v>11</v>
      </c>
      <c r="D317" s="1">
        <v>84.03</v>
      </c>
      <c r="E317" s="2">
        <v>11</v>
      </c>
      <c r="F317" s="1">
        <v>84.03</v>
      </c>
      <c r="G317" s="1">
        <v>45.43</v>
      </c>
      <c r="H317" s="2">
        <v>11</v>
      </c>
      <c r="I317" t="s">
        <v>81</v>
      </c>
    </row>
    <row r="318" spans="1:9" x14ac:dyDescent="0.25">
      <c r="A318" t="s">
        <v>610</v>
      </c>
      <c r="B318" t="s">
        <v>611</v>
      </c>
      <c r="C318" t="s">
        <v>266</v>
      </c>
      <c r="D318" s="1">
        <v>83.82</v>
      </c>
      <c r="E318" s="2">
        <v>6</v>
      </c>
      <c r="F318" s="1">
        <v>55.88</v>
      </c>
      <c r="G318" s="1">
        <v>38</v>
      </c>
      <c r="H318" s="2">
        <v>4</v>
      </c>
      <c r="I318" s="2">
        <v>3</v>
      </c>
    </row>
    <row r="319" spans="1:9" x14ac:dyDescent="0.25">
      <c r="A319" t="s">
        <v>196</v>
      </c>
      <c r="B319" t="s">
        <v>197</v>
      </c>
      <c r="C319" t="s">
        <v>28</v>
      </c>
      <c r="D319" s="1">
        <v>83.59</v>
      </c>
      <c r="E319" s="2">
        <v>3</v>
      </c>
      <c r="F319" s="1">
        <v>83.59</v>
      </c>
      <c r="G319" s="1">
        <v>49.95</v>
      </c>
      <c r="H319" s="2">
        <v>3</v>
      </c>
      <c r="I319" t="s">
        <v>81</v>
      </c>
    </row>
    <row r="320" spans="1:9" x14ac:dyDescent="0.25">
      <c r="A320" t="s">
        <v>246</v>
      </c>
      <c r="B320" t="s">
        <v>247</v>
      </c>
      <c r="C320" t="s">
        <v>16</v>
      </c>
      <c r="D320" s="1">
        <v>83.32</v>
      </c>
      <c r="E320" s="2">
        <v>7</v>
      </c>
      <c r="F320" s="1">
        <v>71.67</v>
      </c>
      <c r="G320" s="1">
        <v>48</v>
      </c>
      <c r="H320" s="2">
        <v>6</v>
      </c>
      <c r="I320" s="2">
        <v>2</v>
      </c>
    </row>
    <row r="321" spans="1:9" x14ac:dyDescent="0.25">
      <c r="A321" t="s">
        <v>490</v>
      </c>
      <c r="B321" t="s">
        <v>491</v>
      </c>
      <c r="C321" t="s">
        <v>11</v>
      </c>
      <c r="D321" s="1">
        <v>83.1</v>
      </c>
      <c r="E321" s="2">
        <v>6</v>
      </c>
      <c r="F321" s="1">
        <v>83.1</v>
      </c>
      <c r="G321" s="1">
        <v>67.5</v>
      </c>
      <c r="H321" s="2">
        <v>6</v>
      </c>
      <c r="I321" t="s">
        <v>81</v>
      </c>
    </row>
    <row r="322" spans="1:9" x14ac:dyDescent="0.25">
      <c r="A322" t="s">
        <v>192</v>
      </c>
      <c r="B322" t="s">
        <v>193</v>
      </c>
      <c r="C322" t="s">
        <v>28</v>
      </c>
      <c r="D322" s="1">
        <v>82.5</v>
      </c>
      <c r="E322" s="2">
        <v>1</v>
      </c>
      <c r="F322" s="1">
        <v>82.5</v>
      </c>
      <c r="G322" s="1">
        <v>75</v>
      </c>
      <c r="H322" s="2">
        <v>1</v>
      </c>
      <c r="I322" s="2">
        <v>1</v>
      </c>
    </row>
    <row r="323" spans="1:9" x14ac:dyDescent="0.25">
      <c r="A323" t="s">
        <v>372</v>
      </c>
      <c r="B323" t="s">
        <v>373</v>
      </c>
      <c r="C323" t="s">
        <v>25</v>
      </c>
      <c r="D323" s="1">
        <v>82.48</v>
      </c>
      <c r="E323" s="2">
        <v>2</v>
      </c>
      <c r="F323" s="1">
        <v>82.48</v>
      </c>
      <c r="G323" s="1">
        <v>53.32</v>
      </c>
      <c r="H323" s="2">
        <v>2</v>
      </c>
      <c r="I323" s="2">
        <v>1</v>
      </c>
    </row>
    <row r="324" spans="1:9" x14ac:dyDescent="0.25">
      <c r="A324" t="s">
        <v>114</v>
      </c>
      <c r="B324" t="s">
        <v>115</v>
      </c>
      <c r="C324" t="s">
        <v>25</v>
      </c>
      <c r="D324" s="1">
        <v>82.48</v>
      </c>
      <c r="E324" s="2">
        <v>2</v>
      </c>
      <c r="F324" s="1">
        <v>82.48</v>
      </c>
      <c r="G324" s="1">
        <v>63</v>
      </c>
      <c r="H324" s="2">
        <v>2</v>
      </c>
      <c r="I324" t="s">
        <v>81</v>
      </c>
    </row>
    <row r="325" spans="1:9" x14ac:dyDescent="0.25">
      <c r="A325" t="s">
        <v>29</v>
      </c>
      <c r="B325" t="s">
        <v>30</v>
      </c>
      <c r="C325" t="s">
        <v>266</v>
      </c>
      <c r="D325" s="1">
        <v>82.25</v>
      </c>
      <c r="E325" s="2">
        <v>5</v>
      </c>
      <c r="F325" s="1">
        <v>82.25</v>
      </c>
      <c r="G325" s="1">
        <v>62.72</v>
      </c>
      <c r="H325" s="2">
        <v>5</v>
      </c>
      <c r="I325" s="2">
        <v>1</v>
      </c>
    </row>
    <row r="326" spans="1:9" x14ac:dyDescent="0.25">
      <c r="A326" t="s">
        <v>660</v>
      </c>
      <c r="B326" t="s">
        <v>661</v>
      </c>
      <c r="C326" t="s">
        <v>11</v>
      </c>
      <c r="D326" s="1">
        <v>81.55</v>
      </c>
      <c r="E326" s="2">
        <v>5</v>
      </c>
      <c r="F326" s="1">
        <v>97.86</v>
      </c>
      <c r="G326" s="1">
        <v>60.16</v>
      </c>
      <c r="H326" s="2">
        <v>6</v>
      </c>
      <c r="I326" t="s">
        <v>81</v>
      </c>
    </row>
    <row r="327" spans="1:9" x14ac:dyDescent="0.25">
      <c r="A327" t="s">
        <v>124</v>
      </c>
      <c r="B327" t="s">
        <v>125</v>
      </c>
      <c r="C327" t="s">
        <v>25</v>
      </c>
      <c r="D327" s="1">
        <v>81.06</v>
      </c>
      <c r="E327" s="2">
        <v>3</v>
      </c>
      <c r="F327" s="1">
        <v>81.06</v>
      </c>
      <c r="G327" s="1">
        <v>44.88</v>
      </c>
      <c r="H327" s="2">
        <v>3</v>
      </c>
      <c r="I327" s="2">
        <v>3</v>
      </c>
    </row>
    <row r="328" spans="1:9" x14ac:dyDescent="0.25">
      <c r="A328" t="s">
        <v>662</v>
      </c>
      <c r="B328" t="s">
        <v>663</v>
      </c>
      <c r="C328" t="s">
        <v>11</v>
      </c>
      <c r="D328" s="1">
        <v>81.040000000000006</v>
      </c>
      <c r="E328" s="2">
        <v>4</v>
      </c>
      <c r="F328" s="1">
        <v>81.040000000000006</v>
      </c>
      <c r="G328" s="1">
        <v>30</v>
      </c>
      <c r="H328" s="2">
        <v>4</v>
      </c>
      <c r="I328" t="s">
        <v>81</v>
      </c>
    </row>
    <row r="329" spans="1:9" x14ac:dyDescent="0.25">
      <c r="A329" t="s">
        <v>614</v>
      </c>
      <c r="B329" t="s">
        <v>615</v>
      </c>
      <c r="C329" t="s">
        <v>266</v>
      </c>
      <c r="D329" s="1">
        <v>81.040000000000006</v>
      </c>
      <c r="E329" s="2">
        <v>2</v>
      </c>
      <c r="F329" s="1">
        <v>81.040000000000006</v>
      </c>
      <c r="G329" s="1">
        <v>53</v>
      </c>
      <c r="H329" s="2">
        <v>2</v>
      </c>
      <c r="I329" t="s">
        <v>81</v>
      </c>
    </row>
    <row r="330" spans="1:9" x14ac:dyDescent="0.25">
      <c r="A330" t="s">
        <v>285</v>
      </c>
      <c r="B330" t="s">
        <v>286</v>
      </c>
      <c r="C330" t="s">
        <v>11</v>
      </c>
      <c r="D330" s="1">
        <v>80.010000000000005</v>
      </c>
      <c r="E330" s="2">
        <v>4</v>
      </c>
      <c r="F330" s="1">
        <v>80.010000000000005</v>
      </c>
      <c r="G330" s="1">
        <v>51.18</v>
      </c>
      <c r="H330" s="2">
        <v>4</v>
      </c>
      <c r="I330" s="2">
        <v>1</v>
      </c>
    </row>
    <row r="331" spans="1:9" x14ac:dyDescent="0.25">
      <c r="A331" t="s">
        <v>376</v>
      </c>
      <c r="B331" t="s">
        <v>377</v>
      </c>
      <c r="C331" t="s">
        <v>28</v>
      </c>
      <c r="D331" s="1">
        <v>79.92</v>
      </c>
      <c r="E331" s="2">
        <v>12</v>
      </c>
      <c r="F331" s="1">
        <v>79.92</v>
      </c>
      <c r="G331" s="1">
        <v>30.71</v>
      </c>
      <c r="H331" s="2">
        <v>12</v>
      </c>
      <c r="I331" t="s">
        <v>81</v>
      </c>
    </row>
    <row r="332" spans="1:9" x14ac:dyDescent="0.25">
      <c r="A332" t="s">
        <v>238</v>
      </c>
      <c r="B332" t="s">
        <v>239</v>
      </c>
      <c r="C332" t="s">
        <v>11</v>
      </c>
      <c r="D332" s="1">
        <v>79.12</v>
      </c>
      <c r="E332" s="2">
        <v>5</v>
      </c>
      <c r="F332" s="1">
        <v>95.02</v>
      </c>
      <c r="G332" s="1">
        <v>52.8</v>
      </c>
      <c r="H332" s="2">
        <v>6</v>
      </c>
      <c r="I332" s="2">
        <v>2</v>
      </c>
    </row>
    <row r="333" spans="1:9" x14ac:dyDescent="0.25">
      <c r="A333" t="s">
        <v>444</v>
      </c>
      <c r="B333" t="s">
        <v>445</v>
      </c>
      <c r="C333" t="s">
        <v>16</v>
      </c>
      <c r="D333" s="1">
        <v>78.16</v>
      </c>
      <c r="E333" s="2">
        <v>1</v>
      </c>
      <c r="F333" s="1">
        <v>78.16</v>
      </c>
      <c r="G333" s="1">
        <v>37.130000000000003</v>
      </c>
      <c r="H333" s="2">
        <v>1</v>
      </c>
      <c r="I333" t="s">
        <v>81</v>
      </c>
    </row>
    <row r="334" spans="1:9" x14ac:dyDescent="0.25">
      <c r="A334" t="s">
        <v>43</v>
      </c>
      <c r="B334" t="s">
        <v>44</v>
      </c>
      <c r="C334" t="s">
        <v>25</v>
      </c>
      <c r="D334" s="1">
        <v>78.09</v>
      </c>
      <c r="E334" s="2">
        <v>12</v>
      </c>
      <c r="F334" s="1">
        <v>78.239999999999995</v>
      </c>
      <c r="G334" s="1">
        <v>37.32</v>
      </c>
      <c r="H334" s="2">
        <v>12</v>
      </c>
      <c r="I334" t="s">
        <v>81</v>
      </c>
    </row>
    <row r="335" spans="1:9" x14ac:dyDescent="0.25">
      <c r="A335" t="s">
        <v>192</v>
      </c>
      <c r="B335" t="s">
        <v>193</v>
      </c>
      <c r="C335" t="s">
        <v>25</v>
      </c>
      <c r="D335" s="1">
        <v>76.91</v>
      </c>
      <c r="E335" s="2">
        <v>1</v>
      </c>
      <c r="F335" s="1">
        <v>76.91</v>
      </c>
      <c r="G335" s="1">
        <v>80.75</v>
      </c>
      <c r="H335" s="2">
        <v>1</v>
      </c>
      <c r="I335" t="s">
        <v>81</v>
      </c>
    </row>
    <row r="336" spans="1:9" x14ac:dyDescent="0.25">
      <c r="A336" t="s">
        <v>456</v>
      </c>
      <c r="B336" t="s">
        <v>457</v>
      </c>
      <c r="C336" t="s">
        <v>28</v>
      </c>
      <c r="D336" s="1">
        <v>76.7</v>
      </c>
      <c r="E336" s="2">
        <v>4</v>
      </c>
      <c r="F336" s="1">
        <v>55.95</v>
      </c>
      <c r="G336" s="1">
        <v>47.25</v>
      </c>
      <c r="H336" s="2">
        <v>3</v>
      </c>
      <c r="I336" t="s">
        <v>81</v>
      </c>
    </row>
    <row r="337" spans="1:9" x14ac:dyDescent="0.25">
      <c r="A337" t="s">
        <v>240</v>
      </c>
      <c r="B337" t="s">
        <v>241</v>
      </c>
      <c r="C337" t="s">
        <v>266</v>
      </c>
      <c r="D337" s="1">
        <v>75.94</v>
      </c>
      <c r="E337" s="2">
        <v>2</v>
      </c>
      <c r="F337" s="1">
        <v>75.94</v>
      </c>
      <c r="G337" s="1">
        <v>184</v>
      </c>
      <c r="H337" s="2">
        <v>2</v>
      </c>
      <c r="I337" t="s">
        <v>81</v>
      </c>
    </row>
    <row r="338" spans="1:9" x14ac:dyDescent="0.25">
      <c r="A338" t="s">
        <v>252</v>
      </c>
      <c r="B338" t="s">
        <v>253</v>
      </c>
      <c r="C338" t="s">
        <v>25</v>
      </c>
      <c r="D338" s="1">
        <v>75.72</v>
      </c>
      <c r="E338" s="2">
        <v>4</v>
      </c>
      <c r="F338" s="1">
        <v>56.79</v>
      </c>
      <c r="G338" s="1">
        <v>41.85</v>
      </c>
      <c r="H338" s="2">
        <v>3</v>
      </c>
      <c r="I338" t="s">
        <v>81</v>
      </c>
    </row>
    <row r="339" spans="1:9" x14ac:dyDescent="0.25">
      <c r="A339" t="s">
        <v>614</v>
      </c>
      <c r="B339" t="s">
        <v>615</v>
      </c>
      <c r="C339" t="s">
        <v>16</v>
      </c>
      <c r="D339" s="1">
        <v>75.39</v>
      </c>
      <c r="E339" s="2">
        <v>3</v>
      </c>
      <c r="F339" s="1">
        <v>75.39</v>
      </c>
      <c r="G339" s="1">
        <v>79.5</v>
      </c>
      <c r="H339" s="2">
        <v>3</v>
      </c>
      <c r="I339" t="s">
        <v>81</v>
      </c>
    </row>
    <row r="340" spans="1:9" x14ac:dyDescent="0.25">
      <c r="A340" t="s">
        <v>150</v>
      </c>
      <c r="B340" t="s">
        <v>151</v>
      </c>
      <c r="C340" t="s">
        <v>16</v>
      </c>
      <c r="D340" s="1">
        <v>75.12</v>
      </c>
      <c r="E340" s="2">
        <v>6</v>
      </c>
      <c r="F340" s="1">
        <v>75.12</v>
      </c>
      <c r="G340" s="1">
        <v>47.22</v>
      </c>
      <c r="H340" s="2">
        <v>6</v>
      </c>
      <c r="I340" s="2">
        <v>4</v>
      </c>
    </row>
    <row r="341" spans="1:9" x14ac:dyDescent="0.25">
      <c r="A341" t="s">
        <v>178</v>
      </c>
      <c r="B341" t="s">
        <v>179</v>
      </c>
      <c r="C341" t="s">
        <v>299</v>
      </c>
      <c r="D341" s="1">
        <v>74.95</v>
      </c>
      <c r="E341" s="2">
        <v>4</v>
      </c>
      <c r="F341" s="1">
        <v>74.95</v>
      </c>
      <c r="G341" s="1">
        <v>96.48</v>
      </c>
      <c r="H341" s="2">
        <v>4</v>
      </c>
      <c r="I341" t="s">
        <v>81</v>
      </c>
    </row>
    <row r="342" spans="1:9" x14ac:dyDescent="0.25">
      <c r="A342" t="s">
        <v>75</v>
      </c>
      <c r="B342" t="s">
        <v>76</v>
      </c>
      <c r="C342" t="s">
        <v>28</v>
      </c>
      <c r="D342" s="1">
        <v>74.84</v>
      </c>
      <c r="E342" s="2">
        <v>2</v>
      </c>
      <c r="F342" s="1">
        <v>74.84</v>
      </c>
      <c r="G342" s="1">
        <v>67.5</v>
      </c>
      <c r="H342" s="2">
        <v>2</v>
      </c>
      <c r="I342" s="2">
        <v>1</v>
      </c>
    </row>
    <row r="343" spans="1:9" x14ac:dyDescent="0.25">
      <c r="A343" t="s">
        <v>271</v>
      </c>
      <c r="B343" t="s">
        <v>272</v>
      </c>
      <c r="C343" t="s">
        <v>25</v>
      </c>
      <c r="D343" s="1">
        <v>74.77</v>
      </c>
      <c r="E343" s="2">
        <v>4</v>
      </c>
      <c r="F343" s="1">
        <v>51.78</v>
      </c>
      <c r="G343" s="1">
        <v>75</v>
      </c>
      <c r="H343" s="2">
        <v>3</v>
      </c>
      <c r="I343" t="s">
        <v>81</v>
      </c>
    </row>
    <row r="344" spans="1:9" x14ac:dyDescent="0.25">
      <c r="A344" t="s">
        <v>370</v>
      </c>
      <c r="B344" t="s">
        <v>371</v>
      </c>
      <c r="C344" t="s">
        <v>28</v>
      </c>
      <c r="D344" s="1">
        <v>74.760000000000005</v>
      </c>
      <c r="E344" s="2">
        <v>3</v>
      </c>
      <c r="F344" s="1">
        <v>74.760000000000005</v>
      </c>
      <c r="G344" s="1">
        <v>57.9</v>
      </c>
      <c r="H344" s="2">
        <v>3</v>
      </c>
      <c r="I344" t="s">
        <v>81</v>
      </c>
    </row>
    <row r="345" spans="1:9" x14ac:dyDescent="0.25">
      <c r="A345" t="s">
        <v>248</v>
      </c>
      <c r="B345" t="s">
        <v>249</v>
      </c>
      <c r="C345" t="s">
        <v>28</v>
      </c>
      <c r="D345" s="1">
        <v>74.760000000000005</v>
      </c>
      <c r="E345" s="2">
        <v>3</v>
      </c>
      <c r="F345" s="1">
        <v>74.760000000000005</v>
      </c>
      <c r="G345" s="1">
        <v>60.15</v>
      </c>
      <c r="H345" s="2">
        <v>3</v>
      </c>
      <c r="I345" s="2">
        <v>1</v>
      </c>
    </row>
    <row r="346" spans="1:9" x14ac:dyDescent="0.25">
      <c r="A346" t="s">
        <v>382</v>
      </c>
      <c r="B346" t="s">
        <v>383</v>
      </c>
      <c r="C346" t="s">
        <v>16</v>
      </c>
      <c r="D346" s="1">
        <v>74.430000000000007</v>
      </c>
      <c r="E346" s="2">
        <v>1</v>
      </c>
      <c r="F346" s="1">
        <v>74.430000000000007</v>
      </c>
      <c r="G346" s="1">
        <v>55</v>
      </c>
      <c r="H346" s="2">
        <v>1</v>
      </c>
      <c r="I346" t="s">
        <v>81</v>
      </c>
    </row>
    <row r="347" spans="1:9" x14ac:dyDescent="0.25">
      <c r="A347" t="s">
        <v>658</v>
      </c>
      <c r="B347" t="s">
        <v>659</v>
      </c>
      <c r="C347" t="s">
        <v>25</v>
      </c>
      <c r="D347" s="1">
        <v>74.13</v>
      </c>
      <c r="E347" s="2">
        <v>3</v>
      </c>
      <c r="F347" s="1">
        <v>74.13</v>
      </c>
      <c r="G347" s="1">
        <v>42.54</v>
      </c>
      <c r="H347" s="2">
        <v>3</v>
      </c>
      <c r="I347" s="2">
        <v>1</v>
      </c>
    </row>
    <row r="348" spans="1:9" x14ac:dyDescent="0.25">
      <c r="A348" t="s">
        <v>632</v>
      </c>
      <c r="B348" t="s">
        <v>633</v>
      </c>
      <c r="C348" t="s">
        <v>25</v>
      </c>
      <c r="D348" s="1">
        <v>74.13</v>
      </c>
      <c r="E348" s="2">
        <v>3</v>
      </c>
      <c r="F348" s="1">
        <v>74.13</v>
      </c>
      <c r="G348" s="1">
        <v>54</v>
      </c>
      <c r="H348" s="2">
        <v>3</v>
      </c>
      <c r="I348" t="s">
        <v>81</v>
      </c>
    </row>
    <row r="349" spans="1:9" x14ac:dyDescent="0.25">
      <c r="A349" t="s">
        <v>205</v>
      </c>
      <c r="B349" t="s">
        <v>206</v>
      </c>
      <c r="C349" t="s">
        <v>299</v>
      </c>
      <c r="D349" s="1">
        <v>73.52</v>
      </c>
      <c r="E349" s="2">
        <v>1</v>
      </c>
      <c r="F349" s="1">
        <v>73.52</v>
      </c>
      <c r="G349" s="1">
        <v>71.11</v>
      </c>
      <c r="H349" s="2">
        <v>1</v>
      </c>
      <c r="I349" t="s">
        <v>81</v>
      </c>
    </row>
    <row r="350" spans="1:9" x14ac:dyDescent="0.25">
      <c r="A350" t="s">
        <v>291</v>
      </c>
      <c r="B350" t="s">
        <v>292</v>
      </c>
      <c r="C350" t="s">
        <v>11</v>
      </c>
      <c r="D350" s="1">
        <v>72.989999999999995</v>
      </c>
      <c r="E350" s="2">
        <v>9</v>
      </c>
      <c r="F350" s="1">
        <v>72.989999999999995</v>
      </c>
      <c r="G350" s="1">
        <v>35.28</v>
      </c>
      <c r="H350" s="2">
        <v>9</v>
      </c>
      <c r="I350" s="2">
        <v>2</v>
      </c>
    </row>
    <row r="351" spans="1:9" x14ac:dyDescent="0.25">
      <c r="A351" t="s">
        <v>35</v>
      </c>
      <c r="B351" t="s">
        <v>36</v>
      </c>
      <c r="C351" t="s">
        <v>299</v>
      </c>
      <c r="D351" s="1">
        <v>72.430000000000007</v>
      </c>
      <c r="E351" s="2">
        <v>4</v>
      </c>
      <c r="F351" s="1">
        <v>72.430000000000007</v>
      </c>
      <c r="G351" s="1">
        <v>56</v>
      </c>
      <c r="H351" s="2">
        <v>4</v>
      </c>
      <c r="I351" s="2">
        <v>1</v>
      </c>
    </row>
    <row r="352" spans="1:9" x14ac:dyDescent="0.25">
      <c r="A352" t="s">
        <v>190</v>
      </c>
      <c r="B352" t="s">
        <v>191</v>
      </c>
      <c r="C352" t="s">
        <v>28</v>
      </c>
      <c r="D352" s="1">
        <v>72.36</v>
      </c>
      <c r="E352" s="2">
        <v>2</v>
      </c>
      <c r="F352" s="1">
        <v>72.36</v>
      </c>
      <c r="G352" s="1">
        <v>47.24</v>
      </c>
      <c r="H352" s="2">
        <v>2</v>
      </c>
      <c r="I352" s="2">
        <v>4</v>
      </c>
    </row>
    <row r="353" spans="1:9" x14ac:dyDescent="0.25">
      <c r="A353" t="s">
        <v>620</v>
      </c>
      <c r="B353" t="s">
        <v>621</v>
      </c>
      <c r="C353" t="s">
        <v>266</v>
      </c>
      <c r="D353" s="1">
        <v>71.41</v>
      </c>
      <c r="E353" s="2">
        <v>2</v>
      </c>
      <c r="F353" s="1">
        <v>41.24</v>
      </c>
      <c r="G353" s="1">
        <v>35</v>
      </c>
      <c r="H353" s="2">
        <v>1</v>
      </c>
      <c r="I353" t="s">
        <v>81</v>
      </c>
    </row>
    <row r="354" spans="1:9" x14ac:dyDescent="0.25">
      <c r="A354" t="s">
        <v>216</v>
      </c>
      <c r="B354" t="s">
        <v>217</v>
      </c>
      <c r="C354" t="s">
        <v>28</v>
      </c>
      <c r="D354" s="1">
        <v>70.540000000000006</v>
      </c>
      <c r="E354" s="2">
        <v>7</v>
      </c>
      <c r="F354" s="1">
        <v>70.540000000000006</v>
      </c>
      <c r="G354" s="1">
        <v>33.93</v>
      </c>
      <c r="H354" s="2">
        <v>7</v>
      </c>
      <c r="I354" s="2">
        <v>1</v>
      </c>
    </row>
    <row r="355" spans="1:9" x14ac:dyDescent="0.25">
      <c r="A355" t="s">
        <v>12</v>
      </c>
      <c r="B355" t="s">
        <v>13</v>
      </c>
      <c r="C355" t="s">
        <v>28</v>
      </c>
      <c r="D355" s="1">
        <v>69.180000000000007</v>
      </c>
      <c r="E355" s="2">
        <v>4</v>
      </c>
      <c r="F355" s="1">
        <v>69.180000000000007</v>
      </c>
      <c r="G355" s="1">
        <v>39.24</v>
      </c>
      <c r="H355" s="2">
        <v>4</v>
      </c>
      <c r="I355" s="2">
        <v>1</v>
      </c>
    </row>
    <row r="356" spans="1:9" x14ac:dyDescent="0.25">
      <c r="A356" t="s">
        <v>293</v>
      </c>
      <c r="B356" t="s">
        <v>294</v>
      </c>
      <c r="C356" t="s">
        <v>16</v>
      </c>
      <c r="D356" s="1">
        <v>68.81</v>
      </c>
      <c r="E356" s="2">
        <v>7</v>
      </c>
      <c r="F356" s="1">
        <v>68.81</v>
      </c>
      <c r="G356" s="1">
        <v>56.07</v>
      </c>
      <c r="H356" s="2">
        <v>7</v>
      </c>
      <c r="I356" s="2">
        <v>2</v>
      </c>
    </row>
    <row r="357" spans="1:9" x14ac:dyDescent="0.25">
      <c r="A357" t="s">
        <v>124</v>
      </c>
      <c r="B357" t="s">
        <v>125</v>
      </c>
      <c r="C357" t="s">
        <v>28</v>
      </c>
      <c r="D357" s="1">
        <v>67.260000000000005</v>
      </c>
      <c r="E357" s="2">
        <v>3</v>
      </c>
      <c r="F357" s="1">
        <v>89.68</v>
      </c>
      <c r="G357" s="1">
        <v>59.84</v>
      </c>
      <c r="H357" s="2">
        <v>4</v>
      </c>
      <c r="I357" t="s">
        <v>81</v>
      </c>
    </row>
    <row r="358" spans="1:9" x14ac:dyDescent="0.25">
      <c r="A358" t="s">
        <v>664</v>
      </c>
      <c r="B358" t="s">
        <v>665</v>
      </c>
      <c r="C358" t="s">
        <v>207</v>
      </c>
      <c r="D358" s="1">
        <v>67.09</v>
      </c>
      <c r="E358" s="2">
        <v>2</v>
      </c>
      <c r="F358" s="1">
        <v>67.09</v>
      </c>
      <c r="G358" s="1">
        <v>48.49</v>
      </c>
      <c r="H358" s="2">
        <v>2</v>
      </c>
      <c r="I358" t="s">
        <v>81</v>
      </c>
    </row>
    <row r="359" spans="1:9" x14ac:dyDescent="0.25">
      <c r="A359" t="s">
        <v>666</v>
      </c>
      <c r="B359" t="s">
        <v>667</v>
      </c>
      <c r="C359" t="s">
        <v>28</v>
      </c>
      <c r="D359" s="1">
        <v>66.58</v>
      </c>
      <c r="E359" s="2">
        <v>1</v>
      </c>
      <c r="F359" s="1">
        <v>66.58</v>
      </c>
      <c r="G359" s="1">
        <v>55.68</v>
      </c>
      <c r="H359" s="2">
        <v>1</v>
      </c>
      <c r="I359" t="s">
        <v>81</v>
      </c>
    </row>
    <row r="360" spans="1:9" x14ac:dyDescent="0.25">
      <c r="A360" t="s">
        <v>178</v>
      </c>
      <c r="B360" t="s">
        <v>179</v>
      </c>
      <c r="C360" t="s">
        <v>28</v>
      </c>
      <c r="D360" s="1">
        <v>66.5</v>
      </c>
      <c r="E360" s="2">
        <v>2</v>
      </c>
      <c r="F360" s="1">
        <v>66.5</v>
      </c>
      <c r="G360" s="1">
        <v>53</v>
      </c>
      <c r="H360" s="2">
        <v>2</v>
      </c>
      <c r="I360" t="s">
        <v>81</v>
      </c>
    </row>
    <row r="361" spans="1:9" x14ac:dyDescent="0.25">
      <c r="A361" t="s">
        <v>340</v>
      </c>
      <c r="B361" t="s">
        <v>341</v>
      </c>
      <c r="C361" t="s">
        <v>28</v>
      </c>
      <c r="D361" s="1">
        <v>66.5</v>
      </c>
      <c r="E361" s="2">
        <v>2</v>
      </c>
      <c r="F361" s="1">
        <v>66.5</v>
      </c>
      <c r="G361" s="1">
        <v>54</v>
      </c>
      <c r="H361" s="2">
        <v>2</v>
      </c>
      <c r="I361" s="2">
        <v>2</v>
      </c>
    </row>
    <row r="362" spans="1:9" x14ac:dyDescent="0.25">
      <c r="A362" t="s">
        <v>374</v>
      </c>
      <c r="B362" t="s">
        <v>375</v>
      </c>
      <c r="C362" t="s">
        <v>11</v>
      </c>
      <c r="D362" s="1">
        <v>66.150000000000006</v>
      </c>
      <c r="E362" s="2">
        <v>3</v>
      </c>
      <c r="F362" s="1">
        <v>66.150000000000006</v>
      </c>
      <c r="G362" s="1">
        <v>46.2</v>
      </c>
      <c r="H362" s="2">
        <v>3</v>
      </c>
      <c r="I362" t="s">
        <v>81</v>
      </c>
    </row>
    <row r="363" spans="1:9" x14ac:dyDescent="0.25">
      <c r="A363" t="s">
        <v>318</v>
      </c>
      <c r="B363" t="s">
        <v>319</v>
      </c>
      <c r="C363" t="s">
        <v>299</v>
      </c>
      <c r="D363" s="1">
        <v>66.12</v>
      </c>
      <c r="E363" s="2">
        <v>1</v>
      </c>
      <c r="F363" s="1">
        <v>132.79</v>
      </c>
      <c r="G363" s="1">
        <v>189.45</v>
      </c>
      <c r="H363" s="2">
        <v>2</v>
      </c>
      <c r="I363" t="s">
        <v>81</v>
      </c>
    </row>
    <row r="364" spans="1:9" x14ac:dyDescent="0.25">
      <c r="A364" t="s">
        <v>150</v>
      </c>
      <c r="B364" t="s">
        <v>151</v>
      </c>
      <c r="C364" t="s">
        <v>28</v>
      </c>
      <c r="D364" s="1">
        <v>65.83</v>
      </c>
      <c r="E364" s="2">
        <v>4</v>
      </c>
      <c r="F364" s="1">
        <v>82.49</v>
      </c>
      <c r="G364" s="1">
        <v>39.35</v>
      </c>
      <c r="H364" s="2">
        <v>5</v>
      </c>
      <c r="I364" s="2">
        <v>3</v>
      </c>
    </row>
    <row r="365" spans="1:9" x14ac:dyDescent="0.25">
      <c r="A365" t="s">
        <v>12</v>
      </c>
      <c r="B365" t="s">
        <v>13</v>
      </c>
      <c r="C365" t="s">
        <v>25</v>
      </c>
      <c r="D365" s="1">
        <v>65.8</v>
      </c>
      <c r="E365" s="2">
        <v>4</v>
      </c>
      <c r="F365" s="1">
        <v>65.8</v>
      </c>
      <c r="G365" s="1">
        <v>39.24</v>
      </c>
      <c r="H365" s="2">
        <v>4</v>
      </c>
      <c r="I365" s="2">
        <v>1</v>
      </c>
    </row>
    <row r="366" spans="1:9" x14ac:dyDescent="0.25">
      <c r="A366" t="s">
        <v>668</v>
      </c>
      <c r="B366" t="s">
        <v>669</v>
      </c>
      <c r="C366" t="s">
        <v>207</v>
      </c>
      <c r="D366" s="1">
        <v>65.599999999999994</v>
      </c>
      <c r="E366" s="2">
        <v>2</v>
      </c>
      <c r="F366" s="1">
        <v>65.599999999999994</v>
      </c>
      <c r="G366" s="1">
        <v>48.49</v>
      </c>
      <c r="H366" s="2">
        <v>2</v>
      </c>
      <c r="I366" t="s">
        <v>81</v>
      </c>
    </row>
    <row r="367" spans="1:9" x14ac:dyDescent="0.25">
      <c r="A367" t="s">
        <v>670</v>
      </c>
      <c r="B367" t="s">
        <v>671</v>
      </c>
      <c r="C367" t="s">
        <v>11</v>
      </c>
      <c r="D367" s="1">
        <v>65.400000000000006</v>
      </c>
      <c r="E367" s="2">
        <v>2</v>
      </c>
      <c r="F367" s="1">
        <v>32.700000000000003</v>
      </c>
      <c r="G367" s="1">
        <v>24.75</v>
      </c>
      <c r="H367" s="2">
        <v>1</v>
      </c>
      <c r="I367" t="s">
        <v>81</v>
      </c>
    </row>
    <row r="368" spans="1:9" x14ac:dyDescent="0.25">
      <c r="A368" t="s">
        <v>442</v>
      </c>
      <c r="B368" t="s">
        <v>443</v>
      </c>
      <c r="C368" t="s">
        <v>11</v>
      </c>
      <c r="D368" s="1">
        <v>65.239999999999995</v>
      </c>
      <c r="E368" s="2">
        <v>4</v>
      </c>
      <c r="F368" s="1">
        <v>65.239999999999995</v>
      </c>
      <c r="G368" s="1">
        <v>44.8</v>
      </c>
      <c r="H368" s="2">
        <v>4</v>
      </c>
      <c r="I368" t="s">
        <v>81</v>
      </c>
    </row>
    <row r="369" spans="1:9" x14ac:dyDescent="0.25">
      <c r="A369" t="s">
        <v>144</v>
      </c>
      <c r="B369" t="s">
        <v>145</v>
      </c>
      <c r="C369" t="s">
        <v>16</v>
      </c>
      <c r="D369" s="1">
        <v>65.040000000000006</v>
      </c>
      <c r="E369" s="2">
        <v>6</v>
      </c>
      <c r="F369" s="1">
        <v>54.2</v>
      </c>
      <c r="G369" s="1">
        <v>33</v>
      </c>
      <c r="H369" s="2">
        <v>5</v>
      </c>
      <c r="I369" s="2">
        <v>8</v>
      </c>
    </row>
    <row r="370" spans="1:9" x14ac:dyDescent="0.25">
      <c r="A370" t="s">
        <v>186</v>
      </c>
      <c r="B370" t="s">
        <v>187</v>
      </c>
      <c r="C370" t="s">
        <v>299</v>
      </c>
      <c r="D370" s="1">
        <v>64.040000000000006</v>
      </c>
      <c r="E370" s="2">
        <v>2</v>
      </c>
      <c r="F370" s="1">
        <v>31.69</v>
      </c>
      <c r="G370" s="1">
        <v>22.59</v>
      </c>
      <c r="H370" s="2">
        <v>1</v>
      </c>
      <c r="I370" s="2">
        <v>1</v>
      </c>
    </row>
    <row r="371" spans="1:9" x14ac:dyDescent="0.25">
      <c r="A371" t="s">
        <v>51</v>
      </c>
      <c r="B371" t="s">
        <v>52</v>
      </c>
      <c r="C371" t="s">
        <v>11</v>
      </c>
      <c r="D371" s="1">
        <v>62.39</v>
      </c>
      <c r="E371" s="2">
        <v>3</v>
      </c>
      <c r="F371" s="1">
        <v>62.39</v>
      </c>
      <c r="G371" s="1">
        <v>38.65</v>
      </c>
      <c r="H371" s="2">
        <v>3</v>
      </c>
      <c r="I371" s="2">
        <v>22</v>
      </c>
    </row>
    <row r="372" spans="1:9" x14ac:dyDescent="0.25">
      <c r="A372" t="s">
        <v>622</v>
      </c>
      <c r="B372" t="s">
        <v>623</v>
      </c>
      <c r="C372" t="s">
        <v>28</v>
      </c>
      <c r="D372" s="1">
        <v>62.25</v>
      </c>
      <c r="E372" s="2">
        <v>3</v>
      </c>
      <c r="F372" s="1">
        <v>62.25</v>
      </c>
      <c r="G372" s="1">
        <v>44.21</v>
      </c>
      <c r="H372" s="2">
        <v>3</v>
      </c>
      <c r="I372" s="2">
        <v>1</v>
      </c>
    </row>
    <row r="373" spans="1:9" x14ac:dyDescent="0.25">
      <c r="A373" t="s">
        <v>285</v>
      </c>
      <c r="B373" t="s">
        <v>286</v>
      </c>
      <c r="C373" t="s">
        <v>28</v>
      </c>
      <c r="D373" s="1">
        <v>62.25</v>
      </c>
      <c r="E373" s="2">
        <v>3</v>
      </c>
      <c r="F373" s="1">
        <v>62.25</v>
      </c>
      <c r="G373" s="1">
        <v>35.43</v>
      </c>
      <c r="H373" s="2">
        <v>3</v>
      </c>
      <c r="I373" s="2">
        <v>1</v>
      </c>
    </row>
    <row r="374" spans="1:9" x14ac:dyDescent="0.25">
      <c r="A374" t="s">
        <v>672</v>
      </c>
      <c r="B374" t="s">
        <v>673</v>
      </c>
      <c r="C374" t="s">
        <v>207</v>
      </c>
      <c r="D374" s="1">
        <v>62.18</v>
      </c>
      <c r="E374" s="2">
        <v>1</v>
      </c>
      <c r="F374" s="1">
        <v>62.18</v>
      </c>
      <c r="G374" s="1">
        <v>70.239999999999995</v>
      </c>
      <c r="H374" s="2">
        <v>1</v>
      </c>
      <c r="I374" t="s">
        <v>81</v>
      </c>
    </row>
    <row r="375" spans="1:9" x14ac:dyDescent="0.25">
      <c r="A375" t="s">
        <v>410</v>
      </c>
      <c r="B375" t="s">
        <v>411</v>
      </c>
      <c r="C375" t="s">
        <v>25</v>
      </c>
      <c r="D375" s="1">
        <v>61.57</v>
      </c>
      <c r="E375" s="2">
        <v>1</v>
      </c>
      <c r="F375" s="1">
        <v>61.57</v>
      </c>
      <c r="G375" s="1">
        <v>42.8</v>
      </c>
      <c r="H375" s="2">
        <v>1</v>
      </c>
      <c r="I375" t="s">
        <v>81</v>
      </c>
    </row>
    <row r="376" spans="1:9" x14ac:dyDescent="0.25">
      <c r="A376" t="s">
        <v>650</v>
      </c>
      <c r="B376" t="s">
        <v>651</v>
      </c>
      <c r="C376" t="s">
        <v>16</v>
      </c>
      <c r="D376" s="1">
        <v>60.16</v>
      </c>
      <c r="E376" s="2">
        <v>4</v>
      </c>
      <c r="F376" s="1">
        <v>45.12</v>
      </c>
      <c r="G376" s="1">
        <v>30</v>
      </c>
      <c r="H376" s="2">
        <v>3</v>
      </c>
      <c r="I376" t="s">
        <v>81</v>
      </c>
    </row>
    <row r="377" spans="1:9" x14ac:dyDescent="0.25">
      <c r="A377" t="s">
        <v>412</v>
      </c>
      <c r="B377" t="s">
        <v>413</v>
      </c>
      <c r="C377" t="s">
        <v>207</v>
      </c>
      <c r="D377" s="1">
        <v>59.12</v>
      </c>
      <c r="E377" s="2">
        <v>5</v>
      </c>
      <c r="F377" s="1">
        <v>59.12</v>
      </c>
      <c r="G377" s="1">
        <v>115.7</v>
      </c>
      <c r="H377" s="2">
        <v>5</v>
      </c>
      <c r="I377" t="s">
        <v>81</v>
      </c>
    </row>
    <row r="378" spans="1:9" x14ac:dyDescent="0.25">
      <c r="A378" t="s">
        <v>546</v>
      </c>
      <c r="B378" t="s">
        <v>547</v>
      </c>
      <c r="C378" t="s">
        <v>16</v>
      </c>
      <c r="D378" s="1">
        <v>58.74</v>
      </c>
      <c r="E378" s="2">
        <v>1</v>
      </c>
      <c r="F378" s="1">
        <v>58.74</v>
      </c>
      <c r="G378" s="1">
        <v>51.75</v>
      </c>
      <c r="H378" s="2">
        <v>1</v>
      </c>
      <c r="I378" t="s">
        <v>81</v>
      </c>
    </row>
    <row r="379" spans="1:9" x14ac:dyDescent="0.25">
      <c r="A379" t="s">
        <v>532</v>
      </c>
      <c r="B379" t="s">
        <v>533</v>
      </c>
      <c r="C379" t="s">
        <v>11</v>
      </c>
      <c r="D379" s="1">
        <v>58.74</v>
      </c>
      <c r="E379" s="2">
        <v>6</v>
      </c>
      <c r="F379" s="1">
        <v>37.5</v>
      </c>
      <c r="G379" s="1">
        <v>30</v>
      </c>
      <c r="H379" s="2">
        <v>4</v>
      </c>
      <c r="I379" t="s">
        <v>81</v>
      </c>
    </row>
    <row r="380" spans="1:9" x14ac:dyDescent="0.25">
      <c r="A380" t="s">
        <v>446</v>
      </c>
      <c r="B380" t="s">
        <v>447</v>
      </c>
      <c r="C380" t="s">
        <v>11</v>
      </c>
      <c r="D380" s="1">
        <v>58.41</v>
      </c>
      <c r="E380" s="2">
        <v>14</v>
      </c>
      <c r="F380" s="1">
        <v>58.18</v>
      </c>
      <c r="G380" s="1">
        <v>13.55</v>
      </c>
      <c r="H380" s="2">
        <v>14</v>
      </c>
      <c r="I380" t="s">
        <v>81</v>
      </c>
    </row>
    <row r="381" spans="1:9" x14ac:dyDescent="0.25">
      <c r="A381" t="s">
        <v>130</v>
      </c>
      <c r="B381" t="s">
        <v>131</v>
      </c>
      <c r="C381" t="s">
        <v>28</v>
      </c>
      <c r="D381" s="1">
        <v>58.25</v>
      </c>
      <c r="E381" s="2">
        <v>1</v>
      </c>
      <c r="F381" s="1">
        <v>58.25</v>
      </c>
      <c r="G381" s="1">
        <v>46.4</v>
      </c>
      <c r="H381" s="2">
        <v>1</v>
      </c>
      <c r="I381" t="s">
        <v>81</v>
      </c>
    </row>
    <row r="382" spans="1:9" x14ac:dyDescent="0.25">
      <c r="A382" t="s">
        <v>242</v>
      </c>
      <c r="B382" t="s">
        <v>243</v>
      </c>
      <c r="C382" t="s">
        <v>11</v>
      </c>
      <c r="D382" s="1">
        <v>58.2</v>
      </c>
      <c r="E382" s="2">
        <v>1</v>
      </c>
      <c r="F382" s="1">
        <v>113.06</v>
      </c>
      <c r="G382" s="1">
        <v>67.319999999999993</v>
      </c>
      <c r="H382" s="2">
        <v>2</v>
      </c>
      <c r="I382" t="s">
        <v>81</v>
      </c>
    </row>
    <row r="383" spans="1:9" x14ac:dyDescent="0.25">
      <c r="A383" t="s">
        <v>674</v>
      </c>
      <c r="B383" t="s">
        <v>675</v>
      </c>
      <c r="C383" t="s">
        <v>25</v>
      </c>
      <c r="D383" s="1">
        <v>58.01</v>
      </c>
      <c r="E383" s="2">
        <v>1</v>
      </c>
      <c r="F383" s="1">
        <v>58.01</v>
      </c>
      <c r="G383" s="1">
        <v>52</v>
      </c>
      <c r="H383" s="2">
        <v>1</v>
      </c>
      <c r="I383" s="2">
        <v>1</v>
      </c>
    </row>
    <row r="384" spans="1:9" x14ac:dyDescent="0.25">
      <c r="A384" t="s">
        <v>57</v>
      </c>
      <c r="B384" t="s">
        <v>58</v>
      </c>
      <c r="C384" t="s">
        <v>25</v>
      </c>
      <c r="D384" s="1">
        <v>57.77</v>
      </c>
      <c r="E384" s="2">
        <v>1</v>
      </c>
      <c r="F384" s="1">
        <v>57.77</v>
      </c>
      <c r="G384" s="1">
        <v>45</v>
      </c>
      <c r="H384" s="2">
        <v>1</v>
      </c>
      <c r="I384" t="s">
        <v>81</v>
      </c>
    </row>
    <row r="385" spans="1:9" x14ac:dyDescent="0.25">
      <c r="A385" t="s">
        <v>90</v>
      </c>
      <c r="B385" t="s">
        <v>91</v>
      </c>
      <c r="C385" t="s">
        <v>25</v>
      </c>
      <c r="D385" s="1">
        <v>57.77</v>
      </c>
      <c r="E385" s="2">
        <v>1</v>
      </c>
      <c r="F385" s="1">
        <v>57.77</v>
      </c>
      <c r="G385" s="1">
        <v>48.02</v>
      </c>
      <c r="H385" s="2">
        <v>1</v>
      </c>
      <c r="I385" t="s">
        <v>81</v>
      </c>
    </row>
    <row r="386" spans="1:9" x14ac:dyDescent="0.25">
      <c r="A386" t="s">
        <v>130</v>
      </c>
      <c r="B386" t="s">
        <v>131</v>
      </c>
      <c r="C386" t="s">
        <v>25</v>
      </c>
      <c r="D386" s="1">
        <v>57.77</v>
      </c>
      <c r="E386" s="2">
        <v>1</v>
      </c>
      <c r="F386" s="1">
        <v>57.77</v>
      </c>
      <c r="G386" s="1">
        <v>46.4</v>
      </c>
      <c r="H386" s="2">
        <v>1</v>
      </c>
      <c r="I386" s="2">
        <v>2</v>
      </c>
    </row>
    <row r="387" spans="1:9" x14ac:dyDescent="0.25">
      <c r="A387" t="s">
        <v>86</v>
      </c>
      <c r="B387" t="s">
        <v>87</v>
      </c>
      <c r="C387" t="s">
        <v>25</v>
      </c>
      <c r="D387" s="1">
        <v>57.68</v>
      </c>
      <c r="E387" s="2">
        <v>2</v>
      </c>
      <c r="F387" s="1">
        <v>28.84</v>
      </c>
      <c r="G387" s="1">
        <v>22.5</v>
      </c>
      <c r="H387" s="2">
        <v>1</v>
      </c>
      <c r="I387" s="2">
        <v>1</v>
      </c>
    </row>
    <row r="388" spans="1:9" x14ac:dyDescent="0.25">
      <c r="A388" t="s">
        <v>132</v>
      </c>
      <c r="B388" t="s">
        <v>133</v>
      </c>
      <c r="C388" t="s">
        <v>16</v>
      </c>
      <c r="D388" s="1">
        <v>56.55</v>
      </c>
      <c r="E388" s="2">
        <v>4</v>
      </c>
      <c r="F388" s="1">
        <v>56.55</v>
      </c>
      <c r="G388" s="1">
        <v>38.85</v>
      </c>
      <c r="H388" s="2">
        <v>4</v>
      </c>
      <c r="I388" s="2">
        <v>8</v>
      </c>
    </row>
    <row r="389" spans="1:9" x14ac:dyDescent="0.25">
      <c r="A389" t="s">
        <v>216</v>
      </c>
      <c r="B389" t="s">
        <v>217</v>
      </c>
      <c r="C389" t="s">
        <v>25</v>
      </c>
      <c r="D389" s="1">
        <v>56.3</v>
      </c>
      <c r="E389" s="2">
        <v>5</v>
      </c>
      <c r="F389" s="1">
        <v>56.3</v>
      </c>
      <c r="G389" s="1">
        <v>26.39</v>
      </c>
      <c r="H389" s="2">
        <v>5</v>
      </c>
      <c r="I389" s="2">
        <v>2</v>
      </c>
    </row>
    <row r="390" spans="1:9" x14ac:dyDescent="0.25">
      <c r="A390" t="s">
        <v>96</v>
      </c>
      <c r="B390" t="s">
        <v>97</v>
      </c>
      <c r="C390" t="s">
        <v>25</v>
      </c>
      <c r="D390" s="1">
        <v>55.88</v>
      </c>
      <c r="E390" s="2">
        <v>4</v>
      </c>
      <c r="F390" s="1">
        <v>69.849999999999994</v>
      </c>
      <c r="G390" s="1">
        <v>52.5</v>
      </c>
      <c r="H390" s="2">
        <v>5</v>
      </c>
      <c r="I390" t="s">
        <v>81</v>
      </c>
    </row>
    <row r="391" spans="1:9" x14ac:dyDescent="0.25">
      <c r="A391" t="s">
        <v>676</v>
      </c>
      <c r="B391" t="s">
        <v>677</v>
      </c>
      <c r="C391" t="s">
        <v>28</v>
      </c>
      <c r="D391" s="1">
        <v>55.62</v>
      </c>
      <c r="E391" s="2">
        <v>1</v>
      </c>
      <c r="F391" s="1">
        <v>55.62</v>
      </c>
      <c r="G391" s="1">
        <v>33.21</v>
      </c>
      <c r="H391" s="2">
        <v>1</v>
      </c>
      <c r="I391" t="s">
        <v>81</v>
      </c>
    </row>
    <row r="392" spans="1:9" x14ac:dyDescent="0.25">
      <c r="A392" t="s">
        <v>678</v>
      </c>
      <c r="B392" t="s">
        <v>679</v>
      </c>
      <c r="C392" t="s">
        <v>25</v>
      </c>
      <c r="D392" s="1">
        <v>54.9</v>
      </c>
      <c r="E392" s="2">
        <v>1</v>
      </c>
      <c r="F392" s="1">
        <v>54.9</v>
      </c>
      <c r="G392" s="1">
        <v>67</v>
      </c>
      <c r="H392" s="2">
        <v>1</v>
      </c>
      <c r="I392" t="s">
        <v>81</v>
      </c>
    </row>
    <row r="393" spans="1:9" x14ac:dyDescent="0.25">
      <c r="A393" t="s">
        <v>326</v>
      </c>
      <c r="B393" t="s">
        <v>327</v>
      </c>
      <c r="C393" t="s">
        <v>11</v>
      </c>
      <c r="D393" s="1">
        <v>54.55</v>
      </c>
      <c r="E393" s="2">
        <v>2</v>
      </c>
      <c r="F393" s="1">
        <v>54.55</v>
      </c>
      <c r="G393" s="1">
        <v>41.76</v>
      </c>
      <c r="H393" s="2">
        <v>2</v>
      </c>
      <c r="I393" t="s">
        <v>81</v>
      </c>
    </row>
    <row r="394" spans="1:9" x14ac:dyDescent="0.25">
      <c r="A394" t="s">
        <v>618</v>
      </c>
      <c r="B394" t="s">
        <v>619</v>
      </c>
      <c r="C394" t="s">
        <v>28</v>
      </c>
      <c r="D394" s="1">
        <v>54.53</v>
      </c>
      <c r="E394" s="2">
        <v>1</v>
      </c>
      <c r="F394" s="1">
        <v>54.53</v>
      </c>
      <c r="G394" s="1">
        <v>42.07</v>
      </c>
      <c r="H394" s="2">
        <v>1</v>
      </c>
      <c r="I394" t="s">
        <v>81</v>
      </c>
    </row>
    <row r="395" spans="1:9" x14ac:dyDescent="0.25">
      <c r="A395" t="s">
        <v>94</v>
      </c>
      <c r="B395" t="s">
        <v>95</v>
      </c>
      <c r="C395" t="s">
        <v>299</v>
      </c>
      <c r="D395" s="1">
        <v>54.34</v>
      </c>
      <c r="E395" s="2">
        <v>2</v>
      </c>
      <c r="F395" s="1">
        <v>54.34</v>
      </c>
      <c r="G395" s="1">
        <v>34.479999999999997</v>
      </c>
      <c r="H395" s="2">
        <v>2</v>
      </c>
      <c r="I395" t="s">
        <v>81</v>
      </c>
    </row>
    <row r="396" spans="1:9" x14ac:dyDescent="0.25">
      <c r="A396" t="s">
        <v>14</v>
      </c>
      <c r="B396" t="s">
        <v>15</v>
      </c>
      <c r="C396" t="s">
        <v>299</v>
      </c>
      <c r="D396" s="1">
        <v>54.24</v>
      </c>
      <c r="E396" s="2">
        <v>4</v>
      </c>
      <c r="F396" s="1">
        <v>54.24</v>
      </c>
      <c r="G396" s="1">
        <v>31.51</v>
      </c>
      <c r="H396" s="2">
        <v>4</v>
      </c>
      <c r="I396" t="s">
        <v>81</v>
      </c>
    </row>
    <row r="397" spans="1:9" x14ac:dyDescent="0.25">
      <c r="A397" t="s">
        <v>632</v>
      </c>
      <c r="B397" t="s">
        <v>633</v>
      </c>
      <c r="C397" t="s">
        <v>28</v>
      </c>
      <c r="D397" s="1">
        <v>53.48</v>
      </c>
      <c r="E397" s="2">
        <v>3</v>
      </c>
      <c r="F397" s="1">
        <v>53.48</v>
      </c>
      <c r="G397" s="1">
        <v>54</v>
      </c>
      <c r="H397" s="2">
        <v>3</v>
      </c>
      <c r="I397" t="s">
        <v>81</v>
      </c>
    </row>
    <row r="398" spans="1:9" x14ac:dyDescent="0.25">
      <c r="A398" t="s">
        <v>406</v>
      </c>
      <c r="B398" t="s">
        <v>407</v>
      </c>
      <c r="C398" t="s">
        <v>11</v>
      </c>
      <c r="D398" s="1">
        <v>52.72</v>
      </c>
      <c r="E398" s="2">
        <v>4</v>
      </c>
      <c r="F398" s="1">
        <v>65.64</v>
      </c>
      <c r="G398" s="1">
        <v>48.1</v>
      </c>
      <c r="H398" s="2">
        <v>5</v>
      </c>
      <c r="I398" t="s">
        <v>81</v>
      </c>
    </row>
    <row r="399" spans="1:9" x14ac:dyDescent="0.25">
      <c r="A399" t="s">
        <v>178</v>
      </c>
      <c r="B399" t="s">
        <v>179</v>
      </c>
      <c r="C399" t="s">
        <v>16</v>
      </c>
      <c r="D399" s="1">
        <v>52.59</v>
      </c>
      <c r="E399" s="2">
        <v>3</v>
      </c>
      <c r="F399" s="1">
        <v>52.59</v>
      </c>
      <c r="G399" s="1">
        <v>71.55</v>
      </c>
      <c r="H399" s="2">
        <v>3</v>
      </c>
      <c r="I399" t="s">
        <v>81</v>
      </c>
    </row>
    <row r="400" spans="1:9" x14ac:dyDescent="0.25">
      <c r="A400" t="s">
        <v>160</v>
      </c>
      <c r="B400" t="s">
        <v>161</v>
      </c>
      <c r="C400" t="s">
        <v>11</v>
      </c>
      <c r="D400" s="1">
        <v>52.22</v>
      </c>
      <c r="E400" s="2">
        <v>4</v>
      </c>
      <c r="F400" s="1">
        <v>40.17</v>
      </c>
      <c r="G400" s="1">
        <v>22.48</v>
      </c>
      <c r="H400" s="2">
        <v>3</v>
      </c>
      <c r="I400" s="2">
        <v>1</v>
      </c>
    </row>
    <row r="401" spans="1:9" x14ac:dyDescent="0.25">
      <c r="A401" t="s">
        <v>31</v>
      </c>
      <c r="B401" t="s">
        <v>32</v>
      </c>
      <c r="C401" t="s">
        <v>299</v>
      </c>
      <c r="D401" s="1">
        <v>51.76</v>
      </c>
      <c r="E401" s="2">
        <v>5</v>
      </c>
      <c r="F401" s="1">
        <v>41.74</v>
      </c>
      <c r="G401" s="1">
        <v>24.12</v>
      </c>
      <c r="H401" s="2">
        <v>4</v>
      </c>
      <c r="I401" s="2">
        <v>1</v>
      </c>
    </row>
    <row r="402" spans="1:9" x14ac:dyDescent="0.25">
      <c r="A402" t="s">
        <v>244</v>
      </c>
      <c r="B402" t="s">
        <v>245</v>
      </c>
      <c r="C402" t="s">
        <v>299</v>
      </c>
      <c r="D402" s="1">
        <v>51.59</v>
      </c>
      <c r="E402" s="2">
        <v>2</v>
      </c>
      <c r="F402" s="1">
        <v>27.16</v>
      </c>
      <c r="G402" s="1">
        <v>28.28</v>
      </c>
      <c r="H402" s="2">
        <v>1</v>
      </c>
      <c r="I402" s="2">
        <v>1</v>
      </c>
    </row>
    <row r="403" spans="1:9" x14ac:dyDescent="0.25">
      <c r="A403" t="s">
        <v>69</v>
      </c>
      <c r="B403" t="s">
        <v>70</v>
      </c>
      <c r="C403" t="s">
        <v>28</v>
      </c>
      <c r="D403" s="1">
        <v>50.41</v>
      </c>
      <c r="E403" s="2">
        <v>2</v>
      </c>
      <c r="F403" s="1">
        <v>50.41</v>
      </c>
      <c r="G403" s="1">
        <v>43.72</v>
      </c>
      <c r="H403" s="2">
        <v>2</v>
      </c>
      <c r="I403" s="2">
        <v>2</v>
      </c>
    </row>
    <row r="404" spans="1:9" x14ac:dyDescent="0.25">
      <c r="A404" t="s">
        <v>416</v>
      </c>
      <c r="B404" t="s">
        <v>417</v>
      </c>
      <c r="C404" t="s">
        <v>16</v>
      </c>
      <c r="D404" s="1">
        <v>50.34</v>
      </c>
      <c r="E404" s="2">
        <v>1</v>
      </c>
      <c r="F404" s="1">
        <v>50.34</v>
      </c>
      <c r="G404" s="1">
        <v>29.54</v>
      </c>
      <c r="H404" s="2">
        <v>1</v>
      </c>
      <c r="I404" t="s">
        <v>81</v>
      </c>
    </row>
    <row r="405" spans="1:9" x14ac:dyDescent="0.25">
      <c r="A405" t="s">
        <v>308</v>
      </c>
      <c r="B405" t="s">
        <v>309</v>
      </c>
      <c r="C405" t="s">
        <v>16</v>
      </c>
      <c r="D405" s="1">
        <v>50.26</v>
      </c>
      <c r="E405" s="2">
        <v>2</v>
      </c>
      <c r="F405" s="1">
        <v>50.26</v>
      </c>
      <c r="G405" s="1">
        <v>40.5</v>
      </c>
      <c r="H405" s="2">
        <v>2</v>
      </c>
      <c r="I405" t="s">
        <v>81</v>
      </c>
    </row>
    <row r="406" spans="1:9" x14ac:dyDescent="0.25">
      <c r="A406" t="s">
        <v>680</v>
      </c>
      <c r="B406" t="s">
        <v>681</v>
      </c>
      <c r="C406" t="s">
        <v>11</v>
      </c>
      <c r="D406" s="1">
        <v>50.2</v>
      </c>
      <c r="E406" s="2">
        <v>2</v>
      </c>
      <c r="F406" s="1">
        <v>50.2</v>
      </c>
      <c r="G406" s="1">
        <v>22</v>
      </c>
      <c r="H406" s="2">
        <v>2</v>
      </c>
      <c r="I406" t="s">
        <v>81</v>
      </c>
    </row>
    <row r="407" spans="1:9" x14ac:dyDescent="0.25">
      <c r="A407" t="s">
        <v>188</v>
      </c>
      <c r="B407" t="s">
        <v>189</v>
      </c>
      <c r="C407" t="s">
        <v>28</v>
      </c>
      <c r="D407" s="1">
        <v>49.84</v>
      </c>
      <c r="E407" s="2">
        <v>2</v>
      </c>
      <c r="F407" s="1">
        <v>49.84</v>
      </c>
      <c r="G407" s="1">
        <v>36</v>
      </c>
      <c r="H407" s="2">
        <v>2</v>
      </c>
      <c r="I407" t="s">
        <v>81</v>
      </c>
    </row>
    <row r="408" spans="1:9" x14ac:dyDescent="0.25">
      <c r="A408" t="s">
        <v>332</v>
      </c>
      <c r="B408" t="s">
        <v>333</v>
      </c>
      <c r="C408" t="s">
        <v>28</v>
      </c>
      <c r="D408" s="1">
        <v>49.84</v>
      </c>
      <c r="E408" s="2">
        <v>2</v>
      </c>
      <c r="F408" s="1">
        <v>49.84</v>
      </c>
      <c r="G408" s="1">
        <v>27.76</v>
      </c>
      <c r="H408" s="2">
        <v>2</v>
      </c>
      <c r="I408" t="s">
        <v>81</v>
      </c>
    </row>
    <row r="409" spans="1:9" x14ac:dyDescent="0.25">
      <c r="A409" t="s">
        <v>92</v>
      </c>
      <c r="B409" t="s">
        <v>93</v>
      </c>
      <c r="C409" t="s">
        <v>28</v>
      </c>
      <c r="D409" s="1">
        <v>49.74</v>
      </c>
      <c r="E409" s="2">
        <v>3</v>
      </c>
      <c r="F409" s="1">
        <v>49.74</v>
      </c>
      <c r="G409" s="1">
        <v>33.75</v>
      </c>
      <c r="H409" s="2">
        <v>3</v>
      </c>
      <c r="I409" s="2">
        <v>2</v>
      </c>
    </row>
    <row r="410" spans="1:9" x14ac:dyDescent="0.25">
      <c r="A410" t="s">
        <v>460</v>
      </c>
      <c r="B410" t="s">
        <v>461</v>
      </c>
      <c r="C410" t="s">
        <v>25</v>
      </c>
      <c r="D410" s="1">
        <v>49.5</v>
      </c>
      <c r="E410" s="2">
        <v>1</v>
      </c>
      <c r="F410" s="1">
        <v>49.5</v>
      </c>
      <c r="G410" s="1">
        <v>28.04</v>
      </c>
      <c r="H410" s="2">
        <v>1</v>
      </c>
      <c r="I410" s="2">
        <v>1</v>
      </c>
    </row>
    <row r="411" spans="1:9" x14ac:dyDescent="0.25">
      <c r="A411" t="s">
        <v>67</v>
      </c>
      <c r="B411" t="s">
        <v>68</v>
      </c>
      <c r="C411" t="s">
        <v>25</v>
      </c>
      <c r="D411" s="1">
        <v>49.5</v>
      </c>
      <c r="E411" s="2">
        <v>1</v>
      </c>
      <c r="F411" s="1">
        <v>49.5</v>
      </c>
      <c r="G411" s="1">
        <v>40.5</v>
      </c>
      <c r="H411" s="2">
        <v>1</v>
      </c>
      <c r="I411" t="s">
        <v>81</v>
      </c>
    </row>
    <row r="412" spans="1:9" x14ac:dyDescent="0.25">
      <c r="A412" t="s">
        <v>164</v>
      </c>
      <c r="B412" t="s">
        <v>165</v>
      </c>
      <c r="C412" t="s">
        <v>266</v>
      </c>
      <c r="D412" s="1">
        <v>49.5</v>
      </c>
      <c r="E412" s="2">
        <v>1</v>
      </c>
      <c r="F412" s="1">
        <v>49.5</v>
      </c>
      <c r="G412" s="1">
        <v>40.5</v>
      </c>
      <c r="H412" s="2">
        <v>1</v>
      </c>
      <c r="I412" t="s">
        <v>81</v>
      </c>
    </row>
    <row r="413" spans="1:9" x14ac:dyDescent="0.25">
      <c r="A413" t="s">
        <v>332</v>
      </c>
      <c r="B413" t="s">
        <v>333</v>
      </c>
      <c r="C413" t="s">
        <v>25</v>
      </c>
      <c r="D413" s="1">
        <v>49.42</v>
      </c>
      <c r="E413" s="2">
        <v>2</v>
      </c>
      <c r="F413" s="1">
        <v>73.39</v>
      </c>
      <c r="G413" s="1">
        <v>42.56</v>
      </c>
      <c r="H413" s="2">
        <v>3</v>
      </c>
      <c r="I413" t="s">
        <v>81</v>
      </c>
    </row>
    <row r="414" spans="1:9" x14ac:dyDescent="0.25">
      <c r="A414" t="s">
        <v>92</v>
      </c>
      <c r="B414" t="s">
        <v>93</v>
      </c>
      <c r="C414" t="s">
        <v>266</v>
      </c>
      <c r="D414" s="1">
        <v>49.4</v>
      </c>
      <c r="E414" s="2">
        <v>3</v>
      </c>
      <c r="F414" s="1">
        <v>49.4</v>
      </c>
      <c r="G414" s="1">
        <v>33.75</v>
      </c>
      <c r="H414" s="2">
        <v>3</v>
      </c>
      <c r="I414" t="s">
        <v>81</v>
      </c>
    </row>
    <row r="415" spans="1:9" x14ac:dyDescent="0.25">
      <c r="A415" t="s">
        <v>92</v>
      </c>
      <c r="B415" t="s">
        <v>93</v>
      </c>
      <c r="C415" t="s">
        <v>25</v>
      </c>
      <c r="D415" s="1">
        <v>49.35</v>
      </c>
      <c r="E415" s="2">
        <v>3</v>
      </c>
      <c r="F415" s="1">
        <v>16.45</v>
      </c>
      <c r="G415" s="1">
        <v>11.25</v>
      </c>
      <c r="H415" s="2">
        <v>1</v>
      </c>
      <c r="I415" s="2">
        <v>4</v>
      </c>
    </row>
    <row r="416" spans="1:9" x14ac:dyDescent="0.25">
      <c r="A416" t="s">
        <v>35</v>
      </c>
      <c r="B416" t="s">
        <v>36</v>
      </c>
      <c r="C416" t="s">
        <v>25</v>
      </c>
      <c r="D416" s="1">
        <v>49.35</v>
      </c>
      <c r="E416" s="2">
        <v>3</v>
      </c>
      <c r="F416" s="1">
        <v>49.35</v>
      </c>
      <c r="G416" s="1">
        <v>42.18</v>
      </c>
      <c r="H416" s="2">
        <v>3</v>
      </c>
      <c r="I416" s="2">
        <v>1</v>
      </c>
    </row>
    <row r="417" spans="1:9" x14ac:dyDescent="0.25">
      <c r="A417" t="s">
        <v>306</v>
      </c>
      <c r="B417" t="s">
        <v>307</v>
      </c>
      <c r="C417" t="s">
        <v>25</v>
      </c>
      <c r="D417" s="1">
        <v>49.24</v>
      </c>
      <c r="E417" s="2">
        <v>4</v>
      </c>
      <c r="F417" s="1">
        <v>49.24</v>
      </c>
      <c r="G417" s="1">
        <v>29.16</v>
      </c>
      <c r="H417" s="2">
        <v>4</v>
      </c>
      <c r="I417" s="2">
        <v>1</v>
      </c>
    </row>
    <row r="418" spans="1:9" x14ac:dyDescent="0.25">
      <c r="A418" t="s">
        <v>110</v>
      </c>
      <c r="B418" t="s">
        <v>111</v>
      </c>
      <c r="C418" t="s">
        <v>25</v>
      </c>
      <c r="D418" s="1">
        <v>49.11</v>
      </c>
      <c r="E418" s="2">
        <v>3</v>
      </c>
      <c r="F418" s="1">
        <v>49.11</v>
      </c>
      <c r="G418" s="1">
        <v>40.5</v>
      </c>
      <c r="H418" s="2">
        <v>3</v>
      </c>
      <c r="I418" t="s">
        <v>81</v>
      </c>
    </row>
    <row r="419" spans="1:9" x14ac:dyDescent="0.25">
      <c r="A419" t="s">
        <v>522</v>
      </c>
      <c r="B419" t="s">
        <v>523</v>
      </c>
      <c r="C419" t="s">
        <v>11</v>
      </c>
      <c r="D419" s="1">
        <v>49.1</v>
      </c>
      <c r="E419" s="2">
        <v>1</v>
      </c>
      <c r="F419" s="1">
        <v>49.1</v>
      </c>
      <c r="G419" s="1">
        <v>42.18</v>
      </c>
      <c r="H419" s="2">
        <v>1</v>
      </c>
      <c r="I419" t="s">
        <v>81</v>
      </c>
    </row>
    <row r="420" spans="1:9" x14ac:dyDescent="0.25">
      <c r="A420" t="s">
        <v>358</v>
      </c>
      <c r="B420" t="s">
        <v>359</v>
      </c>
      <c r="C420" t="s">
        <v>11</v>
      </c>
      <c r="D420" s="1">
        <v>48.17</v>
      </c>
      <c r="E420" s="2">
        <v>2</v>
      </c>
      <c r="F420" s="1">
        <v>48.17</v>
      </c>
      <c r="G420" s="1">
        <v>27</v>
      </c>
      <c r="H420" s="2">
        <v>2</v>
      </c>
      <c r="I420" t="s">
        <v>81</v>
      </c>
    </row>
    <row r="421" spans="1:9" x14ac:dyDescent="0.25">
      <c r="A421" t="s">
        <v>372</v>
      </c>
      <c r="B421" t="s">
        <v>373</v>
      </c>
      <c r="C421" t="s">
        <v>207</v>
      </c>
      <c r="D421" s="1">
        <v>47.96</v>
      </c>
      <c r="E421" s="2">
        <v>1</v>
      </c>
      <c r="F421" t="s">
        <v>81</v>
      </c>
      <c r="G421" t="s">
        <v>81</v>
      </c>
      <c r="H421" t="s">
        <v>81</v>
      </c>
      <c r="I421" t="s">
        <v>81</v>
      </c>
    </row>
    <row r="422" spans="1:9" x14ac:dyDescent="0.25">
      <c r="A422" t="s">
        <v>134</v>
      </c>
      <c r="B422" t="s">
        <v>135</v>
      </c>
      <c r="C422" t="s">
        <v>207</v>
      </c>
      <c r="D422" s="1">
        <v>47.96</v>
      </c>
      <c r="E422" s="2">
        <v>1</v>
      </c>
      <c r="F422" s="1">
        <v>47.96</v>
      </c>
      <c r="G422" s="1">
        <v>41.57</v>
      </c>
      <c r="H422" s="2">
        <v>1</v>
      </c>
      <c r="I422" t="s">
        <v>81</v>
      </c>
    </row>
    <row r="423" spans="1:9" x14ac:dyDescent="0.25">
      <c r="A423" t="s">
        <v>114</v>
      </c>
      <c r="B423" t="s">
        <v>115</v>
      </c>
      <c r="C423" t="s">
        <v>207</v>
      </c>
      <c r="D423" s="1">
        <v>47.96</v>
      </c>
      <c r="E423" s="2">
        <v>1</v>
      </c>
      <c r="F423" t="s">
        <v>81</v>
      </c>
      <c r="G423" t="s">
        <v>81</v>
      </c>
      <c r="H423" t="s">
        <v>81</v>
      </c>
      <c r="I423" t="s">
        <v>81</v>
      </c>
    </row>
    <row r="424" spans="1:9" x14ac:dyDescent="0.25">
      <c r="A424" t="s">
        <v>65</v>
      </c>
      <c r="B424" t="s">
        <v>66</v>
      </c>
      <c r="C424" t="s">
        <v>266</v>
      </c>
      <c r="D424" s="1">
        <v>47.94</v>
      </c>
      <c r="E424" s="2">
        <v>2</v>
      </c>
      <c r="F424" s="1">
        <v>24.71</v>
      </c>
      <c r="G424" s="1">
        <v>17.399999999999999</v>
      </c>
      <c r="H424" s="2">
        <v>1</v>
      </c>
      <c r="I424" t="s">
        <v>81</v>
      </c>
    </row>
    <row r="425" spans="1:9" x14ac:dyDescent="0.25">
      <c r="A425" t="s">
        <v>460</v>
      </c>
      <c r="B425" t="s">
        <v>461</v>
      </c>
      <c r="C425" t="s">
        <v>16</v>
      </c>
      <c r="D425" s="1">
        <v>47.37</v>
      </c>
      <c r="E425" s="2">
        <v>1</v>
      </c>
      <c r="F425" s="1">
        <v>47.37</v>
      </c>
      <c r="G425" s="1">
        <v>35.049999999999997</v>
      </c>
      <c r="H425" s="2">
        <v>1</v>
      </c>
      <c r="I425" t="s">
        <v>81</v>
      </c>
    </row>
    <row r="426" spans="1:9" x14ac:dyDescent="0.25">
      <c r="A426" t="s">
        <v>190</v>
      </c>
      <c r="B426" t="s">
        <v>191</v>
      </c>
      <c r="C426" t="s">
        <v>25</v>
      </c>
      <c r="D426" s="1">
        <v>47</v>
      </c>
      <c r="E426" s="2">
        <v>1</v>
      </c>
      <c r="F426" s="1">
        <v>47</v>
      </c>
      <c r="G426" s="1">
        <v>23.62</v>
      </c>
      <c r="H426" s="2">
        <v>1</v>
      </c>
      <c r="I426" t="s">
        <v>81</v>
      </c>
    </row>
    <row r="427" spans="1:9" x14ac:dyDescent="0.25">
      <c r="A427" t="s">
        <v>316</v>
      </c>
      <c r="B427" t="s">
        <v>317</v>
      </c>
      <c r="C427" t="s">
        <v>11</v>
      </c>
      <c r="D427" s="1">
        <v>45.88</v>
      </c>
      <c r="E427" s="2">
        <v>9</v>
      </c>
      <c r="F427" s="1">
        <v>45.88</v>
      </c>
      <c r="G427" s="1">
        <v>42.75</v>
      </c>
      <c r="H427" s="2">
        <v>9</v>
      </c>
      <c r="I427" t="s">
        <v>81</v>
      </c>
    </row>
    <row r="428" spans="1:9" x14ac:dyDescent="0.25">
      <c r="A428" t="s">
        <v>114</v>
      </c>
      <c r="B428" t="s">
        <v>115</v>
      </c>
      <c r="C428" t="s">
        <v>299</v>
      </c>
      <c r="D428" s="1">
        <v>45.69</v>
      </c>
      <c r="E428" s="2">
        <v>1</v>
      </c>
      <c r="F428" s="1">
        <v>45.69</v>
      </c>
      <c r="G428" s="1">
        <v>31.68</v>
      </c>
      <c r="H428" s="2">
        <v>1</v>
      </c>
      <c r="I428" s="2">
        <v>1</v>
      </c>
    </row>
    <row r="429" spans="1:9" x14ac:dyDescent="0.25">
      <c r="A429" t="s">
        <v>620</v>
      </c>
      <c r="B429" t="s">
        <v>621</v>
      </c>
      <c r="C429" t="s">
        <v>299</v>
      </c>
      <c r="D429" s="1">
        <v>45.32</v>
      </c>
      <c r="E429" s="2">
        <v>1</v>
      </c>
      <c r="F429" s="1">
        <v>45.32</v>
      </c>
      <c r="G429" s="1">
        <v>35.229999999999997</v>
      </c>
      <c r="H429" s="2">
        <v>1</v>
      </c>
      <c r="I429" t="s">
        <v>81</v>
      </c>
    </row>
    <row r="430" spans="1:9" x14ac:dyDescent="0.25">
      <c r="A430" t="s">
        <v>364</v>
      </c>
      <c r="B430" t="s">
        <v>365</v>
      </c>
      <c r="C430" t="s">
        <v>299</v>
      </c>
      <c r="D430" s="1">
        <v>45.27</v>
      </c>
      <c r="E430" s="2">
        <v>1</v>
      </c>
      <c r="F430" s="1">
        <v>45.27</v>
      </c>
      <c r="G430" s="1">
        <v>32.96</v>
      </c>
      <c r="H430" s="2">
        <v>1</v>
      </c>
      <c r="I430" t="s">
        <v>81</v>
      </c>
    </row>
    <row r="431" spans="1:9" x14ac:dyDescent="0.25">
      <c r="A431" t="s">
        <v>104</v>
      </c>
      <c r="B431" t="s">
        <v>105</v>
      </c>
      <c r="C431" t="s">
        <v>266</v>
      </c>
      <c r="D431" s="1">
        <v>45.05</v>
      </c>
      <c r="E431" s="2">
        <v>1</v>
      </c>
      <c r="F431" t="s">
        <v>81</v>
      </c>
      <c r="G431" t="s">
        <v>81</v>
      </c>
      <c r="H431" t="s">
        <v>81</v>
      </c>
      <c r="I431" t="s">
        <v>81</v>
      </c>
    </row>
    <row r="432" spans="1:9" x14ac:dyDescent="0.25">
      <c r="A432" t="s">
        <v>506</v>
      </c>
      <c r="B432" t="s">
        <v>507</v>
      </c>
      <c r="C432" t="s">
        <v>266</v>
      </c>
      <c r="D432" s="1">
        <v>44.88</v>
      </c>
      <c r="E432" s="2">
        <v>3</v>
      </c>
      <c r="F432" s="1">
        <v>44.88</v>
      </c>
      <c r="G432" s="1">
        <v>22.95</v>
      </c>
      <c r="H432" s="2">
        <v>3</v>
      </c>
      <c r="I432" t="s">
        <v>81</v>
      </c>
    </row>
    <row r="433" spans="1:9" x14ac:dyDescent="0.25">
      <c r="A433" t="s">
        <v>328</v>
      </c>
      <c r="B433" t="s">
        <v>329</v>
      </c>
      <c r="C433" t="s">
        <v>28</v>
      </c>
      <c r="D433" s="1">
        <v>44.84</v>
      </c>
      <c r="E433" s="2">
        <v>2</v>
      </c>
      <c r="F433" s="1">
        <v>44.84</v>
      </c>
      <c r="G433" s="1">
        <v>30.91</v>
      </c>
      <c r="H433" s="2">
        <v>2</v>
      </c>
      <c r="I433" t="s">
        <v>81</v>
      </c>
    </row>
    <row r="434" spans="1:9" x14ac:dyDescent="0.25">
      <c r="A434" t="s">
        <v>682</v>
      </c>
      <c r="B434" t="s">
        <v>683</v>
      </c>
      <c r="C434" t="s">
        <v>25</v>
      </c>
      <c r="D434" s="1">
        <v>44.79</v>
      </c>
      <c r="E434" s="2">
        <v>3</v>
      </c>
      <c r="F434" s="1">
        <v>44.79</v>
      </c>
      <c r="G434" s="1">
        <v>47.88</v>
      </c>
      <c r="H434" s="2">
        <v>3</v>
      </c>
      <c r="I434" t="s">
        <v>81</v>
      </c>
    </row>
    <row r="435" spans="1:9" x14ac:dyDescent="0.25">
      <c r="A435" t="s">
        <v>528</v>
      </c>
      <c r="B435" t="s">
        <v>529</v>
      </c>
      <c r="C435" t="s">
        <v>207</v>
      </c>
      <c r="D435" s="1">
        <v>44.4</v>
      </c>
      <c r="E435" s="2">
        <v>2</v>
      </c>
      <c r="F435" s="1">
        <v>44.4</v>
      </c>
      <c r="G435" s="1">
        <v>25.05</v>
      </c>
      <c r="H435" s="2">
        <v>2</v>
      </c>
      <c r="I435" t="s">
        <v>81</v>
      </c>
    </row>
    <row r="436" spans="1:9" x14ac:dyDescent="0.25">
      <c r="A436" t="s">
        <v>674</v>
      </c>
      <c r="B436" t="s">
        <v>675</v>
      </c>
      <c r="C436" t="s">
        <v>16</v>
      </c>
      <c r="D436" s="1">
        <v>44.31</v>
      </c>
      <c r="E436" s="2">
        <v>1</v>
      </c>
      <c r="F436" s="1">
        <v>44.31</v>
      </c>
      <c r="G436" s="1">
        <v>52</v>
      </c>
      <c r="H436" s="2">
        <v>1</v>
      </c>
      <c r="I436" t="s">
        <v>81</v>
      </c>
    </row>
    <row r="437" spans="1:9" x14ac:dyDescent="0.25">
      <c r="A437" t="s">
        <v>490</v>
      </c>
      <c r="B437" t="s">
        <v>491</v>
      </c>
      <c r="C437" t="s">
        <v>207</v>
      </c>
      <c r="D437" s="1">
        <v>44.25</v>
      </c>
      <c r="E437" s="2">
        <v>4</v>
      </c>
      <c r="F437" s="1">
        <v>44.25</v>
      </c>
      <c r="G437" s="1">
        <v>54.95</v>
      </c>
      <c r="H437" s="2">
        <v>4</v>
      </c>
      <c r="I437" t="s">
        <v>81</v>
      </c>
    </row>
    <row r="438" spans="1:9" x14ac:dyDescent="0.25">
      <c r="A438" t="s">
        <v>184</v>
      </c>
      <c r="B438" t="s">
        <v>185</v>
      </c>
      <c r="C438" t="s">
        <v>25</v>
      </c>
      <c r="D438" s="1">
        <v>44.19</v>
      </c>
      <c r="E438" s="2">
        <v>2</v>
      </c>
      <c r="F438" s="1">
        <v>44.19</v>
      </c>
      <c r="G438" s="1">
        <v>27</v>
      </c>
      <c r="H438" s="2">
        <v>2</v>
      </c>
      <c r="I438" t="s">
        <v>81</v>
      </c>
    </row>
    <row r="439" spans="1:9" x14ac:dyDescent="0.25">
      <c r="A439" t="s">
        <v>112</v>
      </c>
      <c r="B439" t="s">
        <v>113</v>
      </c>
      <c r="C439" t="s">
        <v>16</v>
      </c>
      <c r="D439" s="1">
        <v>43.36</v>
      </c>
      <c r="E439" s="2">
        <v>4</v>
      </c>
      <c r="F439" s="1">
        <v>54.2</v>
      </c>
      <c r="G439" s="1">
        <v>39.450000000000003</v>
      </c>
      <c r="H439" s="2">
        <v>5</v>
      </c>
      <c r="I439" t="s">
        <v>81</v>
      </c>
    </row>
    <row r="440" spans="1:9" x14ac:dyDescent="0.25">
      <c r="A440" t="s">
        <v>612</v>
      </c>
      <c r="B440" t="s">
        <v>613</v>
      </c>
      <c r="C440" t="s">
        <v>16</v>
      </c>
      <c r="D440" s="1">
        <v>43.17</v>
      </c>
      <c r="E440" s="2">
        <v>7</v>
      </c>
      <c r="F440" s="1">
        <v>43.17</v>
      </c>
      <c r="G440" s="1">
        <v>20.85</v>
      </c>
      <c r="H440" s="2">
        <v>7</v>
      </c>
      <c r="I440" t="s">
        <v>81</v>
      </c>
    </row>
    <row r="441" spans="1:9" x14ac:dyDescent="0.25">
      <c r="A441" t="s">
        <v>452</v>
      </c>
      <c r="B441" t="s">
        <v>453</v>
      </c>
      <c r="C441" t="s">
        <v>207</v>
      </c>
      <c r="D441" s="1">
        <v>42.98</v>
      </c>
      <c r="E441" s="2">
        <v>3</v>
      </c>
      <c r="F441" s="1">
        <v>57.31</v>
      </c>
      <c r="G441" s="1">
        <v>41.53</v>
      </c>
      <c r="H441" s="2">
        <v>4</v>
      </c>
      <c r="I441" s="2">
        <v>1</v>
      </c>
    </row>
    <row r="442" spans="1:9" x14ac:dyDescent="0.25">
      <c r="A442" t="s">
        <v>144</v>
      </c>
      <c r="B442" t="s">
        <v>145</v>
      </c>
      <c r="C442" t="s">
        <v>25</v>
      </c>
      <c r="D442" s="1">
        <v>42.64</v>
      </c>
      <c r="E442" s="2">
        <v>4</v>
      </c>
      <c r="F442" s="1">
        <v>42.64</v>
      </c>
      <c r="G442" s="1">
        <v>26.4</v>
      </c>
      <c r="H442" s="2">
        <v>4</v>
      </c>
      <c r="I442" s="2">
        <v>2</v>
      </c>
    </row>
    <row r="443" spans="1:9" x14ac:dyDescent="0.25">
      <c r="A443" t="s">
        <v>416</v>
      </c>
      <c r="B443" t="s">
        <v>417</v>
      </c>
      <c r="C443" t="s">
        <v>25</v>
      </c>
      <c r="D443" s="1">
        <v>42.07</v>
      </c>
      <c r="E443" s="2">
        <v>1</v>
      </c>
      <c r="F443" s="1">
        <v>42.07</v>
      </c>
      <c r="G443" s="1">
        <v>29.54</v>
      </c>
      <c r="H443" s="2">
        <v>1</v>
      </c>
      <c r="I443" t="s">
        <v>81</v>
      </c>
    </row>
    <row r="444" spans="1:9" x14ac:dyDescent="0.25">
      <c r="A444" t="s">
        <v>114</v>
      </c>
      <c r="B444" t="s">
        <v>115</v>
      </c>
      <c r="C444" t="s">
        <v>16</v>
      </c>
      <c r="D444" s="1">
        <v>41.93</v>
      </c>
      <c r="E444" s="2">
        <v>1</v>
      </c>
      <c r="F444" s="1">
        <v>41.93</v>
      </c>
      <c r="G444" s="1">
        <v>31.5</v>
      </c>
      <c r="H444" s="2">
        <v>1</v>
      </c>
      <c r="I444" s="2">
        <v>7</v>
      </c>
    </row>
    <row r="445" spans="1:9" x14ac:dyDescent="0.25">
      <c r="A445" t="s">
        <v>132</v>
      </c>
      <c r="B445" t="s">
        <v>133</v>
      </c>
      <c r="C445" t="s">
        <v>266</v>
      </c>
      <c r="D445" s="1">
        <v>41.91</v>
      </c>
      <c r="E445" s="2">
        <v>3</v>
      </c>
      <c r="F445" s="1">
        <v>41.91</v>
      </c>
      <c r="G445" s="1">
        <v>31.6</v>
      </c>
      <c r="H445" s="2">
        <v>3</v>
      </c>
      <c r="I445" t="s">
        <v>81</v>
      </c>
    </row>
    <row r="446" spans="1:9" x14ac:dyDescent="0.25">
      <c r="A446" t="s">
        <v>214</v>
      </c>
      <c r="B446" t="s">
        <v>215</v>
      </c>
      <c r="C446" t="s">
        <v>28</v>
      </c>
      <c r="D446" s="1">
        <v>41.58</v>
      </c>
      <c r="E446" s="2">
        <v>1</v>
      </c>
      <c r="F446" s="1">
        <v>41.58</v>
      </c>
      <c r="G446" s="1">
        <v>28</v>
      </c>
      <c r="H446" s="2">
        <v>1</v>
      </c>
      <c r="I446" t="s">
        <v>81</v>
      </c>
    </row>
    <row r="447" spans="1:9" x14ac:dyDescent="0.25">
      <c r="A447" t="s">
        <v>114</v>
      </c>
      <c r="B447" t="s">
        <v>115</v>
      </c>
      <c r="C447" t="s">
        <v>266</v>
      </c>
      <c r="D447" s="1">
        <v>41.24</v>
      </c>
      <c r="E447" s="2">
        <v>1</v>
      </c>
      <c r="F447" s="1">
        <v>41.24</v>
      </c>
      <c r="G447" s="1">
        <v>31.5</v>
      </c>
      <c r="H447" s="2">
        <v>1</v>
      </c>
      <c r="I447" t="s">
        <v>81</v>
      </c>
    </row>
    <row r="448" spans="1:9" x14ac:dyDescent="0.25">
      <c r="A448" t="s">
        <v>256</v>
      </c>
      <c r="B448" t="s">
        <v>257</v>
      </c>
      <c r="C448" t="s">
        <v>25</v>
      </c>
      <c r="D448" s="1">
        <v>41.24</v>
      </c>
      <c r="E448" s="2">
        <v>1</v>
      </c>
      <c r="F448" s="1">
        <v>41.24</v>
      </c>
      <c r="G448" s="1">
        <v>21.5</v>
      </c>
      <c r="H448" s="2">
        <v>1</v>
      </c>
      <c r="I448" t="s">
        <v>81</v>
      </c>
    </row>
    <row r="449" spans="1:9" x14ac:dyDescent="0.25">
      <c r="A449" t="s">
        <v>51</v>
      </c>
      <c r="B449" t="s">
        <v>52</v>
      </c>
      <c r="C449" t="s">
        <v>25</v>
      </c>
      <c r="D449" s="1">
        <v>41.16</v>
      </c>
      <c r="E449" s="2">
        <v>2</v>
      </c>
      <c r="F449" s="1">
        <v>41.16</v>
      </c>
      <c r="G449" s="1">
        <v>24.65</v>
      </c>
      <c r="H449" s="2">
        <v>2</v>
      </c>
      <c r="I449" s="2">
        <v>2</v>
      </c>
    </row>
    <row r="450" spans="1:9" x14ac:dyDescent="0.25">
      <c r="A450" t="s">
        <v>590</v>
      </c>
      <c r="B450" t="s">
        <v>591</v>
      </c>
      <c r="C450" t="s">
        <v>11</v>
      </c>
      <c r="D450" s="1">
        <v>40.82</v>
      </c>
      <c r="E450" s="2">
        <v>2</v>
      </c>
      <c r="F450" s="1">
        <v>40.82</v>
      </c>
      <c r="G450" s="1">
        <v>23.4</v>
      </c>
      <c r="H450" s="2">
        <v>2</v>
      </c>
      <c r="I450" s="2">
        <v>4</v>
      </c>
    </row>
    <row r="451" spans="1:9" x14ac:dyDescent="0.25">
      <c r="A451" t="s">
        <v>684</v>
      </c>
      <c r="B451" t="s">
        <v>685</v>
      </c>
      <c r="C451" t="s">
        <v>25</v>
      </c>
      <c r="D451" s="1">
        <v>40.72</v>
      </c>
      <c r="E451" s="2">
        <v>10</v>
      </c>
      <c r="F451" s="1">
        <v>40.72</v>
      </c>
      <c r="G451" s="1">
        <v>33</v>
      </c>
      <c r="H451" s="2">
        <v>10</v>
      </c>
      <c r="I451" t="s">
        <v>81</v>
      </c>
    </row>
    <row r="452" spans="1:9" x14ac:dyDescent="0.25">
      <c r="A452" t="s">
        <v>184</v>
      </c>
      <c r="B452" t="s">
        <v>185</v>
      </c>
      <c r="C452" t="s">
        <v>16</v>
      </c>
      <c r="D452" s="1">
        <v>40.06</v>
      </c>
      <c r="E452" s="2">
        <v>2</v>
      </c>
      <c r="F452" s="1">
        <v>20.03</v>
      </c>
      <c r="G452" s="1">
        <v>16.88</v>
      </c>
      <c r="H452" s="2">
        <v>1</v>
      </c>
      <c r="I452" t="s">
        <v>81</v>
      </c>
    </row>
    <row r="453" spans="1:9" x14ac:dyDescent="0.25">
      <c r="A453" t="s">
        <v>644</v>
      </c>
      <c r="B453" t="s">
        <v>645</v>
      </c>
      <c r="C453" t="s">
        <v>11</v>
      </c>
      <c r="D453" s="1">
        <v>39.58</v>
      </c>
      <c r="E453" s="2">
        <v>1</v>
      </c>
      <c r="F453" t="s">
        <v>81</v>
      </c>
      <c r="G453" t="s">
        <v>81</v>
      </c>
      <c r="H453" t="s">
        <v>81</v>
      </c>
      <c r="I453" t="s">
        <v>81</v>
      </c>
    </row>
    <row r="454" spans="1:9" x14ac:dyDescent="0.25">
      <c r="A454" t="s">
        <v>246</v>
      </c>
      <c r="B454" t="s">
        <v>247</v>
      </c>
      <c r="C454" t="s">
        <v>207</v>
      </c>
      <c r="D454" s="1">
        <v>38.840000000000003</v>
      </c>
      <c r="E454" s="2">
        <v>3</v>
      </c>
      <c r="F454" s="1">
        <v>38.840000000000003</v>
      </c>
      <c r="G454" s="1">
        <v>23.53</v>
      </c>
      <c r="H454" s="2">
        <v>3</v>
      </c>
      <c r="I454" t="s">
        <v>81</v>
      </c>
    </row>
    <row r="455" spans="1:9" x14ac:dyDescent="0.25">
      <c r="A455" t="s">
        <v>75</v>
      </c>
      <c r="B455" t="s">
        <v>76</v>
      </c>
      <c r="C455" t="s">
        <v>16</v>
      </c>
      <c r="D455" s="1">
        <v>37.729999999999997</v>
      </c>
      <c r="E455" s="2">
        <v>1</v>
      </c>
      <c r="F455" s="1">
        <v>112.93</v>
      </c>
      <c r="G455" s="1">
        <v>67.5</v>
      </c>
      <c r="H455" s="2">
        <v>2</v>
      </c>
      <c r="I455" t="s">
        <v>81</v>
      </c>
    </row>
    <row r="456" spans="1:9" x14ac:dyDescent="0.25">
      <c r="A456" t="s">
        <v>452</v>
      </c>
      <c r="B456" t="s">
        <v>453</v>
      </c>
      <c r="C456" t="s">
        <v>16</v>
      </c>
      <c r="D456" s="1">
        <v>37.56</v>
      </c>
      <c r="E456" s="2">
        <v>3</v>
      </c>
      <c r="F456" s="1">
        <v>37.56</v>
      </c>
      <c r="G456" s="1">
        <v>25.5</v>
      </c>
      <c r="H456" s="2">
        <v>3</v>
      </c>
      <c r="I456" s="2">
        <v>1</v>
      </c>
    </row>
    <row r="457" spans="1:9" x14ac:dyDescent="0.25">
      <c r="A457" t="s">
        <v>37</v>
      </c>
      <c r="B457" t="s">
        <v>38</v>
      </c>
      <c r="C457" t="s">
        <v>299</v>
      </c>
      <c r="D457" s="1">
        <v>37.479999999999997</v>
      </c>
      <c r="E457" s="2">
        <v>1</v>
      </c>
      <c r="F457" s="1">
        <v>37.479999999999997</v>
      </c>
      <c r="G457" s="1">
        <v>36.369999999999997</v>
      </c>
      <c r="H457" s="2">
        <v>1</v>
      </c>
      <c r="I457" t="s">
        <v>81</v>
      </c>
    </row>
    <row r="458" spans="1:9" x14ac:dyDescent="0.25">
      <c r="A458" t="s">
        <v>662</v>
      </c>
      <c r="B458" t="s">
        <v>663</v>
      </c>
      <c r="C458" t="s">
        <v>28</v>
      </c>
      <c r="D458" s="1">
        <v>37.159999999999997</v>
      </c>
      <c r="E458" s="2">
        <v>3</v>
      </c>
      <c r="F458" s="1">
        <v>37.159999999999997</v>
      </c>
      <c r="G458" s="1">
        <v>22.5</v>
      </c>
      <c r="H458" s="2">
        <v>3</v>
      </c>
      <c r="I458" t="s">
        <v>81</v>
      </c>
    </row>
    <row r="459" spans="1:9" x14ac:dyDescent="0.25">
      <c r="A459" t="s">
        <v>624</v>
      </c>
      <c r="B459" t="s">
        <v>625</v>
      </c>
      <c r="C459" t="s">
        <v>25</v>
      </c>
      <c r="D459" s="1">
        <v>37.11</v>
      </c>
      <c r="E459" s="2">
        <v>1</v>
      </c>
      <c r="F459" s="1">
        <v>37.11</v>
      </c>
      <c r="G459" s="1">
        <v>25.65</v>
      </c>
      <c r="H459" s="2">
        <v>1</v>
      </c>
      <c r="I459" s="2">
        <v>1</v>
      </c>
    </row>
    <row r="460" spans="1:9" x14ac:dyDescent="0.25">
      <c r="A460" t="s">
        <v>75</v>
      </c>
      <c r="B460" t="s">
        <v>76</v>
      </c>
      <c r="C460" t="s">
        <v>25</v>
      </c>
      <c r="D460" s="1">
        <v>37.11</v>
      </c>
      <c r="E460" s="2">
        <v>1</v>
      </c>
      <c r="F460" s="1">
        <v>37.11</v>
      </c>
      <c r="G460" s="1">
        <v>33.75</v>
      </c>
      <c r="H460" s="2">
        <v>1</v>
      </c>
      <c r="I460" s="2">
        <v>1</v>
      </c>
    </row>
    <row r="461" spans="1:9" x14ac:dyDescent="0.25">
      <c r="A461" t="s">
        <v>293</v>
      </c>
      <c r="B461" t="s">
        <v>294</v>
      </c>
      <c r="C461" t="s">
        <v>28</v>
      </c>
      <c r="D461" s="1">
        <v>37.07</v>
      </c>
      <c r="E461" s="2">
        <v>3</v>
      </c>
      <c r="F461" s="1">
        <v>37.07</v>
      </c>
      <c r="G461" s="1">
        <v>24.03</v>
      </c>
      <c r="H461" s="2">
        <v>3</v>
      </c>
      <c r="I461" t="s">
        <v>81</v>
      </c>
    </row>
    <row r="462" spans="1:9" x14ac:dyDescent="0.25">
      <c r="A462" t="s">
        <v>9</v>
      </c>
      <c r="B462" t="s">
        <v>10</v>
      </c>
      <c r="C462" t="s">
        <v>266</v>
      </c>
      <c r="D462" s="1">
        <v>36.93</v>
      </c>
      <c r="E462" s="2">
        <v>3</v>
      </c>
      <c r="F462" s="1">
        <v>36.93</v>
      </c>
      <c r="G462" s="1">
        <v>25.29</v>
      </c>
      <c r="H462" s="2">
        <v>3</v>
      </c>
      <c r="I462" s="2">
        <v>1</v>
      </c>
    </row>
    <row r="463" spans="1:9" x14ac:dyDescent="0.25">
      <c r="A463" t="s">
        <v>436</v>
      </c>
      <c r="B463" t="s">
        <v>437</v>
      </c>
      <c r="C463" t="s">
        <v>28</v>
      </c>
      <c r="D463" s="1">
        <v>36.93</v>
      </c>
      <c r="E463" s="2">
        <v>6</v>
      </c>
      <c r="F463" s="1">
        <v>36.93</v>
      </c>
      <c r="G463" s="1">
        <v>6.3</v>
      </c>
      <c r="H463" s="2">
        <v>6</v>
      </c>
      <c r="I463" s="2">
        <v>1</v>
      </c>
    </row>
    <row r="464" spans="1:9" x14ac:dyDescent="0.25">
      <c r="A464" t="s">
        <v>190</v>
      </c>
      <c r="B464" t="s">
        <v>191</v>
      </c>
      <c r="C464" t="s">
        <v>16</v>
      </c>
      <c r="D464" s="1">
        <v>36.92</v>
      </c>
      <c r="E464" s="2">
        <v>1</v>
      </c>
      <c r="F464" s="1">
        <v>36.92</v>
      </c>
      <c r="G464" s="1">
        <v>23.62</v>
      </c>
      <c r="H464" s="2">
        <v>1</v>
      </c>
      <c r="I464" t="s">
        <v>81</v>
      </c>
    </row>
    <row r="465" spans="1:9" x14ac:dyDescent="0.25">
      <c r="A465" t="s">
        <v>75</v>
      </c>
      <c r="B465" t="s">
        <v>76</v>
      </c>
      <c r="C465" t="s">
        <v>11</v>
      </c>
      <c r="D465" s="1">
        <v>36.799999999999997</v>
      </c>
      <c r="E465" s="2">
        <v>1</v>
      </c>
      <c r="F465" s="1">
        <v>36.799999999999997</v>
      </c>
      <c r="G465" s="1">
        <v>33.75</v>
      </c>
      <c r="H465" s="2">
        <v>1</v>
      </c>
      <c r="I465" t="s">
        <v>81</v>
      </c>
    </row>
    <row r="466" spans="1:9" x14ac:dyDescent="0.25">
      <c r="A466" t="s">
        <v>194</v>
      </c>
      <c r="B466" t="s">
        <v>195</v>
      </c>
      <c r="C466" t="s">
        <v>266</v>
      </c>
      <c r="D466" s="1">
        <v>36.51</v>
      </c>
      <c r="E466" s="2">
        <v>1</v>
      </c>
      <c r="F466" s="1">
        <v>36.51</v>
      </c>
      <c r="G466" s="1">
        <v>29.92</v>
      </c>
      <c r="H466" s="2">
        <v>1</v>
      </c>
      <c r="I466" t="s">
        <v>81</v>
      </c>
    </row>
    <row r="467" spans="1:9" x14ac:dyDescent="0.25">
      <c r="A467" t="s">
        <v>203</v>
      </c>
      <c r="B467" t="s">
        <v>204</v>
      </c>
      <c r="C467" t="s">
        <v>25</v>
      </c>
      <c r="D467" s="1">
        <v>35.76</v>
      </c>
      <c r="E467" s="2">
        <v>8</v>
      </c>
      <c r="F467" s="1">
        <v>31.79</v>
      </c>
      <c r="G467" s="1">
        <v>18.62</v>
      </c>
      <c r="H467" s="2">
        <v>7</v>
      </c>
      <c r="I467" t="s">
        <v>81</v>
      </c>
    </row>
    <row r="468" spans="1:9" x14ac:dyDescent="0.25">
      <c r="A468" t="s">
        <v>236</v>
      </c>
      <c r="B468" t="s">
        <v>237</v>
      </c>
      <c r="C468" t="s">
        <v>16</v>
      </c>
      <c r="D468" s="1">
        <v>35.54</v>
      </c>
      <c r="E468" s="2">
        <v>1</v>
      </c>
      <c r="F468" s="1">
        <v>35.54</v>
      </c>
      <c r="G468" s="1">
        <v>29.39</v>
      </c>
      <c r="H468" s="2">
        <v>1</v>
      </c>
      <c r="I468" s="2">
        <v>1</v>
      </c>
    </row>
    <row r="469" spans="1:9" x14ac:dyDescent="0.25">
      <c r="A469" t="s">
        <v>67</v>
      </c>
      <c r="B469" t="s">
        <v>68</v>
      </c>
      <c r="C469" t="s">
        <v>266</v>
      </c>
      <c r="D469" s="1">
        <v>35.380000000000003</v>
      </c>
      <c r="E469" s="2">
        <v>1</v>
      </c>
      <c r="F469" s="1">
        <v>35.380000000000003</v>
      </c>
      <c r="G469" s="1">
        <v>40.5</v>
      </c>
      <c r="H469" s="2">
        <v>1</v>
      </c>
      <c r="I469" t="s">
        <v>81</v>
      </c>
    </row>
    <row r="470" spans="1:9" x14ac:dyDescent="0.25">
      <c r="A470" t="s">
        <v>26</v>
      </c>
      <c r="B470" t="s">
        <v>27</v>
      </c>
      <c r="C470" t="s">
        <v>11</v>
      </c>
      <c r="D470" s="1">
        <v>35.32</v>
      </c>
      <c r="E470" s="2">
        <v>1</v>
      </c>
      <c r="F470" s="1">
        <v>35.32</v>
      </c>
      <c r="G470" s="1">
        <v>25.31</v>
      </c>
      <c r="H470" s="2">
        <v>1</v>
      </c>
      <c r="I470" s="2">
        <v>74</v>
      </c>
    </row>
    <row r="471" spans="1:9" x14ac:dyDescent="0.25">
      <c r="A471" t="s">
        <v>686</v>
      </c>
      <c r="B471" t="s">
        <v>687</v>
      </c>
      <c r="C471" t="s">
        <v>28</v>
      </c>
      <c r="D471" s="1">
        <v>35.200000000000003</v>
      </c>
      <c r="E471" s="2">
        <v>2</v>
      </c>
      <c r="F471" s="1">
        <v>35.200000000000003</v>
      </c>
      <c r="G471" s="1">
        <v>27.8</v>
      </c>
      <c r="H471" s="2">
        <v>2</v>
      </c>
      <c r="I471" t="s">
        <v>81</v>
      </c>
    </row>
    <row r="472" spans="1:9" x14ac:dyDescent="0.25">
      <c r="A472" t="s">
        <v>86</v>
      </c>
      <c r="B472" t="s">
        <v>87</v>
      </c>
      <c r="C472" t="s">
        <v>28</v>
      </c>
      <c r="D472" s="1">
        <v>34.67</v>
      </c>
      <c r="E472" s="2">
        <v>1</v>
      </c>
      <c r="F472" t="s">
        <v>81</v>
      </c>
      <c r="G472" t="s">
        <v>81</v>
      </c>
      <c r="H472" t="s">
        <v>81</v>
      </c>
      <c r="I472" s="2">
        <v>5</v>
      </c>
    </row>
    <row r="473" spans="1:9" x14ac:dyDescent="0.25">
      <c r="A473" t="s">
        <v>340</v>
      </c>
      <c r="B473" t="s">
        <v>341</v>
      </c>
      <c r="C473" t="s">
        <v>299</v>
      </c>
      <c r="D473" s="1">
        <v>34.64</v>
      </c>
      <c r="E473" s="2">
        <v>1</v>
      </c>
      <c r="F473" s="1">
        <v>34.64</v>
      </c>
      <c r="G473" s="1">
        <v>27.1</v>
      </c>
      <c r="H473" s="2">
        <v>1</v>
      </c>
      <c r="I473" t="s">
        <v>81</v>
      </c>
    </row>
    <row r="474" spans="1:9" x14ac:dyDescent="0.25">
      <c r="A474" t="s">
        <v>300</v>
      </c>
      <c r="B474" t="s">
        <v>301</v>
      </c>
      <c r="C474" t="s">
        <v>11</v>
      </c>
      <c r="D474" s="1">
        <v>34.380000000000003</v>
      </c>
      <c r="E474" s="2">
        <v>2</v>
      </c>
      <c r="F474" s="1">
        <v>34.380000000000003</v>
      </c>
      <c r="G474" s="1">
        <v>21.2</v>
      </c>
      <c r="H474" s="2">
        <v>2</v>
      </c>
      <c r="I474" t="s">
        <v>81</v>
      </c>
    </row>
    <row r="475" spans="1:9" x14ac:dyDescent="0.25">
      <c r="A475" t="s">
        <v>380</v>
      </c>
      <c r="B475" t="s">
        <v>381</v>
      </c>
      <c r="C475" t="s">
        <v>11</v>
      </c>
      <c r="D475" s="1">
        <v>33.79</v>
      </c>
      <c r="E475" s="2">
        <v>9</v>
      </c>
      <c r="F475" s="1">
        <v>33.79</v>
      </c>
      <c r="G475" s="1">
        <v>39.24</v>
      </c>
      <c r="H475" s="2">
        <v>9</v>
      </c>
      <c r="I475" t="s">
        <v>81</v>
      </c>
    </row>
    <row r="476" spans="1:9" x14ac:dyDescent="0.25">
      <c r="A476" t="s">
        <v>640</v>
      </c>
      <c r="B476" t="s">
        <v>641</v>
      </c>
      <c r="C476" t="s">
        <v>207</v>
      </c>
      <c r="D476" s="1">
        <v>33.54</v>
      </c>
      <c r="E476" s="2">
        <v>1</v>
      </c>
      <c r="F476" s="1">
        <v>33.54</v>
      </c>
      <c r="G476" s="1">
        <v>24.25</v>
      </c>
      <c r="H476" s="2">
        <v>1</v>
      </c>
      <c r="I476" t="s">
        <v>81</v>
      </c>
    </row>
    <row r="477" spans="1:9" x14ac:dyDescent="0.25">
      <c r="A477" t="s">
        <v>642</v>
      </c>
      <c r="B477" t="s">
        <v>643</v>
      </c>
      <c r="C477" t="s">
        <v>16</v>
      </c>
      <c r="D477" s="1">
        <v>33.53</v>
      </c>
      <c r="E477" s="2">
        <v>1</v>
      </c>
      <c r="F477" s="1">
        <v>33.53</v>
      </c>
      <c r="G477" s="1">
        <v>27.99</v>
      </c>
      <c r="H477" s="2">
        <v>1</v>
      </c>
      <c r="I477" t="s">
        <v>81</v>
      </c>
    </row>
    <row r="478" spans="1:9" x14ac:dyDescent="0.25">
      <c r="A478" t="s">
        <v>148</v>
      </c>
      <c r="B478" t="s">
        <v>149</v>
      </c>
      <c r="C478" t="s">
        <v>16</v>
      </c>
      <c r="D478" s="1">
        <v>33.53</v>
      </c>
      <c r="E478" s="2">
        <v>1</v>
      </c>
      <c r="F478" s="1">
        <v>33.53</v>
      </c>
      <c r="G478" s="1">
        <v>23.08</v>
      </c>
      <c r="H478" s="2">
        <v>1</v>
      </c>
      <c r="I478" s="2">
        <v>1</v>
      </c>
    </row>
    <row r="479" spans="1:9" x14ac:dyDescent="0.25">
      <c r="A479" t="s">
        <v>406</v>
      </c>
      <c r="B479" t="s">
        <v>407</v>
      </c>
      <c r="C479" t="s">
        <v>16</v>
      </c>
      <c r="D479" s="1">
        <v>33.44</v>
      </c>
      <c r="E479" s="2">
        <v>2</v>
      </c>
      <c r="F479" s="1">
        <v>16.72</v>
      </c>
      <c r="G479" s="1">
        <v>9.6199999999999992</v>
      </c>
      <c r="H479" s="2">
        <v>1</v>
      </c>
      <c r="I479" t="s">
        <v>81</v>
      </c>
    </row>
    <row r="480" spans="1:9" x14ac:dyDescent="0.25">
      <c r="A480" t="s">
        <v>126</v>
      </c>
      <c r="B480" t="s">
        <v>127</v>
      </c>
      <c r="C480" t="s">
        <v>207</v>
      </c>
      <c r="D480" s="1">
        <v>33.28</v>
      </c>
      <c r="E480" s="2">
        <v>8</v>
      </c>
      <c r="F480" s="1">
        <v>33.28</v>
      </c>
      <c r="G480" s="1">
        <v>24.63</v>
      </c>
      <c r="H480" s="2">
        <v>8</v>
      </c>
      <c r="I480" t="s">
        <v>81</v>
      </c>
    </row>
    <row r="481" spans="1:9" x14ac:dyDescent="0.25">
      <c r="A481" t="s">
        <v>234</v>
      </c>
      <c r="B481" t="s">
        <v>235</v>
      </c>
      <c r="C481" t="s">
        <v>28</v>
      </c>
      <c r="D481" s="1">
        <v>33.25</v>
      </c>
      <c r="E481" s="2">
        <v>1</v>
      </c>
      <c r="F481" s="1">
        <v>33.25</v>
      </c>
      <c r="G481" s="1">
        <v>20.149999999999999</v>
      </c>
      <c r="H481" s="2">
        <v>1</v>
      </c>
      <c r="I481" t="s">
        <v>81</v>
      </c>
    </row>
    <row r="482" spans="1:9" x14ac:dyDescent="0.25">
      <c r="A482" t="s">
        <v>398</v>
      </c>
      <c r="B482" t="s">
        <v>399</v>
      </c>
      <c r="C482" t="s">
        <v>28</v>
      </c>
      <c r="D482" s="1">
        <v>33.25</v>
      </c>
      <c r="E482" s="2">
        <v>1</v>
      </c>
      <c r="F482" s="1">
        <v>33.25</v>
      </c>
      <c r="G482" s="1">
        <v>23.17</v>
      </c>
      <c r="H482" s="2">
        <v>1</v>
      </c>
      <c r="I482" t="s">
        <v>81</v>
      </c>
    </row>
    <row r="483" spans="1:9" x14ac:dyDescent="0.25">
      <c r="A483" t="s">
        <v>406</v>
      </c>
      <c r="B483" t="s">
        <v>407</v>
      </c>
      <c r="C483" t="s">
        <v>28</v>
      </c>
      <c r="D483" s="1">
        <v>33.159999999999997</v>
      </c>
      <c r="E483" s="2">
        <v>2</v>
      </c>
      <c r="F483" s="1">
        <v>33.159999999999997</v>
      </c>
      <c r="G483" s="1">
        <v>19.239999999999998</v>
      </c>
      <c r="H483" s="2">
        <v>2</v>
      </c>
      <c r="I483" t="s">
        <v>81</v>
      </c>
    </row>
    <row r="484" spans="1:9" x14ac:dyDescent="0.25">
      <c r="A484" t="s">
        <v>442</v>
      </c>
      <c r="B484" t="s">
        <v>443</v>
      </c>
      <c r="C484" t="s">
        <v>28</v>
      </c>
      <c r="D484" s="1">
        <v>33.159999999999997</v>
      </c>
      <c r="E484" s="2">
        <v>2</v>
      </c>
      <c r="F484" s="1">
        <v>33.159999999999997</v>
      </c>
      <c r="G484" s="1">
        <v>28</v>
      </c>
      <c r="H484" s="2">
        <v>2</v>
      </c>
      <c r="I484" t="s">
        <v>81</v>
      </c>
    </row>
    <row r="485" spans="1:9" x14ac:dyDescent="0.25">
      <c r="A485" t="s">
        <v>186</v>
      </c>
      <c r="B485" t="s">
        <v>187</v>
      </c>
      <c r="C485" t="s">
        <v>11</v>
      </c>
      <c r="D485" s="1">
        <v>33.14</v>
      </c>
      <c r="E485" s="2">
        <v>1</v>
      </c>
      <c r="F485" s="1">
        <v>33.14</v>
      </c>
      <c r="G485" s="1">
        <v>22.5</v>
      </c>
      <c r="H485" s="2">
        <v>1</v>
      </c>
      <c r="I485" s="2">
        <v>1</v>
      </c>
    </row>
    <row r="486" spans="1:9" x14ac:dyDescent="0.25">
      <c r="A486" t="s">
        <v>210</v>
      </c>
      <c r="B486" t="s">
        <v>211</v>
      </c>
      <c r="C486" t="s">
        <v>28</v>
      </c>
      <c r="D486" s="1">
        <v>33.03</v>
      </c>
      <c r="E486" s="2">
        <v>2</v>
      </c>
      <c r="F486" s="1">
        <v>16.39</v>
      </c>
      <c r="G486" s="1">
        <v>4.5</v>
      </c>
      <c r="H486" s="2">
        <v>1</v>
      </c>
      <c r="I486" t="s">
        <v>81</v>
      </c>
    </row>
    <row r="487" spans="1:9" x14ac:dyDescent="0.25">
      <c r="A487" t="s">
        <v>376</v>
      </c>
      <c r="B487" t="s">
        <v>377</v>
      </c>
      <c r="C487" t="s">
        <v>25</v>
      </c>
      <c r="D487" s="1">
        <v>33</v>
      </c>
      <c r="E487" s="2">
        <v>5</v>
      </c>
      <c r="F487" s="1">
        <v>33</v>
      </c>
      <c r="G487" s="1">
        <v>12.45</v>
      </c>
      <c r="H487" s="2">
        <v>5</v>
      </c>
      <c r="I487" t="s">
        <v>81</v>
      </c>
    </row>
    <row r="488" spans="1:9" x14ac:dyDescent="0.25">
      <c r="A488" t="s">
        <v>234</v>
      </c>
      <c r="B488" t="s">
        <v>235</v>
      </c>
      <c r="C488" t="s">
        <v>25</v>
      </c>
      <c r="D488" s="1">
        <v>32.979999999999997</v>
      </c>
      <c r="E488" s="2">
        <v>1</v>
      </c>
      <c r="F488" s="1">
        <v>32.979999999999997</v>
      </c>
      <c r="G488" s="1">
        <v>28.68</v>
      </c>
      <c r="H488" s="2">
        <v>1</v>
      </c>
      <c r="I488" t="s">
        <v>81</v>
      </c>
    </row>
    <row r="489" spans="1:9" x14ac:dyDescent="0.25">
      <c r="A489" t="s">
        <v>116</v>
      </c>
      <c r="B489" t="s">
        <v>117</v>
      </c>
      <c r="C489" t="s">
        <v>25</v>
      </c>
      <c r="D489" s="1">
        <v>32.9</v>
      </c>
      <c r="E489" s="2">
        <v>2</v>
      </c>
      <c r="F489" s="1">
        <v>16.45</v>
      </c>
      <c r="G489" s="1">
        <v>12.5</v>
      </c>
      <c r="H489" s="2">
        <v>1</v>
      </c>
      <c r="I489" t="s">
        <v>81</v>
      </c>
    </row>
    <row r="490" spans="1:9" x14ac:dyDescent="0.25">
      <c r="A490" t="s">
        <v>660</v>
      </c>
      <c r="B490" t="s">
        <v>661</v>
      </c>
      <c r="C490" t="s">
        <v>25</v>
      </c>
      <c r="D490" s="1">
        <v>32.9</v>
      </c>
      <c r="E490" s="2">
        <v>2</v>
      </c>
      <c r="F490" s="1">
        <v>32.9</v>
      </c>
      <c r="G490" s="1">
        <v>19</v>
      </c>
      <c r="H490" s="2">
        <v>2</v>
      </c>
      <c r="I490" t="s">
        <v>81</v>
      </c>
    </row>
    <row r="491" spans="1:9" x14ac:dyDescent="0.25">
      <c r="A491" t="s">
        <v>116</v>
      </c>
      <c r="B491" t="s">
        <v>117</v>
      </c>
      <c r="C491" t="s">
        <v>11</v>
      </c>
      <c r="D491" s="1">
        <v>32.619999999999997</v>
      </c>
      <c r="E491" s="2">
        <v>2</v>
      </c>
      <c r="F491" s="1">
        <v>32.619999999999997</v>
      </c>
      <c r="G491" s="1">
        <v>25</v>
      </c>
      <c r="H491" s="2">
        <v>2</v>
      </c>
      <c r="I491" s="2">
        <v>50</v>
      </c>
    </row>
    <row r="492" spans="1:9" x14ac:dyDescent="0.25">
      <c r="A492" t="s">
        <v>138</v>
      </c>
      <c r="B492" t="s">
        <v>139</v>
      </c>
      <c r="C492" t="s">
        <v>299</v>
      </c>
      <c r="D492" s="1">
        <v>32.57</v>
      </c>
      <c r="E492" s="2">
        <v>3</v>
      </c>
      <c r="F492" s="1">
        <v>32.57</v>
      </c>
      <c r="G492" s="1">
        <v>10.64</v>
      </c>
      <c r="H492" s="2">
        <v>3</v>
      </c>
      <c r="I492" t="s">
        <v>81</v>
      </c>
    </row>
    <row r="493" spans="1:9" x14ac:dyDescent="0.25">
      <c r="A493" t="s">
        <v>354</v>
      </c>
      <c r="B493" t="s">
        <v>355</v>
      </c>
      <c r="C493" t="s">
        <v>28</v>
      </c>
      <c r="D493" s="1">
        <v>32.56</v>
      </c>
      <c r="E493" s="2">
        <v>1</v>
      </c>
      <c r="F493" s="1">
        <v>32.56</v>
      </c>
      <c r="G493" s="1">
        <v>31.6</v>
      </c>
      <c r="H493" s="2">
        <v>1</v>
      </c>
      <c r="I493" t="s">
        <v>81</v>
      </c>
    </row>
    <row r="494" spans="1:9" x14ac:dyDescent="0.25">
      <c r="A494" t="s">
        <v>688</v>
      </c>
      <c r="B494" t="s">
        <v>689</v>
      </c>
      <c r="C494" t="s">
        <v>28</v>
      </c>
      <c r="D494" s="1">
        <v>32.369999999999997</v>
      </c>
      <c r="E494" s="2">
        <v>1</v>
      </c>
      <c r="F494" s="1">
        <v>32.369999999999997</v>
      </c>
      <c r="G494" s="1">
        <v>30.5</v>
      </c>
      <c r="H494" s="2">
        <v>1</v>
      </c>
      <c r="I494" t="s">
        <v>81</v>
      </c>
    </row>
    <row r="495" spans="1:9" x14ac:dyDescent="0.25">
      <c r="A495" t="s">
        <v>302</v>
      </c>
      <c r="B495" t="s">
        <v>303</v>
      </c>
      <c r="C495" t="s">
        <v>266</v>
      </c>
      <c r="D495" s="1">
        <v>32.229999999999997</v>
      </c>
      <c r="E495" s="2">
        <v>1</v>
      </c>
      <c r="F495" s="1">
        <v>32.229999999999997</v>
      </c>
      <c r="G495" s="1">
        <v>21.9</v>
      </c>
      <c r="H495" s="2">
        <v>1</v>
      </c>
      <c r="I495" t="s">
        <v>81</v>
      </c>
    </row>
    <row r="496" spans="1:9" x14ac:dyDescent="0.25">
      <c r="A496" t="s">
        <v>426</v>
      </c>
      <c r="B496" t="s">
        <v>427</v>
      </c>
      <c r="C496" t="s">
        <v>11</v>
      </c>
      <c r="D496" s="1">
        <v>32.01</v>
      </c>
      <c r="E496" s="2">
        <v>2</v>
      </c>
      <c r="F496" s="1">
        <v>32.01</v>
      </c>
      <c r="G496" s="1">
        <v>24</v>
      </c>
      <c r="H496" s="2">
        <v>2</v>
      </c>
      <c r="I496" t="s">
        <v>81</v>
      </c>
    </row>
    <row r="497" spans="1:9" x14ac:dyDescent="0.25">
      <c r="A497" t="s">
        <v>148</v>
      </c>
      <c r="B497" t="s">
        <v>149</v>
      </c>
      <c r="C497" t="s">
        <v>266</v>
      </c>
      <c r="D497" s="1">
        <v>31.76</v>
      </c>
      <c r="E497" s="2">
        <v>1</v>
      </c>
      <c r="F497" s="1">
        <v>31.76</v>
      </c>
      <c r="G497" s="1">
        <v>23.08</v>
      </c>
      <c r="H497" s="2">
        <v>1</v>
      </c>
      <c r="I497" t="s">
        <v>81</v>
      </c>
    </row>
    <row r="498" spans="1:9" x14ac:dyDescent="0.25">
      <c r="A498" t="s">
        <v>424</v>
      </c>
      <c r="B498" t="s">
        <v>425</v>
      </c>
      <c r="C498" t="s">
        <v>11</v>
      </c>
      <c r="D498" s="1">
        <v>31.65</v>
      </c>
      <c r="E498" s="2">
        <v>2</v>
      </c>
      <c r="F498" s="1">
        <v>31.65</v>
      </c>
      <c r="G498" s="1">
        <v>19</v>
      </c>
      <c r="H498" s="2">
        <v>2</v>
      </c>
      <c r="I498" t="s">
        <v>81</v>
      </c>
    </row>
    <row r="499" spans="1:9" x14ac:dyDescent="0.25">
      <c r="A499" t="s">
        <v>194</v>
      </c>
      <c r="B499" t="s">
        <v>195</v>
      </c>
      <c r="C499" t="s">
        <v>207</v>
      </c>
      <c r="D499" s="1">
        <v>31.54</v>
      </c>
      <c r="E499" s="2">
        <v>1</v>
      </c>
      <c r="F499" s="1">
        <v>31.54</v>
      </c>
      <c r="G499" s="1">
        <v>33.42</v>
      </c>
      <c r="H499" s="2">
        <v>1</v>
      </c>
      <c r="I499" t="s">
        <v>81</v>
      </c>
    </row>
    <row r="500" spans="1:9" x14ac:dyDescent="0.25">
      <c r="A500" t="s">
        <v>614</v>
      </c>
      <c r="B500" t="s">
        <v>615</v>
      </c>
      <c r="C500" t="s">
        <v>299</v>
      </c>
      <c r="D500" s="1">
        <v>31.38</v>
      </c>
      <c r="E500" s="2">
        <v>1</v>
      </c>
      <c r="F500" t="s">
        <v>81</v>
      </c>
      <c r="G500" t="s">
        <v>81</v>
      </c>
      <c r="H500" t="s">
        <v>81</v>
      </c>
      <c r="I500" t="s">
        <v>81</v>
      </c>
    </row>
    <row r="501" spans="1:9" x14ac:dyDescent="0.25">
      <c r="A501" t="s">
        <v>224</v>
      </c>
      <c r="B501" t="s">
        <v>225</v>
      </c>
      <c r="C501" t="s">
        <v>25</v>
      </c>
      <c r="D501" s="1">
        <v>31.24</v>
      </c>
      <c r="E501" s="2">
        <v>2</v>
      </c>
      <c r="F501" s="1">
        <v>15.62</v>
      </c>
      <c r="G501" s="1">
        <v>9.9</v>
      </c>
      <c r="H501" s="2">
        <v>1</v>
      </c>
      <c r="I501" s="2">
        <v>1</v>
      </c>
    </row>
    <row r="502" spans="1:9" x14ac:dyDescent="0.25">
      <c r="A502" t="s">
        <v>232</v>
      </c>
      <c r="B502" t="s">
        <v>233</v>
      </c>
      <c r="C502" t="s">
        <v>266</v>
      </c>
      <c r="D502" s="1">
        <v>31.06</v>
      </c>
      <c r="E502" s="2">
        <v>1</v>
      </c>
      <c r="F502" t="s">
        <v>81</v>
      </c>
      <c r="G502" t="s">
        <v>81</v>
      </c>
      <c r="H502" t="s">
        <v>81</v>
      </c>
      <c r="I502" t="s">
        <v>81</v>
      </c>
    </row>
    <row r="503" spans="1:9" x14ac:dyDescent="0.25">
      <c r="A503" t="s">
        <v>132</v>
      </c>
      <c r="B503" t="s">
        <v>133</v>
      </c>
      <c r="C503" t="s">
        <v>299</v>
      </c>
      <c r="D503" s="1">
        <v>30.69</v>
      </c>
      <c r="E503" s="2">
        <v>2</v>
      </c>
      <c r="F503" s="1">
        <v>46.07</v>
      </c>
      <c r="G503" s="1">
        <v>34.619999999999997</v>
      </c>
      <c r="H503" s="2">
        <v>3</v>
      </c>
      <c r="I503" t="s">
        <v>81</v>
      </c>
    </row>
    <row r="504" spans="1:9" x14ac:dyDescent="0.25">
      <c r="A504" t="s">
        <v>512</v>
      </c>
      <c r="B504" t="s">
        <v>513</v>
      </c>
      <c r="C504" t="s">
        <v>11</v>
      </c>
      <c r="D504" s="1">
        <v>30.66</v>
      </c>
      <c r="E504" s="2">
        <v>2</v>
      </c>
      <c r="F504" s="1">
        <v>30.66</v>
      </c>
      <c r="G504" s="1">
        <v>27.52</v>
      </c>
      <c r="H504" s="2">
        <v>2</v>
      </c>
      <c r="I504" t="s">
        <v>81</v>
      </c>
    </row>
    <row r="505" spans="1:9" x14ac:dyDescent="0.25">
      <c r="A505" t="s">
        <v>528</v>
      </c>
      <c r="B505" t="s">
        <v>529</v>
      </c>
      <c r="C505" t="s">
        <v>25</v>
      </c>
      <c r="D505" s="1">
        <v>29.79</v>
      </c>
      <c r="E505" s="2">
        <v>1</v>
      </c>
      <c r="F505" s="1">
        <v>29.79</v>
      </c>
      <c r="G505" s="1">
        <v>19</v>
      </c>
      <c r="H505" s="2">
        <v>1</v>
      </c>
      <c r="I505" t="s">
        <v>81</v>
      </c>
    </row>
    <row r="506" spans="1:9" x14ac:dyDescent="0.25">
      <c r="A506" t="s">
        <v>300</v>
      </c>
      <c r="B506" t="s">
        <v>301</v>
      </c>
      <c r="C506" t="s">
        <v>266</v>
      </c>
      <c r="D506" s="1">
        <v>29.58</v>
      </c>
      <c r="E506" s="2">
        <v>2</v>
      </c>
      <c r="F506" s="1">
        <v>44.37</v>
      </c>
      <c r="G506" s="1">
        <v>30.74</v>
      </c>
      <c r="H506" s="2">
        <v>3</v>
      </c>
      <c r="I506" t="s">
        <v>81</v>
      </c>
    </row>
    <row r="507" spans="1:9" x14ac:dyDescent="0.25">
      <c r="A507" t="s">
        <v>86</v>
      </c>
      <c r="B507" t="s">
        <v>87</v>
      </c>
      <c r="C507" t="s">
        <v>16</v>
      </c>
      <c r="D507" s="1">
        <v>29.33</v>
      </c>
      <c r="E507" s="2">
        <v>1</v>
      </c>
      <c r="F507" s="1">
        <v>29.33</v>
      </c>
      <c r="G507" s="1">
        <v>16.43</v>
      </c>
      <c r="H507" s="2">
        <v>1</v>
      </c>
      <c r="I507" s="2">
        <v>2</v>
      </c>
    </row>
    <row r="508" spans="1:9" x14ac:dyDescent="0.25">
      <c r="A508" t="s">
        <v>186</v>
      </c>
      <c r="B508" t="s">
        <v>187</v>
      </c>
      <c r="C508" t="s">
        <v>207</v>
      </c>
      <c r="D508" s="1">
        <v>29.29</v>
      </c>
      <c r="E508" s="2">
        <v>1</v>
      </c>
      <c r="F508" t="s">
        <v>81</v>
      </c>
      <c r="G508" t="s">
        <v>81</v>
      </c>
      <c r="H508" t="s">
        <v>81</v>
      </c>
      <c r="I508" t="s">
        <v>81</v>
      </c>
    </row>
    <row r="509" spans="1:9" x14ac:dyDescent="0.25">
      <c r="A509" t="s">
        <v>528</v>
      </c>
      <c r="B509" t="s">
        <v>529</v>
      </c>
      <c r="C509" t="s">
        <v>28</v>
      </c>
      <c r="D509" s="1">
        <v>29.08</v>
      </c>
      <c r="E509" s="2">
        <v>1</v>
      </c>
      <c r="F509" s="1">
        <v>29.08</v>
      </c>
      <c r="G509" s="1">
        <v>19</v>
      </c>
      <c r="H509" s="2">
        <v>1</v>
      </c>
      <c r="I509" t="s">
        <v>81</v>
      </c>
    </row>
    <row r="510" spans="1:9" x14ac:dyDescent="0.25">
      <c r="A510" t="s">
        <v>554</v>
      </c>
      <c r="B510" t="s">
        <v>555</v>
      </c>
      <c r="C510" t="s">
        <v>16</v>
      </c>
      <c r="D510" s="1">
        <v>29.03</v>
      </c>
      <c r="E510" s="2">
        <v>1</v>
      </c>
      <c r="F510" s="1">
        <v>29.03</v>
      </c>
      <c r="G510" s="1">
        <v>25.2</v>
      </c>
      <c r="H510" s="2">
        <v>1</v>
      </c>
      <c r="I510" t="s">
        <v>81</v>
      </c>
    </row>
    <row r="511" spans="1:9" x14ac:dyDescent="0.25">
      <c r="A511" t="s">
        <v>378</v>
      </c>
      <c r="B511" t="s">
        <v>379</v>
      </c>
      <c r="C511" t="s">
        <v>11</v>
      </c>
      <c r="D511" s="1">
        <v>28.91</v>
      </c>
      <c r="E511" s="2">
        <v>2</v>
      </c>
      <c r="F511" s="1">
        <v>28.91</v>
      </c>
      <c r="G511" s="1">
        <v>11.88</v>
      </c>
      <c r="H511" s="2">
        <v>2</v>
      </c>
      <c r="I511" t="s">
        <v>81</v>
      </c>
    </row>
    <row r="512" spans="1:9" x14ac:dyDescent="0.25">
      <c r="A512" t="s">
        <v>271</v>
      </c>
      <c r="B512" t="s">
        <v>272</v>
      </c>
      <c r="C512" t="s">
        <v>16</v>
      </c>
      <c r="D512" s="1">
        <v>28.82</v>
      </c>
      <c r="E512" s="2">
        <v>1</v>
      </c>
      <c r="F512" s="1">
        <v>28.82</v>
      </c>
      <c r="G512" s="1">
        <v>25</v>
      </c>
      <c r="H512" s="2">
        <v>1</v>
      </c>
      <c r="I512" t="s">
        <v>81</v>
      </c>
    </row>
    <row r="513" spans="1:9" x14ac:dyDescent="0.25">
      <c r="A513" t="s">
        <v>224</v>
      </c>
      <c r="B513" t="s">
        <v>225</v>
      </c>
      <c r="C513" t="s">
        <v>299</v>
      </c>
      <c r="D513" s="1">
        <v>28.78</v>
      </c>
      <c r="E513" s="2">
        <v>2</v>
      </c>
      <c r="F513" s="1">
        <v>28.78</v>
      </c>
      <c r="G513" s="1">
        <v>18.600000000000001</v>
      </c>
      <c r="H513" s="2">
        <v>2</v>
      </c>
      <c r="I513" t="s">
        <v>81</v>
      </c>
    </row>
    <row r="514" spans="1:9" x14ac:dyDescent="0.25">
      <c r="A514" t="s">
        <v>658</v>
      </c>
      <c r="B514" t="s">
        <v>659</v>
      </c>
      <c r="C514" t="s">
        <v>207</v>
      </c>
      <c r="D514" s="1">
        <v>28.74</v>
      </c>
      <c r="E514" s="2">
        <v>1</v>
      </c>
      <c r="F514" s="1">
        <v>28.74</v>
      </c>
      <c r="G514" s="1">
        <v>14.18</v>
      </c>
      <c r="H514" s="2">
        <v>1</v>
      </c>
      <c r="I514" t="s">
        <v>81</v>
      </c>
    </row>
    <row r="515" spans="1:9" x14ac:dyDescent="0.25">
      <c r="A515" t="s">
        <v>86</v>
      </c>
      <c r="B515" t="s">
        <v>87</v>
      </c>
      <c r="C515" t="s">
        <v>11</v>
      </c>
      <c r="D515" s="1">
        <v>28.61</v>
      </c>
      <c r="E515" s="2">
        <v>1</v>
      </c>
      <c r="F515" s="1">
        <v>28.61</v>
      </c>
      <c r="G515" s="1">
        <v>22.5</v>
      </c>
      <c r="H515" s="2">
        <v>1</v>
      </c>
      <c r="I515" s="2">
        <v>6</v>
      </c>
    </row>
    <row r="516" spans="1:9" x14ac:dyDescent="0.25">
      <c r="A516" t="s">
        <v>186</v>
      </c>
      <c r="B516" t="s">
        <v>187</v>
      </c>
      <c r="C516" t="s">
        <v>266</v>
      </c>
      <c r="D516" s="1">
        <v>28.58</v>
      </c>
      <c r="E516" s="2">
        <v>1</v>
      </c>
      <c r="F516" s="1">
        <v>28.58</v>
      </c>
      <c r="G516" s="1">
        <v>22.5</v>
      </c>
      <c r="H516" s="2">
        <v>1</v>
      </c>
      <c r="I516" t="s">
        <v>81</v>
      </c>
    </row>
    <row r="517" spans="1:9" x14ac:dyDescent="0.25">
      <c r="A517" t="s">
        <v>630</v>
      </c>
      <c r="B517" t="s">
        <v>631</v>
      </c>
      <c r="C517" t="s">
        <v>299</v>
      </c>
      <c r="D517" s="1">
        <v>28.1</v>
      </c>
      <c r="E517" s="2">
        <v>1</v>
      </c>
      <c r="F517" s="1">
        <v>28.1</v>
      </c>
      <c r="G517" s="1">
        <v>15.44</v>
      </c>
      <c r="H517" s="2">
        <v>1</v>
      </c>
      <c r="I517" t="s">
        <v>81</v>
      </c>
    </row>
    <row r="518" spans="1:9" x14ac:dyDescent="0.25">
      <c r="A518" t="s">
        <v>360</v>
      </c>
      <c r="B518" t="s">
        <v>361</v>
      </c>
      <c r="C518" t="s">
        <v>11</v>
      </c>
      <c r="D518" s="1">
        <v>27.28</v>
      </c>
      <c r="E518" s="2">
        <v>2</v>
      </c>
      <c r="F518" s="1">
        <v>27.28</v>
      </c>
      <c r="G518" s="1">
        <v>12.32</v>
      </c>
      <c r="H518" s="2">
        <v>2</v>
      </c>
      <c r="I518" t="s">
        <v>81</v>
      </c>
    </row>
    <row r="519" spans="1:9" x14ac:dyDescent="0.25">
      <c r="A519" t="s">
        <v>662</v>
      </c>
      <c r="B519" t="s">
        <v>663</v>
      </c>
      <c r="C519" t="s">
        <v>16</v>
      </c>
      <c r="D519" s="1">
        <v>27.26</v>
      </c>
      <c r="E519" s="2">
        <v>2</v>
      </c>
      <c r="F519" s="1">
        <v>27.26</v>
      </c>
      <c r="G519" s="1">
        <v>15</v>
      </c>
      <c r="H519" s="2">
        <v>2</v>
      </c>
      <c r="I519" s="2">
        <v>1</v>
      </c>
    </row>
    <row r="520" spans="1:9" x14ac:dyDescent="0.25">
      <c r="A520" t="s">
        <v>604</v>
      </c>
      <c r="B520" t="s">
        <v>605</v>
      </c>
      <c r="C520" t="s">
        <v>266</v>
      </c>
      <c r="D520" s="1">
        <v>27.19</v>
      </c>
      <c r="E520" s="2">
        <v>1</v>
      </c>
      <c r="F520" s="1">
        <v>54.38</v>
      </c>
      <c r="G520" s="1">
        <v>37</v>
      </c>
      <c r="H520" s="2">
        <v>2</v>
      </c>
      <c r="I520" t="s">
        <v>81</v>
      </c>
    </row>
    <row r="521" spans="1:9" x14ac:dyDescent="0.25">
      <c r="A521" t="s">
        <v>53</v>
      </c>
      <c r="B521" t="s">
        <v>54</v>
      </c>
      <c r="C521" t="s">
        <v>11</v>
      </c>
      <c r="D521" s="1">
        <v>26.97</v>
      </c>
      <c r="E521" s="2">
        <v>1</v>
      </c>
      <c r="F521" s="1">
        <v>26.97</v>
      </c>
      <c r="G521" s="1">
        <v>17.73</v>
      </c>
      <c r="H521" s="2">
        <v>1</v>
      </c>
      <c r="I521" s="2">
        <v>4</v>
      </c>
    </row>
    <row r="522" spans="1:9" x14ac:dyDescent="0.25">
      <c r="A522" t="s">
        <v>136</v>
      </c>
      <c r="B522" t="s">
        <v>137</v>
      </c>
      <c r="C522" t="s">
        <v>266</v>
      </c>
      <c r="D522" s="1">
        <v>26.45</v>
      </c>
      <c r="E522" s="2">
        <v>1</v>
      </c>
      <c r="F522" s="1">
        <v>26.45</v>
      </c>
      <c r="G522" s="1">
        <v>17.93</v>
      </c>
      <c r="H522" s="2">
        <v>1</v>
      </c>
      <c r="I522" t="s">
        <v>81</v>
      </c>
    </row>
    <row r="523" spans="1:9" x14ac:dyDescent="0.25">
      <c r="A523" t="s">
        <v>160</v>
      </c>
      <c r="B523" t="s">
        <v>161</v>
      </c>
      <c r="C523" t="s">
        <v>299</v>
      </c>
      <c r="D523" s="1">
        <v>26.09</v>
      </c>
      <c r="E523" s="2">
        <v>2</v>
      </c>
      <c r="F523" s="1">
        <v>26.09</v>
      </c>
      <c r="G523" s="1">
        <v>14.93</v>
      </c>
      <c r="H523" s="2">
        <v>2</v>
      </c>
      <c r="I523" t="s">
        <v>81</v>
      </c>
    </row>
    <row r="524" spans="1:9" x14ac:dyDescent="0.25">
      <c r="A524" t="s">
        <v>41</v>
      </c>
      <c r="B524" t="s">
        <v>42</v>
      </c>
      <c r="C524" t="s">
        <v>266</v>
      </c>
      <c r="D524" s="1">
        <v>25.72</v>
      </c>
      <c r="E524" s="2">
        <v>2</v>
      </c>
      <c r="F524" s="1">
        <v>25.72</v>
      </c>
      <c r="G524" s="1">
        <v>19.399999999999999</v>
      </c>
      <c r="H524" s="2">
        <v>2</v>
      </c>
      <c r="I524" t="s">
        <v>81</v>
      </c>
    </row>
    <row r="525" spans="1:9" x14ac:dyDescent="0.25">
      <c r="A525" t="s">
        <v>608</v>
      </c>
      <c r="B525" t="s">
        <v>609</v>
      </c>
      <c r="C525" t="s">
        <v>16</v>
      </c>
      <c r="D525" s="1">
        <v>24.96</v>
      </c>
      <c r="E525" s="2">
        <v>3</v>
      </c>
      <c r="F525" s="1">
        <v>33.28</v>
      </c>
      <c r="G525" s="1">
        <v>23.4</v>
      </c>
      <c r="H525" s="2">
        <v>4</v>
      </c>
      <c r="I525" t="s">
        <v>81</v>
      </c>
    </row>
    <row r="526" spans="1:9" x14ac:dyDescent="0.25">
      <c r="A526" t="s">
        <v>412</v>
      </c>
      <c r="B526" t="s">
        <v>413</v>
      </c>
      <c r="C526" t="s">
        <v>28</v>
      </c>
      <c r="D526" s="1">
        <v>24.92</v>
      </c>
      <c r="E526" s="2">
        <v>1</v>
      </c>
      <c r="F526" s="1">
        <v>24.92</v>
      </c>
      <c r="G526" s="1">
        <v>14.48</v>
      </c>
      <c r="H526" s="2">
        <v>1</v>
      </c>
      <c r="I526" t="s">
        <v>81</v>
      </c>
    </row>
    <row r="527" spans="1:9" x14ac:dyDescent="0.25">
      <c r="A527" t="s">
        <v>308</v>
      </c>
      <c r="B527" t="s">
        <v>309</v>
      </c>
      <c r="C527" t="s">
        <v>28</v>
      </c>
      <c r="D527" s="1">
        <v>24.92</v>
      </c>
      <c r="E527" s="2">
        <v>1</v>
      </c>
      <c r="F527" s="1">
        <v>24.92</v>
      </c>
      <c r="G527" s="1">
        <v>20.25</v>
      </c>
      <c r="H527" s="2">
        <v>1</v>
      </c>
      <c r="I527" s="2">
        <v>1</v>
      </c>
    </row>
    <row r="528" spans="1:9" x14ac:dyDescent="0.25">
      <c r="A528" t="s">
        <v>21</v>
      </c>
      <c r="B528" t="s">
        <v>22</v>
      </c>
      <c r="C528" t="s">
        <v>11</v>
      </c>
      <c r="D528" s="1">
        <v>24.88</v>
      </c>
      <c r="E528" s="2">
        <v>1</v>
      </c>
      <c r="F528" s="1">
        <v>24.88</v>
      </c>
      <c r="G528" s="1">
        <v>17.399999999999999</v>
      </c>
      <c r="H528" s="2">
        <v>1</v>
      </c>
      <c r="I528" s="2">
        <v>27</v>
      </c>
    </row>
    <row r="529" spans="1:9" x14ac:dyDescent="0.25">
      <c r="A529" t="s">
        <v>452</v>
      </c>
      <c r="B529" t="s">
        <v>453</v>
      </c>
      <c r="C529" t="s">
        <v>28</v>
      </c>
      <c r="D529" s="1">
        <v>24.84</v>
      </c>
      <c r="E529" s="2">
        <v>2</v>
      </c>
      <c r="F529" s="1">
        <v>24.84</v>
      </c>
      <c r="G529" s="1">
        <v>17</v>
      </c>
      <c r="H529" s="2">
        <v>2</v>
      </c>
      <c r="I529" t="s">
        <v>81</v>
      </c>
    </row>
    <row r="530" spans="1:9" x14ac:dyDescent="0.25">
      <c r="A530" t="s">
        <v>160</v>
      </c>
      <c r="B530" t="s">
        <v>161</v>
      </c>
      <c r="C530" t="s">
        <v>28</v>
      </c>
      <c r="D530" s="1">
        <v>24.73</v>
      </c>
      <c r="E530" s="2">
        <v>2</v>
      </c>
      <c r="F530" s="1">
        <v>24.73</v>
      </c>
      <c r="G530" s="1">
        <v>17.36</v>
      </c>
      <c r="H530" s="2">
        <v>2</v>
      </c>
      <c r="I530" s="2">
        <v>1</v>
      </c>
    </row>
    <row r="531" spans="1:9" x14ac:dyDescent="0.25">
      <c r="A531" t="s">
        <v>358</v>
      </c>
      <c r="B531" t="s">
        <v>359</v>
      </c>
      <c r="C531" t="s">
        <v>25</v>
      </c>
      <c r="D531" s="1">
        <v>24.71</v>
      </c>
      <c r="E531" s="2">
        <v>1</v>
      </c>
      <c r="F531" s="1">
        <v>24.71</v>
      </c>
      <c r="G531" s="1">
        <v>13.5</v>
      </c>
      <c r="H531" s="2">
        <v>1</v>
      </c>
      <c r="I531" t="s">
        <v>81</v>
      </c>
    </row>
    <row r="532" spans="1:9" x14ac:dyDescent="0.25">
      <c r="A532" t="s">
        <v>248</v>
      </c>
      <c r="B532" t="s">
        <v>249</v>
      </c>
      <c r="C532" t="s">
        <v>25</v>
      </c>
      <c r="D532" s="1">
        <v>24.71</v>
      </c>
      <c r="E532" s="2">
        <v>1</v>
      </c>
      <c r="F532" s="1">
        <v>24.71</v>
      </c>
      <c r="G532" s="1">
        <v>20.39</v>
      </c>
      <c r="H532" s="2">
        <v>1</v>
      </c>
      <c r="I532" t="s">
        <v>81</v>
      </c>
    </row>
    <row r="533" spans="1:9" x14ac:dyDescent="0.25">
      <c r="A533" t="s">
        <v>94</v>
      </c>
      <c r="B533" t="s">
        <v>95</v>
      </c>
      <c r="C533" t="s">
        <v>25</v>
      </c>
      <c r="D533" s="1">
        <v>24.71</v>
      </c>
      <c r="E533" s="2">
        <v>1</v>
      </c>
      <c r="F533" s="1">
        <v>24.71</v>
      </c>
      <c r="G533" s="1">
        <v>20.25</v>
      </c>
      <c r="H533" s="2">
        <v>1</v>
      </c>
      <c r="I533" t="s">
        <v>81</v>
      </c>
    </row>
    <row r="534" spans="1:9" x14ac:dyDescent="0.25">
      <c r="A534" t="s">
        <v>246</v>
      </c>
      <c r="B534" t="s">
        <v>247</v>
      </c>
      <c r="C534" t="s">
        <v>25</v>
      </c>
      <c r="D534" s="1">
        <v>24.62</v>
      </c>
      <c r="E534" s="2">
        <v>2</v>
      </c>
      <c r="F534" s="1">
        <v>24.62</v>
      </c>
      <c r="G534" s="1">
        <v>16</v>
      </c>
      <c r="H534" s="2">
        <v>2</v>
      </c>
      <c r="I534" s="2">
        <v>1</v>
      </c>
    </row>
    <row r="535" spans="1:9" x14ac:dyDescent="0.25">
      <c r="A535" t="s">
        <v>438</v>
      </c>
      <c r="B535" t="s">
        <v>439</v>
      </c>
      <c r="C535" t="s">
        <v>11</v>
      </c>
      <c r="D535" s="1">
        <v>24.55</v>
      </c>
      <c r="E535" s="2">
        <v>5</v>
      </c>
      <c r="F535" s="1">
        <v>24.55</v>
      </c>
      <c r="G535" s="1">
        <v>12.96</v>
      </c>
      <c r="H535" s="2">
        <v>5</v>
      </c>
      <c r="I535" t="s">
        <v>81</v>
      </c>
    </row>
    <row r="536" spans="1:9" x14ac:dyDescent="0.25">
      <c r="A536" t="s">
        <v>608</v>
      </c>
      <c r="B536" t="s">
        <v>609</v>
      </c>
      <c r="C536" t="s">
        <v>266</v>
      </c>
      <c r="D536" s="1">
        <v>24.54</v>
      </c>
      <c r="E536" s="2">
        <v>3</v>
      </c>
      <c r="F536" s="1">
        <v>24.54</v>
      </c>
      <c r="G536" s="1">
        <v>16.53</v>
      </c>
      <c r="H536" s="2">
        <v>3</v>
      </c>
      <c r="I536" t="s">
        <v>81</v>
      </c>
    </row>
    <row r="537" spans="1:9" x14ac:dyDescent="0.25">
      <c r="A537" t="s">
        <v>156</v>
      </c>
      <c r="B537" t="s">
        <v>157</v>
      </c>
      <c r="C537" t="s">
        <v>299</v>
      </c>
      <c r="D537" s="1">
        <v>23.57</v>
      </c>
      <c r="E537" s="2">
        <v>1</v>
      </c>
      <c r="F537" s="1">
        <v>23.57</v>
      </c>
      <c r="G537" s="1">
        <v>19.420000000000002</v>
      </c>
      <c r="H537" s="2">
        <v>1</v>
      </c>
      <c r="I537" t="s">
        <v>81</v>
      </c>
    </row>
    <row r="538" spans="1:9" x14ac:dyDescent="0.25">
      <c r="A538" t="s">
        <v>188</v>
      </c>
      <c r="B538" t="s">
        <v>189</v>
      </c>
      <c r="C538" t="s">
        <v>266</v>
      </c>
      <c r="D538" s="1">
        <v>23.55</v>
      </c>
      <c r="E538" s="2">
        <v>1</v>
      </c>
      <c r="F538" s="1">
        <v>23.55</v>
      </c>
      <c r="G538" s="1">
        <v>18</v>
      </c>
      <c r="H538" s="2">
        <v>1</v>
      </c>
      <c r="I538" t="s">
        <v>81</v>
      </c>
    </row>
    <row r="539" spans="1:9" x14ac:dyDescent="0.25">
      <c r="A539" t="s">
        <v>320</v>
      </c>
      <c r="B539" t="s">
        <v>321</v>
      </c>
      <c r="C539" t="s">
        <v>266</v>
      </c>
      <c r="D539" s="1">
        <v>22.97</v>
      </c>
      <c r="E539" s="2">
        <v>1</v>
      </c>
      <c r="F539" t="s">
        <v>81</v>
      </c>
      <c r="G539" t="s">
        <v>81</v>
      </c>
      <c r="H539" t="s">
        <v>81</v>
      </c>
      <c r="I539" t="s">
        <v>81</v>
      </c>
    </row>
    <row r="540" spans="1:9" x14ac:dyDescent="0.25">
      <c r="A540" t="s">
        <v>289</v>
      </c>
      <c r="B540" t="s">
        <v>290</v>
      </c>
      <c r="C540" t="s">
        <v>16</v>
      </c>
      <c r="D540" s="1">
        <v>22.61</v>
      </c>
      <c r="E540" s="2">
        <v>1</v>
      </c>
      <c r="F540" s="1">
        <v>22.61</v>
      </c>
      <c r="G540" s="1">
        <v>13.94</v>
      </c>
      <c r="H540" s="2">
        <v>1</v>
      </c>
      <c r="I540" t="s">
        <v>81</v>
      </c>
    </row>
    <row r="541" spans="1:9" x14ac:dyDescent="0.25">
      <c r="A541" t="s">
        <v>124</v>
      </c>
      <c r="B541" t="s">
        <v>125</v>
      </c>
      <c r="C541" t="s">
        <v>16</v>
      </c>
      <c r="D541" s="1">
        <v>22.44</v>
      </c>
      <c r="E541" s="2">
        <v>1</v>
      </c>
      <c r="F541" s="1">
        <v>22.44</v>
      </c>
      <c r="G541" s="1">
        <v>14.96</v>
      </c>
      <c r="H541" s="2">
        <v>1</v>
      </c>
      <c r="I541" s="2">
        <v>5</v>
      </c>
    </row>
    <row r="542" spans="1:9" x14ac:dyDescent="0.25">
      <c r="A542" t="s">
        <v>634</v>
      </c>
      <c r="B542" t="s">
        <v>635</v>
      </c>
      <c r="C542" t="s">
        <v>25</v>
      </c>
      <c r="D542" s="1">
        <v>22.26</v>
      </c>
      <c r="E542" s="2">
        <v>1</v>
      </c>
      <c r="F542" s="1">
        <v>22.26</v>
      </c>
      <c r="G542" s="1">
        <v>17.010000000000002</v>
      </c>
      <c r="H542" s="2">
        <v>1</v>
      </c>
      <c r="I542" t="s">
        <v>81</v>
      </c>
    </row>
    <row r="543" spans="1:9" x14ac:dyDescent="0.25">
      <c r="A543" t="s">
        <v>202</v>
      </c>
      <c r="B543" t="s">
        <v>197</v>
      </c>
      <c r="C543" t="s">
        <v>11</v>
      </c>
      <c r="D543" s="1">
        <v>22.14</v>
      </c>
      <c r="E543" s="2">
        <v>2</v>
      </c>
      <c r="F543" s="1">
        <v>33.119999999999997</v>
      </c>
      <c r="G543" s="1">
        <v>21.6</v>
      </c>
      <c r="H543" s="2">
        <v>3</v>
      </c>
      <c r="I543" s="2">
        <v>2</v>
      </c>
    </row>
    <row r="544" spans="1:9" x14ac:dyDescent="0.25">
      <c r="A544" t="s">
        <v>374</v>
      </c>
      <c r="B544" t="s">
        <v>375</v>
      </c>
      <c r="C544" t="s">
        <v>266</v>
      </c>
      <c r="D544" s="1">
        <v>21.71</v>
      </c>
      <c r="E544" s="2">
        <v>1</v>
      </c>
      <c r="F544" s="1">
        <v>21.71</v>
      </c>
      <c r="G544" s="1">
        <v>16.8</v>
      </c>
      <c r="H544" s="2">
        <v>1</v>
      </c>
      <c r="I544" t="s">
        <v>81</v>
      </c>
    </row>
    <row r="545" spans="1:9" x14ac:dyDescent="0.25">
      <c r="A545" t="s">
        <v>182</v>
      </c>
      <c r="B545" t="s">
        <v>183</v>
      </c>
      <c r="C545" t="s">
        <v>299</v>
      </c>
      <c r="D545" s="1">
        <v>21.6</v>
      </c>
      <c r="E545" s="2">
        <v>1</v>
      </c>
      <c r="F545" s="1">
        <v>21.6</v>
      </c>
      <c r="G545" s="1">
        <v>22</v>
      </c>
      <c r="H545" s="2">
        <v>1</v>
      </c>
      <c r="I545" t="s">
        <v>81</v>
      </c>
    </row>
    <row r="546" spans="1:9" x14ac:dyDescent="0.25">
      <c r="A546" t="s">
        <v>144</v>
      </c>
      <c r="B546" t="s">
        <v>145</v>
      </c>
      <c r="C546" t="s">
        <v>28</v>
      </c>
      <c r="D546" s="1">
        <v>21.5</v>
      </c>
      <c r="E546" s="2">
        <v>2</v>
      </c>
      <c r="F546" s="1">
        <v>21.5</v>
      </c>
      <c r="G546" s="1">
        <v>13.2</v>
      </c>
      <c r="H546" s="2">
        <v>2</v>
      </c>
      <c r="I546" s="2">
        <v>3</v>
      </c>
    </row>
    <row r="547" spans="1:9" x14ac:dyDescent="0.25">
      <c r="A547" t="s">
        <v>73</v>
      </c>
      <c r="B547" t="s">
        <v>74</v>
      </c>
      <c r="C547" t="s">
        <v>11</v>
      </c>
      <c r="D547" s="1">
        <v>21.14</v>
      </c>
      <c r="E547" s="2">
        <v>2</v>
      </c>
      <c r="F547" s="1">
        <v>21.14</v>
      </c>
      <c r="G547" s="1">
        <v>0</v>
      </c>
      <c r="H547" s="2">
        <v>2</v>
      </c>
      <c r="I547" t="s">
        <v>81</v>
      </c>
    </row>
    <row r="548" spans="1:9" x14ac:dyDescent="0.25">
      <c r="A548" t="s">
        <v>630</v>
      </c>
      <c r="B548" t="s">
        <v>631</v>
      </c>
      <c r="C548" t="s">
        <v>207</v>
      </c>
      <c r="D548" s="1">
        <v>20.96</v>
      </c>
      <c r="E548" s="2">
        <v>1</v>
      </c>
      <c r="F548" s="1">
        <v>20.96</v>
      </c>
      <c r="G548" s="1">
        <v>17.760000000000002</v>
      </c>
      <c r="H548" s="2">
        <v>1</v>
      </c>
      <c r="I548" t="s">
        <v>81</v>
      </c>
    </row>
    <row r="549" spans="1:9" x14ac:dyDescent="0.25">
      <c r="A549" t="s">
        <v>196</v>
      </c>
      <c r="B549" t="s">
        <v>197</v>
      </c>
      <c r="C549" t="s">
        <v>16</v>
      </c>
      <c r="D549" s="1">
        <v>20.92</v>
      </c>
      <c r="E549" s="2">
        <v>1</v>
      </c>
      <c r="F549" s="1">
        <v>20.92</v>
      </c>
      <c r="G549" s="1">
        <v>16.649999999999999</v>
      </c>
      <c r="H549" s="2">
        <v>1</v>
      </c>
      <c r="I549" t="s">
        <v>81</v>
      </c>
    </row>
    <row r="550" spans="1:9" x14ac:dyDescent="0.25">
      <c r="A550" t="s">
        <v>456</v>
      </c>
      <c r="B550" t="s">
        <v>457</v>
      </c>
      <c r="C550" t="s">
        <v>16</v>
      </c>
      <c r="D550" s="1">
        <v>20.92</v>
      </c>
      <c r="E550" s="2">
        <v>1</v>
      </c>
      <c r="F550" s="1">
        <v>20.92</v>
      </c>
      <c r="G550" s="1">
        <v>15.75</v>
      </c>
      <c r="H550" s="2">
        <v>1</v>
      </c>
      <c r="I550" t="s">
        <v>81</v>
      </c>
    </row>
    <row r="551" spans="1:9" x14ac:dyDescent="0.25">
      <c r="A551" t="s">
        <v>47</v>
      </c>
      <c r="B551" t="s">
        <v>48</v>
      </c>
      <c r="C551" t="s">
        <v>16</v>
      </c>
      <c r="D551" s="1">
        <v>20.92</v>
      </c>
      <c r="E551" s="2">
        <v>1</v>
      </c>
      <c r="F551" s="1">
        <v>41.84</v>
      </c>
      <c r="G551" s="1">
        <v>30</v>
      </c>
      <c r="H551" s="2">
        <v>2</v>
      </c>
      <c r="I551" t="s">
        <v>81</v>
      </c>
    </row>
    <row r="552" spans="1:9" x14ac:dyDescent="0.25">
      <c r="A552" t="s">
        <v>606</v>
      </c>
      <c r="B552" t="s">
        <v>607</v>
      </c>
      <c r="C552" t="s">
        <v>28</v>
      </c>
      <c r="D552" s="1">
        <v>20.75</v>
      </c>
      <c r="E552" s="2">
        <v>1</v>
      </c>
      <c r="F552" s="1">
        <v>20.75</v>
      </c>
      <c r="G552" s="1">
        <v>14</v>
      </c>
      <c r="H552" s="2">
        <v>1</v>
      </c>
      <c r="I552" t="s">
        <v>81</v>
      </c>
    </row>
    <row r="553" spans="1:9" x14ac:dyDescent="0.25">
      <c r="A553" t="s">
        <v>600</v>
      </c>
      <c r="B553" t="s">
        <v>601</v>
      </c>
      <c r="C553" t="s">
        <v>28</v>
      </c>
      <c r="D553" s="1">
        <v>20.75</v>
      </c>
      <c r="E553" s="2">
        <v>1</v>
      </c>
      <c r="F553" s="1">
        <v>20.75</v>
      </c>
      <c r="G553" s="1">
        <v>14</v>
      </c>
      <c r="H553" s="2">
        <v>1</v>
      </c>
      <c r="I553" t="s">
        <v>81</v>
      </c>
    </row>
    <row r="554" spans="1:9" x14ac:dyDescent="0.25">
      <c r="A554" t="s">
        <v>630</v>
      </c>
      <c r="B554" t="s">
        <v>631</v>
      </c>
      <c r="C554" t="s">
        <v>28</v>
      </c>
      <c r="D554" s="1">
        <v>20.75</v>
      </c>
      <c r="E554" s="2">
        <v>1</v>
      </c>
      <c r="F554" s="1">
        <v>20.75</v>
      </c>
      <c r="G554" s="1">
        <v>15.48</v>
      </c>
      <c r="H554" s="2">
        <v>1</v>
      </c>
      <c r="I554" s="2">
        <v>5</v>
      </c>
    </row>
    <row r="555" spans="1:9" x14ac:dyDescent="0.25">
      <c r="A555" t="s">
        <v>196</v>
      </c>
      <c r="B555" t="s">
        <v>197</v>
      </c>
      <c r="C555" t="s">
        <v>25</v>
      </c>
      <c r="D555" s="1">
        <v>20.58</v>
      </c>
      <c r="E555" s="2">
        <v>1</v>
      </c>
      <c r="F555" s="1">
        <v>20.58</v>
      </c>
      <c r="G555" s="1">
        <v>16.649999999999999</v>
      </c>
      <c r="H555" s="2">
        <v>1</v>
      </c>
      <c r="I555" t="s">
        <v>81</v>
      </c>
    </row>
    <row r="556" spans="1:9" x14ac:dyDescent="0.25">
      <c r="A556" t="s">
        <v>184</v>
      </c>
      <c r="B556" t="s">
        <v>185</v>
      </c>
      <c r="C556" t="s">
        <v>266</v>
      </c>
      <c r="D556" s="1">
        <v>20.58</v>
      </c>
      <c r="E556" s="2">
        <v>1</v>
      </c>
      <c r="F556" s="1">
        <v>20.58</v>
      </c>
      <c r="G556" s="1">
        <v>12.66</v>
      </c>
      <c r="H556" s="2">
        <v>1</v>
      </c>
      <c r="I556" t="s">
        <v>81</v>
      </c>
    </row>
    <row r="557" spans="1:9" x14ac:dyDescent="0.25">
      <c r="A557" t="s">
        <v>622</v>
      </c>
      <c r="B557" t="s">
        <v>623</v>
      </c>
      <c r="C557" t="s">
        <v>25</v>
      </c>
      <c r="D557" s="1">
        <v>20.58</v>
      </c>
      <c r="E557" s="2">
        <v>1</v>
      </c>
      <c r="F557" s="1">
        <v>20.58</v>
      </c>
      <c r="G557" s="1">
        <v>14.48</v>
      </c>
      <c r="H557" s="2">
        <v>1</v>
      </c>
      <c r="I557" t="s">
        <v>81</v>
      </c>
    </row>
    <row r="558" spans="1:9" x14ac:dyDescent="0.25">
      <c r="A558" t="s">
        <v>59</v>
      </c>
      <c r="B558" t="s">
        <v>60</v>
      </c>
      <c r="C558" t="s">
        <v>11</v>
      </c>
      <c r="D558" s="1">
        <v>20.41</v>
      </c>
      <c r="E558" s="2">
        <v>1</v>
      </c>
      <c r="F558" s="1">
        <v>20.41</v>
      </c>
      <c r="G558" s="1">
        <v>19.68</v>
      </c>
      <c r="H558" s="2">
        <v>1</v>
      </c>
      <c r="I558" s="2">
        <v>4</v>
      </c>
    </row>
    <row r="559" spans="1:9" x14ac:dyDescent="0.25">
      <c r="A559" t="s">
        <v>279</v>
      </c>
      <c r="B559" t="s">
        <v>280</v>
      </c>
      <c r="C559" t="s">
        <v>25</v>
      </c>
      <c r="D559" s="1">
        <v>19.96</v>
      </c>
      <c r="E559" s="2">
        <v>1</v>
      </c>
      <c r="F559" s="1">
        <v>19.96</v>
      </c>
      <c r="G559" s="1">
        <v>12.65</v>
      </c>
      <c r="H559" s="2">
        <v>1</v>
      </c>
      <c r="I559" t="s">
        <v>81</v>
      </c>
    </row>
    <row r="560" spans="1:9" x14ac:dyDescent="0.25">
      <c r="A560" t="s">
        <v>174</v>
      </c>
      <c r="B560" t="s">
        <v>175</v>
      </c>
      <c r="C560" t="s">
        <v>207</v>
      </c>
      <c r="D560" s="1">
        <v>19.91</v>
      </c>
      <c r="E560" s="2">
        <v>3</v>
      </c>
      <c r="F560" s="1">
        <v>19.91</v>
      </c>
      <c r="G560" s="1">
        <v>16.190000000000001</v>
      </c>
      <c r="H560" s="2">
        <v>3</v>
      </c>
      <c r="I560" t="s">
        <v>81</v>
      </c>
    </row>
    <row r="561" spans="1:9" x14ac:dyDescent="0.25">
      <c r="A561" t="s">
        <v>682</v>
      </c>
      <c r="B561" t="s">
        <v>683</v>
      </c>
      <c r="C561" t="s">
        <v>11</v>
      </c>
      <c r="D561" s="1">
        <v>19.72</v>
      </c>
      <c r="E561" s="2">
        <v>1</v>
      </c>
      <c r="F561" s="1">
        <v>70.930000000000007</v>
      </c>
      <c r="G561" s="1">
        <v>57.44</v>
      </c>
      <c r="H561" s="2">
        <v>4</v>
      </c>
      <c r="I561" t="s">
        <v>81</v>
      </c>
    </row>
    <row r="562" spans="1:9" x14ac:dyDescent="0.25">
      <c r="A562" t="s">
        <v>424</v>
      </c>
      <c r="B562" t="s">
        <v>425</v>
      </c>
      <c r="C562" t="s">
        <v>16</v>
      </c>
      <c r="D562" s="1">
        <v>19.64</v>
      </c>
      <c r="E562" s="2">
        <v>2</v>
      </c>
      <c r="F562" s="1">
        <v>19.64</v>
      </c>
      <c r="G562" s="1">
        <v>19</v>
      </c>
      <c r="H562" s="2">
        <v>2</v>
      </c>
      <c r="I562" s="2">
        <v>1</v>
      </c>
    </row>
    <row r="563" spans="1:9" x14ac:dyDescent="0.25">
      <c r="A563" t="s">
        <v>418</v>
      </c>
      <c r="B563" t="s">
        <v>419</v>
      </c>
      <c r="C563" t="s">
        <v>25</v>
      </c>
      <c r="D563" s="1">
        <v>19.59</v>
      </c>
      <c r="E563" s="2">
        <v>1</v>
      </c>
      <c r="F563" s="1">
        <v>19.59</v>
      </c>
      <c r="G563" s="1">
        <v>16.13</v>
      </c>
      <c r="H563" s="2">
        <v>1</v>
      </c>
      <c r="I563" t="s">
        <v>81</v>
      </c>
    </row>
    <row r="564" spans="1:9" x14ac:dyDescent="0.25">
      <c r="A564" t="s">
        <v>600</v>
      </c>
      <c r="B564" t="s">
        <v>601</v>
      </c>
      <c r="C564" t="s">
        <v>266</v>
      </c>
      <c r="D564" s="1">
        <v>19.29</v>
      </c>
      <c r="E564" s="2">
        <v>1</v>
      </c>
      <c r="F564" s="1">
        <v>19.29</v>
      </c>
      <c r="G564" s="1">
        <v>14</v>
      </c>
      <c r="H564" s="2">
        <v>1</v>
      </c>
      <c r="I564" t="s">
        <v>81</v>
      </c>
    </row>
    <row r="565" spans="1:9" x14ac:dyDescent="0.25">
      <c r="A565" t="s">
        <v>110</v>
      </c>
      <c r="B565" t="s">
        <v>111</v>
      </c>
      <c r="C565" t="s">
        <v>207</v>
      </c>
      <c r="D565" s="1">
        <v>19.12</v>
      </c>
      <c r="E565" s="2">
        <v>1</v>
      </c>
      <c r="F565" s="1">
        <v>19.12</v>
      </c>
      <c r="G565" s="1">
        <v>13.44</v>
      </c>
      <c r="H565" s="2">
        <v>1</v>
      </c>
      <c r="I565" t="s">
        <v>81</v>
      </c>
    </row>
    <row r="566" spans="1:9" x14ac:dyDescent="0.25">
      <c r="A566" t="s">
        <v>152</v>
      </c>
      <c r="B566" t="s">
        <v>153</v>
      </c>
      <c r="C566" t="s">
        <v>266</v>
      </c>
      <c r="D566" s="1">
        <v>18.93</v>
      </c>
      <c r="E566" s="2">
        <v>1</v>
      </c>
      <c r="F566" s="1">
        <v>18.93</v>
      </c>
      <c r="G566" s="1">
        <v>13.95</v>
      </c>
      <c r="H566" s="2">
        <v>1</v>
      </c>
      <c r="I566" t="s">
        <v>81</v>
      </c>
    </row>
    <row r="567" spans="1:9" x14ac:dyDescent="0.25">
      <c r="A567" t="s">
        <v>454</v>
      </c>
      <c r="B567" t="s">
        <v>455</v>
      </c>
      <c r="C567" t="s">
        <v>28</v>
      </c>
      <c r="D567" s="1">
        <v>18.72</v>
      </c>
      <c r="E567" s="2">
        <v>3</v>
      </c>
      <c r="F567" s="1">
        <v>18.72</v>
      </c>
      <c r="G567" s="1">
        <v>13.76</v>
      </c>
      <c r="H567" s="2">
        <v>3</v>
      </c>
      <c r="I567" t="s">
        <v>81</v>
      </c>
    </row>
    <row r="568" spans="1:9" x14ac:dyDescent="0.25">
      <c r="A568" t="s">
        <v>600</v>
      </c>
      <c r="B568" t="s">
        <v>601</v>
      </c>
      <c r="C568" t="s">
        <v>299</v>
      </c>
      <c r="D568" s="1">
        <v>18.64</v>
      </c>
      <c r="E568" s="2">
        <v>1</v>
      </c>
      <c r="F568" s="1">
        <v>18.64</v>
      </c>
      <c r="G568" s="1">
        <v>14.09</v>
      </c>
      <c r="H568" s="2">
        <v>1</v>
      </c>
      <c r="I568" t="s">
        <v>81</v>
      </c>
    </row>
    <row r="569" spans="1:9" x14ac:dyDescent="0.25">
      <c r="A569" t="s">
        <v>690</v>
      </c>
      <c r="B569" t="s">
        <v>691</v>
      </c>
      <c r="C569" t="s">
        <v>11</v>
      </c>
      <c r="D569" s="1">
        <v>18.47</v>
      </c>
      <c r="E569" s="2">
        <v>1</v>
      </c>
      <c r="F569" t="s">
        <v>81</v>
      </c>
      <c r="G569" t="s">
        <v>81</v>
      </c>
      <c r="H569" t="s">
        <v>81</v>
      </c>
      <c r="I569" s="2">
        <v>1</v>
      </c>
    </row>
    <row r="570" spans="1:9" x14ac:dyDescent="0.25">
      <c r="A570" t="s">
        <v>31</v>
      </c>
      <c r="B570" t="s">
        <v>32</v>
      </c>
      <c r="C570" t="s">
        <v>266</v>
      </c>
      <c r="D570" s="1">
        <v>18.27</v>
      </c>
      <c r="E570" s="2">
        <v>2</v>
      </c>
      <c r="F570" t="s">
        <v>81</v>
      </c>
      <c r="G570" t="s">
        <v>81</v>
      </c>
      <c r="H570" t="s">
        <v>81</v>
      </c>
      <c r="I570" s="2">
        <v>1</v>
      </c>
    </row>
    <row r="571" spans="1:9" x14ac:dyDescent="0.25">
      <c r="A571" t="s">
        <v>23</v>
      </c>
      <c r="B571" t="s">
        <v>24</v>
      </c>
      <c r="C571" t="s">
        <v>207</v>
      </c>
      <c r="D571" s="1">
        <v>18.190000000000001</v>
      </c>
      <c r="E571" s="2">
        <v>2</v>
      </c>
      <c r="F571" s="1">
        <v>18.190000000000001</v>
      </c>
      <c r="G571" s="1">
        <v>10.91</v>
      </c>
      <c r="H571" s="2">
        <v>2</v>
      </c>
      <c r="I571" s="2">
        <v>1</v>
      </c>
    </row>
    <row r="572" spans="1:9" x14ac:dyDescent="0.25">
      <c r="A572" t="s">
        <v>578</v>
      </c>
      <c r="B572" t="s">
        <v>579</v>
      </c>
      <c r="C572" t="s">
        <v>11</v>
      </c>
      <c r="D572" s="1">
        <v>18.18</v>
      </c>
      <c r="E572" s="2">
        <v>1</v>
      </c>
      <c r="F572" s="1">
        <v>18.18</v>
      </c>
      <c r="G572" s="1">
        <v>14</v>
      </c>
      <c r="H572" s="2">
        <v>1</v>
      </c>
      <c r="I572" t="s">
        <v>81</v>
      </c>
    </row>
    <row r="573" spans="1:9" x14ac:dyDescent="0.25">
      <c r="A573" t="s">
        <v>692</v>
      </c>
      <c r="B573" t="s">
        <v>693</v>
      </c>
      <c r="C573" t="s">
        <v>16</v>
      </c>
      <c r="D573" s="1">
        <v>18.03</v>
      </c>
      <c r="E573" s="2">
        <v>1</v>
      </c>
      <c r="F573" s="1">
        <v>18.03</v>
      </c>
      <c r="G573" s="1">
        <v>27.09</v>
      </c>
      <c r="H573" s="2">
        <v>1</v>
      </c>
      <c r="I573" t="s">
        <v>81</v>
      </c>
    </row>
    <row r="574" spans="1:9" x14ac:dyDescent="0.25">
      <c r="A574" t="s">
        <v>694</v>
      </c>
      <c r="B574" t="s">
        <v>695</v>
      </c>
      <c r="C574" t="s">
        <v>28</v>
      </c>
      <c r="D574" s="1">
        <v>17.190000000000001</v>
      </c>
      <c r="E574" s="2">
        <v>3</v>
      </c>
      <c r="F574" s="1">
        <v>17.190000000000001</v>
      </c>
      <c r="G574" s="1">
        <v>9.75</v>
      </c>
      <c r="H574" s="2">
        <v>3</v>
      </c>
      <c r="I574" t="s">
        <v>81</v>
      </c>
    </row>
    <row r="575" spans="1:9" x14ac:dyDescent="0.25">
      <c r="A575" t="s">
        <v>406</v>
      </c>
      <c r="B575" t="s">
        <v>407</v>
      </c>
      <c r="C575" t="s">
        <v>207</v>
      </c>
      <c r="D575" s="1">
        <v>17.07</v>
      </c>
      <c r="E575" s="2">
        <v>2</v>
      </c>
      <c r="F575" s="1">
        <v>17.07</v>
      </c>
      <c r="G575" s="1">
        <v>28.28</v>
      </c>
      <c r="H575" s="2">
        <v>2</v>
      </c>
      <c r="I575" t="s">
        <v>81</v>
      </c>
    </row>
    <row r="576" spans="1:9" x14ac:dyDescent="0.25">
      <c r="A576" t="s">
        <v>696</v>
      </c>
      <c r="B576" t="s">
        <v>697</v>
      </c>
      <c r="C576" t="s">
        <v>25</v>
      </c>
      <c r="D576" s="1">
        <v>17.07</v>
      </c>
      <c r="E576" s="2">
        <v>1</v>
      </c>
      <c r="F576" t="s">
        <v>81</v>
      </c>
      <c r="G576" t="s">
        <v>81</v>
      </c>
      <c r="H576" t="s">
        <v>81</v>
      </c>
      <c r="I576" t="s">
        <v>81</v>
      </c>
    </row>
    <row r="577" spans="1:9" x14ac:dyDescent="0.25">
      <c r="A577" t="s">
        <v>512</v>
      </c>
      <c r="B577" t="s">
        <v>513</v>
      </c>
      <c r="C577" t="s">
        <v>28</v>
      </c>
      <c r="D577" s="1">
        <v>16.579999999999998</v>
      </c>
      <c r="E577" s="2">
        <v>1</v>
      </c>
      <c r="F577" s="1">
        <v>16.579999999999998</v>
      </c>
      <c r="G577" s="1">
        <v>13.76</v>
      </c>
      <c r="H577" s="2">
        <v>1</v>
      </c>
      <c r="I577" t="s">
        <v>81</v>
      </c>
    </row>
    <row r="578" spans="1:9" x14ac:dyDescent="0.25">
      <c r="A578" t="s">
        <v>660</v>
      </c>
      <c r="B578" t="s">
        <v>661</v>
      </c>
      <c r="C578" t="s">
        <v>28</v>
      </c>
      <c r="D578" s="1">
        <v>16.579999999999998</v>
      </c>
      <c r="E578" s="2">
        <v>1</v>
      </c>
      <c r="F578" s="1">
        <v>16.579999999999998</v>
      </c>
      <c r="G578" s="1">
        <v>9.5</v>
      </c>
      <c r="H578" s="2">
        <v>1</v>
      </c>
      <c r="I578" t="s">
        <v>81</v>
      </c>
    </row>
    <row r="579" spans="1:9" x14ac:dyDescent="0.25">
      <c r="A579" t="s">
        <v>174</v>
      </c>
      <c r="B579" t="s">
        <v>175</v>
      </c>
      <c r="C579" t="s">
        <v>25</v>
      </c>
      <c r="D579" s="1">
        <v>16.52</v>
      </c>
      <c r="E579" s="2">
        <v>2</v>
      </c>
      <c r="F579" s="1">
        <v>16.52</v>
      </c>
      <c r="G579" s="1">
        <v>8.26</v>
      </c>
      <c r="H579" s="2">
        <v>2</v>
      </c>
      <c r="I579" t="s">
        <v>81</v>
      </c>
    </row>
    <row r="580" spans="1:9" x14ac:dyDescent="0.25">
      <c r="A580" t="s">
        <v>174</v>
      </c>
      <c r="B580" t="s">
        <v>175</v>
      </c>
      <c r="C580" t="s">
        <v>28</v>
      </c>
      <c r="D580" s="1">
        <v>16.5</v>
      </c>
      <c r="E580" s="2">
        <v>2</v>
      </c>
      <c r="F580" s="1">
        <v>16.5</v>
      </c>
      <c r="G580" s="1">
        <v>8.26</v>
      </c>
      <c r="H580" s="2">
        <v>2</v>
      </c>
      <c r="I580" t="s">
        <v>81</v>
      </c>
    </row>
    <row r="581" spans="1:9" x14ac:dyDescent="0.25">
      <c r="A581" t="s">
        <v>442</v>
      </c>
      <c r="B581" t="s">
        <v>443</v>
      </c>
      <c r="C581" t="s">
        <v>25</v>
      </c>
      <c r="D581" s="1">
        <v>16.45</v>
      </c>
      <c r="E581" s="2">
        <v>1</v>
      </c>
      <c r="F581" s="1">
        <v>16.45</v>
      </c>
      <c r="G581" s="1">
        <v>14</v>
      </c>
      <c r="H581" s="2">
        <v>1</v>
      </c>
      <c r="I581" t="s">
        <v>81</v>
      </c>
    </row>
    <row r="582" spans="1:9" x14ac:dyDescent="0.25">
      <c r="A582" t="s">
        <v>275</v>
      </c>
      <c r="B582" t="s">
        <v>276</v>
      </c>
      <c r="C582" t="s">
        <v>25</v>
      </c>
      <c r="D582" s="1">
        <v>16.45</v>
      </c>
      <c r="E582" s="2">
        <v>1</v>
      </c>
      <c r="F582" s="1">
        <v>16.45</v>
      </c>
      <c r="G582" s="1">
        <v>9.3800000000000008</v>
      </c>
      <c r="H582" s="2">
        <v>1</v>
      </c>
      <c r="I582" t="s">
        <v>81</v>
      </c>
    </row>
    <row r="583" spans="1:9" x14ac:dyDescent="0.25">
      <c r="A583" t="s">
        <v>29</v>
      </c>
      <c r="B583" t="s">
        <v>30</v>
      </c>
      <c r="C583" t="s">
        <v>25</v>
      </c>
      <c r="D583" s="1">
        <v>16.45</v>
      </c>
      <c r="E583" s="2">
        <v>1</v>
      </c>
      <c r="F583" s="1">
        <v>16.45</v>
      </c>
      <c r="G583" s="1">
        <v>9.75</v>
      </c>
      <c r="H583" s="2">
        <v>1</v>
      </c>
      <c r="I583" t="s">
        <v>81</v>
      </c>
    </row>
    <row r="584" spans="1:9" x14ac:dyDescent="0.25">
      <c r="A584" t="s">
        <v>426</v>
      </c>
      <c r="B584" t="s">
        <v>427</v>
      </c>
      <c r="C584" t="s">
        <v>25</v>
      </c>
      <c r="D584" s="1">
        <v>16.12</v>
      </c>
      <c r="E584" s="2">
        <v>1</v>
      </c>
      <c r="F584" s="1">
        <v>16.12</v>
      </c>
      <c r="G584" s="1">
        <v>9</v>
      </c>
      <c r="H584" s="2">
        <v>1</v>
      </c>
      <c r="I584" s="2">
        <v>3</v>
      </c>
    </row>
    <row r="585" spans="1:9" x14ac:dyDescent="0.25">
      <c r="A585" t="s">
        <v>203</v>
      </c>
      <c r="B585" t="s">
        <v>204</v>
      </c>
      <c r="C585" t="s">
        <v>207</v>
      </c>
      <c r="D585" s="1">
        <v>16.09</v>
      </c>
      <c r="E585" s="2">
        <v>3</v>
      </c>
      <c r="F585" s="1">
        <v>16.09</v>
      </c>
      <c r="G585" s="1">
        <v>12.18</v>
      </c>
      <c r="H585" s="2">
        <v>3</v>
      </c>
      <c r="I585" t="s">
        <v>81</v>
      </c>
    </row>
    <row r="586" spans="1:9" x14ac:dyDescent="0.25">
      <c r="A586" t="s">
        <v>12</v>
      </c>
      <c r="B586" t="s">
        <v>13</v>
      </c>
      <c r="C586" t="s">
        <v>266</v>
      </c>
      <c r="D586" s="1">
        <v>15.62</v>
      </c>
      <c r="E586" s="2">
        <v>1</v>
      </c>
      <c r="F586" s="1">
        <v>15.62</v>
      </c>
      <c r="G586" s="1">
        <v>9.81</v>
      </c>
      <c r="H586" s="2">
        <v>1</v>
      </c>
      <c r="I586" t="s">
        <v>81</v>
      </c>
    </row>
    <row r="587" spans="1:9" x14ac:dyDescent="0.25">
      <c r="A587" t="s">
        <v>698</v>
      </c>
      <c r="B587" t="s">
        <v>699</v>
      </c>
      <c r="C587" t="s">
        <v>207</v>
      </c>
      <c r="D587" s="1">
        <v>15.36</v>
      </c>
      <c r="E587" s="2">
        <v>4</v>
      </c>
      <c r="F587" s="1">
        <v>15.36</v>
      </c>
      <c r="G587" s="1">
        <v>26.44</v>
      </c>
      <c r="H587" s="2">
        <v>4</v>
      </c>
      <c r="I587" t="s">
        <v>81</v>
      </c>
    </row>
    <row r="588" spans="1:9" x14ac:dyDescent="0.25">
      <c r="A588" t="s">
        <v>494</v>
      </c>
      <c r="B588" t="s">
        <v>495</v>
      </c>
      <c r="C588" t="s">
        <v>28</v>
      </c>
      <c r="D588" s="1">
        <v>15.18</v>
      </c>
      <c r="E588" s="2">
        <v>1</v>
      </c>
      <c r="F588" s="1">
        <v>15.18</v>
      </c>
      <c r="G588" s="1">
        <v>15.5</v>
      </c>
      <c r="H588" s="2">
        <v>1</v>
      </c>
      <c r="I588" t="s">
        <v>81</v>
      </c>
    </row>
    <row r="589" spans="1:9" x14ac:dyDescent="0.25">
      <c r="A589" t="s">
        <v>700</v>
      </c>
      <c r="B589" t="s">
        <v>701</v>
      </c>
      <c r="C589" t="s">
        <v>11</v>
      </c>
      <c r="D589" s="1">
        <v>15.05</v>
      </c>
      <c r="E589" s="2">
        <v>1</v>
      </c>
      <c r="F589" s="1">
        <v>15.05</v>
      </c>
      <c r="G589" s="1">
        <v>12.81</v>
      </c>
      <c r="H589" s="2">
        <v>1</v>
      </c>
      <c r="I589" t="s">
        <v>81</v>
      </c>
    </row>
    <row r="590" spans="1:9" x14ac:dyDescent="0.25">
      <c r="A590" t="s">
        <v>300</v>
      </c>
      <c r="B590" t="s">
        <v>301</v>
      </c>
      <c r="C590" t="s">
        <v>299</v>
      </c>
      <c r="D590" s="1">
        <v>14.65</v>
      </c>
      <c r="E590" s="2">
        <v>1</v>
      </c>
      <c r="F590" t="s">
        <v>81</v>
      </c>
      <c r="G590" t="s">
        <v>81</v>
      </c>
      <c r="H590" t="s">
        <v>81</v>
      </c>
      <c r="I590" t="s">
        <v>81</v>
      </c>
    </row>
    <row r="591" spans="1:9" x14ac:dyDescent="0.25">
      <c r="A591" t="s">
        <v>106</v>
      </c>
      <c r="B591" t="s">
        <v>107</v>
      </c>
      <c r="C591" t="s">
        <v>299</v>
      </c>
      <c r="D591" s="1">
        <v>14.53</v>
      </c>
      <c r="E591" s="2">
        <v>1</v>
      </c>
      <c r="F591" s="1">
        <v>14.53</v>
      </c>
      <c r="G591" s="1">
        <v>7.87</v>
      </c>
      <c r="H591" s="2">
        <v>1</v>
      </c>
      <c r="I591" t="s">
        <v>81</v>
      </c>
    </row>
    <row r="592" spans="1:9" x14ac:dyDescent="0.25">
      <c r="A592" t="s">
        <v>680</v>
      </c>
      <c r="B592" t="s">
        <v>681</v>
      </c>
      <c r="C592" t="s">
        <v>16</v>
      </c>
      <c r="D592" s="1">
        <v>14.2</v>
      </c>
      <c r="E592" s="2">
        <v>1</v>
      </c>
      <c r="F592" s="1">
        <v>14.2</v>
      </c>
      <c r="G592" s="1">
        <v>11</v>
      </c>
      <c r="H592" s="2">
        <v>1</v>
      </c>
      <c r="I592" t="s">
        <v>81</v>
      </c>
    </row>
    <row r="593" spans="1:9" x14ac:dyDescent="0.25">
      <c r="A593" t="s">
        <v>650</v>
      </c>
      <c r="B593" t="s">
        <v>651</v>
      </c>
      <c r="C593" t="s">
        <v>25</v>
      </c>
      <c r="D593" s="1">
        <v>13.97</v>
      </c>
      <c r="E593" s="2">
        <v>1</v>
      </c>
      <c r="F593" s="1">
        <v>13.97</v>
      </c>
      <c r="G593" s="1">
        <v>10</v>
      </c>
      <c r="H593" s="2">
        <v>1</v>
      </c>
      <c r="I593" t="s">
        <v>81</v>
      </c>
    </row>
    <row r="594" spans="1:9" x14ac:dyDescent="0.25">
      <c r="A594" t="s">
        <v>496</v>
      </c>
      <c r="B594" t="s">
        <v>497</v>
      </c>
      <c r="C594" t="s">
        <v>11</v>
      </c>
      <c r="D594" s="1">
        <v>13.81</v>
      </c>
      <c r="E594" s="2">
        <v>1</v>
      </c>
      <c r="F594" s="1">
        <v>13.81</v>
      </c>
      <c r="G594" s="1">
        <v>9.76</v>
      </c>
      <c r="H594" s="2">
        <v>1</v>
      </c>
      <c r="I594" s="2">
        <v>1</v>
      </c>
    </row>
    <row r="595" spans="1:9" x14ac:dyDescent="0.25">
      <c r="A595" t="s">
        <v>378</v>
      </c>
      <c r="B595" t="s">
        <v>379</v>
      </c>
      <c r="C595" t="s">
        <v>207</v>
      </c>
      <c r="D595" s="1">
        <v>13.55</v>
      </c>
      <c r="E595" s="2">
        <v>2</v>
      </c>
      <c r="F595" s="1">
        <v>13.55</v>
      </c>
      <c r="G595" s="1">
        <v>14.26</v>
      </c>
      <c r="H595" s="2">
        <v>2</v>
      </c>
      <c r="I595" t="s">
        <v>81</v>
      </c>
    </row>
    <row r="596" spans="1:9" x14ac:dyDescent="0.25">
      <c r="A596" t="s">
        <v>332</v>
      </c>
      <c r="B596" t="s">
        <v>333</v>
      </c>
      <c r="C596" t="s">
        <v>299</v>
      </c>
      <c r="D596" s="1">
        <v>13.48</v>
      </c>
      <c r="E596" s="2">
        <v>1</v>
      </c>
      <c r="F596" s="1">
        <v>13.48</v>
      </c>
      <c r="G596" s="1">
        <v>17.809999999999999</v>
      </c>
      <c r="H596" s="2">
        <v>1</v>
      </c>
      <c r="I596" t="s">
        <v>81</v>
      </c>
    </row>
    <row r="597" spans="1:9" x14ac:dyDescent="0.25">
      <c r="A597" t="s">
        <v>218</v>
      </c>
      <c r="B597" t="s">
        <v>219</v>
      </c>
      <c r="C597" t="s">
        <v>25</v>
      </c>
      <c r="D597" s="1">
        <v>13.2</v>
      </c>
      <c r="E597" s="2">
        <v>2</v>
      </c>
      <c r="F597" s="1">
        <v>13.2</v>
      </c>
      <c r="G597" s="1">
        <v>6.82</v>
      </c>
      <c r="H597" s="2">
        <v>2</v>
      </c>
      <c r="I597" t="s">
        <v>81</v>
      </c>
    </row>
    <row r="598" spans="1:9" x14ac:dyDescent="0.25">
      <c r="A598" t="s">
        <v>200</v>
      </c>
      <c r="B598" t="s">
        <v>201</v>
      </c>
      <c r="C598" t="s">
        <v>25</v>
      </c>
      <c r="D598" s="1">
        <v>13.14</v>
      </c>
      <c r="E598" s="2">
        <v>1</v>
      </c>
      <c r="F598" s="1">
        <v>13.14</v>
      </c>
      <c r="G598" s="1">
        <v>10.8</v>
      </c>
      <c r="H598" s="2">
        <v>1</v>
      </c>
      <c r="I598" t="s">
        <v>81</v>
      </c>
    </row>
    <row r="599" spans="1:9" x14ac:dyDescent="0.25">
      <c r="A599" t="s">
        <v>702</v>
      </c>
      <c r="B599" t="s">
        <v>703</v>
      </c>
      <c r="C599" t="s">
        <v>11</v>
      </c>
      <c r="D599" s="1">
        <v>12.96</v>
      </c>
      <c r="E599" s="2">
        <v>2</v>
      </c>
      <c r="F599" s="1">
        <v>12.96</v>
      </c>
      <c r="G599" s="1">
        <v>5.52</v>
      </c>
      <c r="H599" s="2">
        <v>2</v>
      </c>
      <c r="I599" t="s">
        <v>81</v>
      </c>
    </row>
    <row r="600" spans="1:9" x14ac:dyDescent="0.25">
      <c r="A600" t="s">
        <v>23</v>
      </c>
      <c r="B600" t="s">
        <v>24</v>
      </c>
      <c r="C600" t="s">
        <v>266</v>
      </c>
      <c r="D600" s="1">
        <v>12.88</v>
      </c>
      <c r="E600" s="2">
        <v>1</v>
      </c>
      <c r="F600" s="1">
        <v>12.88</v>
      </c>
      <c r="G600" s="1">
        <v>5.22</v>
      </c>
      <c r="H600" s="2">
        <v>1</v>
      </c>
      <c r="I600" t="s">
        <v>81</v>
      </c>
    </row>
    <row r="601" spans="1:9" x14ac:dyDescent="0.25">
      <c r="A601" t="s">
        <v>374</v>
      </c>
      <c r="B601" t="s">
        <v>375</v>
      </c>
      <c r="C601" t="s">
        <v>299</v>
      </c>
      <c r="D601" s="1">
        <v>12.78</v>
      </c>
      <c r="E601" s="2">
        <v>1</v>
      </c>
      <c r="F601" s="1">
        <v>12.78</v>
      </c>
      <c r="G601" s="1">
        <v>13.07</v>
      </c>
      <c r="H601" s="2">
        <v>1</v>
      </c>
      <c r="I601" t="s">
        <v>81</v>
      </c>
    </row>
    <row r="602" spans="1:9" x14ac:dyDescent="0.25">
      <c r="A602" t="s">
        <v>216</v>
      </c>
      <c r="B602" t="s">
        <v>217</v>
      </c>
      <c r="C602" t="s">
        <v>266</v>
      </c>
      <c r="D602" s="1">
        <v>12.66</v>
      </c>
      <c r="E602" s="2">
        <v>1</v>
      </c>
      <c r="F602" s="1">
        <v>12.66</v>
      </c>
      <c r="G602" s="1">
        <v>5.51</v>
      </c>
      <c r="H602" s="2">
        <v>1</v>
      </c>
      <c r="I602" t="s">
        <v>81</v>
      </c>
    </row>
    <row r="603" spans="1:9" x14ac:dyDescent="0.25">
      <c r="A603" t="s">
        <v>690</v>
      </c>
      <c r="B603" t="s">
        <v>691</v>
      </c>
      <c r="C603" t="s">
        <v>28</v>
      </c>
      <c r="D603" s="1">
        <v>12.52</v>
      </c>
      <c r="E603" s="2">
        <v>1</v>
      </c>
      <c r="F603" s="1">
        <v>12.52</v>
      </c>
      <c r="G603" s="1">
        <v>15</v>
      </c>
      <c r="H603" s="2">
        <v>1</v>
      </c>
      <c r="I603" t="s">
        <v>81</v>
      </c>
    </row>
    <row r="604" spans="1:9" x14ac:dyDescent="0.25">
      <c r="A604" t="s">
        <v>267</v>
      </c>
      <c r="B604" t="s">
        <v>268</v>
      </c>
      <c r="C604" t="s">
        <v>11</v>
      </c>
      <c r="D604" s="1">
        <v>12.48</v>
      </c>
      <c r="E604" s="2">
        <v>1</v>
      </c>
      <c r="F604" s="1">
        <v>12.48</v>
      </c>
      <c r="G604" s="1">
        <v>8.1</v>
      </c>
      <c r="H604" s="2">
        <v>1</v>
      </c>
      <c r="I604" s="2">
        <v>2</v>
      </c>
    </row>
    <row r="605" spans="1:9" x14ac:dyDescent="0.25">
      <c r="A605" t="s">
        <v>267</v>
      </c>
      <c r="B605" t="s">
        <v>268</v>
      </c>
      <c r="C605" t="s">
        <v>28</v>
      </c>
      <c r="D605" s="1">
        <v>12.42</v>
      </c>
      <c r="E605" s="2">
        <v>1</v>
      </c>
      <c r="F605" s="1">
        <v>12.42</v>
      </c>
      <c r="G605" s="1">
        <v>8.1</v>
      </c>
      <c r="H605" s="2">
        <v>1</v>
      </c>
      <c r="I605" t="s">
        <v>81</v>
      </c>
    </row>
    <row r="606" spans="1:9" x14ac:dyDescent="0.25">
      <c r="A606" t="s">
        <v>508</v>
      </c>
      <c r="B606" t="s">
        <v>509</v>
      </c>
      <c r="C606" t="s">
        <v>11</v>
      </c>
      <c r="D606" s="1">
        <v>12.32</v>
      </c>
      <c r="E606" s="2">
        <v>2</v>
      </c>
      <c r="F606" s="1">
        <v>12.32</v>
      </c>
      <c r="G606" s="1">
        <v>19.8</v>
      </c>
      <c r="H606" s="2">
        <v>2</v>
      </c>
      <c r="I606" t="s">
        <v>81</v>
      </c>
    </row>
    <row r="607" spans="1:9" x14ac:dyDescent="0.25">
      <c r="A607" t="s">
        <v>160</v>
      </c>
      <c r="B607" t="s">
        <v>161</v>
      </c>
      <c r="C607" t="s">
        <v>16</v>
      </c>
      <c r="D607" s="1">
        <v>11.27</v>
      </c>
      <c r="E607" s="2">
        <v>1</v>
      </c>
      <c r="F607" s="1">
        <v>11.27</v>
      </c>
      <c r="G607" s="1">
        <v>9.1999999999999993</v>
      </c>
      <c r="H607" s="2">
        <v>1</v>
      </c>
      <c r="I607" t="s">
        <v>81</v>
      </c>
    </row>
    <row r="608" spans="1:9" x14ac:dyDescent="0.25">
      <c r="A608" t="s">
        <v>500</v>
      </c>
      <c r="B608" t="s">
        <v>501</v>
      </c>
      <c r="C608" t="s">
        <v>25</v>
      </c>
      <c r="D608" s="1">
        <v>10.74</v>
      </c>
      <c r="E608" s="2">
        <v>1</v>
      </c>
      <c r="F608" s="1">
        <v>10.74</v>
      </c>
      <c r="G608" s="1">
        <v>7</v>
      </c>
      <c r="H608" s="2">
        <v>1</v>
      </c>
      <c r="I608" t="s">
        <v>81</v>
      </c>
    </row>
    <row r="609" spans="1:9" x14ac:dyDescent="0.25">
      <c r="A609" t="s">
        <v>500</v>
      </c>
      <c r="B609" t="s">
        <v>501</v>
      </c>
      <c r="C609" t="s">
        <v>299</v>
      </c>
      <c r="D609" s="1">
        <v>10.67</v>
      </c>
      <c r="E609" s="2">
        <v>1</v>
      </c>
      <c r="F609" t="s">
        <v>81</v>
      </c>
      <c r="G609" t="s">
        <v>81</v>
      </c>
      <c r="H609" t="s">
        <v>81</v>
      </c>
      <c r="I609" t="s">
        <v>81</v>
      </c>
    </row>
    <row r="610" spans="1:9" x14ac:dyDescent="0.25">
      <c r="A610" t="s">
        <v>384</v>
      </c>
      <c r="B610" t="s">
        <v>385</v>
      </c>
      <c r="C610" t="s">
        <v>207</v>
      </c>
      <c r="D610" s="1">
        <v>10.45</v>
      </c>
      <c r="E610" s="2">
        <v>1</v>
      </c>
      <c r="F610" t="s">
        <v>81</v>
      </c>
      <c r="G610" t="s">
        <v>81</v>
      </c>
      <c r="H610" t="s">
        <v>81</v>
      </c>
      <c r="I610" t="s">
        <v>81</v>
      </c>
    </row>
    <row r="611" spans="1:9" x14ac:dyDescent="0.25">
      <c r="A611" t="s">
        <v>578</v>
      </c>
      <c r="B611" t="s">
        <v>579</v>
      </c>
      <c r="C611" t="s">
        <v>207</v>
      </c>
      <c r="D611" s="1">
        <v>10.199999999999999</v>
      </c>
      <c r="E611" s="2">
        <v>1</v>
      </c>
      <c r="F611" s="1">
        <v>10.199999999999999</v>
      </c>
      <c r="G611" s="1">
        <v>14.03</v>
      </c>
      <c r="H611" s="2">
        <v>1</v>
      </c>
      <c r="I611" t="s">
        <v>81</v>
      </c>
    </row>
    <row r="612" spans="1:9" x14ac:dyDescent="0.25">
      <c r="A612" t="s">
        <v>458</v>
      </c>
      <c r="B612" t="s">
        <v>459</v>
      </c>
      <c r="C612" t="s">
        <v>25</v>
      </c>
      <c r="D612" s="1">
        <v>9.83</v>
      </c>
      <c r="E612" s="2">
        <v>1</v>
      </c>
      <c r="F612" s="1">
        <v>9.83</v>
      </c>
      <c r="G612" s="1">
        <v>6.26</v>
      </c>
      <c r="H612" s="2">
        <v>1</v>
      </c>
      <c r="I612" t="s">
        <v>81</v>
      </c>
    </row>
    <row r="613" spans="1:9" x14ac:dyDescent="0.25">
      <c r="A613" t="s">
        <v>402</v>
      </c>
      <c r="B613" t="s">
        <v>403</v>
      </c>
      <c r="C613" t="s">
        <v>11</v>
      </c>
      <c r="D613" s="1">
        <v>9.82</v>
      </c>
      <c r="E613" s="2">
        <v>2</v>
      </c>
      <c r="F613" s="1">
        <v>9.82</v>
      </c>
      <c r="G613" s="1">
        <v>4.8</v>
      </c>
      <c r="H613" s="2">
        <v>2</v>
      </c>
      <c r="I613" t="s">
        <v>81</v>
      </c>
    </row>
    <row r="614" spans="1:9" x14ac:dyDescent="0.25">
      <c r="A614" t="s">
        <v>458</v>
      </c>
      <c r="B614" t="s">
        <v>459</v>
      </c>
      <c r="C614" t="s">
        <v>11</v>
      </c>
      <c r="D614" s="1">
        <v>9.75</v>
      </c>
      <c r="E614" s="2">
        <v>1</v>
      </c>
      <c r="F614" s="1">
        <v>9.75</v>
      </c>
      <c r="G614" s="1">
        <v>6.26</v>
      </c>
      <c r="H614" s="2">
        <v>1</v>
      </c>
      <c r="I614" t="s">
        <v>81</v>
      </c>
    </row>
    <row r="615" spans="1:9" x14ac:dyDescent="0.25">
      <c r="A615" t="s">
        <v>31</v>
      </c>
      <c r="B615" t="s">
        <v>32</v>
      </c>
      <c r="C615" t="s">
        <v>207</v>
      </c>
      <c r="D615" s="1">
        <v>9.52</v>
      </c>
      <c r="E615" s="2">
        <v>1</v>
      </c>
      <c r="F615" s="1">
        <v>9.52</v>
      </c>
      <c r="G615" s="1">
        <v>5.68</v>
      </c>
      <c r="H615" s="2">
        <v>1</v>
      </c>
      <c r="I615" t="s">
        <v>81</v>
      </c>
    </row>
    <row r="616" spans="1:9" x14ac:dyDescent="0.25">
      <c r="A616" t="s">
        <v>55</v>
      </c>
      <c r="B616" t="s">
        <v>56</v>
      </c>
      <c r="C616" t="s">
        <v>11</v>
      </c>
      <c r="D616" s="1">
        <v>9.51</v>
      </c>
      <c r="E616" s="2">
        <v>1</v>
      </c>
      <c r="F616" s="1">
        <v>9.51</v>
      </c>
      <c r="G616" s="1">
        <v>13.5</v>
      </c>
      <c r="H616" s="2">
        <v>1</v>
      </c>
      <c r="I616" s="2">
        <v>4</v>
      </c>
    </row>
    <row r="617" spans="1:9" x14ac:dyDescent="0.25">
      <c r="A617" t="s">
        <v>316</v>
      </c>
      <c r="B617" t="s">
        <v>317</v>
      </c>
      <c r="C617" t="s">
        <v>207</v>
      </c>
      <c r="D617" s="1">
        <v>9.3000000000000007</v>
      </c>
      <c r="E617" s="2">
        <v>2</v>
      </c>
      <c r="F617" s="1">
        <v>9.3000000000000007</v>
      </c>
      <c r="G617" s="1">
        <v>9.8000000000000007</v>
      </c>
      <c r="H617" s="2">
        <v>2</v>
      </c>
      <c r="I617" t="s">
        <v>81</v>
      </c>
    </row>
    <row r="618" spans="1:9" x14ac:dyDescent="0.25">
      <c r="A618" t="s">
        <v>108</v>
      </c>
      <c r="B618" t="s">
        <v>109</v>
      </c>
      <c r="C618" t="s">
        <v>16</v>
      </c>
      <c r="D618" s="1">
        <v>9.24</v>
      </c>
      <c r="E618" s="2">
        <v>1</v>
      </c>
      <c r="F618" s="1">
        <v>9.24</v>
      </c>
      <c r="G618" s="1">
        <v>6</v>
      </c>
      <c r="H618" s="2">
        <v>1</v>
      </c>
      <c r="I618" s="2">
        <v>2</v>
      </c>
    </row>
    <row r="619" spans="1:9" x14ac:dyDescent="0.25">
      <c r="A619" t="s">
        <v>608</v>
      </c>
      <c r="B619" t="s">
        <v>609</v>
      </c>
      <c r="C619" t="s">
        <v>299</v>
      </c>
      <c r="D619" s="1">
        <v>9.0500000000000007</v>
      </c>
      <c r="E619" s="2">
        <v>1</v>
      </c>
      <c r="F619" s="1">
        <v>9.0500000000000007</v>
      </c>
      <c r="G619" s="1">
        <v>6.04</v>
      </c>
      <c r="H619" s="2">
        <v>1</v>
      </c>
      <c r="I619" t="s">
        <v>81</v>
      </c>
    </row>
    <row r="620" spans="1:9" x14ac:dyDescent="0.25">
      <c r="A620" t="s">
        <v>168</v>
      </c>
      <c r="B620" t="s">
        <v>169</v>
      </c>
      <c r="C620" t="s">
        <v>28</v>
      </c>
      <c r="D620" s="1">
        <v>8.32</v>
      </c>
      <c r="E620" s="2">
        <v>1</v>
      </c>
      <c r="F620" s="1">
        <v>8.32</v>
      </c>
      <c r="G620" s="1">
        <v>5.17</v>
      </c>
      <c r="H620" s="2">
        <v>1</v>
      </c>
      <c r="I620" t="s">
        <v>81</v>
      </c>
    </row>
    <row r="621" spans="1:9" x14ac:dyDescent="0.25">
      <c r="A621" t="s">
        <v>203</v>
      </c>
      <c r="B621" t="s">
        <v>204</v>
      </c>
      <c r="C621" t="s">
        <v>28</v>
      </c>
      <c r="D621" s="1">
        <v>8.2200000000000006</v>
      </c>
      <c r="E621" s="2">
        <v>1</v>
      </c>
      <c r="F621" s="1">
        <v>8.2200000000000006</v>
      </c>
      <c r="G621" s="1">
        <v>3.71</v>
      </c>
      <c r="H621" s="2">
        <v>1</v>
      </c>
      <c r="I621" t="s">
        <v>81</v>
      </c>
    </row>
    <row r="622" spans="1:9" x14ac:dyDescent="0.25">
      <c r="A622" t="s">
        <v>226</v>
      </c>
      <c r="B622" t="s">
        <v>227</v>
      </c>
      <c r="C622" t="s">
        <v>11</v>
      </c>
      <c r="D622" s="1">
        <v>7.62</v>
      </c>
      <c r="E622" s="2">
        <v>1</v>
      </c>
      <c r="F622" t="s">
        <v>81</v>
      </c>
      <c r="G622" t="s">
        <v>81</v>
      </c>
      <c r="H622" t="s">
        <v>81</v>
      </c>
      <c r="I622" t="s">
        <v>81</v>
      </c>
    </row>
    <row r="623" spans="1:9" x14ac:dyDescent="0.25">
      <c r="A623" t="s">
        <v>704</v>
      </c>
      <c r="B623" t="s">
        <v>705</v>
      </c>
      <c r="C623" t="s">
        <v>11</v>
      </c>
      <c r="D623" s="1">
        <v>7.43</v>
      </c>
      <c r="E623" s="2">
        <v>1</v>
      </c>
      <c r="F623" s="1">
        <v>7.43</v>
      </c>
      <c r="G623" s="1">
        <v>21.08</v>
      </c>
      <c r="H623" s="2">
        <v>1</v>
      </c>
      <c r="I623" t="s">
        <v>81</v>
      </c>
    </row>
    <row r="624" spans="1:9" x14ac:dyDescent="0.25">
      <c r="A624" t="s">
        <v>432</v>
      </c>
      <c r="B624" t="s">
        <v>433</v>
      </c>
      <c r="C624" t="s">
        <v>11</v>
      </c>
      <c r="D624" s="1">
        <v>7.25</v>
      </c>
      <c r="E624" s="2">
        <v>2</v>
      </c>
      <c r="F624" s="1">
        <v>7.25</v>
      </c>
      <c r="G624" s="1">
        <v>3.98</v>
      </c>
      <c r="H624" s="2">
        <v>2</v>
      </c>
      <c r="I624" t="s">
        <v>81</v>
      </c>
    </row>
    <row r="625" spans="1:9" x14ac:dyDescent="0.25">
      <c r="A625" t="s">
        <v>218</v>
      </c>
      <c r="B625" t="s">
        <v>219</v>
      </c>
      <c r="C625" t="s">
        <v>16</v>
      </c>
      <c r="D625" s="1">
        <v>6.71</v>
      </c>
      <c r="E625" s="2">
        <v>1</v>
      </c>
      <c r="F625" s="1">
        <v>6.71</v>
      </c>
      <c r="G625" s="1">
        <v>2.98</v>
      </c>
      <c r="H625" s="2">
        <v>1</v>
      </c>
      <c r="I625" t="s">
        <v>81</v>
      </c>
    </row>
    <row r="626" spans="1:9" x14ac:dyDescent="0.25">
      <c r="A626" t="s">
        <v>654</v>
      </c>
      <c r="B626" t="s">
        <v>655</v>
      </c>
      <c r="C626" t="s">
        <v>11</v>
      </c>
      <c r="D626" s="1">
        <v>6.55</v>
      </c>
      <c r="E626" s="2">
        <v>1</v>
      </c>
      <c r="F626" s="1">
        <v>6.55</v>
      </c>
      <c r="G626" s="1">
        <v>3.99</v>
      </c>
      <c r="H626" s="2">
        <v>1</v>
      </c>
      <c r="I626" t="s">
        <v>81</v>
      </c>
    </row>
    <row r="627" spans="1:9" x14ac:dyDescent="0.25">
      <c r="A627" t="s">
        <v>438</v>
      </c>
      <c r="B627" t="s">
        <v>439</v>
      </c>
      <c r="C627" t="s">
        <v>299</v>
      </c>
      <c r="D627" s="1">
        <v>6.45</v>
      </c>
      <c r="E627" s="2">
        <v>1</v>
      </c>
      <c r="F627" t="s">
        <v>81</v>
      </c>
      <c r="G627" t="s">
        <v>81</v>
      </c>
      <c r="H627" t="s">
        <v>81</v>
      </c>
      <c r="I627" t="s">
        <v>81</v>
      </c>
    </row>
    <row r="628" spans="1:9" x14ac:dyDescent="0.25">
      <c r="A628" t="s">
        <v>706</v>
      </c>
      <c r="B628" t="s">
        <v>707</v>
      </c>
      <c r="C628" t="s">
        <v>25</v>
      </c>
      <c r="D628" s="1">
        <v>6.29</v>
      </c>
      <c r="E628" s="2">
        <v>1</v>
      </c>
      <c r="F628" s="1">
        <v>6.29</v>
      </c>
      <c r="G628" s="1">
        <v>3.76</v>
      </c>
      <c r="H628" s="2">
        <v>1</v>
      </c>
      <c r="I628" t="s">
        <v>81</v>
      </c>
    </row>
    <row r="629" spans="1:9" x14ac:dyDescent="0.25">
      <c r="A629" t="s">
        <v>708</v>
      </c>
      <c r="B629" t="s">
        <v>709</v>
      </c>
      <c r="C629" t="s">
        <v>11</v>
      </c>
      <c r="D629" s="1">
        <v>5.98</v>
      </c>
      <c r="E629" s="2">
        <v>1</v>
      </c>
      <c r="F629" s="1">
        <v>5.98</v>
      </c>
      <c r="G629" s="1">
        <v>4</v>
      </c>
      <c r="H629" s="2">
        <v>1</v>
      </c>
      <c r="I629" t="s">
        <v>81</v>
      </c>
    </row>
    <row r="630" spans="1:9" x14ac:dyDescent="0.25">
      <c r="A630" t="s">
        <v>504</v>
      </c>
      <c r="B630" t="s">
        <v>505</v>
      </c>
      <c r="C630" t="s">
        <v>25</v>
      </c>
      <c r="D630" s="1">
        <v>5.42</v>
      </c>
      <c r="E630" s="2">
        <v>1</v>
      </c>
      <c r="F630" s="1">
        <v>5.42</v>
      </c>
      <c r="G630" s="1">
        <v>14.25</v>
      </c>
      <c r="H630" s="2">
        <v>1</v>
      </c>
      <c r="I630" t="s">
        <v>81</v>
      </c>
    </row>
    <row r="631" spans="1:9" x14ac:dyDescent="0.25">
      <c r="A631" t="s">
        <v>710</v>
      </c>
      <c r="B631" t="s">
        <v>711</v>
      </c>
      <c r="C631" t="s">
        <v>16</v>
      </c>
      <c r="D631" s="1">
        <v>5.03</v>
      </c>
      <c r="E631" s="2">
        <v>1</v>
      </c>
      <c r="F631" s="1">
        <v>5.03</v>
      </c>
      <c r="G631" s="1">
        <v>5.28</v>
      </c>
      <c r="H631" s="2">
        <v>1</v>
      </c>
      <c r="I631" t="s">
        <v>81</v>
      </c>
    </row>
    <row r="632" spans="1:9" x14ac:dyDescent="0.25">
      <c r="A632" t="s">
        <v>684</v>
      </c>
      <c r="B632" t="s">
        <v>685</v>
      </c>
      <c r="C632" t="s">
        <v>16</v>
      </c>
      <c r="D632" s="1">
        <v>5.0199999999999996</v>
      </c>
      <c r="E632" s="2">
        <v>1</v>
      </c>
      <c r="F632" s="1">
        <v>5.0199999999999996</v>
      </c>
      <c r="G632" s="1">
        <v>3.3</v>
      </c>
      <c r="H632" s="2">
        <v>1</v>
      </c>
      <c r="I632" t="s">
        <v>81</v>
      </c>
    </row>
    <row r="633" spans="1:9" x14ac:dyDescent="0.25">
      <c r="A633" t="s">
        <v>706</v>
      </c>
      <c r="B633" t="s">
        <v>707</v>
      </c>
      <c r="C633" t="s">
        <v>207</v>
      </c>
      <c r="D633" s="1">
        <v>4.29</v>
      </c>
      <c r="E633" s="2">
        <v>1</v>
      </c>
      <c r="F633" s="1">
        <v>4.29</v>
      </c>
      <c r="G633" s="1">
        <v>3.77</v>
      </c>
      <c r="H633" s="2">
        <v>1</v>
      </c>
      <c r="I633" t="s">
        <v>81</v>
      </c>
    </row>
    <row r="634" spans="1:9" x14ac:dyDescent="0.25">
      <c r="A634" t="s">
        <v>706</v>
      </c>
      <c r="B634" t="s">
        <v>707</v>
      </c>
      <c r="C634" t="s">
        <v>11</v>
      </c>
      <c r="D634" s="1">
        <v>3.77</v>
      </c>
      <c r="E634" s="2">
        <v>1</v>
      </c>
      <c r="F634" s="1">
        <v>3.77</v>
      </c>
      <c r="G634" s="1">
        <v>3.76</v>
      </c>
      <c r="H634" s="2">
        <v>1</v>
      </c>
      <c r="I634" s="2">
        <v>2</v>
      </c>
    </row>
    <row r="635" spans="1:9" x14ac:dyDescent="0.25">
      <c r="A635" t="s">
        <v>434</v>
      </c>
      <c r="B635" t="s">
        <v>435</v>
      </c>
      <c r="C635" t="s">
        <v>16</v>
      </c>
      <c r="D635" s="1">
        <v>3.64</v>
      </c>
      <c r="E635" s="2">
        <v>36</v>
      </c>
      <c r="F635" s="1">
        <v>3.64</v>
      </c>
      <c r="G635" s="1">
        <v>191.52</v>
      </c>
      <c r="H635" s="2">
        <v>36</v>
      </c>
      <c r="I635" t="s">
        <v>81</v>
      </c>
    </row>
    <row r="636" spans="1:9" x14ac:dyDescent="0.25">
      <c r="A636" t="s">
        <v>432</v>
      </c>
      <c r="B636" t="s">
        <v>433</v>
      </c>
      <c r="C636" t="s">
        <v>16</v>
      </c>
      <c r="D636" s="1">
        <v>3.24</v>
      </c>
      <c r="E636" s="2">
        <v>1</v>
      </c>
      <c r="F636" s="1">
        <v>3.24</v>
      </c>
      <c r="G636" s="1">
        <v>1.99</v>
      </c>
      <c r="H636" s="2">
        <v>1</v>
      </c>
      <c r="I636" t="s">
        <v>81</v>
      </c>
    </row>
    <row r="637" spans="1:9" x14ac:dyDescent="0.25">
      <c r="A637" t="s">
        <v>574</v>
      </c>
      <c r="B637" t="s">
        <v>575</v>
      </c>
      <c r="C637" t="s">
        <v>11</v>
      </c>
      <c r="D637" s="1">
        <v>2.93</v>
      </c>
      <c r="E637" s="2">
        <v>1</v>
      </c>
      <c r="F637" s="1">
        <v>2.93</v>
      </c>
      <c r="G637" s="1">
        <v>2</v>
      </c>
      <c r="H637" s="2">
        <v>1</v>
      </c>
      <c r="I637" t="s">
        <v>81</v>
      </c>
    </row>
    <row r="638" spans="1:9" x14ac:dyDescent="0.25">
      <c r="A638" t="s">
        <v>212</v>
      </c>
      <c r="B638" t="s">
        <v>213</v>
      </c>
      <c r="C638" t="s">
        <v>16</v>
      </c>
      <c r="D638" s="1">
        <v>0</v>
      </c>
      <c r="E638" s="2">
        <v>0</v>
      </c>
      <c r="F638" t="s">
        <v>81</v>
      </c>
      <c r="G638" t="s">
        <v>81</v>
      </c>
      <c r="H638" t="s">
        <v>81</v>
      </c>
      <c r="I638" s="2">
        <v>1</v>
      </c>
    </row>
    <row r="639" spans="1:9" x14ac:dyDescent="0.25">
      <c r="A639" t="s">
        <v>356</v>
      </c>
      <c r="B639" t="s">
        <v>357</v>
      </c>
      <c r="C639" t="s">
        <v>16</v>
      </c>
      <c r="D639" s="1">
        <v>0</v>
      </c>
      <c r="E639" s="2">
        <v>0</v>
      </c>
      <c r="F639" t="s">
        <v>81</v>
      </c>
      <c r="G639" t="s">
        <v>81</v>
      </c>
      <c r="H639" t="s">
        <v>81</v>
      </c>
      <c r="I639" s="2">
        <v>1</v>
      </c>
    </row>
    <row r="640" spans="1:9" x14ac:dyDescent="0.25">
      <c r="A640" t="s">
        <v>264</v>
      </c>
      <c r="B640" t="s">
        <v>265</v>
      </c>
      <c r="C640" t="s">
        <v>11</v>
      </c>
      <c r="D640" s="1">
        <v>0</v>
      </c>
      <c r="E640" s="2">
        <v>0</v>
      </c>
      <c r="F640" t="s">
        <v>81</v>
      </c>
      <c r="G640" t="s">
        <v>81</v>
      </c>
      <c r="H640" t="s">
        <v>81</v>
      </c>
      <c r="I640" s="2">
        <v>1</v>
      </c>
    </row>
    <row r="641" spans="1:9" x14ac:dyDescent="0.25">
      <c r="A641" t="s">
        <v>356</v>
      </c>
      <c r="B641" t="s">
        <v>357</v>
      </c>
      <c r="C641" t="s">
        <v>11</v>
      </c>
      <c r="D641" s="1">
        <v>0</v>
      </c>
      <c r="E641" s="2">
        <v>0</v>
      </c>
      <c r="F641" t="s">
        <v>81</v>
      </c>
      <c r="G641" t="s">
        <v>81</v>
      </c>
      <c r="H641" t="s">
        <v>81</v>
      </c>
      <c r="I641" s="2">
        <v>1</v>
      </c>
    </row>
    <row r="642" spans="1:9" x14ac:dyDescent="0.25">
      <c r="A642" t="s">
        <v>45</v>
      </c>
      <c r="B642" t="s">
        <v>46</v>
      </c>
      <c r="C642" t="s">
        <v>11</v>
      </c>
      <c r="D642" s="1">
        <v>0</v>
      </c>
      <c r="E642" s="2">
        <v>0</v>
      </c>
      <c r="F642" t="s">
        <v>81</v>
      </c>
      <c r="G642" t="s">
        <v>81</v>
      </c>
      <c r="H642" t="s">
        <v>81</v>
      </c>
      <c r="I642" s="2">
        <v>8</v>
      </c>
    </row>
    <row r="643" spans="1:9" x14ac:dyDescent="0.25">
      <c r="A643" t="s">
        <v>628</v>
      </c>
      <c r="B643" t="s">
        <v>629</v>
      </c>
      <c r="C643" t="s">
        <v>266</v>
      </c>
      <c r="D643" s="1">
        <v>0</v>
      </c>
      <c r="E643" s="2">
        <v>0</v>
      </c>
      <c r="F643" t="s">
        <v>81</v>
      </c>
      <c r="G643" t="s">
        <v>81</v>
      </c>
      <c r="H643" t="s">
        <v>81</v>
      </c>
      <c r="I643" t="s">
        <v>81</v>
      </c>
    </row>
    <row r="644" spans="1:9" x14ac:dyDescent="0.25">
      <c r="A644" t="s">
        <v>166</v>
      </c>
      <c r="B644" t="s">
        <v>167</v>
      </c>
      <c r="C644" t="s">
        <v>28</v>
      </c>
      <c r="D644" s="1">
        <v>0</v>
      </c>
      <c r="E644" s="2">
        <v>0</v>
      </c>
      <c r="F644" t="s">
        <v>81</v>
      </c>
      <c r="G644" t="s">
        <v>81</v>
      </c>
      <c r="H644" t="s">
        <v>81</v>
      </c>
      <c r="I644" s="2">
        <v>3</v>
      </c>
    </row>
    <row r="645" spans="1:9" x14ac:dyDescent="0.25">
      <c r="A645" t="s">
        <v>55</v>
      </c>
      <c r="B645" t="s">
        <v>56</v>
      </c>
      <c r="C645" t="s">
        <v>16</v>
      </c>
      <c r="D645" s="1">
        <v>0</v>
      </c>
      <c r="E645" s="2">
        <v>0</v>
      </c>
      <c r="F645" t="s">
        <v>81</v>
      </c>
      <c r="G645" t="s">
        <v>81</v>
      </c>
      <c r="H645" t="s">
        <v>81</v>
      </c>
      <c r="I645" s="2">
        <v>1</v>
      </c>
    </row>
    <row r="646" spans="1:9" x14ac:dyDescent="0.25">
      <c r="A646" t="s">
        <v>562</v>
      </c>
      <c r="B646" t="s">
        <v>563</v>
      </c>
      <c r="C646" t="s">
        <v>25</v>
      </c>
      <c r="D646" s="1">
        <v>0</v>
      </c>
      <c r="E646" s="2">
        <v>0</v>
      </c>
      <c r="F646" t="s">
        <v>81</v>
      </c>
      <c r="G646" t="s">
        <v>81</v>
      </c>
      <c r="H646" t="s">
        <v>81</v>
      </c>
      <c r="I646" t="s">
        <v>81</v>
      </c>
    </row>
    <row r="647" spans="1:9" x14ac:dyDescent="0.25">
      <c r="A647" t="s">
        <v>166</v>
      </c>
      <c r="B647" t="s">
        <v>167</v>
      </c>
      <c r="C647" t="s">
        <v>11</v>
      </c>
      <c r="D647" s="1">
        <v>0</v>
      </c>
      <c r="E647" s="2">
        <v>0</v>
      </c>
      <c r="F647" t="s">
        <v>81</v>
      </c>
      <c r="G647" t="s">
        <v>81</v>
      </c>
      <c r="H647" t="s">
        <v>81</v>
      </c>
      <c r="I647" s="2">
        <v>2</v>
      </c>
    </row>
    <row r="648" spans="1:9" x14ac:dyDescent="0.25">
      <c r="A648" t="s">
        <v>252</v>
      </c>
      <c r="B648" t="s">
        <v>253</v>
      </c>
      <c r="C648" t="s">
        <v>299</v>
      </c>
      <c r="D648" s="1">
        <v>0</v>
      </c>
      <c r="E648" s="2">
        <v>0</v>
      </c>
      <c r="F648" s="1">
        <v>19.47</v>
      </c>
      <c r="G648" s="1">
        <v>14.48</v>
      </c>
      <c r="H648" s="2">
        <v>1</v>
      </c>
      <c r="I648" s="2">
        <v>1</v>
      </c>
    </row>
    <row r="649" spans="1:9" x14ac:dyDescent="0.25">
      <c r="A649" t="s">
        <v>362</v>
      </c>
      <c r="B649" t="s">
        <v>363</v>
      </c>
      <c r="C649" t="s">
        <v>299</v>
      </c>
      <c r="D649" s="1">
        <v>0</v>
      </c>
      <c r="E649" s="2">
        <v>0</v>
      </c>
      <c r="F649" t="s">
        <v>81</v>
      </c>
      <c r="G649" t="s">
        <v>81</v>
      </c>
      <c r="H649" t="s">
        <v>81</v>
      </c>
      <c r="I649" t="s">
        <v>81</v>
      </c>
    </row>
    <row r="650" spans="1:9" x14ac:dyDescent="0.25">
      <c r="A650" t="s">
        <v>244</v>
      </c>
      <c r="B650" t="s">
        <v>245</v>
      </c>
      <c r="C650" t="s">
        <v>28</v>
      </c>
      <c r="D650" s="1">
        <v>0</v>
      </c>
      <c r="E650" s="2">
        <v>0</v>
      </c>
      <c r="F650" t="s">
        <v>81</v>
      </c>
      <c r="G650" t="s">
        <v>81</v>
      </c>
      <c r="H650" t="s">
        <v>81</v>
      </c>
      <c r="I650" s="2">
        <v>4</v>
      </c>
    </row>
    <row r="651" spans="1:9" x14ac:dyDescent="0.25">
      <c r="A651" t="s">
        <v>254</v>
      </c>
      <c r="B651" t="s">
        <v>255</v>
      </c>
      <c r="C651" t="s">
        <v>16</v>
      </c>
      <c r="D651" s="1">
        <v>0</v>
      </c>
      <c r="E651" s="2">
        <v>0</v>
      </c>
      <c r="F651" t="s">
        <v>81</v>
      </c>
      <c r="G651" t="s">
        <v>81</v>
      </c>
      <c r="H651" t="s">
        <v>81</v>
      </c>
      <c r="I651" s="2">
        <v>2</v>
      </c>
    </row>
    <row r="652" spans="1:9" x14ac:dyDescent="0.25">
      <c r="A652" t="s">
        <v>77</v>
      </c>
      <c r="B652" t="s">
        <v>78</v>
      </c>
      <c r="C652" t="s">
        <v>16</v>
      </c>
      <c r="D652" s="1">
        <v>0</v>
      </c>
      <c r="E652" s="2">
        <v>0</v>
      </c>
      <c r="F652" t="s">
        <v>81</v>
      </c>
      <c r="G652" t="s">
        <v>81</v>
      </c>
      <c r="H652" t="s">
        <v>81</v>
      </c>
      <c r="I652" s="2">
        <v>1</v>
      </c>
    </row>
    <row r="653" spans="1:9" x14ac:dyDescent="0.25">
      <c r="A653" t="s">
        <v>19</v>
      </c>
      <c r="B653" t="s">
        <v>20</v>
      </c>
      <c r="C653" t="s">
        <v>28</v>
      </c>
      <c r="D653" s="1">
        <v>0</v>
      </c>
      <c r="E653" s="2">
        <v>0</v>
      </c>
      <c r="F653" t="s">
        <v>81</v>
      </c>
      <c r="G653" t="s">
        <v>81</v>
      </c>
      <c r="H653" t="s">
        <v>81</v>
      </c>
      <c r="I653" s="2">
        <v>13</v>
      </c>
    </row>
    <row r="654" spans="1:9" x14ac:dyDescent="0.25">
      <c r="A654" t="s">
        <v>468</v>
      </c>
      <c r="B654" t="s">
        <v>469</v>
      </c>
      <c r="C654" t="s">
        <v>16</v>
      </c>
      <c r="D654" s="1">
        <v>0</v>
      </c>
      <c r="E654" s="2">
        <v>0</v>
      </c>
      <c r="F654" t="s">
        <v>81</v>
      </c>
      <c r="G654" t="s">
        <v>81</v>
      </c>
      <c r="H654" t="s">
        <v>81</v>
      </c>
      <c r="I654" s="2">
        <v>1</v>
      </c>
    </row>
    <row r="655" spans="1:9" x14ac:dyDescent="0.25">
      <c r="A655" t="s">
        <v>506</v>
      </c>
      <c r="B655" t="s">
        <v>507</v>
      </c>
      <c r="C655" t="s">
        <v>207</v>
      </c>
      <c r="D655" s="1">
        <v>0</v>
      </c>
      <c r="E655" s="2">
        <v>0</v>
      </c>
      <c r="F655" t="s">
        <v>81</v>
      </c>
      <c r="G655" t="s">
        <v>81</v>
      </c>
      <c r="H655" t="s">
        <v>81</v>
      </c>
      <c r="I655" s="2">
        <v>1</v>
      </c>
    </row>
    <row r="656" spans="1:9" x14ac:dyDescent="0.25">
      <c r="A656" t="s">
        <v>316</v>
      </c>
      <c r="B656" t="s">
        <v>317</v>
      </c>
      <c r="C656" t="s">
        <v>28</v>
      </c>
      <c r="D656" s="1">
        <v>0</v>
      </c>
      <c r="E656" s="2">
        <v>0</v>
      </c>
      <c r="F656" t="s">
        <v>81</v>
      </c>
      <c r="G656" t="s">
        <v>81</v>
      </c>
      <c r="H656" t="s">
        <v>81</v>
      </c>
      <c r="I656" t="s">
        <v>81</v>
      </c>
    </row>
    <row r="657" spans="1:9" x14ac:dyDescent="0.25">
      <c r="A657" t="s">
        <v>620</v>
      </c>
      <c r="B657" t="s">
        <v>621</v>
      </c>
      <c r="C657" t="s">
        <v>28</v>
      </c>
      <c r="D657" s="1">
        <v>0</v>
      </c>
      <c r="E657" s="2">
        <v>0</v>
      </c>
      <c r="F657" t="s">
        <v>81</v>
      </c>
      <c r="G657" t="s">
        <v>81</v>
      </c>
      <c r="H657" t="s">
        <v>81</v>
      </c>
      <c r="I657" t="s">
        <v>81</v>
      </c>
    </row>
    <row r="658" spans="1:9" x14ac:dyDescent="0.25">
      <c r="A658" t="s">
        <v>390</v>
      </c>
      <c r="B658" t="s">
        <v>391</v>
      </c>
      <c r="C658" t="s">
        <v>25</v>
      </c>
      <c r="D658" s="1">
        <v>0</v>
      </c>
      <c r="E658" s="2">
        <v>0</v>
      </c>
      <c r="F658" t="s">
        <v>81</v>
      </c>
      <c r="G658" t="s">
        <v>81</v>
      </c>
      <c r="H658" t="s">
        <v>81</v>
      </c>
      <c r="I658" t="s">
        <v>81</v>
      </c>
    </row>
    <row r="659" spans="1:9" x14ac:dyDescent="0.25">
      <c r="A659" t="s">
        <v>414</v>
      </c>
      <c r="B659" t="s">
        <v>415</v>
      </c>
      <c r="C659" t="s">
        <v>11</v>
      </c>
      <c r="D659" s="1">
        <v>0</v>
      </c>
      <c r="E659" s="2">
        <v>0</v>
      </c>
      <c r="F659" t="s">
        <v>81</v>
      </c>
      <c r="G659" t="s">
        <v>81</v>
      </c>
      <c r="H659" t="s">
        <v>81</v>
      </c>
      <c r="I659" s="2">
        <v>3</v>
      </c>
    </row>
    <row r="660" spans="1:9" x14ac:dyDescent="0.25">
      <c r="A660" t="s">
        <v>88</v>
      </c>
      <c r="B660" t="s">
        <v>89</v>
      </c>
      <c r="C660" t="s">
        <v>25</v>
      </c>
      <c r="D660" s="1">
        <v>0</v>
      </c>
      <c r="E660" s="2">
        <v>0</v>
      </c>
      <c r="F660" t="s">
        <v>81</v>
      </c>
      <c r="G660" t="s">
        <v>81</v>
      </c>
      <c r="H660" t="s">
        <v>81</v>
      </c>
      <c r="I660" t="s">
        <v>81</v>
      </c>
    </row>
    <row r="661" spans="1:9" x14ac:dyDescent="0.25">
      <c r="A661" t="s">
        <v>626</v>
      </c>
      <c r="B661" t="s">
        <v>627</v>
      </c>
      <c r="C661" t="s">
        <v>16</v>
      </c>
      <c r="D661" s="1">
        <v>0</v>
      </c>
      <c r="E661" s="2">
        <v>0</v>
      </c>
      <c r="F661" t="s">
        <v>81</v>
      </c>
      <c r="G661" t="s">
        <v>81</v>
      </c>
      <c r="H661" t="s">
        <v>81</v>
      </c>
      <c r="I661" t="s">
        <v>81</v>
      </c>
    </row>
    <row r="662" spans="1:9" x14ac:dyDescent="0.25">
      <c r="A662" t="s">
        <v>79</v>
      </c>
      <c r="B662" t="s">
        <v>80</v>
      </c>
      <c r="C662" t="s">
        <v>25</v>
      </c>
      <c r="D662" s="1">
        <v>0</v>
      </c>
      <c r="E662" s="2">
        <v>0</v>
      </c>
      <c r="F662" t="s">
        <v>81</v>
      </c>
      <c r="G662" t="s">
        <v>81</v>
      </c>
      <c r="H662" t="s">
        <v>81</v>
      </c>
      <c r="I662" t="s">
        <v>81</v>
      </c>
    </row>
    <row r="663" spans="1:9" x14ac:dyDescent="0.25">
      <c r="A663" t="s">
        <v>590</v>
      </c>
      <c r="B663" t="s">
        <v>591</v>
      </c>
      <c r="C663" t="s">
        <v>25</v>
      </c>
      <c r="D663" s="1">
        <v>0</v>
      </c>
      <c r="E663" s="2">
        <v>0</v>
      </c>
      <c r="F663" t="s">
        <v>81</v>
      </c>
      <c r="G663" t="s">
        <v>81</v>
      </c>
      <c r="H663" t="s">
        <v>81</v>
      </c>
      <c r="I663" s="2">
        <v>1</v>
      </c>
    </row>
    <row r="664" spans="1:9" x14ac:dyDescent="0.25">
      <c r="A664" t="s">
        <v>464</v>
      </c>
      <c r="B664" t="s">
        <v>465</v>
      </c>
      <c r="C664" t="s">
        <v>11</v>
      </c>
      <c r="D664" s="1">
        <v>0</v>
      </c>
      <c r="E664" s="2">
        <v>0</v>
      </c>
      <c r="F664" t="s">
        <v>81</v>
      </c>
      <c r="G664" t="s">
        <v>81</v>
      </c>
      <c r="H664" t="s">
        <v>81</v>
      </c>
      <c r="I664" t="s">
        <v>81</v>
      </c>
    </row>
    <row r="665" spans="1:9" x14ac:dyDescent="0.25">
      <c r="A665" t="s">
        <v>694</v>
      </c>
      <c r="B665" t="s">
        <v>695</v>
      </c>
      <c r="C665" t="s">
        <v>11</v>
      </c>
      <c r="D665" s="1">
        <v>0</v>
      </c>
      <c r="E665" s="2">
        <v>0</v>
      </c>
      <c r="F665" t="s">
        <v>81</v>
      </c>
      <c r="G665" t="s">
        <v>81</v>
      </c>
      <c r="H665" t="s">
        <v>81</v>
      </c>
      <c r="I665" t="s">
        <v>81</v>
      </c>
    </row>
    <row r="666" spans="1:9" x14ac:dyDescent="0.25">
      <c r="A666" t="s">
        <v>514</v>
      </c>
      <c r="B666" t="s">
        <v>515</v>
      </c>
      <c r="C666" t="s">
        <v>11</v>
      </c>
      <c r="D666" s="1">
        <v>0</v>
      </c>
      <c r="E666" s="2">
        <v>0</v>
      </c>
      <c r="F666" t="s">
        <v>81</v>
      </c>
      <c r="G666" t="s">
        <v>81</v>
      </c>
      <c r="H666" t="s">
        <v>81</v>
      </c>
      <c r="I666" t="s">
        <v>81</v>
      </c>
    </row>
    <row r="667" spans="1:9" x14ac:dyDescent="0.25">
      <c r="A667" t="s">
        <v>84</v>
      </c>
      <c r="B667" t="s">
        <v>85</v>
      </c>
      <c r="C667" t="s">
        <v>16</v>
      </c>
      <c r="D667" s="1">
        <v>0</v>
      </c>
      <c r="E667" s="2">
        <v>0</v>
      </c>
      <c r="F667" t="s">
        <v>81</v>
      </c>
      <c r="G667" t="s">
        <v>81</v>
      </c>
      <c r="H667" t="s">
        <v>81</v>
      </c>
      <c r="I667" s="2">
        <v>36</v>
      </c>
    </row>
    <row r="668" spans="1:9" x14ac:dyDescent="0.25">
      <c r="A668" t="s">
        <v>636</v>
      </c>
      <c r="B668" t="s">
        <v>637</v>
      </c>
      <c r="C668" t="s">
        <v>25</v>
      </c>
      <c r="D668" s="1">
        <v>0</v>
      </c>
      <c r="E668" s="2">
        <v>0</v>
      </c>
      <c r="F668" t="s">
        <v>81</v>
      </c>
      <c r="G668" t="s">
        <v>81</v>
      </c>
      <c r="H668" t="s">
        <v>81</v>
      </c>
      <c r="I668" t="s">
        <v>81</v>
      </c>
    </row>
    <row r="669" spans="1:9" x14ac:dyDescent="0.25">
      <c r="A669" t="s">
        <v>53</v>
      </c>
      <c r="B669" t="s">
        <v>54</v>
      </c>
      <c r="C669" t="s">
        <v>28</v>
      </c>
      <c r="D669" s="1">
        <v>0</v>
      </c>
      <c r="E669" s="2">
        <v>0</v>
      </c>
      <c r="F669" s="1">
        <v>24.92</v>
      </c>
      <c r="G669" s="1">
        <v>20.25</v>
      </c>
      <c r="H669" s="2">
        <v>1</v>
      </c>
      <c r="I669" s="2">
        <v>1</v>
      </c>
    </row>
    <row r="670" spans="1:9" x14ac:dyDescent="0.25">
      <c r="A670" t="s">
        <v>244</v>
      </c>
      <c r="B670" t="s">
        <v>245</v>
      </c>
      <c r="C670" t="s">
        <v>266</v>
      </c>
      <c r="D670" s="1">
        <v>0</v>
      </c>
      <c r="E670" s="2">
        <v>0</v>
      </c>
      <c r="F670" t="s">
        <v>81</v>
      </c>
      <c r="G670" t="s">
        <v>81</v>
      </c>
      <c r="H670" t="s">
        <v>81</v>
      </c>
      <c r="I670" s="2">
        <v>1</v>
      </c>
    </row>
    <row r="671" spans="1:9" x14ac:dyDescent="0.25">
      <c r="A671" t="s">
        <v>84</v>
      </c>
      <c r="B671" t="s">
        <v>85</v>
      </c>
      <c r="C671" t="s">
        <v>28</v>
      </c>
      <c r="D671" s="1">
        <v>0</v>
      </c>
      <c r="E671" s="2">
        <v>0</v>
      </c>
      <c r="F671" t="s">
        <v>81</v>
      </c>
      <c r="G671" t="s">
        <v>81</v>
      </c>
      <c r="H671" t="s">
        <v>81</v>
      </c>
      <c r="I671" s="2">
        <v>19</v>
      </c>
    </row>
    <row r="672" spans="1:9" x14ac:dyDescent="0.25">
      <c r="A672" t="s">
        <v>460</v>
      </c>
      <c r="B672" t="s">
        <v>461</v>
      </c>
      <c r="C672" t="s">
        <v>28</v>
      </c>
      <c r="D672" s="1">
        <v>0</v>
      </c>
      <c r="E672" s="2">
        <v>0</v>
      </c>
      <c r="F672" t="s">
        <v>81</v>
      </c>
      <c r="G672" t="s">
        <v>81</v>
      </c>
      <c r="H672" t="s">
        <v>81</v>
      </c>
      <c r="I672" s="2">
        <v>2</v>
      </c>
    </row>
    <row r="673" spans="1:9" x14ac:dyDescent="0.25">
      <c r="A673" t="s">
        <v>65</v>
      </c>
      <c r="B673" t="s">
        <v>66</v>
      </c>
      <c r="C673" t="s">
        <v>207</v>
      </c>
      <c r="D673" s="1">
        <v>0</v>
      </c>
      <c r="E673" s="2">
        <v>0</v>
      </c>
      <c r="F673" t="s">
        <v>81</v>
      </c>
      <c r="G673" t="s">
        <v>81</v>
      </c>
      <c r="H673" t="s">
        <v>81</v>
      </c>
      <c r="I673" s="2">
        <v>1</v>
      </c>
    </row>
    <row r="674" spans="1:9" x14ac:dyDescent="0.25">
      <c r="A674" t="s">
        <v>572</v>
      </c>
      <c r="B674" t="s">
        <v>573</v>
      </c>
      <c r="C674" t="s">
        <v>299</v>
      </c>
      <c r="D674" s="1">
        <v>0</v>
      </c>
      <c r="E674" s="2">
        <v>0</v>
      </c>
      <c r="F674" t="s">
        <v>81</v>
      </c>
      <c r="G674" t="s">
        <v>81</v>
      </c>
      <c r="H674" t="s">
        <v>81</v>
      </c>
      <c r="I674" s="2">
        <v>1</v>
      </c>
    </row>
    <row r="675" spans="1:9" x14ac:dyDescent="0.25">
      <c r="A675" t="s">
        <v>116</v>
      </c>
      <c r="B675" t="s">
        <v>117</v>
      </c>
      <c r="C675" t="s">
        <v>28</v>
      </c>
      <c r="D675" s="1">
        <v>0</v>
      </c>
      <c r="E675" s="2">
        <v>0</v>
      </c>
      <c r="F675" t="s">
        <v>81</v>
      </c>
      <c r="G675" t="s">
        <v>81</v>
      </c>
      <c r="H675" t="s">
        <v>81</v>
      </c>
      <c r="I675" s="2">
        <v>1</v>
      </c>
    </row>
    <row r="676" spans="1:9" x14ac:dyDescent="0.25">
      <c r="A676" t="s">
        <v>226</v>
      </c>
      <c r="B676" t="s">
        <v>227</v>
      </c>
      <c r="C676" t="s">
        <v>207</v>
      </c>
      <c r="D676" s="1">
        <v>0</v>
      </c>
      <c r="E676" s="2">
        <v>0</v>
      </c>
      <c r="F676" t="s">
        <v>81</v>
      </c>
      <c r="G676" t="s">
        <v>81</v>
      </c>
      <c r="H676" t="s">
        <v>81</v>
      </c>
      <c r="I676" t="s">
        <v>81</v>
      </c>
    </row>
    <row r="677" spans="1:9" x14ac:dyDescent="0.25">
      <c r="A677" t="s">
        <v>504</v>
      </c>
      <c r="B677" t="s">
        <v>505</v>
      </c>
      <c r="C677" t="s">
        <v>16</v>
      </c>
      <c r="D677" s="1">
        <v>0</v>
      </c>
      <c r="E677" s="2">
        <v>0</v>
      </c>
      <c r="F677" t="s">
        <v>81</v>
      </c>
      <c r="G677" t="s">
        <v>81</v>
      </c>
      <c r="H677" t="s">
        <v>81</v>
      </c>
      <c r="I677" s="2">
        <v>1</v>
      </c>
    </row>
    <row r="678" spans="1:9" x14ac:dyDescent="0.25">
      <c r="A678" t="s">
        <v>374</v>
      </c>
      <c r="B678" t="s">
        <v>375</v>
      </c>
      <c r="C678" t="s">
        <v>25</v>
      </c>
      <c r="D678" s="1">
        <v>0</v>
      </c>
      <c r="E678" s="2">
        <v>0</v>
      </c>
      <c r="F678" t="s">
        <v>81</v>
      </c>
      <c r="G678" t="s">
        <v>81</v>
      </c>
      <c r="H678" t="s">
        <v>81</v>
      </c>
      <c r="I678" t="s">
        <v>81</v>
      </c>
    </row>
    <row r="679" spans="1:9" x14ac:dyDescent="0.25">
      <c r="A679" t="s">
        <v>712</v>
      </c>
      <c r="B679" t="s">
        <v>713</v>
      </c>
      <c r="C679" t="s">
        <v>11</v>
      </c>
      <c r="D679" s="1">
        <v>0</v>
      </c>
      <c r="E679" s="2">
        <v>0</v>
      </c>
      <c r="F679" t="s">
        <v>81</v>
      </c>
      <c r="G679" t="s">
        <v>81</v>
      </c>
      <c r="H679" t="s">
        <v>81</v>
      </c>
      <c r="I679" t="s">
        <v>81</v>
      </c>
    </row>
    <row r="680" spans="1:9" x14ac:dyDescent="0.25">
      <c r="A680" t="s">
        <v>61</v>
      </c>
      <c r="B680" t="s">
        <v>62</v>
      </c>
      <c r="C680" t="s">
        <v>11</v>
      </c>
      <c r="D680" s="1">
        <v>0</v>
      </c>
      <c r="E680" s="2">
        <v>0</v>
      </c>
      <c r="F680" t="s">
        <v>81</v>
      </c>
      <c r="G680" t="s">
        <v>81</v>
      </c>
      <c r="H680" t="s">
        <v>81</v>
      </c>
      <c r="I680" s="2">
        <v>3</v>
      </c>
    </row>
    <row r="681" spans="1:9" x14ac:dyDescent="0.25">
      <c r="A681" t="s">
        <v>690</v>
      </c>
      <c r="B681" t="s">
        <v>691</v>
      </c>
      <c r="C681" t="s">
        <v>16</v>
      </c>
      <c r="D681" s="1">
        <v>0</v>
      </c>
      <c r="E681" s="2">
        <v>313</v>
      </c>
      <c r="F681" s="1">
        <v>0</v>
      </c>
      <c r="G681" s="1">
        <v>4695</v>
      </c>
      <c r="H681" s="2">
        <v>313</v>
      </c>
      <c r="I681" t="s">
        <v>81</v>
      </c>
    </row>
    <row r="682" spans="1:9" x14ac:dyDescent="0.25">
      <c r="A682" t="s">
        <v>714</v>
      </c>
      <c r="B682" t="s">
        <v>715</v>
      </c>
      <c r="C682" t="s">
        <v>16</v>
      </c>
      <c r="D682" s="1">
        <v>0</v>
      </c>
      <c r="E682" s="2">
        <v>0</v>
      </c>
      <c r="F682" t="s">
        <v>81</v>
      </c>
      <c r="G682" t="s">
        <v>81</v>
      </c>
      <c r="H682" t="s">
        <v>81</v>
      </c>
      <c r="I682" t="s">
        <v>81</v>
      </c>
    </row>
    <row r="683" spans="1:9" x14ac:dyDescent="0.25">
      <c r="A683" t="s">
        <v>281</v>
      </c>
      <c r="B683" t="s">
        <v>282</v>
      </c>
      <c r="C683" t="s">
        <v>28</v>
      </c>
      <c r="D683" s="1">
        <v>0</v>
      </c>
      <c r="E683" s="2">
        <v>0</v>
      </c>
      <c r="F683" t="s">
        <v>81</v>
      </c>
      <c r="G683" t="s">
        <v>81</v>
      </c>
      <c r="H683" t="s">
        <v>81</v>
      </c>
      <c r="I683" s="2">
        <v>1</v>
      </c>
    </row>
    <row r="684" spans="1:9" x14ac:dyDescent="0.25">
      <c r="A684" t="s">
        <v>256</v>
      </c>
      <c r="B684" t="s">
        <v>257</v>
      </c>
      <c r="C684" t="s">
        <v>28</v>
      </c>
      <c r="D684" s="1">
        <v>0</v>
      </c>
      <c r="E684" s="2">
        <v>0</v>
      </c>
      <c r="F684" t="s">
        <v>81</v>
      </c>
      <c r="G684" t="s">
        <v>81</v>
      </c>
      <c r="H684" t="s">
        <v>81</v>
      </c>
      <c r="I684" s="2">
        <v>1</v>
      </c>
    </row>
    <row r="685" spans="1:9" x14ac:dyDescent="0.25">
      <c r="A685" t="s">
        <v>360</v>
      </c>
      <c r="B685" t="s">
        <v>361</v>
      </c>
      <c r="C685" t="s">
        <v>16</v>
      </c>
      <c r="D685" s="1">
        <v>0</v>
      </c>
      <c r="E685" s="2">
        <v>0</v>
      </c>
      <c r="F685" s="1">
        <v>12.52</v>
      </c>
      <c r="G685" s="1">
        <v>6.16</v>
      </c>
      <c r="H685" s="2">
        <v>1</v>
      </c>
      <c r="I685" t="s">
        <v>81</v>
      </c>
    </row>
    <row r="686" spans="1:9" x14ac:dyDescent="0.25">
      <c r="A686" t="s">
        <v>514</v>
      </c>
      <c r="B686" t="s">
        <v>515</v>
      </c>
      <c r="C686" t="s">
        <v>25</v>
      </c>
      <c r="D686" s="1">
        <v>0</v>
      </c>
      <c r="E686" s="2">
        <v>0</v>
      </c>
      <c r="F686" t="s">
        <v>81</v>
      </c>
      <c r="G686" t="s">
        <v>81</v>
      </c>
      <c r="H686" t="s">
        <v>81</v>
      </c>
      <c r="I686" t="s">
        <v>81</v>
      </c>
    </row>
    <row r="687" spans="1:9" x14ac:dyDescent="0.25">
      <c r="A687" t="s">
        <v>574</v>
      </c>
      <c r="B687" t="s">
        <v>575</v>
      </c>
      <c r="C687" t="s">
        <v>16</v>
      </c>
      <c r="D687" s="1">
        <v>0</v>
      </c>
      <c r="E687" s="2">
        <v>20</v>
      </c>
      <c r="F687" s="1">
        <v>0</v>
      </c>
      <c r="G687" s="1">
        <v>40</v>
      </c>
      <c r="H687" s="2">
        <v>20</v>
      </c>
      <c r="I687" t="s">
        <v>81</v>
      </c>
    </row>
    <row r="688" spans="1:9" x14ac:dyDescent="0.25">
      <c r="A688" t="s">
        <v>314</v>
      </c>
      <c r="B688" t="s">
        <v>315</v>
      </c>
      <c r="C688" t="s">
        <v>16</v>
      </c>
      <c r="D688" s="1">
        <v>0</v>
      </c>
      <c r="E688" s="2">
        <v>0</v>
      </c>
      <c r="F688" t="s">
        <v>81</v>
      </c>
      <c r="G688" t="s">
        <v>81</v>
      </c>
      <c r="H688" t="s">
        <v>81</v>
      </c>
      <c r="I688" t="s">
        <v>81</v>
      </c>
    </row>
    <row r="689" spans="1:9" x14ac:dyDescent="0.25">
      <c r="A689" t="s">
        <v>454</v>
      </c>
      <c r="B689" t="s">
        <v>455</v>
      </c>
      <c r="C689" t="s">
        <v>25</v>
      </c>
      <c r="D689" s="1">
        <v>0</v>
      </c>
      <c r="E689" s="2">
        <v>0</v>
      </c>
      <c r="F689" t="s">
        <v>81</v>
      </c>
      <c r="G689" t="s">
        <v>81</v>
      </c>
      <c r="H689" t="s">
        <v>81</v>
      </c>
      <c r="I689" t="s">
        <v>81</v>
      </c>
    </row>
    <row r="690" spans="1:9" x14ac:dyDescent="0.25">
      <c r="A690" t="s">
        <v>136</v>
      </c>
      <c r="B690" t="s">
        <v>137</v>
      </c>
      <c r="C690" t="s">
        <v>299</v>
      </c>
      <c r="D690" s="1">
        <v>0</v>
      </c>
      <c r="E690" s="2">
        <v>0</v>
      </c>
      <c r="F690" t="s">
        <v>81</v>
      </c>
      <c r="G690" t="s">
        <v>81</v>
      </c>
      <c r="H690" t="s">
        <v>81</v>
      </c>
      <c r="I690" t="s">
        <v>81</v>
      </c>
    </row>
    <row r="691" spans="1:9" x14ac:dyDescent="0.25">
      <c r="A691" t="s">
        <v>202</v>
      </c>
      <c r="B691" t="s">
        <v>197</v>
      </c>
      <c r="C691" t="s">
        <v>16</v>
      </c>
      <c r="D691" s="1">
        <v>0</v>
      </c>
      <c r="E691" s="2">
        <v>0</v>
      </c>
      <c r="F691" t="s">
        <v>81</v>
      </c>
      <c r="G691" t="s">
        <v>81</v>
      </c>
      <c r="H691" t="s">
        <v>81</v>
      </c>
      <c r="I691" t="s">
        <v>81</v>
      </c>
    </row>
    <row r="692" spans="1:9" x14ac:dyDescent="0.25">
      <c r="A692" t="s">
        <v>236</v>
      </c>
      <c r="B692" t="s">
        <v>237</v>
      </c>
      <c r="C692" t="s">
        <v>28</v>
      </c>
      <c r="D692" s="1">
        <v>0</v>
      </c>
      <c r="E692" s="2">
        <v>0</v>
      </c>
      <c r="F692" t="s">
        <v>81</v>
      </c>
      <c r="G692" t="s">
        <v>81</v>
      </c>
      <c r="H692" t="s">
        <v>81</v>
      </c>
      <c r="I692" t="s">
        <v>81</v>
      </c>
    </row>
    <row r="693" spans="1:9" x14ac:dyDescent="0.25">
      <c r="A693" t="s">
        <v>628</v>
      </c>
      <c r="B693" t="s">
        <v>629</v>
      </c>
      <c r="C693" t="s">
        <v>28</v>
      </c>
      <c r="D693" s="1">
        <v>0</v>
      </c>
      <c r="E693" s="2">
        <v>0</v>
      </c>
      <c r="F693" t="s">
        <v>81</v>
      </c>
      <c r="G693" t="s">
        <v>81</v>
      </c>
      <c r="H693" t="s">
        <v>81</v>
      </c>
      <c r="I693" t="s">
        <v>81</v>
      </c>
    </row>
    <row r="694" spans="1:9" x14ac:dyDescent="0.25">
      <c r="A694" t="s">
        <v>102</v>
      </c>
      <c r="B694" t="s">
        <v>103</v>
      </c>
      <c r="C694" t="s">
        <v>16</v>
      </c>
      <c r="D694" s="1">
        <v>0</v>
      </c>
      <c r="E694" s="2">
        <v>0</v>
      </c>
      <c r="F694" t="s">
        <v>81</v>
      </c>
      <c r="G694" t="s">
        <v>81</v>
      </c>
      <c r="H694" t="s">
        <v>81</v>
      </c>
      <c r="I694" t="s">
        <v>81</v>
      </c>
    </row>
    <row r="695" spans="1:9" x14ac:dyDescent="0.25">
      <c r="A695" t="s">
        <v>202</v>
      </c>
      <c r="B695" t="s">
        <v>197</v>
      </c>
      <c r="C695" t="s">
        <v>28</v>
      </c>
      <c r="D695" s="1">
        <v>0</v>
      </c>
      <c r="E695" s="2">
        <v>0</v>
      </c>
      <c r="F695" t="s">
        <v>81</v>
      </c>
      <c r="G695" t="s">
        <v>81</v>
      </c>
      <c r="H695" t="s">
        <v>81</v>
      </c>
      <c r="I695" s="2">
        <v>3</v>
      </c>
    </row>
    <row r="696" spans="1:9" x14ac:dyDescent="0.25">
      <c r="A696" t="s">
        <v>33</v>
      </c>
      <c r="B696" t="s">
        <v>34</v>
      </c>
      <c r="C696" t="s">
        <v>266</v>
      </c>
      <c r="D696" s="1">
        <v>0</v>
      </c>
      <c r="E696" s="2">
        <v>0</v>
      </c>
      <c r="F696" t="s">
        <v>81</v>
      </c>
      <c r="G696" t="s">
        <v>81</v>
      </c>
      <c r="H696" t="s">
        <v>81</v>
      </c>
      <c r="I696" s="2">
        <v>1</v>
      </c>
    </row>
    <row r="697" spans="1:9" x14ac:dyDescent="0.25">
      <c r="A697" t="s">
        <v>124</v>
      </c>
      <c r="B697" t="s">
        <v>125</v>
      </c>
      <c r="C697" t="s">
        <v>266</v>
      </c>
      <c r="D697" s="1">
        <v>0</v>
      </c>
      <c r="E697" s="2">
        <v>0</v>
      </c>
      <c r="F697" t="s">
        <v>81</v>
      </c>
      <c r="G697" t="s">
        <v>81</v>
      </c>
      <c r="H697" t="s">
        <v>81</v>
      </c>
      <c r="I697" s="2">
        <v>1</v>
      </c>
    </row>
    <row r="698" spans="1:9" x14ac:dyDescent="0.25">
      <c r="A698" t="s">
        <v>279</v>
      </c>
      <c r="B698" t="s">
        <v>280</v>
      </c>
      <c r="C698" t="s">
        <v>28</v>
      </c>
      <c r="D698" s="1">
        <v>0</v>
      </c>
      <c r="E698" s="2">
        <v>0</v>
      </c>
      <c r="F698" t="s">
        <v>81</v>
      </c>
      <c r="G698" t="s">
        <v>81</v>
      </c>
      <c r="H698" t="s">
        <v>81</v>
      </c>
      <c r="I698" s="2">
        <v>1</v>
      </c>
    </row>
    <row r="699" spans="1:9" x14ac:dyDescent="0.25">
      <c r="A699" t="s">
        <v>414</v>
      </c>
      <c r="B699" t="s">
        <v>415</v>
      </c>
      <c r="C699" t="s">
        <v>28</v>
      </c>
      <c r="D699" s="1">
        <v>0</v>
      </c>
      <c r="E699" s="2">
        <v>0</v>
      </c>
      <c r="F699" t="s">
        <v>81</v>
      </c>
      <c r="G699" t="s">
        <v>81</v>
      </c>
      <c r="H699" t="s">
        <v>81</v>
      </c>
      <c r="I699" s="2">
        <v>1</v>
      </c>
    </row>
    <row r="700" spans="1:9" x14ac:dyDescent="0.25">
      <c r="A700" t="s">
        <v>208</v>
      </c>
      <c r="B700" t="s">
        <v>209</v>
      </c>
      <c r="C700" t="s">
        <v>16</v>
      </c>
      <c r="D700" s="1">
        <v>0</v>
      </c>
      <c r="E700" s="2">
        <v>0</v>
      </c>
      <c r="F700" t="s">
        <v>81</v>
      </c>
      <c r="G700" t="s">
        <v>81</v>
      </c>
      <c r="H700" t="s">
        <v>81</v>
      </c>
      <c r="I700" s="2">
        <v>1</v>
      </c>
    </row>
    <row r="701" spans="1:9" x14ac:dyDescent="0.25">
      <c r="A701" t="s">
        <v>716</v>
      </c>
      <c r="B701" t="s">
        <v>717</v>
      </c>
      <c r="C701" t="s">
        <v>207</v>
      </c>
      <c r="D701" s="1">
        <v>0</v>
      </c>
      <c r="E701" s="2">
        <v>0</v>
      </c>
      <c r="F701" t="s">
        <v>81</v>
      </c>
      <c r="G701" t="s">
        <v>81</v>
      </c>
      <c r="H701" t="s">
        <v>81</v>
      </c>
      <c r="I701" t="s">
        <v>81</v>
      </c>
    </row>
    <row r="702" spans="1:9" x14ac:dyDescent="0.25">
      <c r="A702" t="s">
        <v>384</v>
      </c>
      <c r="B702" t="s">
        <v>385</v>
      </c>
      <c r="C702" t="s">
        <v>28</v>
      </c>
      <c r="D702" s="1">
        <v>0</v>
      </c>
      <c r="E702" s="2">
        <v>0</v>
      </c>
      <c r="F702" t="s">
        <v>81</v>
      </c>
      <c r="G702" t="s">
        <v>81</v>
      </c>
      <c r="H702" t="s">
        <v>81</v>
      </c>
      <c r="I702" s="2">
        <v>1</v>
      </c>
    </row>
    <row r="703" spans="1:9" x14ac:dyDescent="0.25">
      <c r="A703" t="s">
        <v>120</v>
      </c>
      <c r="B703" t="s">
        <v>121</v>
      </c>
      <c r="C703" t="s">
        <v>299</v>
      </c>
      <c r="D703" s="1">
        <v>0</v>
      </c>
      <c r="E703" s="2">
        <v>0</v>
      </c>
      <c r="F703" t="s">
        <v>81</v>
      </c>
      <c r="G703" t="s">
        <v>81</v>
      </c>
      <c r="H703" t="s">
        <v>81</v>
      </c>
      <c r="I703" s="2">
        <v>1</v>
      </c>
    </row>
    <row r="704" spans="1:9" x14ac:dyDescent="0.25">
      <c r="A704" t="s">
        <v>394</v>
      </c>
      <c r="B704" t="s">
        <v>395</v>
      </c>
      <c r="C704" t="s">
        <v>11</v>
      </c>
      <c r="D704" s="1">
        <v>0</v>
      </c>
      <c r="E704" s="2">
        <v>0</v>
      </c>
      <c r="F704" t="s">
        <v>81</v>
      </c>
      <c r="G704" t="s">
        <v>81</v>
      </c>
      <c r="H704" t="s">
        <v>81</v>
      </c>
      <c r="I704" t="s">
        <v>81</v>
      </c>
    </row>
    <row r="705" spans="1:9" x14ac:dyDescent="0.25">
      <c r="A705" t="s">
        <v>180</v>
      </c>
      <c r="B705" t="s">
        <v>181</v>
      </c>
      <c r="C705" t="s">
        <v>25</v>
      </c>
      <c r="D705" s="1">
        <v>0</v>
      </c>
      <c r="E705" s="2">
        <v>0</v>
      </c>
      <c r="F705" t="s">
        <v>81</v>
      </c>
      <c r="G705" t="s">
        <v>81</v>
      </c>
      <c r="H705" t="s">
        <v>81</v>
      </c>
      <c r="I705" s="2">
        <v>1</v>
      </c>
    </row>
    <row r="706" spans="1:9" x14ac:dyDescent="0.25">
      <c r="A706" t="s">
        <v>180</v>
      </c>
      <c r="B706" t="s">
        <v>181</v>
      </c>
      <c r="C706" t="s">
        <v>28</v>
      </c>
      <c r="D706" s="1">
        <v>0</v>
      </c>
      <c r="E706" s="2">
        <v>0</v>
      </c>
      <c r="F706" t="s">
        <v>81</v>
      </c>
      <c r="G706" t="s">
        <v>81</v>
      </c>
      <c r="H706" t="s">
        <v>81</v>
      </c>
      <c r="I706" s="2">
        <v>2</v>
      </c>
    </row>
    <row r="707" spans="1:9" x14ac:dyDescent="0.25">
      <c r="A707" t="s">
        <v>506</v>
      </c>
      <c r="B707" t="s">
        <v>507</v>
      </c>
      <c r="C707" t="s">
        <v>299</v>
      </c>
      <c r="D707" s="1">
        <v>0</v>
      </c>
      <c r="E707" s="2">
        <v>0</v>
      </c>
      <c r="F707" t="s">
        <v>81</v>
      </c>
      <c r="G707" t="s">
        <v>81</v>
      </c>
      <c r="H707" t="s">
        <v>81</v>
      </c>
      <c r="I707" t="s">
        <v>81</v>
      </c>
    </row>
    <row r="708" spans="1:9" x14ac:dyDescent="0.25">
      <c r="A708" t="s">
        <v>572</v>
      </c>
      <c r="B708" t="s">
        <v>573</v>
      </c>
      <c r="C708" t="s">
        <v>28</v>
      </c>
      <c r="D708" s="1">
        <v>0</v>
      </c>
      <c r="E708" s="2">
        <v>0</v>
      </c>
      <c r="F708" t="s">
        <v>81</v>
      </c>
      <c r="G708" t="s">
        <v>81</v>
      </c>
      <c r="H708" t="s">
        <v>81</v>
      </c>
      <c r="I708" s="2">
        <v>1</v>
      </c>
    </row>
    <row r="709" spans="1:9" x14ac:dyDescent="0.25">
      <c r="A709" t="s">
        <v>35</v>
      </c>
      <c r="B709" t="s">
        <v>36</v>
      </c>
      <c r="C709" t="s">
        <v>16</v>
      </c>
      <c r="D709" s="1">
        <v>0</v>
      </c>
      <c r="E709" s="2">
        <v>0</v>
      </c>
      <c r="F709" t="s">
        <v>81</v>
      </c>
      <c r="G709" t="s">
        <v>81</v>
      </c>
      <c r="H709" t="s">
        <v>81</v>
      </c>
      <c r="I709" s="2">
        <v>3</v>
      </c>
    </row>
    <row r="710" spans="1:9" x14ac:dyDescent="0.25">
      <c r="A710" t="s">
        <v>460</v>
      </c>
      <c r="B710" t="s">
        <v>461</v>
      </c>
      <c r="C710" t="s">
        <v>11</v>
      </c>
      <c r="D710" s="1">
        <v>0</v>
      </c>
      <c r="E710" s="2">
        <v>0</v>
      </c>
      <c r="F710" t="s">
        <v>81</v>
      </c>
      <c r="G710" t="s">
        <v>81</v>
      </c>
      <c r="H710" t="s">
        <v>81</v>
      </c>
      <c r="I710" s="2">
        <v>4</v>
      </c>
    </row>
    <row r="711" spans="1:9" x14ac:dyDescent="0.25">
      <c r="A711" t="s">
        <v>654</v>
      </c>
      <c r="B711" t="s">
        <v>655</v>
      </c>
      <c r="C711" t="s">
        <v>16</v>
      </c>
      <c r="D711" s="1">
        <v>0</v>
      </c>
      <c r="E711" s="2">
        <v>0</v>
      </c>
      <c r="F711" t="s">
        <v>81</v>
      </c>
      <c r="G711" t="s">
        <v>81</v>
      </c>
      <c r="H711" t="s">
        <v>81</v>
      </c>
      <c r="I711" t="s">
        <v>81</v>
      </c>
    </row>
    <row r="712" spans="1:9" x14ac:dyDescent="0.25">
      <c r="A712" t="s">
        <v>718</v>
      </c>
      <c r="B712" t="s">
        <v>719</v>
      </c>
      <c r="C712" t="s">
        <v>28</v>
      </c>
      <c r="D712" s="1">
        <v>0</v>
      </c>
      <c r="E712" s="2">
        <v>0</v>
      </c>
      <c r="F712" t="s">
        <v>81</v>
      </c>
      <c r="G712" t="s">
        <v>81</v>
      </c>
      <c r="H712" t="s">
        <v>81</v>
      </c>
      <c r="I712" t="s">
        <v>81</v>
      </c>
    </row>
    <row r="713" spans="1:9" x14ac:dyDescent="0.25">
      <c r="A713" t="s">
        <v>192</v>
      </c>
      <c r="B713" t="s">
        <v>193</v>
      </c>
      <c r="C713" t="s">
        <v>16</v>
      </c>
      <c r="D713" s="1">
        <v>0</v>
      </c>
      <c r="E713" s="2">
        <v>0</v>
      </c>
      <c r="F713" t="s">
        <v>81</v>
      </c>
      <c r="G713" t="s">
        <v>81</v>
      </c>
      <c r="H713" t="s">
        <v>81</v>
      </c>
      <c r="I713" s="2">
        <v>1</v>
      </c>
    </row>
    <row r="714" spans="1:9" x14ac:dyDescent="0.25">
      <c r="A714" t="s">
        <v>84</v>
      </c>
      <c r="B714" t="s">
        <v>85</v>
      </c>
      <c r="C714" t="s">
        <v>266</v>
      </c>
      <c r="D714" s="1">
        <v>0</v>
      </c>
      <c r="E714" s="2">
        <v>0</v>
      </c>
      <c r="F714" t="s">
        <v>81</v>
      </c>
      <c r="G714" t="s">
        <v>81</v>
      </c>
      <c r="H714" t="s">
        <v>81</v>
      </c>
      <c r="I714" s="2">
        <v>3</v>
      </c>
    </row>
    <row r="715" spans="1:9" x14ac:dyDescent="0.25">
      <c r="A715" t="s">
        <v>222</v>
      </c>
      <c r="B715" t="s">
        <v>223</v>
      </c>
      <c r="C715" t="s">
        <v>25</v>
      </c>
      <c r="D715" s="1">
        <v>0</v>
      </c>
      <c r="E715" s="2">
        <v>0</v>
      </c>
      <c r="F715" t="s">
        <v>81</v>
      </c>
      <c r="G715" t="s">
        <v>81</v>
      </c>
      <c r="H715" t="s">
        <v>81</v>
      </c>
      <c r="I715" s="2">
        <v>1</v>
      </c>
    </row>
    <row r="716" spans="1:9" x14ac:dyDescent="0.25">
      <c r="A716" t="s">
        <v>271</v>
      </c>
      <c r="B716" t="s">
        <v>272</v>
      </c>
      <c r="C716" t="s">
        <v>11</v>
      </c>
      <c r="D716" s="1">
        <v>0</v>
      </c>
      <c r="E716" s="2">
        <v>0</v>
      </c>
      <c r="F716" t="s">
        <v>81</v>
      </c>
      <c r="G716" t="s">
        <v>81</v>
      </c>
      <c r="H716" t="s">
        <v>81</v>
      </c>
      <c r="I716" s="2">
        <v>3</v>
      </c>
    </row>
    <row r="717" spans="1:9" x14ac:dyDescent="0.25">
      <c r="A717" t="s">
        <v>542</v>
      </c>
      <c r="B717" t="s">
        <v>543</v>
      </c>
      <c r="C717" t="s">
        <v>11</v>
      </c>
      <c r="D717" s="1">
        <v>0</v>
      </c>
      <c r="E717" s="2">
        <v>0</v>
      </c>
      <c r="F717" t="s">
        <v>81</v>
      </c>
      <c r="G717" t="s">
        <v>81</v>
      </c>
      <c r="H717" t="s">
        <v>81</v>
      </c>
      <c r="I717" t="s">
        <v>81</v>
      </c>
    </row>
    <row r="718" spans="1:9" x14ac:dyDescent="0.25">
      <c r="A718" t="s">
        <v>23</v>
      </c>
      <c r="B718" t="s">
        <v>24</v>
      </c>
      <c r="C718" t="s">
        <v>299</v>
      </c>
      <c r="D718" s="1">
        <v>0</v>
      </c>
      <c r="E718" s="2">
        <v>0</v>
      </c>
      <c r="F718" t="s">
        <v>81</v>
      </c>
      <c r="G718" t="s">
        <v>81</v>
      </c>
      <c r="H718" t="s">
        <v>81</v>
      </c>
      <c r="I718" s="2">
        <v>1</v>
      </c>
    </row>
    <row r="719" spans="1:9" x14ac:dyDescent="0.25">
      <c r="A719" t="s">
        <v>210</v>
      </c>
      <c r="B719" t="s">
        <v>211</v>
      </c>
      <c r="C719" t="s">
        <v>207</v>
      </c>
      <c r="D719" s="1">
        <v>0</v>
      </c>
      <c r="E719" s="2">
        <v>0</v>
      </c>
      <c r="F719" t="s">
        <v>81</v>
      </c>
      <c r="G719" t="s">
        <v>81</v>
      </c>
      <c r="H719" t="s">
        <v>81</v>
      </c>
      <c r="I719" t="s">
        <v>81</v>
      </c>
    </row>
    <row r="720" spans="1:9" x14ac:dyDescent="0.25">
      <c r="A720" t="s">
        <v>84</v>
      </c>
      <c r="B720" t="s">
        <v>85</v>
      </c>
      <c r="C720" t="s">
        <v>11</v>
      </c>
      <c r="D720" s="1">
        <v>0</v>
      </c>
      <c r="E720" s="2">
        <v>0</v>
      </c>
      <c r="F720" t="s">
        <v>81</v>
      </c>
      <c r="G720" t="s">
        <v>81</v>
      </c>
      <c r="H720" t="s">
        <v>81</v>
      </c>
      <c r="I720" s="2">
        <v>54</v>
      </c>
    </row>
    <row r="721" spans="1:9" x14ac:dyDescent="0.25">
      <c r="A721" t="s">
        <v>166</v>
      </c>
      <c r="B721" t="s">
        <v>167</v>
      </c>
      <c r="C721" t="s">
        <v>16</v>
      </c>
      <c r="D721" s="1">
        <v>0</v>
      </c>
      <c r="E721" s="2">
        <v>0</v>
      </c>
      <c r="F721" t="s">
        <v>81</v>
      </c>
      <c r="G721" t="s">
        <v>81</v>
      </c>
      <c r="H721" t="s">
        <v>81</v>
      </c>
      <c r="I721" s="2">
        <v>3</v>
      </c>
    </row>
    <row r="722" spans="1:9" x14ac:dyDescent="0.25">
      <c r="A722" t="s">
        <v>652</v>
      </c>
      <c r="B722" t="s">
        <v>653</v>
      </c>
      <c r="C722" t="s">
        <v>11</v>
      </c>
      <c r="D722" s="1">
        <v>0</v>
      </c>
      <c r="E722" s="2">
        <v>0</v>
      </c>
      <c r="F722" t="s">
        <v>81</v>
      </c>
      <c r="G722" t="s">
        <v>81</v>
      </c>
      <c r="H722" t="s">
        <v>81</v>
      </c>
      <c r="I722" s="2">
        <v>1</v>
      </c>
    </row>
    <row r="723" spans="1:9" x14ac:dyDescent="0.25">
      <c r="A723" t="s">
        <v>572</v>
      </c>
      <c r="B723" t="s">
        <v>573</v>
      </c>
      <c r="C723" t="s">
        <v>266</v>
      </c>
      <c r="D723" s="1">
        <v>0</v>
      </c>
      <c r="E723" s="2">
        <v>0</v>
      </c>
      <c r="F723" t="s">
        <v>81</v>
      </c>
      <c r="G723" t="s">
        <v>81</v>
      </c>
      <c r="H723" t="s">
        <v>81</v>
      </c>
      <c r="I723" s="2">
        <v>3</v>
      </c>
    </row>
    <row r="724" spans="1:9" x14ac:dyDescent="0.25">
      <c r="A724" t="s">
        <v>178</v>
      </c>
      <c r="B724" t="s">
        <v>179</v>
      </c>
      <c r="C724" t="s">
        <v>11</v>
      </c>
      <c r="D724" s="1">
        <v>0</v>
      </c>
      <c r="E724" s="2">
        <v>0</v>
      </c>
      <c r="F724" s="1">
        <v>32.700000000000003</v>
      </c>
      <c r="G724" s="1">
        <v>23.85</v>
      </c>
      <c r="H724" s="2">
        <v>1</v>
      </c>
      <c r="I724" t="s">
        <v>81</v>
      </c>
    </row>
    <row r="725" spans="1:9" x14ac:dyDescent="0.25">
      <c r="A725" t="s">
        <v>720</v>
      </c>
      <c r="B725" t="s">
        <v>721</v>
      </c>
      <c r="C725" t="s">
        <v>11</v>
      </c>
      <c r="D725" s="1">
        <v>0</v>
      </c>
      <c r="E725" s="2">
        <v>0</v>
      </c>
      <c r="F725" t="s">
        <v>81</v>
      </c>
      <c r="G725" t="s">
        <v>81</v>
      </c>
      <c r="H725" t="s">
        <v>81</v>
      </c>
      <c r="I725" s="2">
        <v>1</v>
      </c>
    </row>
    <row r="726" spans="1:9" x14ac:dyDescent="0.25">
      <c r="A726" t="s">
        <v>598</v>
      </c>
      <c r="B726" t="s">
        <v>599</v>
      </c>
      <c r="C726" t="s">
        <v>299</v>
      </c>
      <c r="D726" s="1">
        <v>0</v>
      </c>
      <c r="E726" s="2">
        <v>0</v>
      </c>
      <c r="F726" t="s">
        <v>81</v>
      </c>
      <c r="G726" t="s">
        <v>81</v>
      </c>
      <c r="H726" t="s">
        <v>81</v>
      </c>
      <c r="I726" t="s">
        <v>81</v>
      </c>
    </row>
    <row r="727" spans="1:9" x14ac:dyDescent="0.25">
      <c r="A727" t="s">
        <v>364</v>
      </c>
      <c r="B727" t="s">
        <v>365</v>
      </c>
      <c r="C727" t="s">
        <v>266</v>
      </c>
      <c r="D727" s="1">
        <v>0</v>
      </c>
      <c r="E727" s="2">
        <v>0</v>
      </c>
      <c r="F727" t="s">
        <v>81</v>
      </c>
      <c r="G727" t="s">
        <v>81</v>
      </c>
      <c r="H727" t="s">
        <v>81</v>
      </c>
      <c r="I727" t="s">
        <v>81</v>
      </c>
    </row>
    <row r="728" spans="1:9" x14ac:dyDescent="0.25">
      <c r="A728" t="s">
        <v>722</v>
      </c>
      <c r="B728" t="s">
        <v>723</v>
      </c>
      <c r="C728" t="s">
        <v>28</v>
      </c>
      <c r="D728" s="1">
        <v>0</v>
      </c>
      <c r="E728" s="2">
        <v>0</v>
      </c>
      <c r="F728" t="s">
        <v>81</v>
      </c>
      <c r="G728" t="s">
        <v>81</v>
      </c>
      <c r="H728" t="s">
        <v>81</v>
      </c>
      <c r="I728" t="s">
        <v>81</v>
      </c>
    </row>
    <row r="729" spans="1:9" x14ac:dyDescent="0.25">
      <c r="A729" t="s">
        <v>116</v>
      </c>
      <c r="B729" t="s">
        <v>117</v>
      </c>
      <c r="C729" t="s">
        <v>16</v>
      </c>
      <c r="D729" s="1">
        <v>0</v>
      </c>
      <c r="E729" s="2">
        <v>0</v>
      </c>
      <c r="F729" t="s">
        <v>81</v>
      </c>
      <c r="G729" t="s">
        <v>81</v>
      </c>
      <c r="H729" t="s">
        <v>81</v>
      </c>
      <c r="I729" s="2">
        <v>1</v>
      </c>
    </row>
    <row r="730" spans="1:9" x14ac:dyDescent="0.25">
      <c r="A730" t="s">
        <v>202</v>
      </c>
      <c r="B730" t="s">
        <v>197</v>
      </c>
      <c r="C730" t="s">
        <v>25</v>
      </c>
      <c r="D730" s="1">
        <v>0</v>
      </c>
      <c r="E730" s="2">
        <v>0</v>
      </c>
      <c r="F730" t="s">
        <v>81</v>
      </c>
      <c r="G730" t="s">
        <v>81</v>
      </c>
      <c r="H730" t="s">
        <v>81</v>
      </c>
      <c r="I730" s="2">
        <v>1</v>
      </c>
    </row>
    <row r="731" spans="1:9" x14ac:dyDescent="0.25">
      <c r="A731" t="s">
        <v>55</v>
      </c>
      <c r="B731" t="s">
        <v>56</v>
      </c>
      <c r="C731" t="s">
        <v>25</v>
      </c>
      <c r="D731" s="1">
        <v>0</v>
      </c>
      <c r="E731" s="2">
        <v>0</v>
      </c>
      <c r="F731" t="s">
        <v>81</v>
      </c>
      <c r="G731" t="s">
        <v>81</v>
      </c>
      <c r="H731" t="s">
        <v>81</v>
      </c>
      <c r="I731" s="2">
        <v>1</v>
      </c>
    </row>
    <row r="732" spans="1:9" x14ac:dyDescent="0.25">
      <c r="A732" t="s">
        <v>88</v>
      </c>
      <c r="B732" t="s">
        <v>89</v>
      </c>
      <c r="C732" t="s">
        <v>16</v>
      </c>
      <c r="D732" s="1">
        <v>0</v>
      </c>
      <c r="E732" s="2">
        <v>0</v>
      </c>
      <c r="F732" t="s">
        <v>81</v>
      </c>
      <c r="G732" t="s">
        <v>81</v>
      </c>
      <c r="H732" t="s">
        <v>81</v>
      </c>
      <c r="I732" s="2">
        <v>1</v>
      </c>
    </row>
    <row r="733" spans="1:9" x14ac:dyDescent="0.25">
      <c r="A733" t="s">
        <v>289</v>
      </c>
      <c r="B733" t="s">
        <v>290</v>
      </c>
      <c r="C733" t="s">
        <v>25</v>
      </c>
      <c r="D733" s="1">
        <v>0</v>
      </c>
      <c r="E733" s="2">
        <v>0</v>
      </c>
      <c r="F733" s="1">
        <v>22.23</v>
      </c>
      <c r="G733" s="1">
        <v>13.94</v>
      </c>
      <c r="H733" s="2">
        <v>1</v>
      </c>
      <c r="I733" t="s">
        <v>81</v>
      </c>
    </row>
    <row r="734" spans="1:9" x14ac:dyDescent="0.25">
      <c r="A734" t="s">
        <v>53</v>
      </c>
      <c r="B734" t="s">
        <v>54</v>
      </c>
      <c r="C734" t="s">
        <v>25</v>
      </c>
      <c r="D734" s="1">
        <v>0</v>
      </c>
      <c r="E734" s="2">
        <v>0</v>
      </c>
      <c r="F734" t="s">
        <v>81</v>
      </c>
      <c r="G734" t="s">
        <v>81</v>
      </c>
      <c r="H734" t="s">
        <v>81</v>
      </c>
      <c r="I734" s="2">
        <v>1</v>
      </c>
    </row>
    <row r="735" spans="1:9" x14ac:dyDescent="0.25">
      <c r="A735" t="s">
        <v>378</v>
      </c>
      <c r="B735" t="s">
        <v>379</v>
      </c>
      <c r="C735" t="s">
        <v>299</v>
      </c>
      <c r="D735" s="1">
        <v>0</v>
      </c>
      <c r="E735" s="2">
        <v>0</v>
      </c>
      <c r="F735" t="s">
        <v>81</v>
      </c>
      <c r="G735" t="s">
        <v>81</v>
      </c>
      <c r="H735" t="s">
        <v>81</v>
      </c>
      <c r="I735" t="s">
        <v>81</v>
      </c>
    </row>
    <row r="736" spans="1:9" x14ac:dyDescent="0.25">
      <c r="A736" t="s">
        <v>106</v>
      </c>
      <c r="B736" t="s">
        <v>107</v>
      </c>
      <c r="C736" t="s">
        <v>25</v>
      </c>
      <c r="D736" s="1">
        <v>0</v>
      </c>
      <c r="E736" s="2">
        <v>0</v>
      </c>
      <c r="F736" t="s">
        <v>81</v>
      </c>
      <c r="G736" t="s">
        <v>81</v>
      </c>
      <c r="H736" t="s">
        <v>81</v>
      </c>
      <c r="I736" s="2">
        <v>1</v>
      </c>
    </row>
    <row r="737" spans="1:9" x14ac:dyDescent="0.25">
      <c r="A737" t="s">
        <v>434</v>
      </c>
      <c r="B737" t="s">
        <v>435</v>
      </c>
      <c r="C737" t="s">
        <v>11</v>
      </c>
      <c r="D737" s="1">
        <v>0</v>
      </c>
      <c r="E737" s="2">
        <v>0</v>
      </c>
      <c r="F737" t="s">
        <v>81</v>
      </c>
      <c r="G737" t="s">
        <v>81</v>
      </c>
      <c r="H737" t="s">
        <v>81</v>
      </c>
      <c r="I737" s="2">
        <v>1</v>
      </c>
    </row>
    <row r="738" spans="1:9" x14ac:dyDescent="0.25">
      <c r="A738" t="s">
        <v>232</v>
      </c>
      <c r="B738" t="s">
        <v>233</v>
      </c>
      <c r="C738" t="s">
        <v>207</v>
      </c>
      <c r="D738" s="1">
        <v>0</v>
      </c>
      <c r="E738" s="2">
        <v>0</v>
      </c>
      <c r="F738" t="s">
        <v>81</v>
      </c>
      <c r="G738" t="s">
        <v>81</v>
      </c>
      <c r="H738" t="s">
        <v>81</v>
      </c>
      <c r="I738" s="2">
        <v>2</v>
      </c>
    </row>
    <row r="739" spans="1:9" x14ac:dyDescent="0.25">
      <c r="A739" t="s">
        <v>354</v>
      </c>
      <c r="B739" t="s">
        <v>355</v>
      </c>
      <c r="C739" t="s">
        <v>25</v>
      </c>
      <c r="D739" s="1">
        <v>0</v>
      </c>
      <c r="E739" s="2">
        <v>0</v>
      </c>
      <c r="F739" t="s">
        <v>81</v>
      </c>
      <c r="G739" t="s">
        <v>81</v>
      </c>
      <c r="H739" t="s">
        <v>81</v>
      </c>
      <c r="I739" s="2">
        <v>1</v>
      </c>
    </row>
    <row r="740" spans="1:9" x14ac:dyDescent="0.25">
      <c r="A740" t="s">
        <v>55</v>
      </c>
      <c r="B740" t="s">
        <v>56</v>
      </c>
      <c r="C740" t="s">
        <v>28</v>
      </c>
      <c r="D740" s="1">
        <v>0</v>
      </c>
      <c r="E740" s="2">
        <v>0</v>
      </c>
      <c r="F740" t="s">
        <v>81</v>
      </c>
      <c r="G740" t="s">
        <v>81</v>
      </c>
      <c r="H740" t="s">
        <v>81</v>
      </c>
      <c r="I740" s="2">
        <v>1</v>
      </c>
    </row>
    <row r="741" spans="1:9" x14ac:dyDescent="0.25">
      <c r="A741" t="s">
        <v>256</v>
      </c>
      <c r="B741" t="s">
        <v>257</v>
      </c>
      <c r="C741" t="s">
        <v>266</v>
      </c>
      <c r="D741" s="1">
        <v>0</v>
      </c>
      <c r="E741" s="2">
        <v>0</v>
      </c>
      <c r="F741" t="s">
        <v>81</v>
      </c>
      <c r="G741" t="s">
        <v>81</v>
      </c>
      <c r="H741" t="s">
        <v>81</v>
      </c>
      <c r="I741" s="2">
        <v>1</v>
      </c>
    </row>
    <row r="742" spans="1:9" x14ac:dyDescent="0.25">
      <c r="A742" t="s">
        <v>258</v>
      </c>
      <c r="B742" t="s">
        <v>259</v>
      </c>
      <c r="C742" t="s">
        <v>28</v>
      </c>
      <c r="D742" s="1">
        <v>0</v>
      </c>
      <c r="E742" s="2">
        <v>0</v>
      </c>
      <c r="F742" t="s">
        <v>81</v>
      </c>
      <c r="G742" t="s">
        <v>81</v>
      </c>
      <c r="H742" t="s">
        <v>81</v>
      </c>
      <c r="I742" s="2">
        <v>1</v>
      </c>
    </row>
    <row r="743" spans="1:9" x14ac:dyDescent="0.25">
      <c r="A743" t="s">
        <v>142</v>
      </c>
      <c r="B743" t="s">
        <v>143</v>
      </c>
      <c r="C743" t="s">
        <v>266</v>
      </c>
      <c r="D743" s="1">
        <v>0</v>
      </c>
      <c r="E743" s="2">
        <v>0</v>
      </c>
      <c r="F743" t="s">
        <v>81</v>
      </c>
      <c r="G743" t="s">
        <v>81</v>
      </c>
      <c r="H743" t="s">
        <v>81</v>
      </c>
      <c r="I743" s="2">
        <v>1</v>
      </c>
    </row>
    <row r="744" spans="1:9" x14ac:dyDescent="0.25">
      <c r="A744" t="s">
        <v>422</v>
      </c>
      <c r="B744" t="s">
        <v>423</v>
      </c>
      <c r="C744" t="s">
        <v>11</v>
      </c>
      <c r="D744" s="1">
        <v>0</v>
      </c>
      <c r="E744" s="2">
        <v>0</v>
      </c>
      <c r="F744" t="s">
        <v>81</v>
      </c>
      <c r="G744" t="s">
        <v>81</v>
      </c>
      <c r="H744" t="s">
        <v>81</v>
      </c>
      <c r="I744" s="2">
        <v>1</v>
      </c>
    </row>
    <row r="745" spans="1:9" x14ac:dyDescent="0.25">
      <c r="A745" t="s">
        <v>724</v>
      </c>
      <c r="B745" t="s">
        <v>725</v>
      </c>
      <c r="C745" t="s">
        <v>11</v>
      </c>
      <c r="D745" s="1">
        <v>0</v>
      </c>
      <c r="E745" s="2">
        <v>0</v>
      </c>
      <c r="F745" t="s">
        <v>81</v>
      </c>
      <c r="G745" t="s">
        <v>81</v>
      </c>
      <c r="H745" t="s">
        <v>81</v>
      </c>
      <c r="I745" t="s">
        <v>81</v>
      </c>
    </row>
    <row r="746" spans="1:9" x14ac:dyDescent="0.25">
      <c r="A746" t="s">
        <v>318</v>
      </c>
      <c r="B746" t="s">
        <v>319</v>
      </c>
      <c r="C746" t="s">
        <v>11</v>
      </c>
      <c r="D746" s="1">
        <v>0</v>
      </c>
      <c r="E746" s="2">
        <v>0</v>
      </c>
      <c r="F746" t="s">
        <v>81</v>
      </c>
      <c r="G746" t="s">
        <v>81</v>
      </c>
      <c r="H746" t="s">
        <v>81</v>
      </c>
      <c r="I746" t="s">
        <v>81</v>
      </c>
    </row>
    <row r="747" spans="1:9" x14ac:dyDescent="0.25">
      <c r="A747" t="s">
        <v>726</v>
      </c>
      <c r="B747" t="s">
        <v>727</v>
      </c>
      <c r="C747" t="s">
        <v>11</v>
      </c>
      <c r="D747" s="1">
        <v>0</v>
      </c>
      <c r="E747" s="2">
        <v>0</v>
      </c>
      <c r="F747" t="s">
        <v>81</v>
      </c>
      <c r="G747" t="s">
        <v>81</v>
      </c>
      <c r="H747" t="s">
        <v>81</v>
      </c>
      <c r="I747" t="s">
        <v>81</v>
      </c>
    </row>
    <row r="748" spans="1:9" x14ac:dyDescent="0.25">
      <c r="A748" t="s">
        <v>94</v>
      </c>
      <c r="B748" t="s">
        <v>95</v>
      </c>
      <c r="C748" t="s">
        <v>266</v>
      </c>
      <c r="D748" s="1">
        <v>0</v>
      </c>
      <c r="E748" s="2">
        <v>0</v>
      </c>
      <c r="F748" t="s">
        <v>81</v>
      </c>
      <c r="G748" t="s">
        <v>81</v>
      </c>
      <c r="H748" t="s">
        <v>81</v>
      </c>
      <c r="I748" s="2">
        <v>1</v>
      </c>
    </row>
    <row r="749" spans="1:9" x14ac:dyDescent="0.25">
      <c r="A749" t="s">
        <v>728</v>
      </c>
      <c r="B749" t="s">
        <v>729</v>
      </c>
      <c r="C749" t="s">
        <v>11</v>
      </c>
      <c r="D749" s="1">
        <v>0</v>
      </c>
      <c r="E749" s="2">
        <v>0</v>
      </c>
      <c r="F749" t="s">
        <v>81</v>
      </c>
      <c r="G749" t="s">
        <v>81</v>
      </c>
      <c r="H749" t="s">
        <v>81</v>
      </c>
      <c r="I749" t="s">
        <v>81</v>
      </c>
    </row>
    <row r="750" spans="1:9" x14ac:dyDescent="0.25">
      <c r="A750" t="s">
        <v>386</v>
      </c>
      <c r="B750" t="s">
        <v>387</v>
      </c>
      <c r="C750" t="s">
        <v>11</v>
      </c>
      <c r="D750" s="1">
        <v>0</v>
      </c>
      <c r="E750" s="2">
        <v>0</v>
      </c>
      <c r="F750" t="s">
        <v>81</v>
      </c>
      <c r="G750" t="s">
        <v>81</v>
      </c>
      <c r="H750" t="s">
        <v>81</v>
      </c>
      <c r="I750" t="s">
        <v>81</v>
      </c>
    </row>
    <row r="751" spans="1:9" x14ac:dyDescent="0.25">
      <c r="A751" t="s">
        <v>400</v>
      </c>
      <c r="B751" t="s">
        <v>401</v>
      </c>
      <c r="C751" t="s">
        <v>25</v>
      </c>
      <c r="D751" s="1">
        <v>0</v>
      </c>
      <c r="E751" s="2">
        <v>0</v>
      </c>
      <c r="F751" t="s">
        <v>81</v>
      </c>
      <c r="G751" t="s">
        <v>81</v>
      </c>
      <c r="H751" t="s">
        <v>81</v>
      </c>
      <c r="I751" t="s">
        <v>81</v>
      </c>
    </row>
    <row r="752" spans="1:9" x14ac:dyDescent="0.25">
      <c r="A752" t="s">
        <v>662</v>
      </c>
      <c r="B752" t="s">
        <v>663</v>
      </c>
      <c r="C752" t="s">
        <v>207</v>
      </c>
      <c r="D752" s="1">
        <v>0</v>
      </c>
      <c r="E752" s="2">
        <v>0</v>
      </c>
      <c r="F752" t="s">
        <v>81</v>
      </c>
      <c r="G752" t="s">
        <v>81</v>
      </c>
      <c r="H752" t="s">
        <v>81</v>
      </c>
      <c r="I752" s="2">
        <v>1</v>
      </c>
    </row>
    <row r="753" spans="1:9" x14ac:dyDescent="0.25">
      <c r="A753" t="s">
        <v>21</v>
      </c>
      <c r="B753" t="s">
        <v>22</v>
      </c>
      <c r="C753" t="s">
        <v>28</v>
      </c>
      <c r="D753" s="1">
        <v>0</v>
      </c>
      <c r="E753" s="2">
        <v>0</v>
      </c>
      <c r="F753" t="s">
        <v>81</v>
      </c>
      <c r="G753" t="s">
        <v>81</v>
      </c>
      <c r="H753" t="s">
        <v>81</v>
      </c>
      <c r="I753" s="2">
        <v>1</v>
      </c>
    </row>
    <row r="754" spans="1:9" x14ac:dyDescent="0.25">
      <c r="A754" t="s">
        <v>468</v>
      </c>
      <c r="B754" t="s">
        <v>469</v>
      </c>
      <c r="C754" t="s">
        <v>299</v>
      </c>
      <c r="D754" s="1">
        <v>0</v>
      </c>
      <c r="E754" s="2">
        <v>0</v>
      </c>
      <c r="F754" t="s">
        <v>81</v>
      </c>
      <c r="G754" t="s">
        <v>81</v>
      </c>
      <c r="H754" t="s">
        <v>81</v>
      </c>
      <c r="I754" s="2">
        <v>1</v>
      </c>
    </row>
    <row r="755" spans="1:9" x14ac:dyDescent="0.25">
      <c r="A755" t="s">
        <v>73</v>
      </c>
      <c r="B755" t="s">
        <v>74</v>
      </c>
      <c r="C755" t="s">
        <v>207</v>
      </c>
      <c r="D755" s="1">
        <v>0</v>
      </c>
      <c r="E755" s="2">
        <v>0</v>
      </c>
      <c r="F755" t="s">
        <v>81</v>
      </c>
      <c r="G755" t="s">
        <v>81</v>
      </c>
      <c r="H755" t="s">
        <v>81</v>
      </c>
      <c r="I755" t="s">
        <v>81</v>
      </c>
    </row>
    <row r="756" spans="1:9" x14ac:dyDescent="0.25">
      <c r="A756" t="s">
        <v>564</v>
      </c>
      <c r="B756" t="s">
        <v>565</v>
      </c>
      <c r="C756" t="s">
        <v>25</v>
      </c>
      <c r="D756" s="1">
        <v>0</v>
      </c>
      <c r="E756" s="2">
        <v>0</v>
      </c>
      <c r="F756" t="s">
        <v>81</v>
      </c>
      <c r="G756" t="s">
        <v>81</v>
      </c>
      <c r="H756" t="s">
        <v>81</v>
      </c>
      <c r="I756" t="s">
        <v>81</v>
      </c>
    </row>
    <row r="757" spans="1:9" x14ac:dyDescent="0.25">
      <c r="A757" t="s">
        <v>45</v>
      </c>
      <c r="B757" t="s">
        <v>46</v>
      </c>
      <c r="C757" t="s">
        <v>28</v>
      </c>
      <c r="D757" s="1">
        <v>0</v>
      </c>
      <c r="E757" s="2">
        <v>0</v>
      </c>
      <c r="F757" t="s">
        <v>81</v>
      </c>
      <c r="G757" t="s">
        <v>81</v>
      </c>
      <c r="H757" t="s">
        <v>81</v>
      </c>
      <c r="I757" s="2">
        <v>1</v>
      </c>
    </row>
    <row r="758" spans="1:9" x14ac:dyDescent="0.25">
      <c r="A758" t="s">
        <v>730</v>
      </c>
      <c r="B758" t="s">
        <v>731</v>
      </c>
      <c r="C758" t="s">
        <v>11</v>
      </c>
      <c r="D758" s="1">
        <v>-5.12</v>
      </c>
      <c r="E758" s="2">
        <v>-1</v>
      </c>
      <c r="F758" t="s">
        <v>81</v>
      </c>
      <c r="G758" t="s">
        <v>81</v>
      </c>
      <c r="H758" t="s">
        <v>81</v>
      </c>
      <c r="I758" t="s">
        <v>81</v>
      </c>
    </row>
    <row r="759" spans="1:9" x14ac:dyDescent="0.25">
      <c r="A759" t="s">
        <v>35</v>
      </c>
      <c r="B759" t="s">
        <v>36</v>
      </c>
      <c r="C759" t="s">
        <v>207</v>
      </c>
      <c r="D759" s="1">
        <v>-19.12</v>
      </c>
      <c r="E759" s="2">
        <v>-1</v>
      </c>
      <c r="F759" t="s">
        <v>81</v>
      </c>
      <c r="G759" t="s">
        <v>81</v>
      </c>
      <c r="H759" t="s">
        <v>81</v>
      </c>
      <c r="I759" t="s">
        <v>81</v>
      </c>
    </row>
    <row r="760" spans="1:9" x14ac:dyDescent="0.25">
      <c r="A760" t="s">
        <v>77</v>
      </c>
      <c r="B760" t="s">
        <v>78</v>
      </c>
      <c r="C760" t="s">
        <v>11</v>
      </c>
      <c r="D760" s="1">
        <v>-230.16</v>
      </c>
      <c r="E760" s="2">
        <v>-4</v>
      </c>
      <c r="F760" t="s">
        <v>81</v>
      </c>
      <c r="G760" t="s">
        <v>81</v>
      </c>
      <c r="H760" t="s">
        <v>81</v>
      </c>
      <c r="I760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08F4-C107-42B0-9CC2-19854262634E}">
  <dimension ref="A1:AI2534"/>
  <sheetViews>
    <sheetView workbookViewId="0">
      <selection sqref="A1:AI2534"/>
    </sheetView>
  </sheetViews>
  <sheetFormatPr defaultRowHeight="15" x14ac:dyDescent="0.25"/>
  <sheetData>
    <row r="1" spans="1:35" x14ac:dyDescent="0.25">
      <c r="A1" t="s">
        <v>732</v>
      </c>
      <c r="B1" t="s">
        <v>733</v>
      </c>
      <c r="C1" t="s">
        <v>734</v>
      </c>
      <c r="D1" t="s">
        <v>735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742</v>
      </c>
      <c r="L1" t="s">
        <v>743</v>
      </c>
      <c r="M1" t="s">
        <v>744</v>
      </c>
      <c r="N1" t="s">
        <v>745</v>
      </c>
      <c r="O1" t="s">
        <v>746</v>
      </c>
      <c r="P1" t="s">
        <v>747</v>
      </c>
      <c r="Q1" t="s">
        <v>748</v>
      </c>
      <c r="R1" t="s">
        <v>749</v>
      </c>
      <c r="S1" t="s">
        <v>750</v>
      </c>
      <c r="T1" t="s">
        <v>751</v>
      </c>
      <c r="U1" t="s">
        <v>752</v>
      </c>
      <c r="V1" t="s">
        <v>753</v>
      </c>
      <c r="W1" t="s">
        <v>754</v>
      </c>
      <c r="X1" t="s">
        <v>755</v>
      </c>
      <c r="Y1" t="s">
        <v>756</v>
      </c>
      <c r="Z1" t="s">
        <v>757</v>
      </c>
      <c r="AA1" t="s">
        <v>758</v>
      </c>
      <c r="AB1" t="s">
        <v>759</v>
      </c>
      <c r="AC1" t="s">
        <v>760</v>
      </c>
      <c r="AD1" t="s">
        <v>761</v>
      </c>
      <c r="AE1" t="s">
        <v>762</v>
      </c>
      <c r="AF1" t="s">
        <v>763</v>
      </c>
      <c r="AG1" t="s">
        <v>764</v>
      </c>
      <c r="AH1" t="s">
        <v>765</v>
      </c>
      <c r="AI1" t="s">
        <v>766</v>
      </c>
    </row>
    <row r="2" spans="1:35" x14ac:dyDescent="0.25">
      <c r="A2" t="s">
        <v>767</v>
      </c>
      <c r="B2" t="s">
        <v>767</v>
      </c>
      <c r="C2" t="s">
        <v>768</v>
      </c>
      <c r="D2" t="s">
        <v>769</v>
      </c>
      <c r="E2" t="s">
        <v>770</v>
      </c>
      <c r="F2" t="s">
        <v>771</v>
      </c>
      <c r="G2" t="s">
        <v>772</v>
      </c>
      <c r="J2" t="s">
        <v>773</v>
      </c>
      <c r="K2" t="s">
        <v>774</v>
      </c>
      <c r="L2" t="s">
        <v>775</v>
      </c>
      <c r="M2" t="s">
        <v>65</v>
      </c>
      <c r="N2" t="s">
        <v>770</v>
      </c>
      <c r="O2">
        <v>1</v>
      </c>
      <c r="P2" t="s">
        <v>776</v>
      </c>
      <c r="Q2">
        <v>39.9</v>
      </c>
      <c r="S2">
        <v>1</v>
      </c>
      <c r="X2">
        <v>1</v>
      </c>
      <c r="Y2" t="s">
        <v>777</v>
      </c>
      <c r="AA2">
        <v>63000</v>
      </c>
      <c r="AB2" t="s">
        <v>28</v>
      </c>
      <c r="AC2" t="s">
        <v>778</v>
      </c>
    </row>
    <row r="3" spans="1:35" x14ac:dyDescent="0.25">
      <c r="A3" t="s">
        <v>779</v>
      </c>
      <c r="B3" t="s">
        <v>779</v>
      </c>
      <c r="C3" t="s">
        <v>780</v>
      </c>
      <c r="D3" t="s">
        <v>781</v>
      </c>
      <c r="E3" t="s">
        <v>782</v>
      </c>
      <c r="F3" t="s">
        <v>771</v>
      </c>
      <c r="G3" t="s">
        <v>772</v>
      </c>
      <c r="J3" t="s">
        <v>783</v>
      </c>
      <c r="K3" t="s">
        <v>774</v>
      </c>
      <c r="L3" t="s">
        <v>775</v>
      </c>
      <c r="M3" t="s">
        <v>65</v>
      </c>
      <c r="N3" t="s">
        <v>782</v>
      </c>
      <c r="O3">
        <v>0</v>
      </c>
      <c r="Y3" t="s">
        <v>784</v>
      </c>
      <c r="AA3">
        <v>90800</v>
      </c>
      <c r="AB3" t="s">
        <v>28</v>
      </c>
    </row>
    <row r="4" spans="1:35" x14ac:dyDescent="0.25">
      <c r="A4" t="s">
        <v>785</v>
      </c>
      <c r="B4" t="s">
        <v>785</v>
      </c>
      <c r="C4" t="s">
        <v>786</v>
      </c>
      <c r="D4" t="s">
        <v>787</v>
      </c>
      <c r="E4" t="s">
        <v>770</v>
      </c>
      <c r="F4" t="s">
        <v>771</v>
      </c>
      <c r="G4" t="s">
        <v>772</v>
      </c>
      <c r="J4" t="s">
        <v>783</v>
      </c>
      <c r="K4" t="s">
        <v>774</v>
      </c>
      <c r="L4" t="s">
        <v>775</v>
      </c>
      <c r="M4" t="s">
        <v>65</v>
      </c>
      <c r="N4" t="s">
        <v>770</v>
      </c>
      <c r="O4">
        <v>1</v>
      </c>
      <c r="P4" t="s">
        <v>776</v>
      </c>
      <c r="Q4">
        <v>39.9</v>
      </c>
      <c r="Y4" t="s">
        <v>788</v>
      </c>
      <c r="AA4">
        <v>13220</v>
      </c>
      <c r="AB4" t="s">
        <v>28</v>
      </c>
    </row>
    <row r="5" spans="1:35" x14ac:dyDescent="0.25">
      <c r="A5" t="s">
        <v>789</v>
      </c>
      <c r="B5" t="s">
        <v>789</v>
      </c>
      <c r="C5" t="s">
        <v>790</v>
      </c>
      <c r="D5" t="s">
        <v>791</v>
      </c>
      <c r="E5" t="s">
        <v>770</v>
      </c>
      <c r="F5" t="s">
        <v>771</v>
      </c>
      <c r="G5" t="s">
        <v>772</v>
      </c>
      <c r="J5" t="s">
        <v>783</v>
      </c>
      <c r="K5" t="s">
        <v>774</v>
      </c>
      <c r="L5" t="s">
        <v>775</v>
      </c>
      <c r="M5" t="s">
        <v>65</v>
      </c>
      <c r="N5" t="s">
        <v>770</v>
      </c>
      <c r="O5">
        <v>1</v>
      </c>
      <c r="P5" t="s">
        <v>776</v>
      </c>
      <c r="Q5">
        <v>39.9</v>
      </c>
      <c r="Y5" t="s">
        <v>792</v>
      </c>
      <c r="AA5">
        <v>60440</v>
      </c>
      <c r="AB5" t="s">
        <v>28</v>
      </c>
    </row>
    <row r="6" spans="1:35" x14ac:dyDescent="0.25">
      <c r="A6" t="s">
        <v>793</v>
      </c>
      <c r="B6" t="s">
        <v>793</v>
      </c>
      <c r="C6" t="s">
        <v>794</v>
      </c>
      <c r="D6" t="s">
        <v>795</v>
      </c>
      <c r="E6" t="s">
        <v>770</v>
      </c>
      <c r="F6" t="s">
        <v>771</v>
      </c>
      <c r="G6" t="s">
        <v>772</v>
      </c>
      <c r="J6" t="s">
        <v>783</v>
      </c>
      <c r="K6" t="s">
        <v>774</v>
      </c>
      <c r="L6" t="s">
        <v>775</v>
      </c>
      <c r="M6" t="s">
        <v>65</v>
      </c>
      <c r="N6" t="s">
        <v>770</v>
      </c>
      <c r="O6">
        <v>1</v>
      </c>
      <c r="P6" t="s">
        <v>776</v>
      </c>
      <c r="Q6">
        <v>39.9</v>
      </c>
      <c r="Y6" t="s">
        <v>796</v>
      </c>
      <c r="AA6">
        <v>1180</v>
      </c>
      <c r="AB6" t="s">
        <v>797</v>
      </c>
    </row>
    <row r="7" spans="1:35" x14ac:dyDescent="0.25">
      <c r="A7" t="s">
        <v>798</v>
      </c>
      <c r="B7" t="s">
        <v>798</v>
      </c>
      <c r="C7" t="s">
        <v>799</v>
      </c>
      <c r="D7" t="s">
        <v>800</v>
      </c>
      <c r="E7" t="s">
        <v>770</v>
      </c>
      <c r="F7" t="s">
        <v>771</v>
      </c>
      <c r="G7" t="s">
        <v>772</v>
      </c>
      <c r="J7" t="s">
        <v>783</v>
      </c>
      <c r="K7" t="s">
        <v>774</v>
      </c>
      <c r="L7" t="s">
        <v>775</v>
      </c>
      <c r="M7" t="s">
        <v>65</v>
      </c>
      <c r="N7" t="s">
        <v>770</v>
      </c>
      <c r="O7">
        <v>1</v>
      </c>
      <c r="P7" t="s">
        <v>776</v>
      </c>
      <c r="Q7">
        <v>39.9</v>
      </c>
      <c r="Y7" t="s">
        <v>801</v>
      </c>
      <c r="AA7">
        <v>41500</v>
      </c>
      <c r="AB7" t="s">
        <v>28</v>
      </c>
    </row>
    <row r="8" spans="1:35" x14ac:dyDescent="0.25">
      <c r="A8" t="s">
        <v>802</v>
      </c>
      <c r="B8" t="s">
        <v>802</v>
      </c>
      <c r="C8" t="s">
        <v>803</v>
      </c>
      <c r="D8" t="s">
        <v>804</v>
      </c>
      <c r="E8" t="s">
        <v>770</v>
      </c>
      <c r="F8" t="s">
        <v>771</v>
      </c>
      <c r="G8" t="s">
        <v>772</v>
      </c>
      <c r="J8" t="s">
        <v>783</v>
      </c>
      <c r="K8" t="s">
        <v>805</v>
      </c>
      <c r="L8" t="s">
        <v>806</v>
      </c>
      <c r="M8" t="s">
        <v>202</v>
      </c>
      <c r="N8" t="s">
        <v>770</v>
      </c>
      <c r="O8">
        <v>1</v>
      </c>
      <c r="P8" t="s">
        <v>776</v>
      </c>
      <c r="Q8">
        <v>19.899999999999999</v>
      </c>
      <c r="Y8" t="s">
        <v>807</v>
      </c>
      <c r="AA8">
        <v>22810</v>
      </c>
      <c r="AB8" t="s">
        <v>28</v>
      </c>
    </row>
    <row r="9" spans="1:35" x14ac:dyDescent="0.25">
      <c r="A9" t="s">
        <v>808</v>
      </c>
      <c r="B9" t="s">
        <v>808</v>
      </c>
      <c r="C9" t="s">
        <v>809</v>
      </c>
      <c r="D9" t="s">
        <v>810</v>
      </c>
      <c r="E9" t="s">
        <v>770</v>
      </c>
      <c r="F9" t="s">
        <v>771</v>
      </c>
      <c r="G9" t="s">
        <v>772</v>
      </c>
      <c r="J9" t="s">
        <v>783</v>
      </c>
      <c r="K9" t="s">
        <v>774</v>
      </c>
      <c r="L9" t="s">
        <v>775</v>
      </c>
      <c r="M9" t="s">
        <v>65</v>
      </c>
      <c r="N9" t="s">
        <v>770</v>
      </c>
      <c r="O9">
        <v>1</v>
      </c>
      <c r="P9" t="s">
        <v>776</v>
      </c>
      <c r="Q9">
        <v>39.9</v>
      </c>
      <c r="Y9" t="s">
        <v>811</v>
      </c>
      <c r="AA9">
        <v>14190</v>
      </c>
      <c r="AB9" t="s">
        <v>28</v>
      </c>
    </row>
    <row r="10" spans="1:35" x14ac:dyDescent="0.25">
      <c r="A10" t="s">
        <v>812</v>
      </c>
      <c r="B10" t="s">
        <v>812</v>
      </c>
      <c r="C10" t="s">
        <v>813</v>
      </c>
      <c r="D10" t="s">
        <v>814</v>
      </c>
      <c r="E10" t="s">
        <v>782</v>
      </c>
      <c r="F10" t="s">
        <v>771</v>
      </c>
      <c r="G10" t="s">
        <v>772</v>
      </c>
      <c r="J10" t="s">
        <v>773</v>
      </c>
      <c r="K10" t="s">
        <v>774</v>
      </c>
      <c r="L10" t="s">
        <v>775</v>
      </c>
      <c r="M10" t="s">
        <v>65</v>
      </c>
      <c r="N10" t="s">
        <v>782</v>
      </c>
      <c r="O10">
        <v>0</v>
      </c>
      <c r="Y10" t="s">
        <v>815</v>
      </c>
      <c r="AA10">
        <v>60180</v>
      </c>
      <c r="AB10" t="s">
        <v>28</v>
      </c>
    </row>
    <row r="11" spans="1:35" x14ac:dyDescent="0.25">
      <c r="A11" t="s">
        <v>816</v>
      </c>
      <c r="B11" t="s">
        <v>816</v>
      </c>
      <c r="C11" t="s">
        <v>817</v>
      </c>
      <c r="D11" t="s">
        <v>818</v>
      </c>
      <c r="E11" t="s">
        <v>770</v>
      </c>
      <c r="F11" t="s">
        <v>771</v>
      </c>
      <c r="G11" t="s">
        <v>772</v>
      </c>
      <c r="J11" t="s">
        <v>783</v>
      </c>
      <c r="K11" t="s">
        <v>774</v>
      </c>
      <c r="L11" t="s">
        <v>775</v>
      </c>
      <c r="M11" t="s">
        <v>65</v>
      </c>
      <c r="N11" t="s">
        <v>770</v>
      </c>
      <c r="O11">
        <v>1</v>
      </c>
      <c r="P11" t="s">
        <v>776</v>
      </c>
      <c r="Q11">
        <v>39.9</v>
      </c>
      <c r="Y11" t="s">
        <v>819</v>
      </c>
      <c r="AA11">
        <v>75013</v>
      </c>
      <c r="AB11" t="s">
        <v>28</v>
      </c>
    </row>
    <row r="12" spans="1:35" x14ac:dyDescent="0.25">
      <c r="A12" t="s">
        <v>820</v>
      </c>
      <c r="B12" t="s">
        <v>820</v>
      </c>
      <c r="C12" t="s">
        <v>821</v>
      </c>
      <c r="D12" t="s">
        <v>822</v>
      </c>
      <c r="E12" t="s">
        <v>770</v>
      </c>
      <c r="F12" t="s">
        <v>771</v>
      </c>
      <c r="G12" t="s">
        <v>772</v>
      </c>
      <c r="J12" t="s">
        <v>783</v>
      </c>
      <c r="K12" t="s">
        <v>774</v>
      </c>
      <c r="L12" t="s">
        <v>775</v>
      </c>
      <c r="M12" t="s">
        <v>65</v>
      </c>
      <c r="N12" t="s">
        <v>770</v>
      </c>
      <c r="O12">
        <v>1</v>
      </c>
      <c r="P12" t="s">
        <v>776</v>
      </c>
      <c r="Q12">
        <v>39.9</v>
      </c>
      <c r="S12">
        <v>2.99</v>
      </c>
      <c r="Y12" t="s">
        <v>823</v>
      </c>
      <c r="AA12">
        <v>4460</v>
      </c>
      <c r="AB12" t="s">
        <v>797</v>
      </c>
    </row>
    <row r="13" spans="1:35" x14ac:dyDescent="0.25">
      <c r="A13" t="s">
        <v>824</v>
      </c>
      <c r="B13" t="s">
        <v>824</v>
      </c>
      <c r="C13" t="s">
        <v>825</v>
      </c>
      <c r="D13" t="s">
        <v>826</v>
      </c>
      <c r="E13" t="s">
        <v>770</v>
      </c>
      <c r="F13" t="s">
        <v>771</v>
      </c>
      <c r="G13" t="s">
        <v>772</v>
      </c>
      <c r="J13" t="s">
        <v>783</v>
      </c>
      <c r="K13" t="s">
        <v>774</v>
      </c>
      <c r="L13" t="s">
        <v>775</v>
      </c>
      <c r="M13" t="s">
        <v>65</v>
      </c>
      <c r="N13" t="s">
        <v>770</v>
      </c>
      <c r="O13">
        <v>1</v>
      </c>
      <c r="P13" t="s">
        <v>776</v>
      </c>
      <c r="Q13">
        <v>39.9</v>
      </c>
      <c r="Y13" t="s">
        <v>827</v>
      </c>
      <c r="AA13">
        <v>11400</v>
      </c>
      <c r="AB13" t="s">
        <v>28</v>
      </c>
    </row>
    <row r="14" spans="1:35" x14ac:dyDescent="0.25">
      <c r="A14" t="s">
        <v>828</v>
      </c>
      <c r="B14" t="s">
        <v>828</v>
      </c>
      <c r="C14" t="s">
        <v>829</v>
      </c>
      <c r="D14" t="s">
        <v>830</v>
      </c>
      <c r="E14" t="s">
        <v>770</v>
      </c>
      <c r="F14" t="s">
        <v>771</v>
      </c>
      <c r="G14" t="s">
        <v>772</v>
      </c>
      <c r="J14" t="s">
        <v>783</v>
      </c>
      <c r="K14" t="s">
        <v>774</v>
      </c>
      <c r="L14" t="s">
        <v>775</v>
      </c>
      <c r="M14" t="s">
        <v>65</v>
      </c>
      <c r="N14" t="s">
        <v>770</v>
      </c>
      <c r="O14">
        <v>1</v>
      </c>
      <c r="P14" t="s">
        <v>776</v>
      </c>
      <c r="Q14">
        <v>39.9</v>
      </c>
      <c r="Y14" t="s">
        <v>831</v>
      </c>
      <c r="AA14">
        <v>78370</v>
      </c>
      <c r="AB14" t="s">
        <v>28</v>
      </c>
    </row>
    <row r="15" spans="1:35" x14ac:dyDescent="0.25">
      <c r="A15" t="s">
        <v>832</v>
      </c>
      <c r="B15" t="s">
        <v>832</v>
      </c>
      <c r="C15" t="s">
        <v>833</v>
      </c>
      <c r="D15" t="s">
        <v>834</v>
      </c>
      <c r="E15" t="s">
        <v>770</v>
      </c>
      <c r="F15" t="s">
        <v>771</v>
      </c>
      <c r="G15" t="s">
        <v>772</v>
      </c>
      <c r="J15" t="s">
        <v>773</v>
      </c>
      <c r="K15" t="s">
        <v>774</v>
      </c>
      <c r="L15" t="s">
        <v>775</v>
      </c>
      <c r="M15" t="s">
        <v>65</v>
      </c>
      <c r="N15" t="s">
        <v>770</v>
      </c>
      <c r="O15">
        <v>1</v>
      </c>
      <c r="P15" t="s">
        <v>776</v>
      </c>
      <c r="Q15">
        <v>39.9</v>
      </c>
      <c r="S15">
        <v>0.56999999999999995</v>
      </c>
      <c r="X15">
        <v>0.56999999999999995</v>
      </c>
      <c r="Y15" t="s">
        <v>835</v>
      </c>
      <c r="AA15">
        <v>57645</v>
      </c>
      <c r="AB15" t="s">
        <v>28</v>
      </c>
      <c r="AC15" t="s">
        <v>778</v>
      </c>
    </row>
    <row r="16" spans="1:35" x14ac:dyDescent="0.25">
      <c r="A16" t="s">
        <v>836</v>
      </c>
      <c r="B16" t="s">
        <v>836</v>
      </c>
      <c r="C16" t="s">
        <v>837</v>
      </c>
      <c r="D16" t="s">
        <v>838</v>
      </c>
      <c r="E16" t="s">
        <v>770</v>
      </c>
      <c r="F16" t="s">
        <v>771</v>
      </c>
      <c r="G16" t="s">
        <v>772</v>
      </c>
      <c r="J16" t="s">
        <v>783</v>
      </c>
      <c r="K16" t="s">
        <v>839</v>
      </c>
      <c r="L16" t="s">
        <v>840</v>
      </c>
      <c r="M16" t="s">
        <v>26</v>
      </c>
      <c r="N16" t="s">
        <v>770</v>
      </c>
      <c r="O16">
        <v>1</v>
      </c>
      <c r="P16" t="s">
        <v>776</v>
      </c>
      <c r="Q16">
        <v>44.9</v>
      </c>
      <c r="Y16" t="s">
        <v>841</v>
      </c>
      <c r="AA16">
        <v>75015</v>
      </c>
      <c r="AB16" t="s">
        <v>28</v>
      </c>
    </row>
    <row r="17" spans="1:29" x14ac:dyDescent="0.25">
      <c r="A17" t="s">
        <v>842</v>
      </c>
      <c r="B17" t="s">
        <v>842</v>
      </c>
      <c r="C17" t="s">
        <v>843</v>
      </c>
      <c r="D17" t="s">
        <v>844</v>
      </c>
      <c r="E17" t="s">
        <v>770</v>
      </c>
      <c r="F17" t="s">
        <v>771</v>
      </c>
      <c r="G17" t="s">
        <v>772</v>
      </c>
      <c r="J17" t="s">
        <v>773</v>
      </c>
      <c r="K17" t="s">
        <v>774</v>
      </c>
      <c r="L17" t="s">
        <v>775</v>
      </c>
      <c r="M17" t="s">
        <v>65</v>
      </c>
      <c r="N17" t="s">
        <v>770</v>
      </c>
      <c r="O17">
        <v>1</v>
      </c>
      <c r="P17" t="s">
        <v>776</v>
      </c>
      <c r="Q17">
        <v>39.9</v>
      </c>
      <c r="Y17" t="s">
        <v>845</v>
      </c>
      <c r="AA17">
        <v>60230</v>
      </c>
      <c r="AB17" t="s">
        <v>28</v>
      </c>
      <c r="AC17" t="s">
        <v>778</v>
      </c>
    </row>
    <row r="18" spans="1:29" x14ac:dyDescent="0.25">
      <c r="A18" t="s">
        <v>846</v>
      </c>
      <c r="B18" t="s">
        <v>846</v>
      </c>
      <c r="C18" t="s">
        <v>847</v>
      </c>
      <c r="D18" t="s">
        <v>848</v>
      </c>
      <c r="E18" t="s">
        <v>770</v>
      </c>
      <c r="F18" t="s">
        <v>771</v>
      </c>
      <c r="G18" t="s">
        <v>772</v>
      </c>
      <c r="J18" t="s">
        <v>783</v>
      </c>
      <c r="K18" t="s">
        <v>774</v>
      </c>
      <c r="L18" t="s">
        <v>775</v>
      </c>
      <c r="M18" t="s">
        <v>65</v>
      </c>
      <c r="N18" t="s">
        <v>770</v>
      </c>
      <c r="O18">
        <v>1</v>
      </c>
      <c r="P18" t="s">
        <v>776</v>
      </c>
      <c r="Q18">
        <v>39.9</v>
      </c>
      <c r="Y18" t="s">
        <v>849</v>
      </c>
      <c r="AA18">
        <v>21121</v>
      </c>
      <c r="AB18" t="s">
        <v>28</v>
      </c>
    </row>
    <row r="19" spans="1:29" x14ac:dyDescent="0.25">
      <c r="A19" t="s">
        <v>850</v>
      </c>
      <c r="B19" t="s">
        <v>850</v>
      </c>
      <c r="C19" t="s">
        <v>851</v>
      </c>
      <c r="D19" t="s">
        <v>852</v>
      </c>
      <c r="E19" t="s">
        <v>770</v>
      </c>
      <c r="F19" t="s">
        <v>771</v>
      </c>
      <c r="G19" t="s">
        <v>772</v>
      </c>
      <c r="J19" t="s">
        <v>773</v>
      </c>
      <c r="K19" t="s">
        <v>839</v>
      </c>
      <c r="L19" t="s">
        <v>840</v>
      </c>
      <c r="M19" t="s">
        <v>26</v>
      </c>
      <c r="N19" t="s">
        <v>770</v>
      </c>
      <c r="O19">
        <v>1</v>
      </c>
      <c r="P19" t="s">
        <v>776</v>
      </c>
      <c r="Q19">
        <v>44.9</v>
      </c>
      <c r="Y19" t="s">
        <v>853</v>
      </c>
      <c r="AA19">
        <v>67230</v>
      </c>
      <c r="AB19" t="s">
        <v>28</v>
      </c>
      <c r="AC19" t="s">
        <v>778</v>
      </c>
    </row>
    <row r="20" spans="1:29" x14ac:dyDescent="0.25">
      <c r="A20" t="s">
        <v>854</v>
      </c>
      <c r="B20" t="s">
        <v>854</v>
      </c>
      <c r="C20" t="s">
        <v>855</v>
      </c>
      <c r="D20" t="s">
        <v>856</v>
      </c>
      <c r="E20" t="s">
        <v>770</v>
      </c>
      <c r="F20" t="s">
        <v>771</v>
      </c>
      <c r="G20" t="s">
        <v>772</v>
      </c>
      <c r="J20" t="s">
        <v>783</v>
      </c>
      <c r="K20" t="s">
        <v>774</v>
      </c>
      <c r="L20" t="s">
        <v>775</v>
      </c>
      <c r="M20" t="s">
        <v>65</v>
      </c>
      <c r="N20" t="s">
        <v>770</v>
      </c>
      <c r="O20">
        <v>1</v>
      </c>
      <c r="P20" t="s">
        <v>776</v>
      </c>
      <c r="Q20">
        <v>39.9</v>
      </c>
      <c r="Y20" t="s">
        <v>857</v>
      </c>
      <c r="AA20">
        <v>16200</v>
      </c>
      <c r="AB20" t="s">
        <v>28</v>
      </c>
    </row>
    <row r="21" spans="1:29" x14ac:dyDescent="0.25">
      <c r="A21" t="s">
        <v>858</v>
      </c>
      <c r="B21" t="s">
        <v>858</v>
      </c>
      <c r="C21" t="s">
        <v>859</v>
      </c>
      <c r="D21" t="s">
        <v>860</v>
      </c>
      <c r="E21" t="s">
        <v>770</v>
      </c>
      <c r="F21" t="s">
        <v>771</v>
      </c>
      <c r="G21" t="s">
        <v>772</v>
      </c>
      <c r="J21" t="s">
        <v>773</v>
      </c>
      <c r="K21" t="s">
        <v>839</v>
      </c>
      <c r="L21" t="s">
        <v>840</v>
      </c>
      <c r="M21" t="s">
        <v>26</v>
      </c>
      <c r="N21" t="s">
        <v>770</v>
      </c>
      <c r="O21">
        <v>1</v>
      </c>
      <c r="P21" t="s">
        <v>776</v>
      </c>
      <c r="Q21">
        <v>44.9</v>
      </c>
      <c r="Y21" t="s">
        <v>861</v>
      </c>
      <c r="AA21">
        <v>6380</v>
      </c>
      <c r="AB21" t="s">
        <v>28</v>
      </c>
      <c r="AC21" t="s">
        <v>778</v>
      </c>
    </row>
    <row r="22" spans="1:29" x14ac:dyDescent="0.25">
      <c r="A22" t="s">
        <v>862</v>
      </c>
      <c r="B22" t="s">
        <v>862</v>
      </c>
      <c r="C22" t="s">
        <v>863</v>
      </c>
      <c r="D22" t="s">
        <v>864</v>
      </c>
      <c r="E22" t="s">
        <v>770</v>
      </c>
      <c r="F22" t="s">
        <v>771</v>
      </c>
      <c r="G22" t="s">
        <v>772</v>
      </c>
      <c r="J22" t="s">
        <v>773</v>
      </c>
      <c r="K22" t="s">
        <v>839</v>
      </c>
      <c r="L22" t="s">
        <v>840</v>
      </c>
      <c r="M22" t="s">
        <v>26</v>
      </c>
      <c r="N22" t="s">
        <v>770</v>
      </c>
      <c r="O22">
        <v>1</v>
      </c>
      <c r="P22" t="s">
        <v>776</v>
      </c>
      <c r="Q22">
        <v>44.9</v>
      </c>
      <c r="Y22" t="s">
        <v>865</v>
      </c>
      <c r="AA22">
        <v>38530</v>
      </c>
      <c r="AB22" t="s">
        <v>28</v>
      </c>
      <c r="AC22" t="s">
        <v>778</v>
      </c>
    </row>
    <row r="23" spans="1:29" x14ac:dyDescent="0.25">
      <c r="A23" t="s">
        <v>866</v>
      </c>
      <c r="B23" t="s">
        <v>866</v>
      </c>
      <c r="C23" t="s">
        <v>867</v>
      </c>
      <c r="D23" t="s">
        <v>868</v>
      </c>
      <c r="E23" t="s">
        <v>770</v>
      </c>
      <c r="F23" t="s">
        <v>771</v>
      </c>
      <c r="G23" t="s">
        <v>772</v>
      </c>
      <c r="J23" t="s">
        <v>783</v>
      </c>
      <c r="K23" t="s">
        <v>774</v>
      </c>
      <c r="L23" t="s">
        <v>775</v>
      </c>
      <c r="M23" t="s">
        <v>65</v>
      </c>
      <c r="N23" t="s">
        <v>770</v>
      </c>
      <c r="O23">
        <v>1</v>
      </c>
      <c r="P23" t="s">
        <v>776</v>
      </c>
      <c r="Q23">
        <v>39.9</v>
      </c>
      <c r="Y23" t="s">
        <v>869</v>
      </c>
      <c r="AA23">
        <v>75011</v>
      </c>
      <c r="AB23" t="s">
        <v>28</v>
      </c>
    </row>
    <row r="24" spans="1:29" x14ac:dyDescent="0.25">
      <c r="A24" t="s">
        <v>870</v>
      </c>
      <c r="B24" t="s">
        <v>870</v>
      </c>
      <c r="C24" t="s">
        <v>871</v>
      </c>
      <c r="D24" t="s">
        <v>872</v>
      </c>
      <c r="E24" t="s">
        <v>770</v>
      </c>
      <c r="F24" t="s">
        <v>771</v>
      </c>
      <c r="G24" t="s">
        <v>772</v>
      </c>
      <c r="J24" t="s">
        <v>773</v>
      </c>
      <c r="K24" t="s">
        <v>774</v>
      </c>
      <c r="L24" t="s">
        <v>775</v>
      </c>
      <c r="M24" t="s">
        <v>65</v>
      </c>
      <c r="N24" t="s">
        <v>770</v>
      </c>
      <c r="O24">
        <v>1</v>
      </c>
      <c r="P24" t="s">
        <v>776</v>
      </c>
      <c r="Q24">
        <v>39.9</v>
      </c>
      <c r="Y24" t="s">
        <v>873</v>
      </c>
      <c r="AA24">
        <v>84840</v>
      </c>
      <c r="AB24" t="s">
        <v>28</v>
      </c>
      <c r="AC24" t="s">
        <v>778</v>
      </c>
    </row>
    <row r="25" spans="1:29" x14ac:dyDescent="0.25">
      <c r="A25" t="s">
        <v>874</v>
      </c>
      <c r="B25" t="s">
        <v>874</v>
      </c>
      <c r="C25" t="s">
        <v>875</v>
      </c>
      <c r="D25" t="s">
        <v>876</v>
      </c>
      <c r="E25" t="s">
        <v>770</v>
      </c>
      <c r="F25" t="s">
        <v>771</v>
      </c>
      <c r="G25" t="s">
        <v>772</v>
      </c>
      <c r="J25" t="s">
        <v>773</v>
      </c>
      <c r="K25" t="s">
        <v>774</v>
      </c>
      <c r="L25" t="s">
        <v>775</v>
      </c>
      <c r="M25" t="s">
        <v>65</v>
      </c>
      <c r="N25" t="s">
        <v>770</v>
      </c>
      <c r="O25">
        <v>1</v>
      </c>
      <c r="P25" t="s">
        <v>776</v>
      </c>
      <c r="Q25">
        <v>39.9</v>
      </c>
      <c r="S25">
        <v>3.99</v>
      </c>
      <c r="X25">
        <v>3.99</v>
      </c>
      <c r="Y25" t="s">
        <v>841</v>
      </c>
      <c r="AA25">
        <v>75014</v>
      </c>
      <c r="AB25" t="s">
        <v>28</v>
      </c>
      <c r="AC25" t="s">
        <v>778</v>
      </c>
    </row>
    <row r="26" spans="1:29" x14ac:dyDescent="0.25">
      <c r="A26" t="s">
        <v>877</v>
      </c>
      <c r="B26" t="s">
        <v>877</v>
      </c>
      <c r="C26" t="s">
        <v>878</v>
      </c>
      <c r="D26" t="s">
        <v>879</v>
      </c>
      <c r="E26" t="s">
        <v>770</v>
      </c>
      <c r="F26" t="s">
        <v>771</v>
      </c>
      <c r="G26" t="s">
        <v>772</v>
      </c>
      <c r="J26" t="s">
        <v>773</v>
      </c>
      <c r="K26" t="s">
        <v>774</v>
      </c>
      <c r="L26" t="s">
        <v>775</v>
      </c>
      <c r="M26" t="s">
        <v>65</v>
      </c>
      <c r="N26" t="s">
        <v>770</v>
      </c>
      <c r="O26">
        <v>1</v>
      </c>
      <c r="P26" t="s">
        <v>776</v>
      </c>
      <c r="Q26">
        <v>39.9</v>
      </c>
      <c r="S26">
        <v>2</v>
      </c>
      <c r="X26">
        <v>2</v>
      </c>
      <c r="Y26" t="s">
        <v>880</v>
      </c>
      <c r="Z26" t="s">
        <v>881</v>
      </c>
      <c r="AA26">
        <v>18110</v>
      </c>
      <c r="AB26" t="s">
        <v>28</v>
      </c>
      <c r="AC26" t="s">
        <v>778</v>
      </c>
    </row>
    <row r="27" spans="1:29" x14ac:dyDescent="0.25">
      <c r="A27" t="s">
        <v>882</v>
      </c>
      <c r="B27" t="s">
        <v>882</v>
      </c>
      <c r="C27" t="s">
        <v>883</v>
      </c>
      <c r="D27" t="s">
        <v>884</v>
      </c>
      <c r="E27" t="s">
        <v>770</v>
      </c>
      <c r="F27" t="s">
        <v>771</v>
      </c>
      <c r="G27" t="s">
        <v>772</v>
      </c>
      <c r="J27" t="s">
        <v>783</v>
      </c>
      <c r="K27" t="s">
        <v>774</v>
      </c>
      <c r="L27" t="s">
        <v>775</v>
      </c>
      <c r="M27" t="s">
        <v>65</v>
      </c>
      <c r="N27" t="s">
        <v>770</v>
      </c>
      <c r="O27">
        <v>1</v>
      </c>
      <c r="P27" t="s">
        <v>776</v>
      </c>
      <c r="Q27">
        <v>39.9</v>
      </c>
      <c r="Y27" t="s">
        <v>885</v>
      </c>
      <c r="AA27">
        <v>77165</v>
      </c>
      <c r="AB27" t="s">
        <v>28</v>
      </c>
    </row>
    <row r="28" spans="1:29" x14ac:dyDescent="0.25">
      <c r="A28" t="s">
        <v>886</v>
      </c>
      <c r="B28" t="s">
        <v>886</v>
      </c>
      <c r="C28" t="s">
        <v>887</v>
      </c>
      <c r="D28" t="s">
        <v>888</v>
      </c>
      <c r="E28" t="s">
        <v>770</v>
      </c>
      <c r="F28" t="s">
        <v>771</v>
      </c>
      <c r="G28" t="s">
        <v>772</v>
      </c>
      <c r="J28" t="s">
        <v>783</v>
      </c>
      <c r="K28" t="s">
        <v>774</v>
      </c>
      <c r="L28" t="s">
        <v>775</v>
      </c>
      <c r="M28" t="s">
        <v>65</v>
      </c>
      <c r="N28" t="s">
        <v>770</v>
      </c>
      <c r="O28">
        <v>1</v>
      </c>
      <c r="P28" t="s">
        <v>776</v>
      </c>
      <c r="Q28">
        <v>39.9</v>
      </c>
      <c r="Y28" t="s">
        <v>889</v>
      </c>
      <c r="AA28">
        <v>66470</v>
      </c>
      <c r="AB28" t="s">
        <v>28</v>
      </c>
    </row>
    <row r="29" spans="1:29" x14ac:dyDescent="0.25">
      <c r="A29" t="s">
        <v>890</v>
      </c>
      <c r="B29" t="s">
        <v>890</v>
      </c>
      <c r="C29" t="s">
        <v>891</v>
      </c>
      <c r="D29" t="s">
        <v>892</v>
      </c>
      <c r="E29" t="s">
        <v>782</v>
      </c>
      <c r="F29" t="s">
        <v>771</v>
      </c>
      <c r="G29" t="s">
        <v>772</v>
      </c>
      <c r="J29" t="s">
        <v>783</v>
      </c>
      <c r="K29" t="s">
        <v>774</v>
      </c>
      <c r="L29" t="s">
        <v>775</v>
      </c>
      <c r="M29" t="s">
        <v>65</v>
      </c>
      <c r="N29" t="s">
        <v>782</v>
      </c>
      <c r="O29">
        <v>0</v>
      </c>
      <c r="Y29" t="s">
        <v>893</v>
      </c>
      <c r="AA29">
        <v>77165</v>
      </c>
      <c r="AB29" t="s">
        <v>28</v>
      </c>
    </row>
    <row r="30" spans="1:29" x14ac:dyDescent="0.25">
      <c r="A30" t="s">
        <v>894</v>
      </c>
      <c r="B30" t="s">
        <v>894</v>
      </c>
      <c r="C30" t="s">
        <v>895</v>
      </c>
      <c r="D30" t="s">
        <v>896</v>
      </c>
      <c r="E30" t="s">
        <v>770</v>
      </c>
      <c r="F30" t="s">
        <v>771</v>
      </c>
      <c r="G30" t="s">
        <v>772</v>
      </c>
      <c r="J30" t="s">
        <v>773</v>
      </c>
      <c r="K30" t="s">
        <v>839</v>
      </c>
      <c r="L30" t="s">
        <v>840</v>
      </c>
      <c r="M30" t="s">
        <v>26</v>
      </c>
      <c r="N30" t="s">
        <v>770</v>
      </c>
      <c r="O30">
        <v>1</v>
      </c>
      <c r="P30" t="s">
        <v>776</v>
      </c>
      <c r="Q30">
        <v>44.9</v>
      </c>
      <c r="Y30" t="s">
        <v>897</v>
      </c>
      <c r="Z30" t="s">
        <v>898</v>
      </c>
      <c r="AA30">
        <v>6110</v>
      </c>
      <c r="AB30" t="s">
        <v>28</v>
      </c>
      <c r="AC30" t="s">
        <v>778</v>
      </c>
    </row>
    <row r="31" spans="1:29" x14ac:dyDescent="0.25">
      <c r="A31" t="s">
        <v>899</v>
      </c>
      <c r="B31" t="s">
        <v>899</v>
      </c>
      <c r="C31" t="s">
        <v>900</v>
      </c>
      <c r="D31" t="s">
        <v>901</v>
      </c>
      <c r="E31" t="s">
        <v>770</v>
      </c>
      <c r="F31" t="s">
        <v>771</v>
      </c>
      <c r="G31" t="s">
        <v>772</v>
      </c>
      <c r="J31" t="s">
        <v>773</v>
      </c>
      <c r="K31" t="s">
        <v>774</v>
      </c>
      <c r="L31" t="s">
        <v>775</v>
      </c>
      <c r="M31" t="s">
        <v>65</v>
      </c>
      <c r="N31" t="s">
        <v>770</v>
      </c>
      <c r="O31">
        <v>1</v>
      </c>
      <c r="P31" t="s">
        <v>776</v>
      </c>
      <c r="Q31">
        <v>39.9</v>
      </c>
      <c r="Y31" t="s">
        <v>902</v>
      </c>
      <c r="AA31">
        <v>31410</v>
      </c>
      <c r="AB31" t="s">
        <v>28</v>
      </c>
      <c r="AC31" t="s">
        <v>778</v>
      </c>
    </row>
    <row r="32" spans="1:29" x14ac:dyDescent="0.25">
      <c r="A32" t="s">
        <v>903</v>
      </c>
      <c r="B32" t="s">
        <v>903</v>
      </c>
      <c r="C32" t="s">
        <v>904</v>
      </c>
      <c r="D32" t="s">
        <v>905</v>
      </c>
      <c r="E32" t="s">
        <v>770</v>
      </c>
      <c r="F32" t="s">
        <v>771</v>
      </c>
      <c r="G32" t="s">
        <v>772</v>
      </c>
      <c r="J32" t="s">
        <v>783</v>
      </c>
      <c r="K32" t="s">
        <v>774</v>
      </c>
      <c r="L32" t="s">
        <v>775</v>
      </c>
      <c r="M32" t="s">
        <v>65</v>
      </c>
      <c r="N32" t="s">
        <v>770</v>
      </c>
      <c r="O32">
        <v>1</v>
      </c>
      <c r="P32" t="s">
        <v>776</v>
      </c>
      <c r="Q32">
        <v>39.9</v>
      </c>
      <c r="Y32" t="s">
        <v>906</v>
      </c>
      <c r="AA32">
        <v>77500</v>
      </c>
      <c r="AB32" t="s">
        <v>28</v>
      </c>
    </row>
    <row r="33" spans="1:29" x14ac:dyDescent="0.25">
      <c r="A33" t="s">
        <v>907</v>
      </c>
      <c r="B33" t="s">
        <v>907</v>
      </c>
      <c r="C33" t="s">
        <v>908</v>
      </c>
      <c r="D33" t="s">
        <v>909</v>
      </c>
      <c r="E33" t="s">
        <v>770</v>
      </c>
      <c r="F33" t="s">
        <v>771</v>
      </c>
      <c r="G33" t="s">
        <v>772</v>
      </c>
      <c r="J33" t="s">
        <v>783</v>
      </c>
      <c r="K33" t="s">
        <v>774</v>
      </c>
      <c r="L33" t="s">
        <v>775</v>
      </c>
      <c r="M33" t="s">
        <v>65</v>
      </c>
      <c r="N33" t="s">
        <v>770</v>
      </c>
      <c r="O33">
        <v>1</v>
      </c>
      <c r="P33" t="s">
        <v>776</v>
      </c>
      <c r="Q33">
        <v>39.9</v>
      </c>
      <c r="Y33" t="s">
        <v>910</v>
      </c>
      <c r="AA33">
        <v>76320</v>
      </c>
      <c r="AB33" t="s">
        <v>28</v>
      </c>
    </row>
    <row r="34" spans="1:29" x14ac:dyDescent="0.25">
      <c r="A34" t="s">
        <v>911</v>
      </c>
      <c r="B34" t="s">
        <v>911</v>
      </c>
      <c r="C34" t="s">
        <v>912</v>
      </c>
      <c r="D34" t="s">
        <v>913</v>
      </c>
      <c r="E34" t="s">
        <v>770</v>
      </c>
      <c r="F34" t="s">
        <v>771</v>
      </c>
      <c r="G34" t="s">
        <v>772</v>
      </c>
      <c r="J34" t="s">
        <v>783</v>
      </c>
      <c r="K34" t="s">
        <v>774</v>
      </c>
      <c r="L34" t="s">
        <v>775</v>
      </c>
      <c r="M34" t="s">
        <v>65</v>
      </c>
      <c r="N34" t="s">
        <v>770</v>
      </c>
      <c r="O34">
        <v>1</v>
      </c>
      <c r="P34" t="s">
        <v>776</v>
      </c>
      <c r="Q34">
        <v>39.9</v>
      </c>
      <c r="Y34" t="s">
        <v>914</v>
      </c>
      <c r="AA34">
        <v>37140</v>
      </c>
      <c r="AB34" t="s">
        <v>28</v>
      </c>
    </row>
    <row r="35" spans="1:29" x14ac:dyDescent="0.25">
      <c r="A35" t="s">
        <v>915</v>
      </c>
      <c r="B35" t="s">
        <v>915</v>
      </c>
      <c r="C35" t="s">
        <v>916</v>
      </c>
      <c r="D35" t="s">
        <v>905</v>
      </c>
      <c r="E35" t="s">
        <v>770</v>
      </c>
      <c r="F35" t="s">
        <v>771</v>
      </c>
      <c r="G35" t="s">
        <v>772</v>
      </c>
      <c r="J35" t="s">
        <v>783</v>
      </c>
      <c r="K35" t="s">
        <v>774</v>
      </c>
      <c r="L35" t="s">
        <v>775</v>
      </c>
      <c r="M35" t="s">
        <v>65</v>
      </c>
      <c r="N35" t="s">
        <v>770</v>
      </c>
      <c r="O35">
        <v>1</v>
      </c>
      <c r="P35" t="s">
        <v>776</v>
      </c>
      <c r="Q35">
        <v>39.9</v>
      </c>
      <c r="Y35" t="s">
        <v>917</v>
      </c>
      <c r="AA35">
        <v>59126</v>
      </c>
      <c r="AB35" t="s">
        <v>28</v>
      </c>
    </row>
    <row r="36" spans="1:29" x14ac:dyDescent="0.25">
      <c r="A36" t="s">
        <v>918</v>
      </c>
      <c r="B36" t="s">
        <v>918</v>
      </c>
      <c r="C36" t="s">
        <v>919</v>
      </c>
      <c r="D36" t="s">
        <v>920</v>
      </c>
      <c r="E36" t="s">
        <v>770</v>
      </c>
      <c r="F36" t="s">
        <v>771</v>
      </c>
      <c r="G36" t="s">
        <v>772</v>
      </c>
      <c r="J36" t="s">
        <v>773</v>
      </c>
      <c r="K36" t="s">
        <v>839</v>
      </c>
      <c r="L36" t="s">
        <v>840</v>
      </c>
      <c r="M36" t="s">
        <v>26</v>
      </c>
      <c r="N36" t="s">
        <v>770</v>
      </c>
      <c r="O36">
        <v>2</v>
      </c>
      <c r="P36" t="s">
        <v>776</v>
      </c>
      <c r="Q36">
        <v>89.8</v>
      </c>
      <c r="S36">
        <v>3.99</v>
      </c>
      <c r="X36">
        <v>3.99</v>
      </c>
      <c r="Y36" t="s">
        <v>921</v>
      </c>
      <c r="AA36">
        <v>49110</v>
      </c>
      <c r="AB36" t="s">
        <v>28</v>
      </c>
      <c r="AC36" t="s">
        <v>778</v>
      </c>
    </row>
    <row r="37" spans="1:29" x14ac:dyDescent="0.25">
      <c r="A37" t="s">
        <v>922</v>
      </c>
      <c r="B37" t="s">
        <v>922</v>
      </c>
      <c r="C37" t="s">
        <v>923</v>
      </c>
      <c r="D37" t="s">
        <v>924</v>
      </c>
      <c r="E37" t="s">
        <v>770</v>
      </c>
      <c r="F37" t="s">
        <v>771</v>
      </c>
      <c r="G37" t="s">
        <v>772</v>
      </c>
      <c r="J37" t="s">
        <v>783</v>
      </c>
      <c r="K37" t="s">
        <v>774</v>
      </c>
      <c r="L37" t="s">
        <v>775</v>
      </c>
      <c r="M37" t="s">
        <v>65</v>
      </c>
      <c r="N37" t="s">
        <v>770</v>
      </c>
      <c r="O37">
        <v>1</v>
      </c>
      <c r="P37" t="s">
        <v>776</v>
      </c>
      <c r="Q37">
        <v>39.9</v>
      </c>
      <c r="Y37" t="s">
        <v>925</v>
      </c>
      <c r="AA37">
        <v>91210</v>
      </c>
      <c r="AB37" t="s">
        <v>28</v>
      </c>
    </row>
    <row r="38" spans="1:29" x14ac:dyDescent="0.25">
      <c r="A38" t="s">
        <v>926</v>
      </c>
      <c r="B38" t="s">
        <v>926</v>
      </c>
      <c r="C38" t="s">
        <v>927</v>
      </c>
      <c r="D38" t="s">
        <v>928</v>
      </c>
      <c r="E38" t="s">
        <v>770</v>
      </c>
      <c r="F38" t="s">
        <v>771</v>
      </c>
      <c r="G38" t="s">
        <v>772</v>
      </c>
      <c r="J38" t="s">
        <v>783</v>
      </c>
      <c r="K38" t="s">
        <v>774</v>
      </c>
      <c r="L38" t="s">
        <v>775</v>
      </c>
      <c r="M38" t="s">
        <v>65</v>
      </c>
      <c r="N38" t="s">
        <v>770</v>
      </c>
      <c r="O38">
        <v>1</v>
      </c>
      <c r="P38" t="s">
        <v>776</v>
      </c>
      <c r="Q38">
        <v>39.9</v>
      </c>
      <c r="Y38" t="s">
        <v>929</v>
      </c>
      <c r="AA38">
        <v>13270</v>
      </c>
      <c r="AB38" t="s">
        <v>28</v>
      </c>
    </row>
    <row r="39" spans="1:29" x14ac:dyDescent="0.25">
      <c r="A39" t="s">
        <v>930</v>
      </c>
      <c r="B39" t="s">
        <v>930</v>
      </c>
      <c r="C39" t="s">
        <v>931</v>
      </c>
      <c r="D39" t="s">
        <v>932</v>
      </c>
      <c r="E39" t="s">
        <v>782</v>
      </c>
      <c r="F39" t="s">
        <v>771</v>
      </c>
      <c r="G39" t="s">
        <v>772</v>
      </c>
      <c r="J39" t="s">
        <v>783</v>
      </c>
      <c r="K39" t="s">
        <v>774</v>
      </c>
      <c r="L39" t="s">
        <v>775</v>
      </c>
      <c r="M39" t="s">
        <v>65</v>
      </c>
      <c r="N39" t="s">
        <v>782</v>
      </c>
      <c r="O39">
        <v>0</v>
      </c>
      <c r="Y39" t="s">
        <v>933</v>
      </c>
      <c r="AA39">
        <v>67700</v>
      </c>
      <c r="AB39" t="s">
        <v>28</v>
      </c>
    </row>
    <row r="40" spans="1:29" x14ac:dyDescent="0.25">
      <c r="A40" t="s">
        <v>934</v>
      </c>
      <c r="B40" t="s">
        <v>934</v>
      </c>
      <c r="C40" t="s">
        <v>935</v>
      </c>
      <c r="D40" t="s">
        <v>936</v>
      </c>
      <c r="E40" t="s">
        <v>770</v>
      </c>
      <c r="F40" t="s">
        <v>771</v>
      </c>
      <c r="G40" t="s">
        <v>772</v>
      </c>
      <c r="J40" t="s">
        <v>783</v>
      </c>
      <c r="K40" t="s">
        <v>774</v>
      </c>
      <c r="L40" t="s">
        <v>775</v>
      </c>
      <c r="M40" t="s">
        <v>65</v>
      </c>
      <c r="N40" t="s">
        <v>770</v>
      </c>
      <c r="O40">
        <v>1</v>
      </c>
      <c r="P40" t="s">
        <v>776</v>
      </c>
      <c r="Q40">
        <v>39.9</v>
      </c>
      <c r="Y40" t="s">
        <v>937</v>
      </c>
      <c r="AA40">
        <v>68290</v>
      </c>
      <c r="AB40" t="s">
        <v>28</v>
      </c>
    </row>
    <row r="41" spans="1:29" x14ac:dyDescent="0.25">
      <c r="A41" t="s">
        <v>938</v>
      </c>
      <c r="B41" t="s">
        <v>938</v>
      </c>
      <c r="C41" t="s">
        <v>939</v>
      </c>
      <c r="D41" t="s">
        <v>940</v>
      </c>
      <c r="E41" t="s">
        <v>770</v>
      </c>
      <c r="F41" t="s">
        <v>771</v>
      </c>
      <c r="G41" t="s">
        <v>772</v>
      </c>
      <c r="J41" t="s">
        <v>783</v>
      </c>
      <c r="K41" t="s">
        <v>774</v>
      </c>
      <c r="L41" t="s">
        <v>775</v>
      </c>
      <c r="M41" t="s">
        <v>65</v>
      </c>
      <c r="N41" t="s">
        <v>770</v>
      </c>
      <c r="O41">
        <v>1</v>
      </c>
      <c r="P41" t="s">
        <v>776</v>
      </c>
      <c r="Q41">
        <v>39.9</v>
      </c>
      <c r="Y41" t="s">
        <v>941</v>
      </c>
      <c r="AA41">
        <v>33190</v>
      </c>
      <c r="AB41" t="s">
        <v>28</v>
      </c>
    </row>
    <row r="42" spans="1:29" x14ac:dyDescent="0.25">
      <c r="A42" t="s">
        <v>942</v>
      </c>
      <c r="B42" t="s">
        <v>942</v>
      </c>
      <c r="C42" t="s">
        <v>943</v>
      </c>
      <c r="D42" t="s">
        <v>944</v>
      </c>
      <c r="E42" t="s">
        <v>770</v>
      </c>
      <c r="F42" t="s">
        <v>771</v>
      </c>
      <c r="G42" t="s">
        <v>772</v>
      </c>
      <c r="J42" t="s">
        <v>773</v>
      </c>
      <c r="K42" t="s">
        <v>839</v>
      </c>
      <c r="L42" t="s">
        <v>840</v>
      </c>
      <c r="M42" t="s">
        <v>26</v>
      </c>
      <c r="N42" t="s">
        <v>770</v>
      </c>
      <c r="O42">
        <v>1</v>
      </c>
      <c r="P42" t="s">
        <v>776</v>
      </c>
      <c r="Q42">
        <v>44.9</v>
      </c>
      <c r="Y42" t="s">
        <v>945</v>
      </c>
      <c r="Z42" t="s">
        <v>946</v>
      </c>
      <c r="AA42">
        <v>31700</v>
      </c>
      <c r="AB42" t="s">
        <v>28</v>
      </c>
      <c r="AC42" t="s">
        <v>778</v>
      </c>
    </row>
    <row r="43" spans="1:29" x14ac:dyDescent="0.25">
      <c r="A43" t="s">
        <v>947</v>
      </c>
      <c r="B43" t="s">
        <v>947</v>
      </c>
      <c r="C43" t="s">
        <v>948</v>
      </c>
      <c r="D43" t="s">
        <v>949</v>
      </c>
      <c r="E43" t="s">
        <v>770</v>
      </c>
      <c r="F43" t="s">
        <v>771</v>
      </c>
      <c r="G43" t="s">
        <v>772</v>
      </c>
      <c r="J43" t="s">
        <v>773</v>
      </c>
      <c r="K43" t="s">
        <v>839</v>
      </c>
      <c r="L43" t="s">
        <v>840</v>
      </c>
      <c r="M43" t="s">
        <v>26</v>
      </c>
      <c r="N43" t="s">
        <v>770</v>
      </c>
      <c r="O43">
        <v>1</v>
      </c>
      <c r="P43" t="s">
        <v>776</v>
      </c>
      <c r="Q43">
        <v>44.9</v>
      </c>
      <c r="Y43" t="s">
        <v>950</v>
      </c>
      <c r="Z43" t="s">
        <v>898</v>
      </c>
      <c r="AA43">
        <v>13400</v>
      </c>
      <c r="AB43" t="s">
        <v>28</v>
      </c>
      <c r="AC43" t="s">
        <v>778</v>
      </c>
    </row>
    <row r="44" spans="1:29" x14ac:dyDescent="0.25">
      <c r="A44" t="s">
        <v>951</v>
      </c>
      <c r="B44" t="s">
        <v>951</v>
      </c>
      <c r="C44" t="s">
        <v>952</v>
      </c>
      <c r="D44" t="s">
        <v>953</v>
      </c>
      <c r="E44" t="s">
        <v>770</v>
      </c>
      <c r="F44" t="s">
        <v>771</v>
      </c>
      <c r="G44" t="s">
        <v>772</v>
      </c>
      <c r="J44" t="s">
        <v>783</v>
      </c>
      <c r="K44" t="s">
        <v>774</v>
      </c>
      <c r="L44" t="s">
        <v>775</v>
      </c>
      <c r="M44" t="s">
        <v>65</v>
      </c>
      <c r="N44" t="s">
        <v>770</v>
      </c>
      <c r="O44">
        <v>1</v>
      </c>
      <c r="P44" t="s">
        <v>776</v>
      </c>
      <c r="Q44">
        <v>39.9</v>
      </c>
      <c r="Y44" t="s">
        <v>954</v>
      </c>
      <c r="AA44">
        <v>31200</v>
      </c>
      <c r="AB44" t="s">
        <v>28</v>
      </c>
    </row>
    <row r="45" spans="1:29" x14ac:dyDescent="0.25">
      <c r="A45" t="s">
        <v>955</v>
      </c>
      <c r="B45" t="s">
        <v>955</v>
      </c>
      <c r="C45" t="s">
        <v>956</v>
      </c>
      <c r="D45" t="s">
        <v>957</v>
      </c>
      <c r="E45" t="s">
        <v>770</v>
      </c>
      <c r="F45" t="s">
        <v>771</v>
      </c>
      <c r="G45" t="s">
        <v>772</v>
      </c>
      <c r="J45" t="s">
        <v>783</v>
      </c>
      <c r="K45" t="s">
        <v>839</v>
      </c>
      <c r="L45" t="s">
        <v>840</v>
      </c>
      <c r="M45" t="s">
        <v>26</v>
      </c>
      <c r="N45" t="s">
        <v>770</v>
      </c>
      <c r="O45">
        <v>1</v>
      </c>
      <c r="P45" t="s">
        <v>776</v>
      </c>
      <c r="Q45">
        <v>44.9</v>
      </c>
      <c r="Y45" t="s">
        <v>958</v>
      </c>
      <c r="AA45">
        <v>49130</v>
      </c>
      <c r="AB45" t="s">
        <v>28</v>
      </c>
    </row>
    <row r="46" spans="1:29" x14ac:dyDescent="0.25">
      <c r="A46" t="s">
        <v>959</v>
      </c>
      <c r="B46" t="s">
        <v>959</v>
      </c>
      <c r="C46" t="s">
        <v>960</v>
      </c>
      <c r="D46" t="s">
        <v>961</v>
      </c>
      <c r="E46" t="s">
        <v>770</v>
      </c>
      <c r="F46" t="s">
        <v>771</v>
      </c>
      <c r="G46" t="s">
        <v>772</v>
      </c>
      <c r="J46" t="s">
        <v>783</v>
      </c>
      <c r="K46" t="s">
        <v>774</v>
      </c>
      <c r="L46" t="s">
        <v>775</v>
      </c>
      <c r="M46" t="s">
        <v>65</v>
      </c>
      <c r="N46" t="s">
        <v>770</v>
      </c>
      <c r="O46">
        <v>1</v>
      </c>
      <c r="P46" t="s">
        <v>776</v>
      </c>
      <c r="Q46">
        <v>39.9</v>
      </c>
      <c r="Y46" t="s">
        <v>962</v>
      </c>
      <c r="AA46">
        <v>69006</v>
      </c>
      <c r="AB46" t="s">
        <v>28</v>
      </c>
    </row>
    <row r="47" spans="1:29" x14ac:dyDescent="0.25">
      <c r="A47" t="s">
        <v>963</v>
      </c>
      <c r="B47" t="s">
        <v>963</v>
      </c>
      <c r="C47" t="s">
        <v>964</v>
      </c>
      <c r="D47" t="s">
        <v>965</v>
      </c>
      <c r="E47" t="s">
        <v>770</v>
      </c>
      <c r="F47" t="s">
        <v>771</v>
      </c>
      <c r="G47" t="s">
        <v>772</v>
      </c>
      <c r="J47" t="s">
        <v>783</v>
      </c>
      <c r="K47" t="s">
        <v>839</v>
      </c>
      <c r="L47" t="s">
        <v>840</v>
      </c>
      <c r="M47" t="s">
        <v>26</v>
      </c>
      <c r="N47" t="s">
        <v>770</v>
      </c>
      <c r="O47">
        <v>1</v>
      </c>
      <c r="P47" t="s">
        <v>776</v>
      </c>
      <c r="Q47">
        <v>44.9</v>
      </c>
      <c r="Y47" t="s">
        <v>966</v>
      </c>
      <c r="AA47">
        <v>13008</v>
      </c>
      <c r="AB47" t="s">
        <v>28</v>
      </c>
    </row>
    <row r="48" spans="1:29" x14ac:dyDescent="0.25">
      <c r="A48" t="s">
        <v>967</v>
      </c>
      <c r="B48" t="s">
        <v>967</v>
      </c>
      <c r="C48" t="s">
        <v>968</v>
      </c>
      <c r="D48" t="s">
        <v>969</v>
      </c>
      <c r="E48" t="s">
        <v>770</v>
      </c>
      <c r="F48" t="s">
        <v>771</v>
      </c>
      <c r="G48" t="s">
        <v>772</v>
      </c>
      <c r="J48" t="s">
        <v>783</v>
      </c>
      <c r="K48" t="s">
        <v>774</v>
      </c>
      <c r="L48" t="s">
        <v>775</v>
      </c>
      <c r="M48" t="s">
        <v>65</v>
      </c>
      <c r="N48" t="s">
        <v>770</v>
      </c>
      <c r="O48">
        <v>1</v>
      </c>
      <c r="P48" t="s">
        <v>776</v>
      </c>
      <c r="Q48">
        <v>39.9</v>
      </c>
      <c r="Y48" t="s">
        <v>970</v>
      </c>
      <c r="AA48">
        <v>8000</v>
      </c>
      <c r="AB48" t="s">
        <v>28</v>
      </c>
    </row>
    <row r="49" spans="1:29" x14ac:dyDescent="0.25">
      <c r="A49" t="s">
        <v>971</v>
      </c>
      <c r="B49" t="s">
        <v>971</v>
      </c>
      <c r="C49" t="s">
        <v>972</v>
      </c>
      <c r="D49" t="s">
        <v>973</v>
      </c>
      <c r="E49" t="s">
        <v>770</v>
      </c>
      <c r="F49" t="s">
        <v>771</v>
      </c>
      <c r="G49" t="s">
        <v>772</v>
      </c>
      <c r="J49" t="s">
        <v>783</v>
      </c>
      <c r="K49" t="s">
        <v>774</v>
      </c>
      <c r="L49" t="s">
        <v>775</v>
      </c>
      <c r="M49" t="s">
        <v>65</v>
      </c>
      <c r="N49" t="s">
        <v>770</v>
      </c>
      <c r="O49">
        <v>1</v>
      </c>
      <c r="P49" t="s">
        <v>776</v>
      </c>
      <c r="Q49">
        <v>39.9</v>
      </c>
      <c r="Y49" t="s">
        <v>974</v>
      </c>
      <c r="AA49">
        <v>14000</v>
      </c>
      <c r="AB49" t="s">
        <v>28</v>
      </c>
    </row>
    <row r="50" spans="1:29" x14ac:dyDescent="0.25">
      <c r="A50" t="s">
        <v>975</v>
      </c>
      <c r="B50" t="s">
        <v>975</v>
      </c>
      <c r="C50" t="s">
        <v>976</v>
      </c>
      <c r="D50" t="s">
        <v>961</v>
      </c>
      <c r="E50" t="s">
        <v>770</v>
      </c>
      <c r="F50" t="s">
        <v>771</v>
      </c>
      <c r="G50" t="s">
        <v>772</v>
      </c>
      <c r="J50" t="s">
        <v>773</v>
      </c>
      <c r="K50" t="s">
        <v>774</v>
      </c>
      <c r="L50" t="s">
        <v>775</v>
      </c>
      <c r="M50" t="s">
        <v>65</v>
      </c>
      <c r="N50" t="s">
        <v>770</v>
      </c>
      <c r="O50">
        <v>1</v>
      </c>
      <c r="P50" t="s">
        <v>776</v>
      </c>
      <c r="Q50">
        <v>39.9</v>
      </c>
      <c r="Y50" t="s">
        <v>977</v>
      </c>
      <c r="AA50">
        <v>13120</v>
      </c>
      <c r="AB50" t="s">
        <v>28</v>
      </c>
      <c r="AC50" t="s">
        <v>778</v>
      </c>
    </row>
    <row r="51" spans="1:29" x14ac:dyDescent="0.25">
      <c r="A51" t="s">
        <v>978</v>
      </c>
      <c r="B51" t="s">
        <v>978</v>
      </c>
      <c r="C51" t="s">
        <v>979</v>
      </c>
      <c r="D51" t="s">
        <v>980</v>
      </c>
      <c r="E51" t="s">
        <v>770</v>
      </c>
      <c r="F51" t="s">
        <v>771</v>
      </c>
      <c r="G51" t="s">
        <v>772</v>
      </c>
      <c r="J51" t="s">
        <v>783</v>
      </c>
      <c r="K51" t="s">
        <v>774</v>
      </c>
      <c r="L51" t="s">
        <v>775</v>
      </c>
      <c r="M51" t="s">
        <v>65</v>
      </c>
      <c r="N51" t="s">
        <v>770</v>
      </c>
      <c r="O51">
        <v>1</v>
      </c>
      <c r="P51" t="s">
        <v>776</v>
      </c>
      <c r="Q51">
        <v>39.9</v>
      </c>
      <c r="Y51" t="s">
        <v>981</v>
      </c>
      <c r="AA51">
        <v>21500</v>
      </c>
      <c r="AB51" t="s">
        <v>28</v>
      </c>
    </row>
    <row r="52" spans="1:29" x14ac:dyDescent="0.25">
      <c r="A52" t="s">
        <v>982</v>
      </c>
      <c r="B52" t="s">
        <v>982</v>
      </c>
      <c r="C52" t="s">
        <v>983</v>
      </c>
      <c r="D52" t="s">
        <v>984</v>
      </c>
      <c r="E52" t="s">
        <v>770</v>
      </c>
      <c r="F52" t="s">
        <v>771</v>
      </c>
      <c r="G52" t="s">
        <v>772</v>
      </c>
      <c r="J52" t="s">
        <v>773</v>
      </c>
      <c r="K52" t="s">
        <v>774</v>
      </c>
      <c r="L52" t="s">
        <v>775</v>
      </c>
      <c r="M52" t="s">
        <v>65</v>
      </c>
      <c r="N52" t="s">
        <v>770</v>
      </c>
      <c r="O52">
        <v>1</v>
      </c>
      <c r="P52" t="s">
        <v>776</v>
      </c>
      <c r="Q52">
        <v>39.9</v>
      </c>
      <c r="Y52" t="s">
        <v>985</v>
      </c>
      <c r="AA52">
        <v>18700</v>
      </c>
      <c r="AB52" t="s">
        <v>28</v>
      </c>
      <c r="AC52" t="s">
        <v>778</v>
      </c>
    </row>
    <row r="53" spans="1:29" x14ac:dyDescent="0.25">
      <c r="A53" t="s">
        <v>986</v>
      </c>
      <c r="B53" t="s">
        <v>986</v>
      </c>
      <c r="C53" t="s">
        <v>987</v>
      </c>
      <c r="D53" t="s">
        <v>988</v>
      </c>
      <c r="E53" t="s">
        <v>770</v>
      </c>
      <c r="F53" t="s">
        <v>771</v>
      </c>
      <c r="G53" t="s">
        <v>772</v>
      </c>
      <c r="J53" t="s">
        <v>783</v>
      </c>
      <c r="K53" t="s">
        <v>774</v>
      </c>
      <c r="L53" t="s">
        <v>775</v>
      </c>
      <c r="M53" t="s">
        <v>65</v>
      </c>
      <c r="N53" t="s">
        <v>770</v>
      </c>
      <c r="O53">
        <v>1</v>
      </c>
      <c r="P53" t="s">
        <v>776</v>
      </c>
      <c r="Q53">
        <v>39.9</v>
      </c>
      <c r="Y53" t="s">
        <v>989</v>
      </c>
      <c r="AA53">
        <v>69160</v>
      </c>
      <c r="AB53" t="s">
        <v>28</v>
      </c>
    </row>
    <row r="54" spans="1:29" x14ac:dyDescent="0.25">
      <c r="A54" t="s">
        <v>990</v>
      </c>
      <c r="B54" t="s">
        <v>990</v>
      </c>
      <c r="C54" t="s">
        <v>991</v>
      </c>
      <c r="D54" t="s">
        <v>992</v>
      </c>
      <c r="E54" t="s">
        <v>770</v>
      </c>
      <c r="F54" t="s">
        <v>771</v>
      </c>
      <c r="G54" t="s">
        <v>772</v>
      </c>
      <c r="J54" t="s">
        <v>773</v>
      </c>
      <c r="K54" t="s">
        <v>774</v>
      </c>
      <c r="L54" t="s">
        <v>775</v>
      </c>
      <c r="M54" t="s">
        <v>65</v>
      </c>
      <c r="N54" t="s">
        <v>770</v>
      </c>
      <c r="O54">
        <v>1</v>
      </c>
      <c r="P54" t="s">
        <v>776</v>
      </c>
      <c r="Q54">
        <v>39.9</v>
      </c>
      <c r="Y54" t="s">
        <v>993</v>
      </c>
      <c r="AA54">
        <v>42110</v>
      </c>
      <c r="AB54" t="s">
        <v>28</v>
      </c>
      <c r="AC54" t="s">
        <v>778</v>
      </c>
    </row>
    <row r="55" spans="1:29" x14ac:dyDescent="0.25">
      <c r="A55" t="s">
        <v>994</v>
      </c>
      <c r="B55" t="s">
        <v>994</v>
      </c>
      <c r="C55" t="s">
        <v>995</v>
      </c>
      <c r="D55" t="s">
        <v>996</v>
      </c>
      <c r="E55" t="s">
        <v>770</v>
      </c>
      <c r="F55" t="s">
        <v>771</v>
      </c>
      <c r="G55" t="s">
        <v>772</v>
      </c>
      <c r="J55" t="s">
        <v>783</v>
      </c>
      <c r="K55" t="s">
        <v>839</v>
      </c>
      <c r="L55" t="s">
        <v>840</v>
      </c>
      <c r="M55" t="s">
        <v>26</v>
      </c>
      <c r="N55" t="s">
        <v>770</v>
      </c>
      <c r="O55">
        <v>1</v>
      </c>
      <c r="P55" t="s">
        <v>776</v>
      </c>
      <c r="Q55">
        <v>44.9</v>
      </c>
      <c r="Y55" t="s">
        <v>997</v>
      </c>
      <c r="AA55">
        <v>78570</v>
      </c>
      <c r="AB55" t="s">
        <v>28</v>
      </c>
    </row>
    <row r="56" spans="1:29" x14ac:dyDescent="0.25">
      <c r="A56" t="s">
        <v>998</v>
      </c>
      <c r="B56" t="s">
        <v>998</v>
      </c>
      <c r="C56" t="s">
        <v>999</v>
      </c>
      <c r="D56" t="s">
        <v>1000</v>
      </c>
      <c r="E56" t="s">
        <v>770</v>
      </c>
      <c r="F56" t="s">
        <v>771</v>
      </c>
      <c r="G56" t="s">
        <v>772</v>
      </c>
      <c r="J56" t="s">
        <v>773</v>
      </c>
      <c r="K56" t="s">
        <v>774</v>
      </c>
      <c r="L56" t="s">
        <v>775</v>
      </c>
      <c r="M56" t="s">
        <v>65</v>
      </c>
      <c r="N56" t="s">
        <v>770</v>
      </c>
      <c r="O56">
        <v>1</v>
      </c>
      <c r="P56" t="s">
        <v>776</v>
      </c>
      <c r="Q56">
        <v>39.9</v>
      </c>
      <c r="Y56" t="s">
        <v>1001</v>
      </c>
      <c r="AA56">
        <v>67000</v>
      </c>
      <c r="AB56" t="s">
        <v>28</v>
      </c>
      <c r="AC56" t="s">
        <v>778</v>
      </c>
    </row>
    <row r="57" spans="1:29" x14ac:dyDescent="0.25">
      <c r="A57" t="s">
        <v>1002</v>
      </c>
      <c r="B57" t="s">
        <v>1002</v>
      </c>
      <c r="C57" t="s">
        <v>1003</v>
      </c>
      <c r="D57" t="s">
        <v>1004</v>
      </c>
      <c r="E57" t="s">
        <v>770</v>
      </c>
      <c r="F57" t="s">
        <v>771</v>
      </c>
      <c r="G57" t="s">
        <v>772</v>
      </c>
      <c r="J57" t="s">
        <v>783</v>
      </c>
      <c r="K57" t="s">
        <v>839</v>
      </c>
      <c r="L57" t="s">
        <v>840</v>
      </c>
      <c r="M57" t="s">
        <v>26</v>
      </c>
      <c r="N57" t="s">
        <v>770</v>
      </c>
      <c r="O57">
        <v>1</v>
      </c>
      <c r="P57" t="s">
        <v>776</v>
      </c>
      <c r="Q57">
        <v>44.9</v>
      </c>
      <c r="Y57" t="s">
        <v>841</v>
      </c>
      <c r="AA57">
        <v>75014</v>
      </c>
      <c r="AB57" t="s">
        <v>28</v>
      </c>
    </row>
    <row r="58" spans="1:29" x14ac:dyDescent="0.25">
      <c r="A58" t="s">
        <v>1005</v>
      </c>
      <c r="B58" t="s">
        <v>1005</v>
      </c>
      <c r="C58" t="s">
        <v>1006</v>
      </c>
      <c r="D58" t="s">
        <v>1007</v>
      </c>
      <c r="E58" t="s">
        <v>770</v>
      </c>
      <c r="F58" t="s">
        <v>771</v>
      </c>
      <c r="G58" t="s">
        <v>772</v>
      </c>
      <c r="J58" t="s">
        <v>773</v>
      </c>
      <c r="K58" t="s">
        <v>774</v>
      </c>
      <c r="L58" t="s">
        <v>775</v>
      </c>
      <c r="M58" t="s">
        <v>65</v>
      </c>
      <c r="N58" t="s">
        <v>770</v>
      </c>
      <c r="O58">
        <v>1</v>
      </c>
      <c r="P58" t="s">
        <v>776</v>
      </c>
      <c r="Q58">
        <v>39.9</v>
      </c>
      <c r="S58">
        <v>0.6</v>
      </c>
      <c r="X58">
        <v>0.6</v>
      </c>
      <c r="Y58" t="s">
        <v>1008</v>
      </c>
      <c r="AA58">
        <v>7110</v>
      </c>
      <c r="AB58" t="s">
        <v>797</v>
      </c>
      <c r="AC58" t="s">
        <v>778</v>
      </c>
    </row>
    <row r="59" spans="1:29" x14ac:dyDescent="0.25">
      <c r="A59" t="s">
        <v>1009</v>
      </c>
      <c r="B59" t="s">
        <v>1009</v>
      </c>
      <c r="C59" t="s">
        <v>1010</v>
      </c>
      <c r="D59" t="s">
        <v>1011</v>
      </c>
      <c r="E59" t="s">
        <v>770</v>
      </c>
      <c r="F59" t="s">
        <v>771</v>
      </c>
      <c r="G59" t="s">
        <v>772</v>
      </c>
      <c r="J59" t="s">
        <v>783</v>
      </c>
      <c r="K59" t="s">
        <v>774</v>
      </c>
      <c r="L59" t="s">
        <v>775</v>
      </c>
      <c r="M59" t="s">
        <v>65</v>
      </c>
      <c r="N59" t="s">
        <v>770</v>
      </c>
      <c r="O59">
        <v>1</v>
      </c>
      <c r="P59" t="s">
        <v>776</v>
      </c>
      <c r="Q59">
        <v>39.9</v>
      </c>
      <c r="Y59" t="s">
        <v>841</v>
      </c>
      <c r="AA59">
        <v>75008</v>
      </c>
      <c r="AB59" t="s">
        <v>28</v>
      </c>
    </row>
    <row r="60" spans="1:29" x14ac:dyDescent="0.25">
      <c r="A60" t="s">
        <v>1012</v>
      </c>
      <c r="B60" t="s">
        <v>1012</v>
      </c>
      <c r="C60" t="s">
        <v>1013</v>
      </c>
      <c r="D60" t="s">
        <v>1014</v>
      </c>
      <c r="E60" t="s">
        <v>770</v>
      </c>
      <c r="F60" t="s">
        <v>771</v>
      </c>
      <c r="G60" t="s">
        <v>772</v>
      </c>
      <c r="J60" t="s">
        <v>773</v>
      </c>
      <c r="K60" t="s">
        <v>774</v>
      </c>
      <c r="L60" t="s">
        <v>775</v>
      </c>
      <c r="M60" t="s">
        <v>65</v>
      </c>
      <c r="N60" t="s">
        <v>770</v>
      </c>
      <c r="O60">
        <v>1</v>
      </c>
      <c r="P60" t="s">
        <v>776</v>
      </c>
      <c r="Q60">
        <v>39.9</v>
      </c>
      <c r="Y60" t="s">
        <v>1015</v>
      </c>
      <c r="AA60">
        <v>26780</v>
      </c>
      <c r="AB60" t="s">
        <v>28</v>
      </c>
      <c r="AC60" t="s">
        <v>778</v>
      </c>
    </row>
    <row r="61" spans="1:29" x14ac:dyDescent="0.25">
      <c r="A61" t="s">
        <v>1016</v>
      </c>
      <c r="B61" t="s">
        <v>1016</v>
      </c>
      <c r="C61" t="s">
        <v>1017</v>
      </c>
      <c r="D61" t="s">
        <v>1018</v>
      </c>
      <c r="E61" t="s">
        <v>770</v>
      </c>
      <c r="F61" t="s">
        <v>771</v>
      </c>
      <c r="G61" t="s">
        <v>772</v>
      </c>
      <c r="J61" t="s">
        <v>783</v>
      </c>
      <c r="K61" t="s">
        <v>774</v>
      </c>
      <c r="L61" t="s">
        <v>775</v>
      </c>
      <c r="M61" t="s">
        <v>65</v>
      </c>
      <c r="N61" t="s">
        <v>770</v>
      </c>
      <c r="O61">
        <v>1</v>
      </c>
      <c r="P61" t="s">
        <v>776</v>
      </c>
      <c r="Q61">
        <v>39.9</v>
      </c>
      <c r="Y61" t="s">
        <v>1019</v>
      </c>
      <c r="AA61">
        <v>94350</v>
      </c>
      <c r="AB61" t="s">
        <v>28</v>
      </c>
    </row>
    <row r="62" spans="1:29" x14ac:dyDescent="0.25">
      <c r="A62" t="s">
        <v>1020</v>
      </c>
      <c r="B62" t="s">
        <v>1020</v>
      </c>
      <c r="C62" t="s">
        <v>1021</v>
      </c>
      <c r="D62" t="s">
        <v>1022</v>
      </c>
      <c r="E62" t="s">
        <v>770</v>
      </c>
      <c r="F62" t="s">
        <v>771</v>
      </c>
      <c r="G62" t="s">
        <v>772</v>
      </c>
      <c r="J62" t="s">
        <v>783</v>
      </c>
      <c r="K62" t="s">
        <v>839</v>
      </c>
      <c r="L62" t="s">
        <v>840</v>
      </c>
      <c r="M62" t="s">
        <v>26</v>
      </c>
      <c r="N62" t="s">
        <v>770</v>
      </c>
      <c r="O62">
        <v>1</v>
      </c>
      <c r="P62" t="s">
        <v>776</v>
      </c>
      <c r="Q62">
        <v>44.9</v>
      </c>
      <c r="Y62" t="s">
        <v>1023</v>
      </c>
      <c r="AA62">
        <v>83210</v>
      </c>
      <c r="AB62" t="s">
        <v>28</v>
      </c>
    </row>
    <row r="63" spans="1:29" x14ac:dyDescent="0.25">
      <c r="A63" t="s">
        <v>1024</v>
      </c>
      <c r="B63" t="s">
        <v>1024</v>
      </c>
      <c r="C63" t="s">
        <v>1025</v>
      </c>
      <c r="D63" t="s">
        <v>1026</v>
      </c>
      <c r="E63" t="s">
        <v>770</v>
      </c>
      <c r="F63" t="s">
        <v>771</v>
      </c>
      <c r="G63" t="s">
        <v>772</v>
      </c>
      <c r="J63" t="s">
        <v>783</v>
      </c>
      <c r="K63" t="s">
        <v>839</v>
      </c>
      <c r="L63" t="s">
        <v>840</v>
      </c>
      <c r="M63" t="s">
        <v>26</v>
      </c>
      <c r="N63" t="s">
        <v>770</v>
      </c>
      <c r="O63">
        <v>1</v>
      </c>
      <c r="P63" t="s">
        <v>776</v>
      </c>
      <c r="Q63">
        <v>44.9</v>
      </c>
      <c r="Y63" t="s">
        <v>1027</v>
      </c>
      <c r="AA63">
        <v>13011</v>
      </c>
      <c r="AB63" t="s">
        <v>28</v>
      </c>
    </row>
    <row r="64" spans="1:29" x14ac:dyDescent="0.25">
      <c r="A64" t="s">
        <v>1028</v>
      </c>
      <c r="B64" t="s">
        <v>1028</v>
      </c>
      <c r="C64" t="s">
        <v>1029</v>
      </c>
      <c r="D64" t="s">
        <v>1030</v>
      </c>
      <c r="E64" t="s">
        <v>770</v>
      </c>
      <c r="F64" t="s">
        <v>771</v>
      </c>
      <c r="G64" t="s">
        <v>772</v>
      </c>
      <c r="J64" t="s">
        <v>783</v>
      </c>
      <c r="K64" t="s">
        <v>774</v>
      </c>
      <c r="L64" t="s">
        <v>775</v>
      </c>
      <c r="M64" t="s">
        <v>65</v>
      </c>
      <c r="N64" t="s">
        <v>770</v>
      </c>
      <c r="O64">
        <v>1</v>
      </c>
      <c r="P64" t="s">
        <v>776</v>
      </c>
      <c r="Q64">
        <v>39.9</v>
      </c>
      <c r="Y64" t="s">
        <v>1031</v>
      </c>
      <c r="AA64">
        <v>13113</v>
      </c>
      <c r="AB64" t="s">
        <v>28</v>
      </c>
    </row>
    <row r="65" spans="1:29" x14ac:dyDescent="0.25">
      <c r="A65" t="s">
        <v>1032</v>
      </c>
      <c r="B65" t="s">
        <v>1032</v>
      </c>
      <c r="C65" t="s">
        <v>1033</v>
      </c>
      <c r="D65" t="s">
        <v>1034</v>
      </c>
      <c r="E65" t="s">
        <v>782</v>
      </c>
      <c r="F65" t="s">
        <v>771</v>
      </c>
      <c r="G65" t="s">
        <v>772</v>
      </c>
      <c r="J65" t="s">
        <v>773</v>
      </c>
      <c r="K65" t="s">
        <v>774</v>
      </c>
      <c r="L65" t="s">
        <v>775</v>
      </c>
      <c r="M65" t="s">
        <v>65</v>
      </c>
      <c r="N65" t="s">
        <v>782</v>
      </c>
      <c r="O65">
        <v>0</v>
      </c>
      <c r="Y65" t="s">
        <v>1035</v>
      </c>
      <c r="AA65">
        <v>76220</v>
      </c>
      <c r="AB65" t="s">
        <v>28</v>
      </c>
    </row>
    <row r="66" spans="1:29" x14ac:dyDescent="0.25">
      <c r="A66" t="s">
        <v>1036</v>
      </c>
      <c r="B66" t="s">
        <v>1036</v>
      </c>
      <c r="C66" t="s">
        <v>1037</v>
      </c>
      <c r="D66" t="s">
        <v>1038</v>
      </c>
      <c r="E66" t="s">
        <v>770</v>
      </c>
      <c r="F66" t="s">
        <v>771</v>
      </c>
      <c r="G66" t="s">
        <v>772</v>
      </c>
      <c r="J66" t="s">
        <v>783</v>
      </c>
      <c r="K66" t="s">
        <v>774</v>
      </c>
      <c r="L66" t="s">
        <v>775</v>
      </c>
      <c r="M66" t="s">
        <v>65</v>
      </c>
      <c r="N66" t="s">
        <v>770</v>
      </c>
      <c r="O66">
        <v>1</v>
      </c>
      <c r="P66" t="s">
        <v>776</v>
      </c>
      <c r="Q66">
        <v>39.9</v>
      </c>
      <c r="Y66" t="s">
        <v>962</v>
      </c>
      <c r="AA66">
        <v>69004</v>
      </c>
      <c r="AB66" t="s">
        <v>28</v>
      </c>
    </row>
    <row r="67" spans="1:29" x14ac:dyDescent="0.25">
      <c r="A67" t="s">
        <v>1039</v>
      </c>
      <c r="B67" t="s">
        <v>1039</v>
      </c>
      <c r="C67" t="s">
        <v>1040</v>
      </c>
      <c r="D67" t="s">
        <v>1041</v>
      </c>
      <c r="E67" t="s">
        <v>770</v>
      </c>
      <c r="F67" t="s">
        <v>771</v>
      </c>
      <c r="G67" t="s">
        <v>772</v>
      </c>
      <c r="J67" t="s">
        <v>773</v>
      </c>
      <c r="K67" t="s">
        <v>774</v>
      </c>
      <c r="L67" t="s">
        <v>775</v>
      </c>
      <c r="M67" t="s">
        <v>65</v>
      </c>
      <c r="N67" t="s">
        <v>770</v>
      </c>
      <c r="O67">
        <v>1</v>
      </c>
      <c r="P67" t="s">
        <v>776</v>
      </c>
      <c r="Q67">
        <v>39.9</v>
      </c>
      <c r="Y67" t="s">
        <v>1042</v>
      </c>
      <c r="AA67">
        <v>13830</v>
      </c>
      <c r="AB67" t="s">
        <v>28</v>
      </c>
      <c r="AC67" t="s">
        <v>778</v>
      </c>
    </row>
    <row r="68" spans="1:29" x14ac:dyDescent="0.25">
      <c r="A68" t="s">
        <v>1043</v>
      </c>
      <c r="B68" t="s">
        <v>1043</v>
      </c>
      <c r="C68" t="s">
        <v>1044</v>
      </c>
      <c r="D68" t="s">
        <v>1045</v>
      </c>
      <c r="E68" t="s">
        <v>770</v>
      </c>
      <c r="F68" t="s">
        <v>771</v>
      </c>
      <c r="G68" t="s">
        <v>772</v>
      </c>
      <c r="J68" t="s">
        <v>783</v>
      </c>
      <c r="K68" t="s">
        <v>1046</v>
      </c>
      <c r="L68" t="s">
        <v>1047</v>
      </c>
      <c r="M68" t="s">
        <v>21</v>
      </c>
      <c r="N68" t="s">
        <v>770</v>
      </c>
      <c r="O68">
        <v>1</v>
      </c>
      <c r="P68" t="s">
        <v>776</v>
      </c>
      <c r="Q68">
        <v>39.9</v>
      </c>
      <c r="Y68" t="s">
        <v>1048</v>
      </c>
      <c r="AA68">
        <v>1600</v>
      </c>
      <c r="AB68" t="s">
        <v>28</v>
      </c>
    </row>
    <row r="69" spans="1:29" x14ac:dyDescent="0.25">
      <c r="A69" t="s">
        <v>1049</v>
      </c>
      <c r="B69" t="s">
        <v>1049</v>
      </c>
      <c r="C69" t="s">
        <v>1050</v>
      </c>
      <c r="D69" t="s">
        <v>1051</v>
      </c>
      <c r="E69" t="s">
        <v>770</v>
      </c>
      <c r="F69" t="s">
        <v>771</v>
      </c>
      <c r="G69" t="s">
        <v>772</v>
      </c>
      <c r="J69" t="s">
        <v>783</v>
      </c>
      <c r="K69" t="s">
        <v>774</v>
      </c>
      <c r="L69" t="s">
        <v>775</v>
      </c>
      <c r="M69" t="s">
        <v>65</v>
      </c>
      <c r="N69" t="s">
        <v>770</v>
      </c>
      <c r="O69">
        <v>1</v>
      </c>
      <c r="P69" t="s">
        <v>776</v>
      </c>
      <c r="Q69">
        <v>39.9</v>
      </c>
      <c r="Y69" t="s">
        <v>841</v>
      </c>
      <c r="AA69">
        <v>75017</v>
      </c>
      <c r="AB69" t="s">
        <v>28</v>
      </c>
    </row>
    <row r="70" spans="1:29" x14ac:dyDescent="0.25">
      <c r="A70" t="s">
        <v>1052</v>
      </c>
      <c r="B70" t="s">
        <v>1052</v>
      </c>
      <c r="C70" t="s">
        <v>1053</v>
      </c>
      <c r="D70" t="s">
        <v>1054</v>
      </c>
      <c r="E70" t="s">
        <v>770</v>
      </c>
      <c r="F70" t="s">
        <v>771</v>
      </c>
      <c r="G70" t="s">
        <v>772</v>
      </c>
      <c r="J70" t="s">
        <v>773</v>
      </c>
      <c r="K70" t="s">
        <v>1055</v>
      </c>
      <c r="L70" t="s">
        <v>1056</v>
      </c>
      <c r="M70" t="s">
        <v>212</v>
      </c>
      <c r="N70" t="s">
        <v>770</v>
      </c>
      <c r="O70">
        <v>1</v>
      </c>
      <c r="P70" t="s">
        <v>776</v>
      </c>
      <c r="Q70">
        <v>49.9</v>
      </c>
      <c r="S70">
        <v>1.33</v>
      </c>
      <c r="X70">
        <v>1.33</v>
      </c>
      <c r="Y70" t="s">
        <v>1057</v>
      </c>
      <c r="Z70" t="s">
        <v>1058</v>
      </c>
      <c r="AA70">
        <v>85400</v>
      </c>
      <c r="AB70" t="s">
        <v>28</v>
      </c>
      <c r="AC70" t="s">
        <v>778</v>
      </c>
    </row>
    <row r="71" spans="1:29" x14ac:dyDescent="0.25">
      <c r="A71" t="s">
        <v>1059</v>
      </c>
      <c r="B71" t="s">
        <v>1059</v>
      </c>
      <c r="C71" t="s">
        <v>1060</v>
      </c>
      <c r="D71" t="s">
        <v>1061</v>
      </c>
      <c r="E71" t="s">
        <v>770</v>
      </c>
      <c r="F71" t="s">
        <v>771</v>
      </c>
      <c r="G71" t="s">
        <v>772</v>
      </c>
      <c r="J71" t="s">
        <v>783</v>
      </c>
      <c r="K71" t="s">
        <v>774</v>
      </c>
      <c r="L71" t="s">
        <v>775</v>
      </c>
      <c r="M71" t="s">
        <v>65</v>
      </c>
      <c r="N71" t="s">
        <v>770</v>
      </c>
      <c r="O71">
        <v>1</v>
      </c>
      <c r="P71" t="s">
        <v>776</v>
      </c>
      <c r="Q71">
        <v>39.9</v>
      </c>
      <c r="Y71" t="s">
        <v>1062</v>
      </c>
      <c r="AA71">
        <v>74340</v>
      </c>
      <c r="AB71" t="s">
        <v>28</v>
      </c>
    </row>
    <row r="72" spans="1:29" x14ac:dyDescent="0.25">
      <c r="A72" t="s">
        <v>1063</v>
      </c>
      <c r="B72" t="s">
        <v>1063</v>
      </c>
      <c r="C72" t="s">
        <v>1064</v>
      </c>
      <c r="D72" t="s">
        <v>1065</v>
      </c>
      <c r="E72" t="s">
        <v>770</v>
      </c>
      <c r="F72" t="s">
        <v>771</v>
      </c>
      <c r="G72" t="s">
        <v>772</v>
      </c>
      <c r="J72" t="s">
        <v>773</v>
      </c>
      <c r="K72" t="s">
        <v>839</v>
      </c>
      <c r="L72" t="s">
        <v>840</v>
      </c>
      <c r="M72" t="s">
        <v>26</v>
      </c>
      <c r="N72" t="s">
        <v>770</v>
      </c>
      <c r="O72">
        <v>1</v>
      </c>
      <c r="P72" t="s">
        <v>776</v>
      </c>
      <c r="Q72">
        <v>44.9</v>
      </c>
      <c r="S72">
        <v>2.99</v>
      </c>
      <c r="X72">
        <v>2.99</v>
      </c>
      <c r="Y72" t="s">
        <v>1066</v>
      </c>
      <c r="AA72">
        <v>8313</v>
      </c>
      <c r="AB72" t="s">
        <v>1067</v>
      </c>
      <c r="AC72" t="s">
        <v>778</v>
      </c>
    </row>
    <row r="73" spans="1:29" x14ac:dyDescent="0.25">
      <c r="A73" t="s">
        <v>1068</v>
      </c>
      <c r="B73" t="s">
        <v>1068</v>
      </c>
      <c r="C73" t="s">
        <v>1069</v>
      </c>
      <c r="D73" t="s">
        <v>1070</v>
      </c>
      <c r="E73" t="s">
        <v>770</v>
      </c>
      <c r="F73" t="s">
        <v>771</v>
      </c>
      <c r="G73" t="s">
        <v>772</v>
      </c>
      <c r="J73" t="s">
        <v>773</v>
      </c>
      <c r="K73" t="s">
        <v>774</v>
      </c>
      <c r="L73" t="s">
        <v>775</v>
      </c>
      <c r="M73" t="s">
        <v>65</v>
      </c>
      <c r="N73" t="s">
        <v>770</v>
      </c>
      <c r="O73">
        <v>1</v>
      </c>
      <c r="P73" t="s">
        <v>776</v>
      </c>
      <c r="Q73">
        <v>39.9</v>
      </c>
      <c r="S73">
        <v>3.99</v>
      </c>
      <c r="X73">
        <v>3.99</v>
      </c>
      <c r="Y73" t="s">
        <v>1071</v>
      </c>
      <c r="AA73">
        <v>94210</v>
      </c>
      <c r="AB73" t="s">
        <v>28</v>
      </c>
      <c r="AC73" t="s">
        <v>778</v>
      </c>
    </row>
    <row r="74" spans="1:29" x14ac:dyDescent="0.25">
      <c r="A74" t="s">
        <v>1072</v>
      </c>
      <c r="B74" t="s">
        <v>1072</v>
      </c>
      <c r="C74" t="s">
        <v>1073</v>
      </c>
      <c r="D74" t="s">
        <v>1074</v>
      </c>
      <c r="E74" t="s">
        <v>770</v>
      </c>
      <c r="F74" t="s">
        <v>771</v>
      </c>
      <c r="G74" t="s">
        <v>772</v>
      </c>
      <c r="J74" t="s">
        <v>773</v>
      </c>
      <c r="K74" t="s">
        <v>839</v>
      </c>
      <c r="L74" t="s">
        <v>840</v>
      </c>
      <c r="M74" t="s">
        <v>26</v>
      </c>
      <c r="N74" t="s">
        <v>770</v>
      </c>
      <c r="O74">
        <v>1</v>
      </c>
      <c r="P74" t="s">
        <v>776</v>
      </c>
      <c r="Q74">
        <v>44.9</v>
      </c>
      <c r="S74">
        <v>3.99</v>
      </c>
      <c r="X74">
        <v>3.99</v>
      </c>
      <c r="Y74" t="s">
        <v>1075</v>
      </c>
      <c r="AA74">
        <v>24750</v>
      </c>
      <c r="AB74" t="s">
        <v>28</v>
      </c>
      <c r="AC74" t="s">
        <v>778</v>
      </c>
    </row>
    <row r="75" spans="1:29" x14ac:dyDescent="0.25">
      <c r="A75" t="s">
        <v>1076</v>
      </c>
      <c r="B75" t="s">
        <v>1076</v>
      </c>
      <c r="C75" t="s">
        <v>1077</v>
      </c>
      <c r="D75" t="s">
        <v>1078</v>
      </c>
      <c r="E75" t="s">
        <v>770</v>
      </c>
      <c r="F75" t="s">
        <v>771</v>
      </c>
      <c r="G75" t="s">
        <v>772</v>
      </c>
      <c r="J75" t="s">
        <v>773</v>
      </c>
      <c r="K75" t="s">
        <v>1079</v>
      </c>
      <c r="L75" t="s">
        <v>1080</v>
      </c>
      <c r="M75" t="s">
        <v>186</v>
      </c>
      <c r="N75" t="s">
        <v>770</v>
      </c>
      <c r="O75">
        <v>1</v>
      </c>
      <c r="P75" t="s">
        <v>776</v>
      </c>
      <c r="Q75">
        <v>49.9</v>
      </c>
      <c r="U75">
        <v>2.99</v>
      </c>
      <c r="Y75" t="s">
        <v>1081</v>
      </c>
      <c r="AA75">
        <v>69530</v>
      </c>
      <c r="AB75" t="s">
        <v>28</v>
      </c>
      <c r="AC75" t="s">
        <v>778</v>
      </c>
    </row>
    <row r="76" spans="1:29" x14ac:dyDescent="0.25">
      <c r="A76" t="s">
        <v>1082</v>
      </c>
      <c r="B76" t="s">
        <v>1082</v>
      </c>
      <c r="C76" t="s">
        <v>1083</v>
      </c>
      <c r="D76" t="s">
        <v>1084</v>
      </c>
      <c r="E76" t="s">
        <v>770</v>
      </c>
      <c r="F76" t="s">
        <v>771</v>
      </c>
      <c r="G76" t="s">
        <v>772</v>
      </c>
      <c r="J76" t="s">
        <v>773</v>
      </c>
      <c r="K76" t="s">
        <v>839</v>
      </c>
      <c r="L76" t="s">
        <v>840</v>
      </c>
      <c r="M76" t="s">
        <v>26</v>
      </c>
      <c r="N76" t="s">
        <v>770</v>
      </c>
      <c r="O76">
        <v>1</v>
      </c>
      <c r="P76" t="s">
        <v>776</v>
      </c>
      <c r="Q76">
        <v>44.9</v>
      </c>
      <c r="S76">
        <v>2</v>
      </c>
      <c r="X76">
        <v>2</v>
      </c>
      <c r="Y76" t="s">
        <v>1085</v>
      </c>
      <c r="AA76">
        <v>57290</v>
      </c>
      <c r="AB76" t="s">
        <v>28</v>
      </c>
      <c r="AC76" t="s">
        <v>778</v>
      </c>
    </row>
    <row r="77" spans="1:29" x14ac:dyDescent="0.25">
      <c r="A77" t="s">
        <v>1086</v>
      </c>
      <c r="B77" t="s">
        <v>1086</v>
      </c>
      <c r="C77" t="s">
        <v>1087</v>
      </c>
      <c r="D77" t="s">
        <v>1088</v>
      </c>
      <c r="E77" t="s">
        <v>770</v>
      </c>
      <c r="F77" t="s">
        <v>771</v>
      </c>
      <c r="G77" t="s">
        <v>772</v>
      </c>
      <c r="J77" t="s">
        <v>773</v>
      </c>
      <c r="K77" t="s">
        <v>774</v>
      </c>
      <c r="L77" t="s">
        <v>775</v>
      </c>
      <c r="M77" t="s">
        <v>65</v>
      </c>
      <c r="N77" t="s">
        <v>770</v>
      </c>
      <c r="O77">
        <v>1</v>
      </c>
      <c r="P77" t="s">
        <v>776</v>
      </c>
      <c r="Q77">
        <v>39.9</v>
      </c>
      <c r="Y77" t="s">
        <v>1089</v>
      </c>
      <c r="AA77">
        <v>83550</v>
      </c>
      <c r="AB77" t="s">
        <v>28</v>
      </c>
      <c r="AC77" t="s">
        <v>778</v>
      </c>
    </row>
    <row r="78" spans="1:29" x14ac:dyDescent="0.25">
      <c r="A78" t="s">
        <v>1090</v>
      </c>
      <c r="B78" t="s">
        <v>1090</v>
      </c>
      <c r="C78" t="s">
        <v>1091</v>
      </c>
      <c r="D78" t="s">
        <v>1092</v>
      </c>
      <c r="E78" t="s">
        <v>770</v>
      </c>
      <c r="F78" t="s">
        <v>771</v>
      </c>
      <c r="G78" t="s">
        <v>772</v>
      </c>
      <c r="J78" t="s">
        <v>783</v>
      </c>
      <c r="K78" t="s">
        <v>1093</v>
      </c>
      <c r="L78" t="s">
        <v>1094</v>
      </c>
      <c r="M78" t="s">
        <v>208</v>
      </c>
      <c r="N78" t="s">
        <v>770</v>
      </c>
      <c r="O78">
        <v>1</v>
      </c>
      <c r="P78" t="s">
        <v>776</v>
      </c>
      <c r="Q78">
        <v>99</v>
      </c>
      <c r="Y78" t="s">
        <v>1095</v>
      </c>
      <c r="Z78" t="s">
        <v>1096</v>
      </c>
      <c r="AA78">
        <v>46170</v>
      </c>
      <c r="AB78" t="s">
        <v>28</v>
      </c>
    </row>
    <row r="79" spans="1:29" x14ac:dyDescent="0.25">
      <c r="A79" t="s">
        <v>1097</v>
      </c>
      <c r="B79" t="s">
        <v>1097</v>
      </c>
      <c r="C79" t="s">
        <v>1098</v>
      </c>
      <c r="D79" t="s">
        <v>1099</v>
      </c>
      <c r="E79" t="s">
        <v>770</v>
      </c>
      <c r="F79" t="s">
        <v>771</v>
      </c>
      <c r="G79" t="s">
        <v>772</v>
      </c>
      <c r="J79" t="s">
        <v>773</v>
      </c>
      <c r="K79" t="s">
        <v>774</v>
      </c>
      <c r="L79" t="s">
        <v>775</v>
      </c>
      <c r="M79" t="s">
        <v>65</v>
      </c>
      <c r="N79" t="s">
        <v>770</v>
      </c>
      <c r="O79">
        <v>1</v>
      </c>
      <c r="P79" t="s">
        <v>776</v>
      </c>
      <c r="Q79">
        <v>39.9</v>
      </c>
      <c r="S79">
        <v>3.99</v>
      </c>
      <c r="X79">
        <v>3.99</v>
      </c>
      <c r="Y79" t="s">
        <v>1100</v>
      </c>
      <c r="AA79">
        <v>13080</v>
      </c>
      <c r="AB79" t="s">
        <v>28</v>
      </c>
      <c r="AC79" t="s">
        <v>778</v>
      </c>
    </row>
    <row r="80" spans="1:29" x14ac:dyDescent="0.25">
      <c r="A80" t="s">
        <v>1101</v>
      </c>
      <c r="B80" t="s">
        <v>1101</v>
      </c>
      <c r="C80" t="s">
        <v>1102</v>
      </c>
      <c r="D80" t="s">
        <v>1103</v>
      </c>
      <c r="E80" t="s">
        <v>770</v>
      </c>
      <c r="F80" t="s">
        <v>771</v>
      </c>
      <c r="G80" t="s">
        <v>772</v>
      </c>
      <c r="J80" t="s">
        <v>783</v>
      </c>
      <c r="K80" t="s">
        <v>839</v>
      </c>
      <c r="L80" t="s">
        <v>840</v>
      </c>
      <c r="M80" t="s">
        <v>26</v>
      </c>
      <c r="N80" t="s">
        <v>770</v>
      </c>
      <c r="O80">
        <v>1</v>
      </c>
      <c r="P80" t="s">
        <v>776</v>
      </c>
      <c r="Q80">
        <v>44.9</v>
      </c>
      <c r="Y80" t="s">
        <v>1104</v>
      </c>
      <c r="AA80">
        <v>60150</v>
      </c>
      <c r="AB80" t="s">
        <v>28</v>
      </c>
    </row>
    <row r="81" spans="1:29" x14ac:dyDescent="0.25">
      <c r="A81" t="s">
        <v>1105</v>
      </c>
      <c r="B81" t="s">
        <v>1105</v>
      </c>
      <c r="C81" t="s">
        <v>1106</v>
      </c>
      <c r="D81" t="s">
        <v>1107</v>
      </c>
      <c r="E81" t="s">
        <v>770</v>
      </c>
      <c r="F81" t="s">
        <v>771</v>
      </c>
      <c r="G81" t="s">
        <v>772</v>
      </c>
      <c r="J81" t="s">
        <v>783</v>
      </c>
      <c r="K81" t="s">
        <v>774</v>
      </c>
      <c r="L81" t="s">
        <v>775</v>
      </c>
      <c r="M81" t="s">
        <v>65</v>
      </c>
      <c r="N81" t="s">
        <v>770</v>
      </c>
      <c r="O81">
        <v>1</v>
      </c>
      <c r="P81" t="s">
        <v>776</v>
      </c>
      <c r="Q81">
        <v>39.9</v>
      </c>
      <c r="Y81" t="s">
        <v>1108</v>
      </c>
      <c r="AA81">
        <v>69440</v>
      </c>
      <c r="AB81" t="s">
        <v>28</v>
      </c>
    </row>
    <row r="82" spans="1:29" x14ac:dyDescent="0.25">
      <c r="A82" t="s">
        <v>1109</v>
      </c>
      <c r="B82" t="s">
        <v>1109</v>
      </c>
      <c r="C82" t="s">
        <v>1110</v>
      </c>
      <c r="D82" t="s">
        <v>1111</v>
      </c>
      <c r="E82" t="s">
        <v>770</v>
      </c>
      <c r="F82" t="s">
        <v>771</v>
      </c>
      <c r="G82" t="s">
        <v>772</v>
      </c>
      <c r="J82" t="s">
        <v>783</v>
      </c>
      <c r="K82" t="s">
        <v>774</v>
      </c>
      <c r="L82" t="s">
        <v>775</v>
      </c>
      <c r="M82" t="s">
        <v>65</v>
      </c>
      <c r="N82" t="s">
        <v>770</v>
      </c>
      <c r="O82">
        <v>1</v>
      </c>
      <c r="P82" t="s">
        <v>776</v>
      </c>
      <c r="Q82">
        <v>39.9</v>
      </c>
      <c r="Y82" t="s">
        <v>1112</v>
      </c>
      <c r="AA82">
        <v>47310</v>
      </c>
      <c r="AB82" t="s">
        <v>28</v>
      </c>
    </row>
    <row r="83" spans="1:29" x14ac:dyDescent="0.25">
      <c r="A83" t="s">
        <v>1113</v>
      </c>
      <c r="B83" t="s">
        <v>1113</v>
      </c>
      <c r="C83" t="s">
        <v>1114</v>
      </c>
      <c r="D83" t="s">
        <v>1115</v>
      </c>
      <c r="E83" t="s">
        <v>770</v>
      </c>
      <c r="F83" t="s">
        <v>771</v>
      </c>
      <c r="G83" t="s">
        <v>772</v>
      </c>
      <c r="J83" t="s">
        <v>783</v>
      </c>
      <c r="K83" t="s">
        <v>774</v>
      </c>
      <c r="L83" t="s">
        <v>775</v>
      </c>
      <c r="M83" t="s">
        <v>65</v>
      </c>
      <c r="N83" t="s">
        <v>770</v>
      </c>
      <c r="O83">
        <v>1</v>
      </c>
      <c r="P83" t="s">
        <v>776</v>
      </c>
      <c r="Q83">
        <v>39.9</v>
      </c>
      <c r="Y83" t="s">
        <v>1116</v>
      </c>
      <c r="Z83" t="s">
        <v>1117</v>
      </c>
      <c r="AA83">
        <v>78310</v>
      </c>
      <c r="AB83" t="s">
        <v>28</v>
      </c>
    </row>
    <row r="84" spans="1:29" x14ac:dyDescent="0.25">
      <c r="A84" t="s">
        <v>1118</v>
      </c>
      <c r="B84" t="s">
        <v>1118</v>
      </c>
      <c r="C84" t="s">
        <v>1119</v>
      </c>
      <c r="D84" t="s">
        <v>1120</v>
      </c>
      <c r="E84" t="s">
        <v>770</v>
      </c>
      <c r="F84" t="s">
        <v>771</v>
      </c>
      <c r="G84" t="s">
        <v>772</v>
      </c>
      <c r="J84" t="s">
        <v>773</v>
      </c>
      <c r="K84" t="s">
        <v>774</v>
      </c>
      <c r="L84" t="s">
        <v>775</v>
      </c>
      <c r="M84" t="s">
        <v>65</v>
      </c>
      <c r="N84" t="s">
        <v>770</v>
      </c>
      <c r="O84">
        <v>1</v>
      </c>
      <c r="P84" t="s">
        <v>776</v>
      </c>
      <c r="Q84">
        <v>39.9</v>
      </c>
      <c r="Y84" t="s">
        <v>1121</v>
      </c>
      <c r="AA84">
        <v>45160</v>
      </c>
      <c r="AB84" t="s">
        <v>28</v>
      </c>
      <c r="AC84" t="s">
        <v>778</v>
      </c>
    </row>
    <row r="85" spans="1:29" x14ac:dyDescent="0.25">
      <c r="A85" t="s">
        <v>1122</v>
      </c>
      <c r="B85" t="s">
        <v>1122</v>
      </c>
      <c r="C85" t="s">
        <v>1123</v>
      </c>
      <c r="D85" t="s">
        <v>1124</v>
      </c>
      <c r="E85" t="s">
        <v>770</v>
      </c>
      <c r="F85" t="s">
        <v>771</v>
      </c>
      <c r="G85" t="s">
        <v>772</v>
      </c>
      <c r="J85" t="s">
        <v>783</v>
      </c>
      <c r="K85" t="s">
        <v>774</v>
      </c>
      <c r="L85" t="s">
        <v>775</v>
      </c>
      <c r="M85" t="s">
        <v>65</v>
      </c>
      <c r="N85" t="s">
        <v>770</v>
      </c>
      <c r="O85">
        <v>1</v>
      </c>
      <c r="P85" t="s">
        <v>776</v>
      </c>
      <c r="Q85">
        <v>39.9</v>
      </c>
      <c r="Y85" t="s">
        <v>1125</v>
      </c>
      <c r="AA85">
        <v>89260</v>
      </c>
      <c r="AB85" t="s">
        <v>28</v>
      </c>
    </row>
    <row r="86" spans="1:29" x14ac:dyDescent="0.25">
      <c r="A86" t="s">
        <v>1126</v>
      </c>
      <c r="B86" t="s">
        <v>1126</v>
      </c>
      <c r="C86" t="s">
        <v>1127</v>
      </c>
      <c r="D86" t="s">
        <v>1128</v>
      </c>
      <c r="E86" t="s">
        <v>770</v>
      </c>
      <c r="F86" t="s">
        <v>771</v>
      </c>
      <c r="G86" t="s">
        <v>772</v>
      </c>
      <c r="J86" t="s">
        <v>783</v>
      </c>
      <c r="K86" t="s">
        <v>774</v>
      </c>
      <c r="L86" t="s">
        <v>775</v>
      </c>
      <c r="M86" t="s">
        <v>65</v>
      </c>
      <c r="N86" t="s">
        <v>770</v>
      </c>
      <c r="O86">
        <v>1</v>
      </c>
      <c r="P86" t="s">
        <v>776</v>
      </c>
      <c r="Q86">
        <v>39.9</v>
      </c>
      <c r="Y86" t="s">
        <v>1129</v>
      </c>
      <c r="AA86">
        <v>33750</v>
      </c>
      <c r="AB86" t="s">
        <v>28</v>
      </c>
    </row>
    <row r="87" spans="1:29" x14ac:dyDescent="0.25">
      <c r="A87" t="s">
        <v>1130</v>
      </c>
      <c r="B87" t="s">
        <v>1130</v>
      </c>
      <c r="C87" t="s">
        <v>1131</v>
      </c>
      <c r="D87" t="s">
        <v>1132</v>
      </c>
      <c r="E87" t="s">
        <v>770</v>
      </c>
      <c r="F87" t="s">
        <v>771</v>
      </c>
      <c r="G87" t="s">
        <v>772</v>
      </c>
      <c r="J87" t="s">
        <v>773</v>
      </c>
      <c r="K87" t="s">
        <v>774</v>
      </c>
      <c r="L87" t="s">
        <v>775</v>
      </c>
      <c r="M87" t="s">
        <v>65</v>
      </c>
      <c r="N87" t="s">
        <v>770</v>
      </c>
      <c r="O87">
        <v>1</v>
      </c>
      <c r="P87" t="s">
        <v>776</v>
      </c>
      <c r="Q87">
        <v>39.9</v>
      </c>
      <c r="Y87" t="s">
        <v>1133</v>
      </c>
      <c r="AA87">
        <v>78840</v>
      </c>
      <c r="AB87" t="s">
        <v>28</v>
      </c>
      <c r="AC87" t="s">
        <v>778</v>
      </c>
    </row>
    <row r="88" spans="1:29" x14ac:dyDescent="0.25">
      <c r="A88" t="s">
        <v>1134</v>
      </c>
      <c r="B88" t="s">
        <v>1134</v>
      </c>
      <c r="C88" t="s">
        <v>1135</v>
      </c>
      <c r="D88" t="s">
        <v>1120</v>
      </c>
      <c r="E88" t="s">
        <v>770</v>
      </c>
      <c r="F88" t="s">
        <v>771</v>
      </c>
      <c r="G88" t="s">
        <v>772</v>
      </c>
      <c r="J88" t="s">
        <v>773</v>
      </c>
      <c r="K88" t="s">
        <v>774</v>
      </c>
      <c r="L88" t="s">
        <v>775</v>
      </c>
      <c r="M88" t="s">
        <v>65</v>
      </c>
      <c r="N88" t="s">
        <v>770</v>
      </c>
      <c r="O88">
        <v>1</v>
      </c>
      <c r="P88" t="s">
        <v>776</v>
      </c>
      <c r="Q88">
        <v>39.9</v>
      </c>
      <c r="Y88" t="s">
        <v>1136</v>
      </c>
      <c r="AA88">
        <v>72000</v>
      </c>
      <c r="AB88" t="s">
        <v>28</v>
      </c>
      <c r="AC88" t="s">
        <v>778</v>
      </c>
    </row>
    <row r="89" spans="1:29" x14ac:dyDescent="0.25">
      <c r="A89" t="s">
        <v>1137</v>
      </c>
      <c r="B89" t="s">
        <v>1137</v>
      </c>
      <c r="C89" t="s">
        <v>1138</v>
      </c>
      <c r="D89" t="s">
        <v>1139</v>
      </c>
      <c r="E89" t="s">
        <v>770</v>
      </c>
      <c r="F89" t="s">
        <v>771</v>
      </c>
      <c r="G89" t="s">
        <v>772</v>
      </c>
      <c r="J89" t="s">
        <v>783</v>
      </c>
      <c r="K89" t="s">
        <v>774</v>
      </c>
      <c r="L89" t="s">
        <v>775</v>
      </c>
      <c r="M89" t="s">
        <v>65</v>
      </c>
      <c r="N89" t="s">
        <v>770</v>
      </c>
      <c r="O89">
        <v>1</v>
      </c>
      <c r="P89" t="s">
        <v>776</v>
      </c>
      <c r="Q89">
        <v>39.9</v>
      </c>
      <c r="Y89" t="s">
        <v>1140</v>
      </c>
      <c r="AA89">
        <v>57220</v>
      </c>
      <c r="AB89" t="s">
        <v>28</v>
      </c>
    </row>
    <row r="90" spans="1:29" x14ac:dyDescent="0.25">
      <c r="A90" t="s">
        <v>1141</v>
      </c>
      <c r="B90" t="s">
        <v>1141</v>
      </c>
      <c r="C90" t="s">
        <v>1142</v>
      </c>
      <c r="D90" t="s">
        <v>1143</v>
      </c>
      <c r="E90" t="s">
        <v>770</v>
      </c>
      <c r="F90" t="s">
        <v>771</v>
      </c>
      <c r="G90" t="s">
        <v>772</v>
      </c>
      <c r="J90" t="s">
        <v>783</v>
      </c>
      <c r="K90" t="s">
        <v>839</v>
      </c>
      <c r="L90" t="s">
        <v>840</v>
      </c>
      <c r="M90" t="s">
        <v>26</v>
      </c>
      <c r="N90" t="s">
        <v>770</v>
      </c>
      <c r="O90">
        <v>1</v>
      </c>
      <c r="P90" t="s">
        <v>776</v>
      </c>
      <c r="Q90">
        <v>44.9</v>
      </c>
      <c r="Y90" t="s">
        <v>1144</v>
      </c>
      <c r="AA90">
        <v>64990</v>
      </c>
      <c r="AB90" t="s">
        <v>28</v>
      </c>
    </row>
    <row r="91" spans="1:29" x14ac:dyDescent="0.25">
      <c r="A91" t="s">
        <v>1145</v>
      </c>
      <c r="B91" t="s">
        <v>1145</v>
      </c>
      <c r="C91" t="s">
        <v>1146</v>
      </c>
      <c r="D91" t="s">
        <v>1147</v>
      </c>
      <c r="E91" t="s">
        <v>782</v>
      </c>
      <c r="F91" t="s">
        <v>771</v>
      </c>
      <c r="G91" t="s">
        <v>772</v>
      </c>
      <c r="J91" t="s">
        <v>783</v>
      </c>
      <c r="K91" t="s">
        <v>774</v>
      </c>
      <c r="L91" t="s">
        <v>775</v>
      </c>
      <c r="M91" t="s">
        <v>65</v>
      </c>
      <c r="N91" t="s">
        <v>782</v>
      </c>
      <c r="O91">
        <v>0</v>
      </c>
      <c r="Y91" t="s">
        <v>1148</v>
      </c>
      <c r="AA91">
        <v>94130</v>
      </c>
      <c r="AB91" t="s">
        <v>28</v>
      </c>
    </row>
    <row r="92" spans="1:29" x14ac:dyDescent="0.25">
      <c r="A92" t="s">
        <v>1149</v>
      </c>
      <c r="B92" t="s">
        <v>1149</v>
      </c>
      <c r="C92" t="s">
        <v>1150</v>
      </c>
      <c r="D92" t="s">
        <v>1151</v>
      </c>
      <c r="E92" t="s">
        <v>770</v>
      </c>
      <c r="F92" t="s">
        <v>771</v>
      </c>
      <c r="G92" t="s">
        <v>772</v>
      </c>
      <c r="J92" t="s">
        <v>783</v>
      </c>
      <c r="K92" t="s">
        <v>1046</v>
      </c>
      <c r="L92" t="s">
        <v>1047</v>
      </c>
      <c r="M92" t="s">
        <v>21</v>
      </c>
      <c r="N92" t="s">
        <v>770</v>
      </c>
      <c r="O92">
        <v>1</v>
      </c>
      <c r="P92" t="s">
        <v>776</v>
      </c>
      <c r="Q92">
        <v>39.9</v>
      </c>
      <c r="Y92" t="s">
        <v>1152</v>
      </c>
      <c r="AA92">
        <v>59690</v>
      </c>
      <c r="AB92" t="s">
        <v>28</v>
      </c>
    </row>
    <row r="93" spans="1:29" x14ac:dyDescent="0.25">
      <c r="A93" t="s">
        <v>1153</v>
      </c>
      <c r="B93" t="s">
        <v>1153</v>
      </c>
      <c r="C93" t="s">
        <v>1154</v>
      </c>
      <c r="D93" t="s">
        <v>1155</v>
      </c>
      <c r="E93" t="s">
        <v>770</v>
      </c>
      <c r="F93" t="s">
        <v>771</v>
      </c>
      <c r="G93" t="s">
        <v>772</v>
      </c>
      <c r="J93" t="s">
        <v>783</v>
      </c>
      <c r="K93" t="s">
        <v>774</v>
      </c>
      <c r="L93" t="s">
        <v>775</v>
      </c>
      <c r="M93" t="s">
        <v>65</v>
      </c>
      <c r="N93" t="s">
        <v>770</v>
      </c>
      <c r="O93">
        <v>1</v>
      </c>
      <c r="P93" t="s">
        <v>776</v>
      </c>
      <c r="Q93">
        <v>39.9</v>
      </c>
      <c r="Y93" t="s">
        <v>1156</v>
      </c>
      <c r="AA93">
        <v>83310</v>
      </c>
      <c r="AB93" t="s">
        <v>28</v>
      </c>
    </row>
    <row r="94" spans="1:29" x14ac:dyDescent="0.25">
      <c r="A94" t="s">
        <v>1157</v>
      </c>
      <c r="B94" t="s">
        <v>1157</v>
      </c>
      <c r="C94" t="s">
        <v>1158</v>
      </c>
      <c r="D94" t="s">
        <v>1159</v>
      </c>
      <c r="E94" t="s">
        <v>770</v>
      </c>
      <c r="F94" t="s">
        <v>771</v>
      </c>
      <c r="G94" t="s">
        <v>772</v>
      </c>
      <c r="J94" t="s">
        <v>783</v>
      </c>
      <c r="K94" t="s">
        <v>774</v>
      </c>
      <c r="L94" t="s">
        <v>775</v>
      </c>
      <c r="M94" t="s">
        <v>65</v>
      </c>
      <c r="N94" t="s">
        <v>770</v>
      </c>
      <c r="O94">
        <v>1</v>
      </c>
      <c r="P94" t="s">
        <v>776</v>
      </c>
      <c r="Q94">
        <v>39.9</v>
      </c>
      <c r="Y94" t="s">
        <v>1160</v>
      </c>
      <c r="AA94">
        <v>95190</v>
      </c>
      <c r="AB94" t="s">
        <v>28</v>
      </c>
    </row>
    <row r="95" spans="1:29" x14ac:dyDescent="0.25">
      <c r="A95" t="s">
        <v>1161</v>
      </c>
      <c r="B95" t="s">
        <v>1161</v>
      </c>
      <c r="C95" t="s">
        <v>1162</v>
      </c>
      <c r="D95" t="s">
        <v>1163</v>
      </c>
      <c r="E95" t="s">
        <v>770</v>
      </c>
      <c r="F95" t="s">
        <v>771</v>
      </c>
      <c r="G95" t="s">
        <v>772</v>
      </c>
      <c r="J95" t="s">
        <v>783</v>
      </c>
      <c r="K95" t="s">
        <v>774</v>
      </c>
      <c r="L95" t="s">
        <v>775</v>
      </c>
      <c r="M95" t="s">
        <v>65</v>
      </c>
      <c r="N95" t="s">
        <v>770</v>
      </c>
      <c r="O95">
        <v>1</v>
      </c>
      <c r="P95" t="s">
        <v>776</v>
      </c>
      <c r="Q95">
        <v>39.9</v>
      </c>
      <c r="Y95" t="s">
        <v>1164</v>
      </c>
      <c r="AA95">
        <v>87170</v>
      </c>
      <c r="AB95" t="s">
        <v>28</v>
      </c>
    </row>
    <row r="96" spans="1:29" x14ac:dyDescent="0.25">
      <c r="A96" t="s">
        <v>1165</v>
      </c>
      <c r="B96" t="s">
        <v>1165</v>
      </c>
      <c r="C96" t="s">
        <v>1166</v>
      </c>
      <c r="D96" t="s">
        <v>1167</v>
      </c>
      <c r="E96" t="s">
        <v>770</v>
      </c>
      <c r="F96" t="s">
        <v>771</v>
      </c>
      <c r="G96" t="s">
        <v>772</v>
      </c>
      <c r="J96" t="s">
        <v>783</v>
      </c>
      <c r="K96" t="s">
        <v>774</v>
      </c>
      <c r="L96" t="s">
        <v>775</v>
      </c>
      <c r="M96" t="s">
        <v>65</v>
      </c>
      <c r="N96" t="s">
        <v>770</v>
      </c>
      <c r="O96">
        <v>1</v>
      </c>
      <c r="P96" t="s">
        <v>776</v>
      </c>
      <c r="Q96">
        <v>39.9</v>
      </c>
      <c r="Y96" t="s">
        <v>1168</v>
      </c>
      <c r="AA96">
        <v>31470</v>
      </c>
      <c r="AB96" t="s">
        <v>28</v>
      </c>
    </row>
    <row r="97" spans="1:29" x14ac:dyDescent="0.25">
      <c r="A97" t="s">
        <v>1169</v>
      </c>
      <c r="B97" t="s">
        <v>1169</v>
      </c>
      <c r="C97" t="s">
        <v>1170</v>
      </c>
      <c r="D97" t="s">
        <v>1171</v>
      </c>
      <c r="E97" t="s">
        <v>770</v>
      </c>
      <c r="F97" t="s">
        <v>771</v>
      </c>
      <c r="G97" t="s">
        <v>772</v>
      </c>
      <c r="J97" t="s">
        <v>783</v>
      </c>
      <c r="K97" t="s">
        <v>774</v>
      </c>
      <c r="L97" t="s">
        <v>775</v>
      </c>
      <c r="M97" t="s">
        <v>65</v>
      </c>
      <c r="N97" t="s">
        <v>770</v>
      </c>
      <c r="O97">
        <v>1</v>
      </c>
      <c r="P97" t="s">
        <v>776</v>
      </c>
      <c r="Q97">
        <v>39.9</v>
      </c>
      <c r="Y97" t="s">
        <v>1172</v>
      </c>
      <c r="Z97" t="s">
        <v>1058</v>
      </c>
      <c r="AA97">
        <v>17150</v>
      </c>
      <c r="AB97" t="s">
        <v>28</v>
      </c>
    </row>
    <row r="98" spans="1:29" x14ac:dyDescent="0.25">
      <c r="A98" t="s">
        <v>1173</v>
      </c>
      <c r="B98" t="s">
        <v>1173</v>
      </c>
      <c r="C98" t="s">
        <v>1174</v>
      </c>
      <c r="D98" t="s">
        <v>1175</v>
      </c>
      <c r="E98" t="s">
        <v>770</v>
      </c>
      <c r="F98" t="s">
        <v>771</v>
      </c>
      <c r="G98" t="s">
        <v>772</v>
      </c>
      <c r="J98" t="s">
        <v>773</v>
      </c>
      <c r="K98" t="s">
        <v>774</v>
      </c>
      <c r="L98" t="s">
        <v>775</v>
      </c>
      <c r="M98" t="s">
        <v>65</v>
      </c>
      <c r="N98" t="s">
        <v>770</v>
      </c>
      <c r="O98">
        <v>1</v>
      </c>
      <c r="P98" t="s">
        <v>776</v>
      </c>
      <c r="Q98">
        <v>39.9</v>
      </c>
      <c r="Y98" t="s">
        <v>1176</v>
      </c>
      <c r="Z98" t="s">
        <v>1177</v>
      </c>
      <c r="AA98">
        <v>81800</v>
      </c>
      <c r="AB98" t="s">
        <v>28</v>
      </c>
      <c r="AC98" t="s">
        <v>778</v>
      </c>
    </row>
    <row r="99" spans="1:29" x14ac:dyDescent="0.25">
      <c r="A99" t="s">
        <v>1178</v>
      </c>
      <c r="B99" t="s">
        <v>1178</v>
      </c>
      <c r="C99" t="s">
        <v>1179</v>
      </c>
      <c r="D99" t="s">
        <v>1180</v>
      </c>
      <c r="E99" t="s">
        <v>770</v>
      </c>
      <c r="F99" t="s">
        <v>771</v>
      </c>
      <c r="G99" t="s">
        <v>772</v>
      </c>
      <c r="J99" t="s">
        <v>783</v>
      </c>
      <c r="K99" t="s">
        <v>774</v>
      </c>
      <c r="L99" t="s">
        <v>775</v>
      </c>
      <c r="M99" t="s">
        <v>65</v>
      </c>
      <c r="N99" t="s">
        <v>770</v>
      </c>
      <c r="O99">
        <v>1</v>
      </c>
      <c r="P99" t="s">
        <v>776</v>
      </c>
      <c r="Q99">
        <v>39.9</v>
      </c>
      <c r="Y99" t="s">
        <v>1181</v>
      </c>
      <c r="AA99">
        <v>56690</v>
      </c>
      <c r="AB99" t="s">
        <v>28</v>
      </c>
    </row>
    <row r="100" spans="1:29" x14ac:dyDescent="0.25">
      <c r="A100" t="s">
        <v>1182</v>
      </c>
      <c r="B100" t="s">
        <v>1182</v>
      </c>
      <c r="C100" t="s">
        <v>1183</v>
      </c>
      <c r="D100" t="s">
        <v>1184</v>
      </c>
      <c r="E100" t="s">
        <v>770</v>
      </c>
      <c r="F100" t="s">
        <v>771</v>
      </c>
      <c r="G100" t="s">
        <v>772</v>
      </c>
      <c r="J100" t="s">
        <v>773</v>
      </c>
      <c r="K100" t="s">
        <v>774</v>
      </c>
      <c r="L100" t="s">
        <v>775</v>
      </c>
      <c r="M100" t="s">
        <v>65</v>
      </c>
      <c r="N100" t="s">
        <v>770</v>
      </c>
      <c r="O100">
        <v>1</v>
      </c>
      <c r="P100" t="s">
        <v>776</v>
      </c>
      <c r="Q100">
        <v>39.9</v>
      </c>
      <c r="Y100" t="s">
        <v>1185</v>
      </c>
      <c r="Z100" t="s">
        <v>1186</v>
      </c>
      <c r="AA100">
        <v>91300</v>
      </c>
      <c r="AB100" t="s">
        <v>28</v>
      </c>
      <c r="AC100" t="s">
        <v>778</v>
      </c>
    </row>
    <row r="101" spans="1:29" x14ac:dyDescent="0.25">
      <c r="A101" t="s">
        <v>1187</v>
      </c>
      <c r="B101" t="s">
        <v>1187</v>
      </c>
      <c r="C101" t="s">
        <v>1188</v>
      </c>
      <c r="D101" t="s">
        <v>1189</v>
      </c>
      <c r="E101" t="s">
        <v>770</v>
      </c>
      <c r="F101" t="s">
        <v>771</v>
      </c>
      <c r="G101" t="s">
        <v>772</v>
      </c>
      <c r="J101" t="s">
        <v>773</v>
      </c>
      <c r="K101" t="s">
        <v>774</v>
      </c>
      <c r="L101" t="s">
        <v>775</v>
      </c>
      <c r="M101" t="s">
        <v>65</v>
      </c>
      <c r="N101" t="s">
        <v>770</v>
      </c>
      <c r="O101">
        <v>1</v>
      </c>
      <c r="P101" t="s">
        <v>776</v>
      </c>
      <c r="Q101">
        <v>39.9</v>
      </c>
      <c r="Y101" t="s">
        <v>1190</v>
      </c>
      <c r="AA101">
        <v>80132</v>
      </c>
      <c r="AB101" t="s">
        <v>28</v>
      </c>
      <c r="AC101" t="s">
        <v>778</v>
      </c>
    </row>
    <row r="102" spans="1:29" x14ac:dyDescent="0.25">
      <c r="A102" t="s">
        <v>1191</v>
      </c>
      <c r="B102" t="s">
        <v>1191</v>
      </c>
      <c r="C102" t="s">
        <v>1192</v>
      </c>
      <c r="D102" t="s">
        <v>1193</v>
      </c>
      <c r="E102" t="s">
        <v>770</v>
      </c>
      <c r="F102" t="s">
        <v>771</v>
      </c>
      <c r="G102" t="s">
        <v>772</v>
      </c>
      <c r="J102" t="s">
        <v>783</v>
      </c>
      <c r="K102" t="s">
        <v>774</v>
      </c>
      <c r="L102" t="s">
        <v>775</v>
      </c>
      <c r="M102" t="s">
        <v>65</v>
      </c>
      <c r="N102" t="s">
        <v>770</v>
      </c>
      <c r="O102">
        <v>1</v>
      </c>
      <c r="P102" t="s">
        <v>776</v>
      </c>
      <c r="Q102">
        <v>39.9</v>
      </c>
      <c r="Y102" t="s">
        <v>1194</v>
      </c>
      <c r="AA102">
        <v>30220</v>
      </c>
      <c r="AB102" t="s">
        <v>28</v>
      </c>
    </row>
    <row r="103" spans="1:29" x14ac:dyDescent="0.25">
      <c r="A103" t="s">
        <v>1195</v>
      </c>
      <c r="B103" t="s">
        <v>1195</v>
      </c>
      <c r="C103" t="s">
        <v>1196</v>
      </c>
      <c r="D103" t="s">
        <v>1197</v>
      </c>
      <c r="E103" t="s">
        <v>770</v>
      </c>
      <c r="F103" t="s">
        <v>771</v>
      </c>
      <c r="G103" t="s">
        <v>772</v>
      </c>
      <c r="J103" t="s">
        <v>773</v>
      </c>
      <c r="K103" t="s">
        <v>774</v>
      </c>
      <c r="L103" t="s">
        <v>775</v>
      </c>
      <c r="M103" t="s">
        <v>65</v>
      </c>
      <c r="N103" t="s">
        <v>770</v>
      </c>
      <c r="O103">
        <v>1</v>
      </c>
      <c r="P103" t="s">
        <v>776</v>
      </c>
      <c r="Q103">
        <v>39.9</v>
      </c>
      <c r="Y103" t="s">
        <v>1198</v>
      </c>
      <c r="AA103">
        <v>64130</v>
      </c>
      <c r="AB103" t="s">
        <v>28</v>
      </c>
      <c r="AC103" t="s">
        <v>778</v>
      </c>
    </row>
    <row r="104" spans="1:29" x14ac:dyDescent="0.25">
      <c r="A104" t="s">
        <v>1199</v>
      </c>
      <c r="B104" t="s">
        <v>1199</v>
      </c>
      <c r="C104" t="s">
        <v>1200</v>
      </c>
      <c r="D104" t="s">
        <v>1201</v>
      </c>
      <c r="E104" t="s">
        <v>770</v>
      </c>
      <c r="F104" t="s">
        <v>771</v>
      </c>
      <c r="G104" t="s">
        <v>772</v>
      </c>
      <c r="J104" t="s">
        <v>773</v>
      </c>
      <c r="K104" t="s">
        <v>774</v>
      </c>
      <c r="L104" t="s">
        <v>775</v>
      </c>
      <c r="M104" t="s">
        <v>65</v>
      </c>
      <c r="N104" t="s">
        <v>770</v>
      </c>
      <c r="O104">
        <v>1</v>
      </c>
      <c r="P104" t="s">
        <v>776</v>
      </c>
      <c r="Q104">
        <v>39.9</v>
      </c>
      <c r="Y104" t="s">
        <v>1202</v>
      </c>
      <c r="AA104">
        <v>40200</v>
      </c>
      <c r="AB104" t="s">
        <v>28</v>
      </c>
      <c r="AC104" t="s">
        <v>778</v>
      </c>
    </row>
    <row r="105" spans="1:29" x14ac:dyDescent="0.25">
      <c r="A105" t="s">
        <v>1203</v>
      </c>
      <c r="B105" t="s">
        <v>1203</v>
      </c>
      <c r="C105" t="s">
        <v>1204</v>
      </c>
      <c r="D105" t="s">
        <v>1205</v>
      </c>
      <c r="E105" t="s">
        <v>770</v>
      </c>
      <c r="F105" t="s">
        <v>771</v>
      </c>
      <c r="G105" t="s">
        <v>772</v>
      </c>
      <c r="J105" t="s">
        <v>783</v>
      </c>
      <c r="K105" t="s">
        <v>774</v>
      </c>
      <c r="L105" t="s">
        <v>775</v>
      </c>
      <c r="M105" t="s">
        <v>65</v>
      </c>
      <c r="N105" t="s">
        <v>770</v>
      </c>
      <c r="O105">
        <v>1</v>
      </c>
      <c r="P105" t="s">
        <v>776</v>
      </c>
      <c r="Q105">
        <v>39.9</v>
      </c>
      <c r="Y105" t="s">
        <v>1206</v>
      </c>
      <c r="AA105">
        <v>73000</v>
      </c>
      <c r="AB105" t="s">
        <v>28</v>
      </c>
    </row>
    <row r="106" spans="1:29" x14ac:dyDescent="0.25">
      <c r="A106" t="s">
        <v>1207</v>
      </c>
      <c r="B106" t="s">
        <v>1207</v>
      </c>
      <c r="C106" t="s">
        <v>1208</v>
      </c>
      <c r="D106" t="s">
        <v>1209</v>
      </c>
      <c r="E106" t="s">
        <v>770</v>
      </c>
      <c r="F106" t="s">
        <v>771</v>
      </c>
      <c r="G106" t="s">
        <v>772</v>
      </c>
      <c r="J106" t="s">
        <v>783</v>
      </c>
      <c r="K106" t="s">
        <v>774</v>
      </c>
      <c r="L106" t="s">
        <v>775</v>
      </c>
      <c r="M106" t="s">
        <v>65</v>
      </c>
      <c r="N106" t="s">
        <v>770</v>
      </c>
      <c r="O106">
        <v>1</v>
      </c>
      <c r="P106" t="s">
        <v>776</v>
      </c>
      <c r="Q106">
        <v>39.9</v>
      </c>
      <c r="Y106" t="s">
        <v>1210</v>
      </c>
      <c r="AA106">
        <v>47220</v>
      </c>
      <c r="AB106" t="s">
        <v>28</v>
      </c>
    </row>
    <row r="107" spans="1:29" x14ac:dyDescent="0.25">
      <c r="A107" t="s">
        <v>1211</v>
      </c>
      <c r="B107" t="s">
        <v>1211</v>
      </c>
      <c r="C107" t="s">
        <v>1212</v>
      </c>
      <c r="D107" t="s">
        <v>1213</v>
      </c>
      <c r="E107" t="s">
        <v>782</v>
      </c>
      <c r="F107" t="s">
        <v>771</v>
      </c>
      <c r="G107" t="s">
        <v>772</v>
      </c>
      <c r="J107" t="s">
        <v>783</v>
      </c>
      <c r="K107" t="s">
        <v>774</v>
      </c>
      <c r="L107" t="s">
        <v>775</v>
      </c>
      <c r="M107" t="s">
        <v>65</v>
      </c>
      <c r="N107" t="s">
        <v>782</v>
      </c>
      <c r="O107">
        <v>0</v>
      </c>
      <c r="Y107" t="s">
        <v>1172</v>
      </c>
      <c r="Z107" t="s">
        <v>1058</v>
      </c>
      <c r="AA107">
        <v>17150</v>
      </c>
      <c r="AB107" t="s">
        <v>28</v>
      </c>
    </row>
    <row r="108" spans="1:29" x14ac:dyDescent="0.25">
      <c r="A108" t="s">
        <v>1214</v>
      </c>
      <c r="B108" t="s">
        <v>1214</v>
      </c>
      <c r="C108" t="s">
        <v>1215</v>
      </c>
      <c r="D108" t="s">
        <v>1216</v>
      </c>
      <c r="E108" t="s">
        <v>770</v>
      </c>
      <c r="F108" t="s">
        <v>771</v>
      </c>
      <c r="G108" t="s">
        <v>772</v>
      </c>
      <c r="J108" t="s">
        <v>773</v>
      </c>
      <c r="K108" t="s">
        <v>774</v>
      </c>
      <c r="L108" t="s">
        <v>775</v>
      </c>
      <c r="M108" t="s">
        <v>65</v>
      </c>
      <c r="N108" t="s">
        <v>770</v>
      </c>
      <c r="O108">
        <v>1</v>
      </c>
      <c r="P108" t="s">
        <v>776</v>
      </c>
      <c r="Q108">
        <v>39.9</v>
      </c>
      <c r="S108">
        <v>2</v>
      </c>
      <c r="X108">
        <v>2</v>
      </c>
      <c r="Y108" t="s">
        <v>1001</v>
      </c>
      <c r="AA108">
        <v>67000</v>
      </c>
      <c r="AB108" t="s">
        <v>28</v>
      </c>
      <c r="AC108" t="s">
        <v>778</v>
      </c>
    </row>
    <row r="109" spans="1:29" x14ac:dyDescent="0.25">
      <c r="A109" t="s">
        <v>1217</v>
      </c>
      <c r="B109" t="s">
        <v>1217</v>
      </c>
      <c r="C109" t="s">
        <v>1218</v>
      </c>
      <c r="D109" t="s">
        <v>1219</v>
      </c>
      <c r="E109" t="s">
        <v>770</v>
      </c>
      <c r="F109" t="s">
        <v>771</v>
      </c>
      <c r="G109" t="s">
        <v>772</v>
      </c>
      <c r="J109" t="s">
        <v>783</v>
      </c>
      <c r="K109" t="s">
        <v>839</v>
      </c>
      <c r="L109" t="s">
        <v>840</v>
      </c>
      <c r="M109" t="s">
        <v>26</v>
      </c>
      <c r="N109" t="s">
        <v>770</v>
      </c>
      <c r="O109">
        <v>1</v>
      </c>
      <c r="P109" t="s">
        <v>776</v>
      </c>
      <c r="Q109">
        <v>44.9</v>
      </c>
      <c r="Y109" t="s">
        <v>1220</v>
      </c>
      <c r="Z109" t="s">
        <v>1058</v>
      </c>
      <c r="AA109">
        <v>6300</v>
      </c>
      <c r="AB109" t="s">
        <v>28</v>
      </c>
    </row>
    <row r="110" spans="1:29" x14ac:dyDescent="0.25">
      <c r="A110" t="s">
        <v>1221</v>
      </c>
      <c r="B110" t="s">
        <v>1221</v>
      </c>
      <c r="C110" t="s">
        <v>1222</v>
      </c>
      <c r="D110" t="s">
        <v>1223</v>
      </c>
      <c r="E110" t="s">
        <v>770</v>
      </c>
      <c r="F110" t="s">
        <v>771</v>
      </c>
      <c r="G110" t="s">
        <v>772</v>
      </c>
      <c r="J110" t="s">
        <v>783</v>
      </c>
      <c r="K110" t="s">
        <v>774</v>
      </c>
      <c r="L110" t="s">
        <v>775</v>
      </c>
      <c r="M110" t="s">
        <v>65</v>
      </c>
      <c r="N110" t="s">
        <v>770</v>
      </c>
      <c r="O110">
        <v>1</v>
      </c>
      <c r="P110" t="s">
        <v>776</v>
      </c>
      <c r="Q110">
        <v>39.9</v>
      </c>
      <c r="Y110" t="s">
        <v>1224</v>
      </c>
      <c r="AA110">
        <v>49330</v>
      </c>
      <c r="AB110" t="s">
        <v>28</v>
      </c>
    </row>
    <row r="111" spans="1:29" x14ac:dyDescent="0.25">
      <c r="A111" t="s">
        <v>1225</v>
      </c>
      <c r="B111" t="s">
        <v>1225</v>
      </c>
      <c r="C111" t="s">
        <v>1226</v>
      </c>
      <c r="D111" t="s">
        <v>1227</v>
      </c>
      <c r="E111" t="s">
        <v>770</v>
      </c>
      <c r="F111" t="s">
        <v>771</v>
      </c>
      <c r="G111" t="s">
        <v>772</v>
      </c>
      <c r="J111" t="s">
        <v>783</v>
      </c>
      <c r="K111" t="s">
        <v>774</v>
      </c>
      <c r="L111" t="s">
        <v>775</v>
      </c>
      <c r="M111" t="s">
        <v>65</v>
      </c>
      <c r="N111" t="s">
        <v>770</v>
      </c>
      <c r="O111">
        <v>1</v>
      </c>
      <c r="P111" t="s">
        <v>776</v>
      </c>
      <c r="Q111">
        <v>39.9</v>
      </c>
      <c r="Y111" t="s">
        <v>1228</v>
      </c>
      <c r="AA111">
        <v>26740</v>
      </c>
      <c r="AB111" t="s">
        <v>28</v>
      </c>
    </row>
    <row r="112" spans="1:29" x14ac:dyDescent="0.25">
      <c r="A112" t="s">
        <v>1229</v>
      </c>
      <c r="B112" t="s">
        <v>1229</v>
      </c>
      <c r="C112" t="s">
        <v>1230</v>
      </c>
      <c r="D112" t="s">
        <v>1231</v>
      </c>
      <c r="E112" t="s">
        <v>770</v>
      </c>
      <c r="F112" t="s">
        <v>771</v>
      </c>
      <c r="G112" t="s">
        <v>772</v>
      </c>
      <c r="J112" t="s">
        <v>783</v>
      </c>
      <c r="K112" t="s">
        <v>774</v>
      </c>
      <c r="L112" t="s">
        <v>775</v>
      </c>
      <c r="M112" t="s">
        <v>65</v>
      </c>
      <c r="N112" t="s">
        <v>770</v>
      </c>
      <c r="O112">
        <v>1</v>
      </c>
      <c r="P112" t="s">
        <v>776</v>
      </c>
      <c r="Q112">
        <v>39.9</v>
      </c>
      <c r="Y112" t="s">
        <v>1232</v>
      </c>
      <c r="AA112">
        <v>93220</v>
      </c>
      <c r="AB112" t="s">
        <v>28</v>
      </c>
    </row>
    <row r="113" spans="1:35" x14ac:dyDescent="0.25">
      <c r="A113" t="s">
        <v>1233</v>
      </c>
      <c r="B113" t="s">
        <v>1233</v>
      </c>
      <c r="C113" t="s">
        <v>1234</v>
      </c>
      <c r="D113" t="s">
        <v>1235</v>
      </c>
      <c r="E113" t="s">
        <v>770</v>
      </c>
      <c r="F113" t="s">
        <v>771</v>
      </c>
      <c r="G113" t="s">
        <v>772</v>
      </c>
      <c r="J113" t="s">
        <v>783</v>
      </c>
      <c r="K113" t="s">
        <v>774</v>
      </c>
      <c r="L113" t="s">
        <v>775</v>
      </c>
      <c r="M113" t="s">
        <v>65</v>
      </c>
      <c r="N113" t="s">
        <v>770</v>
      </c>
      <c r="O113">
        <v>1</v>
      </c>
      <c r="P113" t="s">
        <v>776</v>
      </c>
      <c r="Q113">
        <v>39.9</v>
      </c>
      <c r="Y113" t="s">
        <v>1236</v>
      </c>
      <c r="AA113">
        <v>92000</v>
      </c>
      <c r="AB113" t="s">
        <v>28</v>
      </c>
    </row>
    <row r="114" spans="1:35" x14ac:dyDescent="0.25">
      <c r="A114" t="s">
        <v>1237</v>
      </c>
      <c r="B114" t="s">
        <v>1237</v>
      </c>
      <c r="C114" t="s">
        <v>1238</v>
      </c>
      <c r="D114" t="s">
        <v>1239</v>
      </c>
      <c r="E114" t="s">
        <v>770</v>
      </c>
      <c r="F114" t="s">
        <v>771</v>
      </c>
      <c r="G114" t="s">
        <v>772</v>
      </c>
      <c r="J114" t="s">
        <v>773</v>
      </c>
      <c r="K114" t="s">
        <v>774</v>
      </c>
      <c r="L114" t="s">
        <v>775</v>
      </c>
      <c r="M114" t="s">
        <v>65</v>
      </c>
      <c r="N114" t="s">
        <v>770</v>
      </c>
      <c r="O114">
        <v>1</v>
      </c>
      <c r="P114" t="s">
        <v>776</v>
      </c>
      <c r="Q114">
        <v>39.9</v>
      </c>
      <c r="Y114" t="s">
        <v>1240</v>
      </c>
      <c r="AA114">
        <v>84100</v>
      </c>
      <c r="AB114" t="s">
        <v>28</v>
      </c>
      <c r="AC114" t="s">
        <v>778</v>
      </c>
    </row>
    <row r="115" spans="1:35" x14ac:dyDescent="0.25">
      <c r="A115" t="s">
        <v>1241</v>
      </c>
      <c r="B115" t="s">
        <v>1241</v>
      </c>
      <c r="C115" t="s">
        <v>1242</v>
      </c>
      <c r="D115" t="s">
        <v>1243</v>
      </c>
      <c r="E115" t="s">
        <v>770</v>
      </c>
      <c r="F115" t="s">
        <v>771</v>
      </c>
      <c r="G115" t="s">
        <v>772</v>
      </c>
      <c r="J115" t="s">
        <v>773</v>
      </c>
      <c r="K115" t="s">
        <v>839</v>
      </c>
      <c r="L115" t="s">
        <v>840</v>
      </c>
      <c r="M115" t="s">
        <v>26</v>
      </c>
      <c r="N115" t="s">
        <v>770</v>
      </c>
      <c r="O115">
        <v>1</v>
      </c>
      <c r="P115" t="s">
        <v>776</v>
      </c>
      <c r="Q115">
        <v>44.9</v>
      </c>
      <c r="Y115" t="s">
        <v>1244</v>
      </c>
      <c r="AA115">
        <v>71640</v>
      </c>
      <c r="AB115" t="s">
        <v>28</v>
      </c>
      <c r="AC115" t="s">
        <v>778</v>
      </c>
    </row>
    <row r="116" spans="1:35" x14ac:dyDescent="0.25">
      <c r="A116" t="s">
        <v>1245</v>
      </c>
      <c r="B116" t="s">
        <v>1245</v>
      </c>
      <c r="C116" t="s">
        <v>1246</v>
      </c>
      <c r="D116" t="s">
        <v>1247</v>
      </c>
      <c r="E116" t="s">
        <v>770</v>
      </c>
      <c r="F116" t="s">
        <v>771</v>
      </c>
      <c r="G116" t="s">
        <v>772</v>
      </c>
      <c r="J116" t="s">
        <v>783</v>
      </c>
      <c r="K116" t="s">
        <v>774</v>
      </c>
      <c r="L116" t="s">
        <v>775</v>
      </c>
      <c r="M116" t="s">
        <v>65</v>
      </c>
      <c r="N116" t="s">
        <v>770</v>
      </c>
      <c r="O116">
        <v>1</v>
      </c>
      <c r="P116" t="s">
        <v>776</v>
      </c>
      <c r="Q116">
        <v>39.9</v>
      </c>
      <c r="Y116" t="s">
        <v>1248</v>
      </c>
      <c r="AA116">
        <v>76880</v>
      </c>
      <c r="AB116" t="s">
        <v>28</v>
      </c>
    </row>
    <row r="117" spans="1:35" x14ac:dyDescent="0.25">
      <c r="A117" t="s">
        <v>1249</v>
      </c>
      <c r="B117" t="s">
        <v>1249</v>
      </c>
      <c r="C117" t="s">
        <v>1250</v>
      </c>
      <c r="D117" t="s">
        <v>1251</v>
      </c>
      <c r="E117" t="s">
        <v>770</v>
      </c>
      <c r="F117" t="s">
        <v>771</v>
      </c>
      <c r="G117" t="s">
        <v>772</v>
      </c>
      <c r="J117" t="s">
        <v>783</v>
      </c>
      <c r="K117" t="s">
        <v>839</v>
      </c>
      <c r="L117" t="s">
        <v>840</v>
      </c>
      <c r="M117" t="s">
        <v>26</v>
      </c>
      <c r="N117" t="s">
        <v>770</v>
      </c>
      <c r="O117">
        <v>1</v>
      </c>
      <c r="P117" t="s">
        <v>776</v>
      </c>
      <c r="Q117">
        <v>44.9</v>
      </c>
      <c r="Y117" t="s">
        <v>1252</v>
      </c>
      <c r="AA117">
        <v>91070</v>
      </c>
      <c r="AB117" t="s">
        <v>28</v>
      </c>
    </row>
    <row r="118" spans="1:35" x14ac:dyDescent="0.25">
      <c r="A118" t="s">
        <v>1253</v>
      </c>
      <c r="B118" t="s">
        <v>1253</v>
      </c>
      <c r="C118" t="s">
        <v>1254</v>
      </c>
      <c r="D118" t="s">
        <v>1255</v>
      </c>
      <c r="E118" t="s">
        <v>770</v>
      </c>
      <c r="F118" t="s">
        <v>771</v>
      </c>
      <c r="G118" t="s">
        <v>772</v>
      </c>
      <c r="J118" t="s">
        <v>783</v>
      </c>
      <c r="K118" t="s">
        <v>774</v>
      </c>
      <c r="L118" t="s">
        <v>775</v>
      </c>
      <c r="M118" t="s">
        <v>65</v>
      </c>
      <c r="N118" t="s">
        <v>770</v>
      </c>
      <c r="O118">
        <v>1</v>
      </c>
      <c r="P118" t="s">
        <v>776</v>
      </c>
      <c r="Q118">
        <v>32.700000000000003</v>
      </c>
      <c r="Y118" t="s">
        <v>1256</v>
      </c>
      <c r="AA118">
        <v>28120</v>
      </c>
      <c r="AB118" t="s">
        <v>28</v>
      </c>
      <c r="AG118" t="s">
        <v>1257</v>
      </c>
      <c r="AH118" t="s">
        <v>28</v>
      </c>
      <c r="AI118" t="s">
        <v>1258</v>
      </c>
    </row>
    <row r="119" spans="1:35" x14ac:dyDescent="0.25">
      <c r="A119" t="s">
        <v>1259</v>
      </c>
      <c r="B119" t="s">
        <v>1259</v>
      </c>
      <c r="C119" t="s">
        <v>1260</v>
      </c>
      <c r="D119" t="s">
        <v>1261</v>
      </c>
      <c r="E119" t="s">
        <v>770</v>
      </c>
      <c r="F119" t="s">
        <v>771</v>
      </c>
      <c r="G119" t="s">
        <v>772</v>
      </c>
      <c r="J119" t="s">
        <v>783</v>
      </c>
      <c r="K119" t="s">
        <v>774</v>
      </c>
      <c r="L119" t="s">
        <v>775</v>
      </c>
      <c r="M119" t="s">
        <v>65</v>
      </c>
      <c r="N119" t="s">
        <v>770</v>
      </c>
      <c r="O119">
        <v>1</v>
      </c>
      <c r="P119" t="s">
        <v>776</v>
      </c>
      <c r="Q119">
        <v>39.9</v>
      </c>
      <c r="Y119" t="s">
        <v>1262</v>
      </c>
      <c r="AA119">
        <v>19100</v>
      </c>
      <c r="AB119" t="s">
        <v>28</v>
      </c>
    </row>
    <row r="120" spans="1:35" x14ac:dyDescent="0.25">
      <c r="A120" t="s">
        <v>1263</v>
      </c>
      <c r="B120" t="s">
        <v>1263</v>
      </c>
      <c r="C120" t="s">
        <v>1264</v>
      </c>
      <c r="D120" t="s">
        <v>1265</v>
      </c>
      <c r="E120" t="s">
        <v>770</v>
      </c>
      <c r="F120" t="s">
        <v>771</v>
      </c>
      <c r="G120" t="s">
        <v>772</v>
      </c>
      <c r="J120" t="s">
        <v>773</v>
      </c>
      <c r="K120" t="s">
        <v>774</v>
      </c>
      <c r="L120" t="s">
        <v>775</v>
      </c>
      <c r="M120" t="s">
        <v>65</v>
      </c>
      <c r="N120" t="s">
        <v>770</v>
      </c>
      <c r="O120">
        <v>1</v>
      </c>
      <c r="P120" t="s">
        <v>776</v>
      </c>
      <c r="Q120">
        <v>39.9</v>
      </c>
      <c r="Y120" t="s">
        <v>1266</v>
      </c>
      <c r="AA120">
        <v>31270</v>
      </c>
      <c r="AB120" t="s">
        <v>28</v>
      </c>
      <c r="AC120" t="s">
        <v>778</v>
      </c>
    </row>
    <row r="121" spans="1:35" x14ac:dyDescent="0.25">
      <c r="A121" t="s">
        <v>1267</v>
      </c>
      <c r="B121" t="s">
        <v>1267</v>
      </c>
      <c r="C121" t="s">
        <v>1268</v>
      </c>
      <c r="D121" t="s">
        <v>1269</v>
      </c>
      <c r="E121" t="s">
        <v>770</v>
      </c>
      <c r="F121" t="s">
        <v>771</v>
      </c>
      <c r="G121" t="s">
        <v>772</v>
      </c>
      <c r="J121" t="s">
        <v>783</v>
      </c>
      <c r="K121" t="s">
        <v>774</v>
      </c>
      <c r="L121" t="s">
        <v>775</v>
      </c>
      <c r="M121" t="s">
        <v>65</v>
      </c>
      <c r="N121" t="s">
        <v>770</v>
      </c>
      <c r="O121">
        <v>1</v>
      </c>
      <c r="P121" t="s">
        <v>776</v>
      </c>
      <c r="Q121">
        <v>39.9</v>
      </c>
      <c r="Y121" t="s">
        <v>1270</v>
      </c>
      <c r="Z121" t="s">
        <v>1271</v>
      </c>
      <c r="AA121">
        <v>69200</v>
      </c>
      <c r="AB121" t="s">
        <v>28</v>
      </c>
    </row>
    <row r="122" spans="1:35" x14ac:dyDescent="0.25">
      <c r="A122" t="s">
        <v>1272</v>
      </c>
      <c r="B122" t="s">
        <v>1272</v>
      </c>
      <c r="C122" t="s">
        <v>1273</v>
      </c>
      <c r="D122" t="s">
        <v>1274</v>
      </c>
      <c r="E122" t="s">
        <v>770</v>
      </c>
      <c r="F122" t="s">
        <v>771</v>
      </c>
      <c r="G122" t="s">
        <v>772</v>
      </c>
      <c r="J122" t="s">
        <v>773</v>
      </c>
      <c r="K122" t="s">
        <v>774</v>
      </c>
      <c r="L122" t="s">
        <v>775</v>
      </c>
      <c r="M122" t="s">
        <v>65</v>
      </c>
      <c r="N122" t="s">
        <v>770</v>
      </c>
      <c r="O122">
        <v>1</v>
      </c>
      <c r="P122" t="s">
        <v>776</v>
      </c>
      <c r="Q122">
        <v>39.9</v>
      </c>
      <c r="S122">
        <v>1.49</v>
      </c>
      <c r="X122">
        <v>1.49</v>
      </c>
      <c r="Y122" t="s">
        <v>1275</v>
      </c>
      <c r="AA122">
        <v>6041</v>
      </c>
      <c r="AB122" t="s">
        <v>797</v>
      </c>
      <c r="AC122" t="s">
        <v>778</v>
      </c>
    </row>
    <row r="123" spans="1:35" x14ac:dyDescent="0.25">
      <c r="A123" t="s">
        <v>1276</v>
      </c>
      <c r="B123" t="s">
        <v>1276</v>
      </c>
      <c r="C123" t="s">
        <v>1277</v>
      </c>
      <c r="D123" t="s">
        <v>1278</v>
      </c>
      <c r="E123" t="s">
        <v>782</v>
      </c>
      <c r="F123" t="s">
        <v>771</v>
      </c>
      <c r="G123" t="s">
        <v>772</v>
      </c>
      <c r="J123" t="s">
        <v>783</v>
      </c>
      <c r="K123" t="s">
        <v>774</v>
      </c>
      <c r="L123" t="s">
        <v>775</v>
      </c>
      <c r="M123" t="s">
        <v>65</v>
      </c>
      <c r="N123" t="s">
        <v>782</v>
      </c>
      <c r="O123">
        <v>0</v>
      </c>
      <c r="Y123" t="s">
        <v>981</v>
      </c>
      <c r="AA123">
        <v>21500</v>
      </c>
      <c r="AB123" t="s">
        <v>28</v>
      </c>
    </row>
    <row r="124" spans="1:35" x14ac:dyDescent="0.25">
      <c r="A124" t="s">
        <v>1279</v>
      </c>
      <c r="B124" t="s">
        <v>1279</v>
      </c>
      <c r="C124" t="s">
        <v>1280</v>
      </c>
      <c r="D124" t="s">
        <v>1281</v>
      </c>
      <c r="E124" t="s">
        <v>770</v>
      </c>
      <c r="F124" t="s">
        <v>771</v>
      </c>
      <c r="G124" t="s">
        <v>772</v>
      </c>
      <c r="J124" t="s">
        <v>783</v>
      </c>
      <c r="K124" t="s">
        <v>839</v>
      </c>
      <c r="L124" t="s">
        <v>840</v>
      </c>
      <c r="M124" t="s">
        <v>26</v>
      </c>
      <c r="N124" t="s">
        <v>770</v>
      </c>
      <c r="O124">
        <v>1</v>
      </c>
      <c r="P124" t="s">
        <v>776</v>
      </c>
      <c r="Q124">
        <v>44.9</v>
      </c>
      <c r="Y124" t="s">
        <v>1282</v>
      </c>
      <c r="AA124">
        <v>92130</v>
      </c>
      <c r="AB124" t="s">
        <v>28</v>
      </c>
    </row>
    <row r="125" spans="1:35" x14ac:dyDescent="0.25">
      <c r="A125" t="s">
        <v>1283</v>
      </c>
      <c r="B125" t="s">
        <v>1283</v>
      </c>
      <c r="C125" t="s">
        <v>1284</v>
      </c>
      <c r="D125" t="s">
        <v>1285</v>
      </c>
      <c r="E125" t="s">
        <v>770</v>
      </c>
      <c r="F125" t="s">
        <v>771</v>
      </c>
      <c r="G125" t="s">
        <v>772</v>
      </c>
      <c r="J125" t="s">
        <v>773</v>
      </c>
      <c r="K125" t="s">
        <v>774</v>
      </c>
      <c r="L125" t="s">
        <v>775</v>
      </c>
      <c r="M125" t="s">
        <v>65</v>
      </c>
      <c r="N125" t="s">
        <v>770</v>
      </c>
      <c r="O125">
        <v>1</v>
      </c>
      <c r="P125" t="s">
        <v>776</v>
      </c>
      <c r="Q125">
        <v>39.9</v>
      </c>
      <c r="S125">
        <v>3.99</v>
      </c>
      <c r="X125">
        <v>3.99</v>
      </c>
      <c r="Y125" t="s">
        <v>1286</v>
      </c>
      <c r="AA125">
        <v>49300</v>
      </c>
      <c r="AB125" t="s">
        <v>28</v>
      </c>
      <c r="AC125" t="s">
        <v>778</v>
      </c>
    </row>
    <row r="126" spans="1:35" x14ac:dyDescent="0.25">
      <c r="A126" t="s">
        <v>1287</v>
      </c>
      <c r="B126" t="s">
        <v>1287</v>
      </c>
      <c r="C126" t="s">
        <v>1288</v>
      </c>
      <c r="D126" t="s">
        <v>1289</v>
      </c>
      <c r="E126" t="s">
        <v>770</v>
      </c>
      <c r="F126" t="s">
        <v>771</v>
      </c>
      <c r="G126" t="s">
        <v>772</v>
      </c>
      <c r="J126" t="s">
        <v>783</v>
      </c>
      <c r="K126" t="s">
        <v>839</v>
      </c>
      <c r="L126" t="s">
        <v>840</v>
      </c>
      <c r="M126" t="s">
        <v>26</v>
      </c>
      <c r="N126" t="s">
        <v>770</v>
      </c>
      <c r="O126">
        <v>1</v>
      </c>
      <c r="P126" t="s">
        <v>776</v>
      </c>
      <c r="Q126">
        <v>44.9</v>
      </c>
      <c r="Y126" t="s">
        <v>1290</v>
      </c>
      <c r="AA126">
        <v>95640</v>
      </c>
      <c r="AB126" t="s">
        <v>28</v>
      </c>
    </row>
    <row r="127" spans="1:35" x14ac:dyDescent="0.25">
      <c r="A127" t="s">
        <v>1291</v>
      </c>
      <c r="B127" t="s">
        <v>1291</v>
      </c>
      <c r="C127" t="s">
        <v>1292</v>
      </c>
      <c r="D127" t="s">
        <v>1293</v>
      </c>
      <c r="E127" t="s">
        <v>770</v>
      </c>
      <c r="F127" t="s">
        <v>771</v>
      </c>
      <c r="G127" t="s">
        <v>772</v>
      </c>
      <c r="J127" t="s">
        <v>783</v>
      </c>
      <c r="K127" t="s">
        <v>839</v>
      </c>
      <c r="L127" t="s">
        <v>840</v>
      </c>
      <c r="M127" t="s">
        <v>26</v>
      </c>
      <c r="N127" t="s">
        <v>770</v>
      </c>
      <c r="O127">
        <v>1</v>
      </c>
      <c r="P127" t="s">
        <v>776</v>
      </c>
      <c r="Q127">
        <v>44.9</v>
      </c>
      <c r="Y127" t="s">
        <v>1294</v>
      </c>
      <c r="AA127">
        <v>76430</v>
      </c>
      <c r="AB127" t="s">
        <v>28</v>
      </c>
    </row>
    <row r="128" spans="1:35" x14ac:dyDescent="0.25">
      <c r="A128" t="s">
        <v>1295</v>
      </c>
      <c r="B128" t="s">
        <v>1295</v>
      </c>
      <c r="C128" t="s">
        <v>1296</v>
      </c>
      <c r="D128" t="s">
        <v>1297</v>
      </c>
      <c r="E128" t="s">
        <v>782</v>
      </c>
      <c r="F128" t="s">
        <v>771</v>
      </c>
      <c r="G128" t="s">
        <v>772</v>
      </c>
      <c r="J128" t="s">
        <v>773</v>
      </c>
      <c r="K128" t="s">
        <v>839</v>
      </c>
      <c r="L128" t="s">
        <v>840</v>
      </c>
      <c r="M128" t="s">
        <v>26</v>
      </c>
      <c r="N128" t="s">
        <v>782</v>
      </c>
      <c r="O128">
        <v>0</v>
      </c>
      <c r="Y128" t="s">
        <v>1298</v>
      </c>
      <c r="AA128">
        <v>7500</v>
      </c>
      <c r="AB128" t="s">
        <v>797</v>
      </c>
    </row>
    <row r="129" spans="1:35" x14ac:dyDescent="0.25">
      <c r="A129" t="s">
        <v>1299</v>
      </c>
      <c r="B129" t="s">
        <v>1299</v>
      </c>
      <c r="C129" t="s">
        <v>1300</v>
      </c>
      <c r="D129" t="s">
        <v>1301</v>
      </c>
      <c r="E129" t="s">
        <v>770</v>
      </c>
      <c r="F129" t="s">
        <v>771</v>
      </c>
      <c r="G129" t="s">
        <v>772</v>
      </c>
      <c r="J129" t="s">
        <v>773</v>
      </c>
      <c r="K129" t="s">
        <v>839</v>
      </c>
      <c r="L129" t="s">
        <v>840</v>
      </c>
      <c r="M129" t="s">
        <v>26</v>
      </c>
      <c r="N129" t="s">
        <v>770</v>
      </c>
      <c r="O129">
        <v>1</v>
      </c>
      <c r="P129" t="s">
        <v>776</v>
      </c>
      <c r="Q129">
        <v>44.9</v>
      </c>
      <c r="S129">
        <v>3.99</v>
      </c>
      <c r="X129">
        <v>3.99</v>
      </c>
      <c r="Y129" t="s">
        <v>1302</v>
      </c>
      <c r="AA129">
        <v>85590</v>
      </c>
      <c r="AB129" t="s">
        <v>28</v>
      </c>
      <c r="AC129" t="s">
        <v>778</v>
      </c>
    </row>
    <row r="130" spans="1:35" x14ac:dyDescent="0.25">
      <c r="A130" t="s">
        <v>1303</v>
      </c>
      <c r="B130" t="s">
        <v>1303</v>
      </c>
      <c r="C130" t="s">
        <v>1304</v>
      </c>
      <c r="D130" t="s">
        <v>1305</v>
      </c>
      <c r="E130" t="s">
        <v>770</v>
      </c>
      <c r="F130" t="s">
        <v>771</v>
      </c>
      <c r="G130" t="s">
        <v>772</v>
      </c>
      <c r="J130" t="s">
        <v>773</v>
      </c>
      <c r="K130" t="s">
        <v>839</v>
      </c>
      <c r="L130" t="s">
        <v>840</v>
      </c>
      <c r="M130" t="s">
        <v>26</v>
      </c>
      <c r="N130" t="s">
        <v>770</v>
      </c>
      <c r="O130">
        <v>1</v>
      </c>
      <c r="P130" t="s">
        <v>776</v>
      </c>
      <c r="Q130">
        <v>44.9</v>
      </c>
      <c r="Y130" t="s">
        <v>1306</v>
      </c>
      <c r="AA130">
        <v>91580</v>
      </c>
      <c r="AB130" t="s">
        <v>28</v>
      </c>
      <c r="AC130" t="s">
        <v>778</v>
      </c>
    </row>
    <row r="131" spans="1:35" x14ac:dyDescent="0.25">
      <c r="A131" t="s">
        <v>1307</v>
      </c>
      <c r="B131" t="s">
        <v>1307</v>
      </c>
      <c r="C131" t="s">
        <v>1308</v>
      </c>
      <c r="D131" t="s">
        <v>1309</v>
      </c>
      <c r="E131" t="s">
        <v>770</v>
      </c>
      <c r="F131" t="s">
        <v>771</v>
      </c>
      <c r="G131" t="s">
        <v>772</v>
      </c>
      <c r="J131" t="s">
        <v>783</v>
      </c>
      <c r="K131" t="s">
        <v>839</v>
      </c>
      <c r="L131" t="s">
        <v>840</v>
      </c>
      <c r="M131" t="s">
        <v>26</v>
      </c>
      <c r="N131" t="s">
        <v>770</v>
      </c>
      <c r="O131">
        <v>1</v>
      </c>
      <c r="P131" t="s">
        <v>776</v>
      </c>
      <c r="Q131">
        <v>44.9</v>
      </c>
      <c r="Y131" t="s">
        <v>1310</v>
      </c>
      <c r="AA131">
        <v>95100</v>
      </c>
      <c r="AB131" t="s">
        <v>28</v>
      </c>
    </row>
    <row r="132" spans="1:35" x14ac:dyDescent="0.25">
      <c r="A132" t="s">
        <v>1311</v>
      </c>
      <c r="B132" t="s">
        <v>1311</v>
      </c>
      <c r="C132" t="s">
        <v>1312</v>
      </c>
      <c r="D132" t="s">
        <v>1313</v>
      </c>
      <c r="E132" t="s">
        <v>770</v>
      </c>
      <c r="F132" t="s">
        <v>771</v>
      </c>
      <c r="G132" t="s">
        <v>772</v>
      </c>
      <c r="J132" t="s">
        <v>773</v>
      </c>
      <c r="K132" t="s">
        <v>774</v>
      </c>
      <c r="L132" t="s">
        <v>775</v>
      </c>
      <c r="M132" t="s">
        <v>65</v>
      </c>
      <c r="N132" t="s">
        <v>770</v>
      </c>
      <c r="O132">
        <v>1</v>
      </c>
      <c r="P132" t="s">
        <v>776</v>
      </c>
      <c r="Q132">
        <v>39.9</v>
      </c>
      <c r="S132">
        <v>1</v>
      </c>
      <c r="X132">
        <v>1</v>
      </c>
      <c r="Y132" t="s">
        <v>1314</v>
      </c>
      <c r="AA132">
        <v>92150</v>
      </c>
      <c r="AB132" t="s">
        <v>28</v>
      </c>
      <c r="AC132" t="s">
        <v>778</v>
      </c>
    </row>
    <row r="133" spans="1:35" x14ac:dyDescent="0.25">
      <c r="A133" t="s">
        <v>1315</v>
      </c>
      <c r="B133" t="s">
        <v>1315</v>
      </c>
      <c r="C133" t="s">
        <v>1316</v>
      </c>
      <c r="D133" t="s">
        <v>1317</v>
      </c>
      <c r="E133" t="s">
        <v>770</v>
      </c>
      <c r="F133" t="s">
        <v>771</v>
      </c>
      <c r="G133" t="s">
        <v>772</v>
      </c>
      <c r="J133" t="s">
        <v>783</v>
      </c>
      <c r="K133" t="s">
        <v>774</v>
      </c>
      <c r="L133" t="s">
        <v>775</v>
      </c>
      <c r="M133" t="s">
        <v>65</v>
      </c>
      <c r="N133" t="s">
        <v>770</v>
      </c>
      <c r="O133">
        <v>1</v>
      </c>
      <c r="P133" t="s">
        <v>776</v>
      </c>
      <c r="Q133">
        <v>39.9</v>
      </c>
      <c r="Y133" t="s">
        <v>1318</v>
      </c>
      <c r="AA133">
        <v>13500</v>
      </c>
      <c r="AB133" t="s">
        <v>28</v>
      </c>
    </row>
    <row r="134" spans="1:35" x14ac:dyDescent="0.25">
      <c r="A134" t="s">
        <v>1319</v>
      </c>
      <c r="B134" t="s">
        <v>1319</v>
      </c>
      <c r="C134" t="s">
        <v>1320</v>
      </c>
      <c r="D134" t="s">
        <v>1321</v>
      </c>
      <c r="E134" t="s">
        <v>770</v>
      </c>
      <c r="F134" t="s">
        <v>771</v>
      </c>
      <c r="G134" t="s">
        <v>772</v>
      </c>
      <c r="J134" t="s">
        <v>773</v>
      </c>
      <c r="K134" t="s">
        <v>774</v>
      </c>
      <c r="L134" t="s">
        <v>775</v>
      </c>
      <c r="M134" t="s">
        <v>65</v>
      </c>
      <c r="N134" t="s">
        <v>770</v>
      </c>
      <c r="O134">
        <v>1</v>
      </c>
      <c r="P134" t="s">
        <v>776</v>
      </c>
      <c r="Q134">
        <v>39.9</v>
      </c>
      <c r="S134">
        <v>5.99</v>
      </c>
      <c r="X134">
        <v>5.99</v>
      </c>
      <c r="Y134" t="s">
        <v>1322</v>
      </c>
      <c r="AA134">
        <v>5772</v>
      </c>
      <c r="AB134" t="s">
        <v>1067</v>
      </c>
      <c r="AC134" t="s">
        <v>778</v>
      </c>
    </row>
    <row r="135" spans="1:35" x14ac:dyDescent="0.25">
      <c r="A135" t="s">
        <v>1323</v>
      </c>
      <c r="B135" t="s">
        <v>1323</v>
      </c>
      <c r="C135" t="s">
        <v>1324</v>
      </c>
      <c r="D135" t="s">
        <v>1325</v>
      </c>
      <c r="E135" t="s">
        <v>770</v>
      </c>
      <c r="F135" t="s">
        <v>771</v>
      </c>
      <c r="G135" t="s">
        <v>772</v>
      </c>
      <c r="J135" t="s">
        <v>773</v>
      </c>
      <c r="K135" t="s">
        <v>774</v>
      </c>
      <c r="L135" t="s">
        <v>775</v>
      </c>
      <c r="M135" t="s">
        <v>65</v>
      </c>
      <c r="N135" t="s">
        <v>770</v>
      </c>
      <c r="O135">
        <v>1</v>
      </c>
      <c r="P135" t="s">
        <v>776</v>
      </c>
      <c r="Q135">
        <v>39.9</v>
      </c>
      <c r="Y135" t="s">
        <v>1326</v>
      </c>
      <c r="AA135">
        <v>47600</v>
      </c>
      <c r="AB135" t="s">
        <v>28</v>
      </c>
      <c r="AC135" t="s">
        <v>778</v>
      </c>
    </row>
    <row r="136" spans="1:35" x14ac:dyDescent="0.25">
      <c r="A136" t="s">
        <v>1327</v>
      </c>
      <c r="B136" t="s">
        <v>1327</v>
      </c>
      <c r="C136" t="s">
        <v>1328</v>
      </c>
      <c r="D136" t="s">
        <v>1329</v>
      </c>
      <c r="E136" t="s">
        <v>770</v>
      </c>
      <c r="F136" t="s">
        <v>771</v>
      </c>
      <c r="G136" t="s">
        <v>772</v>
      </c>
      <c r="J136" t="s">
        <v>783</v>
      </c>
      <c r="K136" t="s">
        <v>839</v>
      </c>
      <c r="L136" t="s">
        <v>840</v>
      </c>
      <c r="M136" t="s">
        <v>26</v>
      </c>
      <c r="N136" t="s">
        <v>770</v>
      </c>
      <c r="O136">
        <v>1</v>
      </c>
      <c r="P136" t="s">
        <v>776</v>
      </c>
      <c r="Q136">
        <v>44.9</v>
      </c>
      <c r="Y136" t="s">
        <v>1330</v>
      </c>
      <c r="Z136" t="s">
        <v>1331</v>
      </c>
      <c r="AA136">
        <v>6250</v>
      </c>
      <c r="AB136" t="s">
        <v>28</v>
      </c>
    </row>
    <row r="137" spans="1:35" x14ac:dyDescent="0.25">
      <c r="A137" t="s">
        <v>1332</v>
      </c>
      <c r="B137" t="s">
        <v>1332</v>
      </c>
      <c r="C137" t="s">
        <v>1333</v>
      </c>
      <c r="D137" t="s">
        <v>1334</v>
      </c>
      <c r="E137" t="s">
        <v>770</v>
      </c>
      <c r="F137" t="s">
        <v>771</v>
      </c>
      <c r="G137" t="s">
        <v>772</v>
      </c>
      <c r="J137" t="s">
        <v>783</v>
      </c>
      <c r="K137" t="s">
        <v>774</v>
      </c>
      <c r="L137" t="s">
        <v>775</v>
      </c>
      <c r="M137" t="s">
        <v>65</v>
      </c>
      <c r="N137" t="s">
        <v>770</v>
      </c>
      <c r="O137">
        <v>1</v>
      </c>
      <c r="P137" t="s">
        <v>776</v>
      </c>
      <c r="Q137">
        <v>39.9</v>
      </c>
      <c r="Y137" t="s">
        <v>1335</v>
      </c>
      <c r="AA137">
        <v>78380</v>
      </c>
      <c r="AB137" t="s">
        <v>28</v>
      </c>
    </row>
    <row r="138" spans="1:35" x14ac:dyDescent="0.25">
      <c r="A138" t="s">
        <v>1336</v>
      </c>
      <c r="B138" t="s">
        <v>1336</v>
      </c>
      <c r="C138" t="s">
        <v>1337</v>
      </c>
      <c r="D138" t="s">
        <v>1338</v>
      </c>
      <c r="E138" t="s">
        <v>770</v>
      </c>
      <c r="F138" t="s">
        <v>771</v>
      </c>
      <c r="G138" t="s">
        <v>772</v>
      </c>
      <c r="J138" t="s">
        <v>773</v>
      </c>
      <c r="K138" t="s">
        <v>839</v>
      </c>
      <c r="L138" t="s">
        <v>840</v>
      </c>
      <c r="M138" t="s">
        <v>26</v>
      </c>
      <c r="N138" t="s">
        <v>770</v>
      </c>
      <c r="O138">
        <v>1</v>
      </c>
      <c r="P138" t="s">
        <v>776</v>
      </c>
      <c r="Q138">
        <v>36.799999999999997</v>
      </c>
      <c r="S138">
        <v>0.19</v>
      </c>
      <c r="X138">
        <v>0.19</v>
      </c>
      <c r="Y138" t="s">
        <v>1339</v>
      </c>
      <c r="AA138">
        <v>22500</v>
      </c>
      <c r="AB138" t="s">
        <v>28</v>
      </c>
      <c r="AC138" t="s">
        <v>778</v>
      </c>
      <c r="AG138" t="s">
        <v>1340</v>
      </c>
      <c r="AH138" t="s">
        <v>28</v>
      </c>
      <c r="AI138" t="s">
        <v>1258</v>
      </c>
    </row>
    <row r="139" spans="1:35" x14ac:dyDescent="0.25">
      <c r="A139" t="s">
        <v>1341</v>
      </c>
      <c r="B139" t="s">
        <v>1341</v>
      </c>
      <c r="C139" t="s">
        <v>1342</v>
      </c>
      <c r="D139" t="s">
        <v>1343</v>
      </c>
      <c r="E139" t="s">
        <v>770</v>
      </c>
      <c r="F139" t="s">
        <v>771</v>
      </c>
      <c r="G139" t="s">
        <v>772</v>
      </c>
      <c r="J139" t="s">
        <v>773</v>
      </c>
      <c r="K139" t="s">
        <v>774</v>
      </c>
      <c r="L139" t="s">
        <v>775</v>
      </c>
      <c r="M139" t="s">
        <v>65</v>
      </c>
      <c r="N139" t="s">
        <v>770</v>
      </c>
      <c r="O139">
        <v>1</v>
      </c>
      <c r="P139" t="s">
        <v>776</v>
      </c>
      <c r="Q139">
        <v>39.9</v>
      </c>
      <c r="S139">
        <v>1.99</v>
      </c>
      <c r="X139">
        <v>1.99</v>
      </c>
      <c r="Y139" t="s">
        <v>1344</v>
      </c>
      <c r="AA139">
        <v>87410</v>
      </c>
      <c r="AB139" t="s">
        <v>28</v>
      </c>
      <c r="AC139" t="s">
        <v>778</v>
      </c>
    </row>
    <row r="140" spans="1:35" x14ac:dyDescent="0.25">
      <c r="A140" t="s">
        <v>1345</v>
      </c>
      <c r="B140" t="s">
        <v>1345</v>
      </c>
      <c r="C140" t="s">
        <v>1346</v>
      </c>
      <c r="D140" t="s">
        <v>1347</v>
      </c>
      <c r="E140" t="s">
        <v>770</v>
      </c>
      <c r="F140" t="s">
        <v>771</v>
      </c>
      <c r="G140" t="s">
        <v>772</v>
      </c>
      <c r="J140" t="s">
        <v>783</v>
      </c>
      <c r="K140" t="s">
        <v>839</v>
      </c>
      <c r="L140" t="s">
        <v>840</v>
      </c>
      <c r="M140" t="s">
        <v>26</v>
      </c>
      <c r="N140" t="s">
        <v>770</v>
      </c>
      <c r="O140">
        <v>1</v>
      </c>
      <c r="P140" t="s">
        <v>776</v>
      </c>
      <c r="Q140">
        <v>44.9</v>
      </c>
      <c r="S140">
        <v>3.49</v>
      </c>
      <c r="Y140" t="s">
        <v>1348</v>
      </c>
      <c r="AA140">
        <v>91140</v>
      </c>
      <c r="AB140" t="s">
        <v>28</v>
      </c>
    </row>
    <row r="141" spans="1:35" x14ac:dyDescent="0.25">
      <c r="A141" t="s">
        <v>1349</v>
      </c>
      <c r="B141" t="s">
        <v>1349</v>
      </c>
      <c r="C141" t="s">
        <v>1350</v>
      </c>
      <c r="D141" t="s">
        <v>1351</v>
      </c>
      <c r="E141" t="s">
        <v>770</v>
      </c>
      <c r="F141" t="s">
        <v>771</v>
      </c>
      <c r="G141" t="s">
        <v>772</v>
      </c>
      <c r="J141" t="s">
        <v>783</v>
      </c>
      <c r="K141" t="s">
        <v>774</v>
      </c>
      <c r="L141" t="s">
        <v>775</v>
      </c>
      <c r="M141" t="s">
        <v>65</v>
      </c>
      <c r="N141" t="s">
        <v>770</v>
      </c>
      <c r="O141">
        <v>1</v>
      </c>
      <c r="P141" t="s">
        <v>776</v>
      </c>
      <c r="Q141">
        <v>39.9</v>
      </c>
      <c r="Y141" t="s">
        <v>1352</v>
      </c>
      <c r="AA141">
        <v>17600</v>
      </c>
      <c r="AB141" t="s">
        <v>28</v>
      </c>
    </row>
    <row r="142" spans="1:35" x14ac:dyDescent="0.25">
      <c r="A142" t="s">
        <v>1353</v>
      </c>
      <c r="B142" t="s">
        <v>1353</v>
      </c>
      <c r="C142" t="s">
        <v>1354</v>
      </c>
      <c r="D142" t="s">
        <v>1355</v>
      </c>
      <c r="E142" t="s">
        <v>770</v>
      </c>
      <c r="F142" t="s">
        <v>771</v>
      </c>
      <c r="G142" t="s">
        <v>772</v>
      </c>
      <c r="J142" t="s">
        <v>773</v>
      </c>
      <c r="K142" t="s">
        <v>774</v>
      </c>
      <c r="L142" t="s">
        <v>775</v>
      </c>
      <c r="M142" t="s">
        <v>65</v>
      </c>
      <c r="N142" t="s">
        <v>770</v>
      </c>
      <c r="O142">
        <v>1</v>
      </c>
      <c r="P142" t="s">
        <v>776</v>
      </c>
      <c r="Q142">
        <v>39.9</v>
      </c>
      <c r="S142">
        <v>1.99</v>
      </c>
      <c r="X142">
        <v>1.99</v>
      </c>
      <c r="Y142" t="s">
        <v>1356</v>
      </c>
      <c r="AA142">
        <v>64200</v>
      </c>
      <c r="AB142" t="s">
        <v>28</v>
      </c>
      <c r="AC142" t="s">
        <v>778</v>
      </c>
    </row>
    <row r="143" spans="1:35" x14ac:dyDescent="0.25">
      <c r="A143" t="s">
        <v>1357</v>
      </c>
      <c r="B143" t="s">
        <v>1357</v>
      </c>
      <c r="C143" t="s">
        <v>1358</v>
      </c>
      <c r="D143" t="s">
        <v>1359</v>
      </c>
      <c r="E143" t="s">
        <v>770</v>
      </c>
      <c r="F143" t="s">
        <v>771</v>
      </c>
      <c r="G143" t="s">
        <v>772</v>
      </c>
      <c r="J143" t="s">
        <v>783</v>
      </c>
      <c r="K143" t="s">
        <v>774</v>
      </c>
      <c r="L143" t="s">
        <v>775</v>
      </c>
      <c r="M143" t="s">
        <v>65</v>
      </c>
      <c r="N143" t="s">
        <v>770</v>
      </c>
      <c r="O143">
        <v>1</v>
      </c>
      <c r="P143" t="s">
        <v>776</v>
      </c>
      <c r="Q143">
        <v>39.9</v>
      </c>
      <c r="Y143" t="s">
        <v>1360</v>
      </c>
      <c r="AA143">
        <v>29250</v>
      </c>
      <c r="AB143" t="s">
        <v>28</v>
      </c>
    </row>
    <row r="144" spans="1:35" x14ac:dyDescent="0.25">
      <c r="A144" t="s">
        <v>1361</v>
      </c>
      <c r="B144" t="s">
        <v>1361</v>
      </c>
      <c r="C144" t="s">
        <v>1362</v>
      </c>
      <c r="D144" t="s">
        <v>1363</v>
      </c>
      <c r="E144" t="s">
        <v>770</v>
      </c>
      <c r="F144" t="s">
        <v>771</v>
      </c>
      <c r="G144" t="s">
        <v>772</v>
      </c>
      <c r="J144" t="s">
        <v>773</v>
      </c>
      <c r="K144" t="s">
        <v>774</v>
      </c>
      <c r="L144" t="s">
        <v>775</v>
      </c>
      <c r="M144" t="s">
        <v>65</v>
      </c>
      <c r="N144" t="s">
        <v>770</v>
      </c>
      <c r="O144">
        <v>1</v>
      </c>
      <c r="P144" t="s">
        <v>776</v>
      </c>
      <c r="Q144">
        <v>39.9</v>
      </c>
      <c r="S144">
        <v>2</v>
      </c>
      <c r="X144">
        <v>2</v>
      </c>
      <c r="Y144" t="s">
        <v>1364</v>
      </c>
      <c r="Z144" t="s">
        <v>1365</v>
      </c>
      <c r="AA144">
        <v>51600</v>
      </c>
      <c r="AB144" t="s">
        <v>28</v>
      </c>
      <c r="AC144" t="s">
        <v>778</v>
      </c>
    </row>
    <row r="145" spans="1:35" x14ac:dyDescent="0.25">
      <c r="A145" t="s">
        <v>1366</v>
      </c>
      <c r="B145" t="s">
        <v>1366</v>
      </c>
      <c r="C145" t="s">
        <v>1367</v>
      </c>
      <c r="D145" t="s">
        <v>1368</v>
      </c>
      <c r="E145" t="s">
        <v>770</v>
      </c>
      <c r="F145" t="s">
        <v>771</v>
      </c>
      <c r="G145" t="s">
        <v>772</v>
      </c>
      <c r="J145" t="s">
        <v>783</v>
      </c>
      <c r="K145" t="s">
        <v>774</v>
      </c>
      <c r="L145" t="s">
        <v>775</v>
      </c>
      <c r="M145" t="s">
        <v>65</v>
      </c>
      <c r="N145" t="s">
        <v>770</v>
      </c>
      <c r="O145">
        <v>1</v>
      </c>
      <c r="P145" t="s">
        <v>776</v>
      </c>
      <c r="Q145">
        <v>39.9</v>
      </c>
      <c r="Y145" t="s">
        <v>1369</v>
      </c>
      <c r="AA145">
        <v>95240</v>
      </c>
      <c r="AB145" t="s">
        <v>28</v>
      </c>
    </row>
    <row r="146" spans="1:35" x14ac:dyDescent="0.25">
      <c r="A146" t="s">
        <v>1370</v>
      </c>
      <c r="B146" t="s">
        <v>1370</v>
      </c>
      <c r="C146" t="s">
        <v>1371</v>
      </c>
      <c r="D146" t="s">
        <v>1372</v>
      </c>
      <c r="E146" t="s">
        <v>770</v>
      </c>
      <c r="F146" t="s">
        <v>771</v>
      </c>
      <c r="G146" t="s">
        <v>772</v>
      </c>
      <c r="J146" t="s">
        <v>773</v>
      </c>
      <c r="K146" t="s">
        <v>839</v>
      </c>
      <c r="L146" t="s">
        <v>840</v>
      </c>
      <c r="M146" t="s">
        <v>26</v>
      </c>
      <c r="N146" t="s">
        <v>770</v>
      </c>
      <c r="O146">
        <v>1</v>
      </c>
      <c r="P146" t="s">
        <v>776</v>
      </c>
      <c r="Q146">
        <v>44.9</v>
      </c>
      <c r="S146">
        <v>0.8</v>
      </c>
      <c r="X146">
        <v>0.8</v>
      </c>
      <c r="Y146" t="s">
        <v>1373</v>
      </c>
      <c r="AA146">
        <v>62460</v>
      </c>
      <c r="AB146" t="s">
        <v>28</v>
      </c>
      <c r="AC146" t="s">
        <v>778</v>
      </c>
    </row>
    <row r="147" spans="1:35" x14ac:dyDescent="0.25">
      <c r="A147" t="s">
        <v>1374</v>
      </c>
      <c r="B147" t="s">
        <v>1374</v>
      </c>
      <c r="C147" t="s">
        <v>1375</v>
      </c>
      <c r="D147" t="s">
        <v>1376</v>
      </c>
      <c r="E147" t="s">
        <v>770</v>
      </c>
      <c r="F147" t="s">
        <v>771</v>
      </c>
      <c r="G147" t="s">
        <v>772</v>
      </c>
      <c r="J147" t="s">
        <v>783</v>
      </c>
      <c r="K147" t="s">
        <v>839</v>
      </c>
      <c r="L147" t="s">
        <v>840</v>
      </c>
      <c r="M147" t="s">
        <v>26</v>
      </c>
      <c r="N147" t="s">
        <v>770</v>
      </c>
      <c r="O147">
        <v>1</v>
      </c>
      <c r="P147" t="s">
        <v>776</v>
      </c>
      <c r="Q147">
        <v>44.9</v>
      </c>
      <c r="Y147" t="s">
        <v>1377</v>
      </c>
      <c r="AA147">
        <v>66270</v>
      </c>
      <c r="AB147" t="s">
        <v>28</v>
      </c>
    </row>
    <row r="148" spans="1:35" x14ac:dyDescent="0.25">
      <c r="A148" t="s">
        <v>1378</v>
      </c>
      <c r="B148" t="s">
        <v>1378</v>
      </c>
      <c r="C148" t="s">
        <v>1379</v>
      </c>
      <c r="D148" t="s">
        <v>1380</v>
      </c>
      <c r="E148" t="s">
        <v>770</v>
      </c>
      <c r="F148" t="s">
        <v>771</v>
      </c>
      <c r="G148" t="s">
        <v>772</v>
      </c>
      <c r="J148" t="s">
        <v>783</v>
      </c>
      <c r="K148" t="s">
        <v>774</v>
      </c>
      <c r="L148" t="s">
        <v>775</v>
      </c>
      <c r="M148" t="s">
        <v>65</v>
      </c>
      <c r="N148" t="s">
        <v>770</v>
      </c>
      <c r="O148">
        <v>1</v>
      </c>
      <c r="P148" t="s">
        <v>776</v>
      </c>
      <c r="Q148">
        <v>39.9</v>
      </c>
      <c r="Y148" t="s">
        <v>1381</v>
      </c>
      <c r="AA148">
        <v>92400</v>
      </c>
      <c r="AB148" t="s">
        <v>28</v>
      </c>
    </row>
    <row r="149" spans="1:35" x14ac:dyDescent="0.25">
      <c r="A149" t="s">
        <v>1382</v>
      </c>
      <c r="B149" t="s">
        <v>1382</v>
      </c>
      <c r="C149" t="s">
        <v>1383</v>
      </c>
      <c r="D149" t="s">
        <v>1384</v>
      </c>
      <c r="E149" t="s">
        <v>770</v>
      </c>
      <c r="F149" t="s">
        <v>771</v>
      </c>
      <c r="G149" t="s">
        <v>772</v>
      </c>
      <c r="J149" t="s">
        <v>773</v>
      </c>
      <c r="K149" t="s">
        <v>839</v>
      </c>
      <c r="L149" t="s">
        <v>840</v>
      </c>
      <c r="M149" t="s">
        <v>26</v>
      </c>
      <c r="N149" t="s">
        <v>770</v>
      </c>
      <c r="O149">
        <v>1</v>
      </c>
      <c r="P149" t="s">
        <v>776</v>
      </c>
      <c r="Q149">
        <v>44.9</v>
      </c>
      <c r="Y149" t="s">
        <v>1385</v>
      </c>
      <c r="AA149">
        <v>74920</v>
      </c>
      <c r="AB149" t="s">
        <v>28</v>
      </c>
      <c r="AC149" t="s">
        <v>778</v>
      </c>
    </row>
    <row r="150" spans="1:35" x14ac:dyDescent="0.25">
      <c r="A150" t="s">
        <v>1386</v>
      </c>
      <c r="B150" t="s">
        <v>1386</v>
      </c>
      <c r="C150" t="s">
        <v>1387</v>
      </c>
      <c r="D150" t="s">
        <v>1388</v>
      </c>
      <c r="E150" t="s">
        <v>782</v>
      </c>
      <c r="F150" t="s">
        <v>771</v>
      </c>
      <c r="G150" t="s">
        <v>772</v>
      </c>
      <c r="J150" t="s">
        <v>773</v>
      </c>
      <c r="K150" t="s">
        <v>839</v>
      </c>
      <c r="L150" t="s">
        <v>840</v>
      </c>
      <c r="M150" t="s">
        <v>26</v>
      </c>
      <c r="N150" t="s">
        <v>782</v>
      </c>
      <c r="O150">
        <v>0</v>
      </c>
      <c r="Y150" t="s">
        <v>1385</v>
      </c>
      <c r="AA150">
        <v>74920</v>
      </c>
      <c r="AB150" t="s">
        <v>28</v>
      </c>
      <c r="AC150" t="s">
        <v>778</v>
      </c>
    </row>
    <row r="151" spans="1:35" x14ac:dyDescent="0.25">
      <c r="A151" t="s">
        <v>1389</v>
      </c>
      <c r="B151" t="s">
        <v>1389</v>
      </c>
      <c r="C151" t="s">
        <v>1390</v>
      </c>
      <c r="D151" t="s">
        <v>1391</v>
      </c>
      <c r="E151" t="s">
        <v>770</v>
      </c>
      <c r="F151" t="s">
        <v>771</v>
      </c>
      <c r="G151" t="s">
        <v>772</v>
      </c>
      <c r="J151" t="s">
        <v>783</v>
      </c>
      <c r="K151" t="s">
        <v>774</v>
      </c>
      <c r="L151" t="s">
        <v>775</v>
      </c>
      <c r="M151" t="s">
        <v>65</v>
      </c>
      <c r="N151" t="s">
        <v>770</v>
      </c>
      <c r="O151">
        <v>1</v>
      </c>
      <c r="P151" t="s">
        <v>776</v>
      </c>
      <c r="Q151">
        <v>39.9</v>
      </c>
      <c r="Y151" t="s">
        <v>1392</v>
      </c>
      <c r="AA151">
        <v>62890</v>
      </c>
      <c r="AB151" t="s">
        <v>28</v>
      </c>
    </row>
    <row r="152" spans="1:35" x14ac:dyDescent="0.25">
      <c r="A152" t="s">
        <v>1393</v>
      </c>
      <c r="B152" t="s">
        <v>1393</v>
      </c>
      <c r="C152" t="s">
        <v>1394</v>
      </c>
      <c r="D152" t="s">
        <v>1395</v>
      </c>
      <c r="E152" t="s">
        <v>770</v>
      </c>
      <c r="F152" t="s">
        <v>771</v>
      </c>
      <c r="G152" t="s">
        <v>772</v>
      </c>
      <c r="J152" t="s">
        <v>783</v>
      </c>
      <c r="K152" t="s">
        <v>839</v>
      </c>
      <c r="L152" t="s">
        <v>840</v>
      </c>
      <c r="M152" t="s">
        <v>26</v>
      </c>
      <c r="N152" t="s">
        <v>770</v>
      </c>
      <c r="O152">
        <v>1</v>
      </c>
      <c r="P152" t="s">
        <v>776</v>
      </c>
      <c r="Q152">
        <v>36.799999999999997</v>
      </c>
      <c r="Y152" t="s">
        <v>1396</v>
      </c>
      <c r="AA152">
        <v>5300</v>
      </c>
      <c r="AB152" t="s">
        <v>797</v>
      </c>
      <c r="AG152" t="s">
        <v>1397</v>
      </c>
      <c r="AH152" t="s">
        <v>797</v>
      </c>
      <c r="AI152" t="s">
        <v>1258</v>
      </c>
    </row>
    <row r="153" spans="1:35" x14ac:dyDescent="0.25">
      <c r="A153" t="s">
        <v>1398</v>
      </c>
      <c r="B153" t="s">
        <v>1398</v>
      </c>
      <c r="C153" t="s">
        <v>1399</v>
      </c>
      <c r="D153" t="s">
        <v>1400</v>
      </c>
      <c r="E153" t="s">
        <v>782</v>
      </c>
      <c r="F153" t="s">
        <v>771</v>
      </c>
      <c r="G153" t="s">
        <v>772</v>
      </c>
      <c r="J153" t="s">
        <v>783</v>
      </c>
      <c r="K153" t="s">
        <v>774</v>
      </c>
      <c r="L153" t="s">
        <v>775</v>
      </c>
      <c r="M153" t="s">
        <v>65</v>
      </c>
      <c r="N153" t="s">
        <v>782</v>
      </c>
      <c r="O153">
        <v>0</v>
      </c>
      <c r="Y153" t="s">
        <v>1401</v>
      </c>
      <c r="AA153">
        <v>62370</v>
      </c>
      <c r="AB153" t="s">
        <v>28</v>
      </c>
    </row>
    <row r="154" spans="1:35" x14ac:dyDescent="0.25">
      <c r="A154" t="s">
        <v>1402</v>
      </c>
      <c r="B154" t="s">
        <v>1402</v>
      </c>
      <c r="C154" t="s">
        <v>1403</v>
      </c>
      <c r="D154" t="s">
        <v>1404</v>
      </c>
      <c r="E154" t="s">
        <v>770</v>
      </c>
      <c r="F154" t="s">
        <v>771</v>
      </c>
      <c r="G154" t="s">
        <v>772</v>
      </c>
      <c r="J154" t="s">
        <v>783</v>
      </c>
      <c r="K154" t="s">
        <v>774</v>
      </c>
      <c r="L154" t="s">
        <v>775</v>
      </c>
      <c r="M154" t="s">
        <v>65</v>
      </c>
      <c r="N154" t="s">
        <v>770</v>
      </c>
      <c r="O154">
        <v>1</v>
      </c>
      <c r="P154" t="s">
        <v>776</v>
      </c>
      <c r="Q154">
        <v>39.9</v>
      </c>
      <c r="Y154" t="s">
        <v>1405</v>
      </c>
      <c r="AA154">
        <v>28600</v>
      </c>
      <c r="AB154" t="s">
        <v>28</v>
      </c>
    </row>
    <row r="155" spans="1:35" x14ac:dyDescent="0.25">
      <c r="A155" t="s">
        <v>1406</v>
      </c>
      <c r="B155" t="s">
        <v>1406</v>
      </c>
      <c r="C155" t="s">
        <v>1407</v>
      </c>
      <c r="D155" t="s">
        <v>1408</v>
      </c>
      <c r="E155" t="s">
        <v>770</v>
      </c>
      <c r="F155" t="s">
        <v>771</v>
      </c>
      <c r="G155" t="s">
        <v>772</v>
      </c>
      <c r="J155" t="s">
        <v>783</v>
      </c>
      <c r="K155" t="s">
        <v>774</v>
      </c>
      <c r="L155" t="s">
        <v>775</v>
      </c>
      <c r="M155" t="s">
        <v>65</v>
      </c>
      <c r="N155" t="s">
        <v>770</v>
      </c>
      <c r="O155">
        <v>1</v>
      </c>
      <c r="P155" t="s">
        <v>776</v>
      </c>
      <c r="Q155">
        <v>39.9</v>
      </c>
      <c r="Y155" t="s">
        <v>1409</v>
      </c>
      <c r="AA155">
        <v>10190</v>
      </c>
      <c r="AB155" t="s">
        <v>28</v>
      </c>
    </row>
    <row r="156" spans="1:35" x14ac:dyDescent="0.25">
      <c r="A156" t="s">
        <v>1410</v>
      </c>
      <c r="B156" t="s">
        <v>1410</v>
      </c>
      <c r="C156" t="s">
        <v>1411</v>
      </c>
      <c r="D156" t="s">
        <v>1412</v>
      </c>
      <c r="E156" t="s">
        <v>770</v>
      </c>
      <c r="F156" t="s">
        <v>771</v>
      </c>
      <c r="G156" t="s">
        <v>772</v>
      </c>
      <c r="J156" t="s">
        <v>783</v>
      </c>
      <c r="K156" t="s">
        <v>774</v>
      </c>
      <c r="L156" t="s">
        <v>775</v>
      </c>
      <c r="M156" t="s">
        <v>65</v>
      </c>
      <c r="N156" t="s">
        <v>770</v>
      </c>
      <c r="O156">
        <v>1</v>
      </c>
      <c r="P156" t="s">
        <v>776</v>
      </c>
      <c r="Q156">
        <v>39.9</v>
      </c>
      <c r="Y156" t="s">
        <v>1413</v>
      </c>
      <c r="AA156">
        <v>95290</v>
      </c>
      <c r="AB156" t="s">
        <v>28</v>
      </c>
    </row>
    <row r="157" spans="1:35" x14ac:dyDescent="0.25">
      <c r="A157" t="s">
        <v>1414</v>
      </c>
      <c r="B157" t="s">
        <v>1414</v>
      </c>
      <c r="C157" t="s">
        <v>1415</v>
      </c>
      <c r="D157" t="s">
        <v>1416</v>
      </c>
      <c r="E157" t="s">
        <v>782</v>
      </c>
      <c r="F157" t="s">
        <v>771</v>
      </c>
      <c r="G157" t="s">
        <v>772</v>
      </c>
      <c r="J157" t="s">
        <v>783</v>
      </c>
      <c r="K157" t="s">
        <v>774</v>
      </c>
      <c r="L157" t="s">
        <v>775</v>
      </c>
      <c r="M157" t="s">
        <v>65</v>
      </c>
      <c r="N157" t="s">
        <v>782</v>
      </c>
      <c r="O157">
        <v>0</v>
      </c>
      <c r="Y157" t="s">
        <v>1417</v>
      </c>
      <c r="AA157">
        <v>60280</v>
      </c>
      <c r="AB157" t="s">
        <v>28</v>
      </c>
    </row>
    <row r="158" spans="1:35" x14ac:dyDescent="0.25">
      <c r="A158" t="s">
        <v>1418</v>
      </c>
      <c r="B158" t="s">
        <v>1418</v>
      </c>
      <c r="C158" t="s">
        <v>1419</v>
      </c>
      <c r="D158" t="s">
        <v>1420</v>
      </c>
      <c r="E158" t="s">
        <v>770</v>
      </c>
      <c r="F158" t="s">
        <v>771</v>
      </c>
      <c r="G158" t="s">
        <v>772</v>
      </c>
      <c r="J158" t="s">
        <v>783</v>
      </c>
      <c r="K158" t="s">
        <v>774</v>
      </c>
      <c r="L158" t="s">
        <v>775</v>
      </c>
      <c r="M158" t="s">
        <v>65</v>
      </c>
      <c r="N158" t="s">
        <v>770</v>
      </c>
      <c r="O158">
        <v>1</v>
      </c>
      <c r="P158" t="s">
        <v>776</v>
      </c>
      <c r="Q158">
        <v>39.9</v>
      </c>
      <c r="Y158" t="s">
        <v>1421</v>
      </c>
      <c r="AA158">
        <v>60280</v>
      </c>
      <c r="AB158" t="s">
        <v>28</v>
      </c>
    </row>
    <row r="159" spans="1:35" x14ac:dyDescent="0.25">
      <c r="A159" t="s">
        <v>1422</v>
      </c>
      <c r="B159" t="s">
        <v>1422</v>
      </c>
      <c r="C159" t="s">
        <v>1423</v>
      </c>
      <c r="D159" t="s">
        <v>1424</v>
      </c>
      <c r="E159" t="s">
        <v>770</v>
      </c>
      <c r="F159" t="s">
        <v>771</v>
      </c>
      <c r="G159" t="s">
        <v>772</v>
      </c>
      <c r="J159" t="s">
        <v>773</v>
      </c>
      <c r="K159" t="s">
        <v>774</v>
      </c>
      <c r="L159" t="s">
        <v>775</v>
      </c>
      <c r="M159" t="s">
        <v>65</v>
      </c>
      <c r="N159" t="s">
        <v>770</v>
      </c>
      <c r="O159">
        <v>1</v>
      </c>
      <c r="P159" t="s">
        <v>776</v>
      </c>
      <c r="Q159">
        <v>39.9</v>
      </c>
      <c r="Y159" t="s">
        <v>1425</v>
      </c>
      <c r="AA159">
        <v>93120</v>
      </c>
      <c r="AB159" t="s">
        <v>28</v>
      </c>
      <c r="AC159" t="s">
        <v>778</v>
      </c>
    </row>
    <row r="160" spans="1:35" x14ac:dyDescent="0.25">
      <c r="A160" t="s">
        <v>1426</v>
      </c>
      <c r="B160" t="s">
        <v>1426</v>
      </c>
      <c r="C160" t="s">
        <v>1427</v>
      </c>
      <c r="D160" t="s">
        <v>1428</v>
      </c>
      <c r="E160" t="s">
        <v>770</v>
      </c>
      <c r="F160" t="s">
        <v>771</v>
      </c>
      <c r="G160" t="s">
        <v>772</v>
      </c>
      <c r="J160" t="s">
        <v>783</v>
      </c>
      <c r="K160" t="s">
        <v>774</v>
      </c>
      <c r="L160" t="s">
        <v>775</v>
      </c>
      <c r="M160" t="s">
        <v>65</v>
      </c>
      <c r="N160" t="s">
        <v>770</v>
      </c>
      <c r="O160">
        <v>1</v>
      </c>
      <c r="P160" t="s">
        <v>776</v>
      </c>
      <c r="Q160">
        <v>39.9</v>
      </c>
      <c r="Y160" t="s">
        <v>1429</v>
      </c>
      <c r="AA160">
        <v>39100</v>
      </c>
      <c r="AB160" t="s">
        <v>28</v>
      </c>
    </row>
    <row r="161" spans="1:29" x14ac:dyDescent="0.25">
      <c r="A161" t="s">
        <v>1430</v>
      </c>
      <c r="B161" t="s">
        <v>1430</v>
      </c>
      <c r="C161" t="s">
        <v>1431</v>
      </c>
      <c r="D161" t="s">
        <v>1432</v>
      </c>
      <c r="E161" t="s">
        <v>770</v>
      </c>
      <c r="F161" t="s">
        <v>771</v>
      </c>
      <c r="G161" t="s">
        <v>772</v>
      </c>
      <c r="J161" t="s">
        <v>783</v>
      </c>
      <c r="K161" t="s">
        <v>839</v>
      </c>
      <c r="L161" t="s">
        <v>840</v>
      </c>
      <c r="M161" t="s">
        <v>26</v>
      </c>
      <c r="N161" t="s">
        <v>770</v>
      </c>
      <c r="O161">
        <v>1</v>
      </c>
      <c r="P161" t="s">
        <v>776</v>
      </c>
      <c r="Q161">
        <v>44.9</v>
      </c>
      <c r="Y161" t="s">
        <v>1433</v>
      </c>
      <c r="Z161" t="s">
        <v>1058</v>
      </c>
      <c r="AA161">
        <v>91510</v>
      </c>
      <c r="AB161" t="s">
        <v>28</v>
      </c>
    </row>
    <row r="162" spans="1:29" x14ac:dyDescent="0.25">
      <c r="A162" t="s">
        <v>1434</v>
      </c>
      <c r="B162" t="s">
        <v>1434</v>
      </c>
      <c r="C162" t="s">
        <v>1435</v>
      </c>
      <c r="D162" t="s">
        <v>1436</v>
      </c>
      <c r="E162" t="s">
        <v>770</v>
      </c>
      <c r="F162" t="s">
        <v>771</v>
      </c>
      <c r="G162" t="s">
        <v>772</v>
      </c>
      <c r="J162" t="s">
        <v>783</v>
      </c>
      <c r="K162" t="s">
        <v>774</v>
      </c>
      <c r="L162" t="s">
        <v>775</v>
      </c>
      <c r="M162" t="s">
        <v>65</v>
      </c>
      <c r="N162" t="s">
        <v>770</v>
      </c>
      <c r="O162">
        <v>1</v>
      </c>
      <c r="P162" t="s">
        <v>776</v>
      </c>
      <c r="Q162">
        <v>39.9</v>
      </c>
      <c r="Y162" t="s">
        <v>1437</v>
      </c>
      <c r="AA162">
        <v>59510</v>
      </c>
      <c r="AB162" t="s">
        <v>28</v>
      </c>
    </row>
    <row r="163" spans="1:29" x14ac:dyDescent="0.25">
      <c r="A163" t="s">
        <v>1438</v>
      </c>
      <c r="B163" t="s">
        <v>1438</v>
      </c>
      <c r="C163" t="s">
        <v>1439</v>
      </c>
      <c r="D163" t="s">
        <v>1440</v>
      </c>
      <c r="E163" t="s">
        <v>770</v>
      </c>
      <c r="F163" t="s">
        <v>771</v>
      </c>
      <c r="G163" t="s">
        <v>772</v>
      </c>
      <c r="J163" t="s">
        <v>773</v>
      </c>
      <c r="K163" t="s">
        <v>774</v>
      </c>
      <c r="L163" t="s">
        <v>775</v>
      </c>
      <c r="M163" t="s">
        <v>65</v>
      </c>
      <c r="N163" t="s">
        <v>770</v>
      </c>
      <c r="O163">
        <v>1</v>
      </c>
      <c r="P163" t="s">
        <v>776</v>
      </c>
      <c r="Q163">
        <v>39.9</v>
      </c>
      <c r="Y163" t="s">
        <v>1441</v>
      </c>
      <c r="AA163">
        <v>33160</v>
      </c>
      <c r="AB163" t="s">
        <v>28</v>
      </c>
      <c r="AC163" t="s">
        <v>778</v>
      </c>
    </row>
    <row r="164" spans="1:29" x14ac:dyDescent="0.25">
      <c r="A164" t="s">
        <v>1442</v>
      </c>
      <c r="B164" t="s">
        <v>1442</v>
      </c>
      <c r="C164" t="s">
        <v>1443</v>
      </c>
      <c r="D164" t="s">
        <v>1444</v>
      </c>
      <c r="E164" t="s">
        <v>770</v>
      </c>
      <c r="F164" t="s">
        <v>771</v>
      </c>
      <c r="G164" t="s">
        <v>772</v>
      </c>
      <c r="J164" t="s">
        <v>783</v>
      </c>
      <c r="K164" t="s">
        <v>839</v>
      </c>
      <c r="L164" t="s">
        <v>840</v>
      </c>
      <c r="M164" t="s">
        <v>26</v>
      </c>
      <c r="N164" t="s">
        <v>770</v>
      </c>
      <c r="O164">
        <v>1</v>
      </c>
      <c r="P164" t="s">
        <v>776</v>
      </c>
      <c r="Q164">
        <v>44.9</v>
      </c>
      <c r="Y164" t="s">
        <v>1445</v>
      </c>
      <c r="AA164">
        <v>38000</v>
      </c>
      <c r="AB164" t="s">
        <v>28</v>
      </c>
    </row>
    <row r="165" spans="1:29" x14ac:dyDescent="0.25">
      <c r="A165" t="s">
        <v>1446</v>
      </c>
      <c r="B165" t="s">
        <v>1446</v>
      </c>
      <c r="C165" t="s">
        <v>1447</v>
      </c>
      <c r="D165" t="s">
        <v>1448</v>
      </c>
      <c r="E165" t="s">
        <v>770</v>
      </c>
      <c r="F165" t="s">
        <v>771</v>
      </c>
      <c r="G165" t="s">
        <v>772</v>
      </c>
      <c r="J165" t="s">
        <v>783</v>
      </c>
      <c r="K165" t="s">
        <v>1079</v>
      </c>
      <c r="L165" t="s">
        <v>1080</v>
      </c>
      <c r="M165" t="s">
        <v>186</v>
      </c>
      <c r="N165" t="s">
        <v>770</v>
      </c>
      <c r="O165">
        <v>1</v>
      </c>
      <c r="P165" t="s">
        <v>776</v>
      </c>
      <c r="Q165">
        <v>49.9</v>
      </c>
      <c r="Y165" t="s">
        <v>1449</v>
      </c>
      <c r="AA165">
        <v>69590</v>
      </c>
      <c r="AB165" t="s">
        <v>28</v>
      </c>
    </row>
    <row r="166" spans="1:29" x14ac:dyDescent="0.25">
      <c r="A166" t="s">
        <v>1450</v>
      </c>
      <c r="B166" t="s">
        <v>1450</v>
      </c>
      <c r="C166" t="s">
        <v>1451</v>
      </c>
      <c r="D166" t="s">
        <v>1452</v>
      </c>
      <c r="E166" t="s">
        <v>770</v>
      </c>
      <c r="F166" t="s">
        <v>771</v>
      </c>
      <c r="G166" t="s">
        <v>772</v>
      </c>
      <c r="J166" t="s">
        <v>773</v>
      </c>
      <c r="K166" t="s">
        <v>774</v>
      </c>
      <c r="L166" t="s">
        <v>775</v>
      </c>
      <c r="M166" t="s">
        <v>65</v>
      </c>
      <c r="N166" t="s">
        <v>770</v>
      </c>
      <c r="O166">
        <v>1</v>
      </c>
      <c r="P166" t="s">
        <v>776</v>
      </c>
      <c r="Q166">
        <v>39.9</v>
      </c>
      <c r="S166">
        <v>3.99</v>
      </c>
      <c r="X166">
        <v>3.99</v>
      </c>
      <c r="Y166" t="s">
        <v>1453</v>
      </c>
      <c r="AA166">
        <v>41310</v>
      </c>
      <c r="AB166" t="s">
        <v>28</v>
      </c>
      <c r="AC166" t="s">
        <v>778</v>
      </c>
    </row>
    <row r="167" spans="1:29" x14ac:dyDescent="0.25">
      <c r="A167" t="s">
        <v>1454</v>
      </c>
      <c r="B167" t="s">
        <v>1454</v>
      </c>
      <c r="C167" t="s">
        <v>1455</v>
      </c>
      <c r="D167" t="s">
        <v>1456</v>
      </c>
      <c r="E167" t="s">
        <v>770</v>
      </c>
      <c r="F167" t="s">
        <v>771</v>
      </c>
      <c r="G167" t="s">
        <v>772</v>
      </c>
      <c r="J167" t="s">
        <v>783</v>
      </c>
      <c r="K167" t="s">
        <v>774</v>
      </c>
      <c r="L167" t="s">
        <v>775</v>
      </c>
      <c r="M167" t="s">
        <v>65</v>
      </c>
      <c r="N167" t="s">
        <v>770</v>
      </c>
      <c r="O167">
        <v>1</v>
      </c>
      <c r="P167" t="s">
        <v>776</v>
      </c>
      <c r="Q167">
        <v>39.9</v>
      </c>
      <c r="Y167" t="s">
        <v>1457</v>
      </c>
      <c r="Z167" t="s">
        <v>1458</v>
      </c>
      <c r="AA167">
        <v>35230</v>
      </c>
      <c r="AB167" t="s">
        <v>28</v>
      </c>
    </row>
    <row r="168" spans="1:29" x14ac:dyDescent="0.25">
      <c r="A168" t="s">
        <v>1459</v>
      </c>
      <c r="B168" t="s">
        <v>1459</v>
      </c>
      <c r="C168" t="s">
        <v>1460</v>
      </c>
      <c r="D168" t="s">
        <v>1461</v>
      </c>
      <c r="E168" t="s">
        <v>782</v>
      </c>
      <c r="F168" t="s">
        <v>771</v>
      </c>
      <c r="G168" t="s">
        <v>772</v>
      </c>
      <c r="J168" t="s">
        <v>773</v>
      </c>
      <c r="K168" t="s">
        <v>774</v>
      </c>
      <c r="L168" t="s">
        <v>775</v>
      </c>
      <c r="M168" t="s">
        <v>65</v>
      </c>
      <c r="N168" t="s">
        <v>782</v>
      </c>
      <c r="O168">
        <v>0</v>
      </c>
      <c r="Y168" t="s">
        <v>1462</v>
      </c>
      <c r="AA168">
        <v>41140</v>
      </c>
      <c r="AB168" t="s">
        <v>28</v>
      </c>
    </row>
    <row r="169" spans="1:29" x14ac:dyDescent="0.25">
      <c r="A169" t="s">
        <v>1463</v>
      </c>
      <c r="B169" t="s">
        <v>1463</v>
      </c>
      <c r="C169" t="s">
        <v>1464</v>
      </c>
      <c r="D169" t="s">
        <v>1465</v>
      </c>
      <c r="E169" t="s">
        <v>770</v>
      </c>
      <c r="F169" t="s">
        <v>771</v>
      </c>
      <c r="G169" t="s">
        <v>772</v>
      </c>
      <c r="J169" t="s">
        <v>773</v>
      </c>
      <c r="K169" t="s">
        <v>774</v>
      </c>
      <c r="L169" t="s">
        <v>775</v>
      </c>
      <c r="M169" t="s">
        <v>65</v>
      </c>
      <c r="N169" t="s">
        <v>770</v>
      </c>
      <c r="O169">
        <v>2</v>
      </c>
      <c r="P169" t="s">
        <v>776</v>
      </c>
      <c r="Q169">
        <v>79.8</v>
      </c>
      <c r="Y169" t="s">
        <v>1027</v>
      </c>
      <c r="AA169">
        <v>13012</v>
      </c>
      <c r="AB169" t="s">
        <v>28</v>
      </c>
      <c r="AC169" t="s">
        <v>778</v>
      </c>
    </row>
    <row r="170" spans="1:29" x14ac:dyDescent="0.25">
      <c r="A170" t="s">
        <v>1466</v>
      </c>
      <c r="B170" t="s">
        <v>1466</v>
      </c>
      <c r="C170" t="s">
        <v>1467</v>
      </c>
      <c r="D170" t="s">
        <v>1468</v>
      </c>
      <c r="E170" t="s">
        <v>770</v>
      </c>
      <c r="F170" t="s">
        <v>771</v>
      </c>
      <c r="G170" t="s">
        <v>772</v>
      </c>
      <c r="J170" t="s">
        <v>783</v>
      </c>
      <c r="K170" t="s">
        <v>839</v>
      </c>
      <c r="L170" t="s">
        <v>840</v>
      </c>
      <c r="M170" t="s">
        <v>26</v>
      </c>
      <c r="N170" t="s">
        <v>770</v>
      </c>
      <c r="O170">
        <v>1</v>
      </c>
      <c r="P170" t="s">
        <v>776</v>
      </c>
      <c r="Q170">
        <v>44.9</v>
      </c>
      <c r="Y170" t="s">
        <v>1469</v>
      </c>
      <c r="AA170">
        <v>14100</v>
      </c>
      <c r="AB170" t="s">
        <v>28</v>
      </c>
    </row>
    <row r="171" spans="1:29" x14ac:dyDescent="0.25">
      <c r="A171" t="s">
        <v>1470</v>
      </c>
      <c r="B171" t="s">
        <v>1470</v>
      </c>
      <c r="C171" t="s">
        <v>1471</v>
      </c>
      <c r="D171" t="s">
        <v>1472</v>
      </c>
      <c r="E171" t="s">
        <v>770</v>
      </c>
      <c r="F171" t="s">
        <v>771</v>
      </c>
      <c r="G171" t="s">
        <v>772</v>
      </c>
      <c r="J171" t="s">
        <v>773</v>
      </c>
      <c r="K171" t="s">
        <v>774</v>
      </c>
      <c r="L171" t="s">
        <v>775</v>
      </c>
      <c r="M171" t="s">
        <v>65</v>
      </c>
      <c r="N171" t="s">
        <v>770</v>
      </c>
      <c r="O171">
        <v>1</v>
      </c>
      <c r="P171" t="s">
        <v>776</v>
      </c>
      <c r="Q171">
        <v>39.9</v>
      </c>
      <c r="S171">
        <v>1.99</v>
      </c>
      <c r="X171">
        <v>1.99</v>
      </c>
      <c r="Y171" t="s">
        <v>841</v>
      </c>
      <c r="AA171">
        <v>75016</v>
      </c>
      <c r="AB171" t="s">
        <v>28</v>
      </c>
      <c r="AC171" t="s">
        <v>778</v>
      </c>
    </row>
    <row r="172" spans="1:29" x14ac:dyDescent="0.25">
      <c r="A172" t="s">
        <v>1473</v>
      </c>
      <c r="B172" t="s">
        <v>1473</v>
      </c>
      <c r="C172" t="s">
        <v>1474</v>
      </c>
      <c r="D172" t="s">
        <v>1475</v>
      </c>
      <c r="E172" t="s">
        <v>770</v>
      </c>
      <c r="F172" t="s">
        <v>771</v>
      </c>
      <c r="G172" t="s">
        <v>772</v>
      </c>
      <c r="J172" t="s">
        <v>783</v>
      </c>
      <c r="K172" t="s">
        <v>839</v>
      </c>
      <c r="L172" t="s">
        <v>840</v>
      </c>
      <c r="M172" t="s">
        <v>26</v>
      </c>
      <c r="N172" t="s">
        <v>770</v>
      </c>
      <c r="O172">
        <v>1</v>
      </c>
      <c r="P172" t="s">
        <v>776</v>
      </c>
      <c r="Q172">
        <v>44.9</v>
      </c>
      <c r="Y172" t="s">
        <v>1476</v>
      </c>
      <c r="AA172">
        <v>92210</v>
      </c>
      <c r="AB172" t="s">
        <v>28</v>
      </c>
    </row>
    <row r="173" spans="1:29" x14ac:dyDescent="0.25">
      <c r="A173" t="s">
        <v>1477</v>
      </c>
      <c r="B173" t="s">
        <v>1477</v>
      </c>
      <c r="C173" t="s">
        <v>1478</v>
      </c>
      <c r="D173" t="s">
        <v>1479</v>
      </c>
      <c r="E173" t="s">
        <v>770</v>
      </c>
      <c r="F173" t="s">
        <v>771</v>
      </c>
      <c r="G173" t="s">
        <v>772</v>
      </c>
      <c r="J173" t="s">
        <v>783</v>
      </c>
      <c r="K173" t="s">
        <v>774</v>
      </c>
      <c r="L173" t="s">
        <v>775</v>
      </c>
      <c r="M173" t="s">
        <v>65</v>
      </c>
      <c r="N173" t="s">
        <v>770</v>
      </c>
      <c r="O173">
        <v>1</v>
      </c>
      <c r="P173" t="s">
        <v>776</v>
      </c>
      <c r="Q173">
        <v>39.9</v>
      </c>
      <c r="Y173" t="s">
        <v>1480</v>
      </c>
      <c r="AA173">
        <v>91130</v>
      </c>
      <c r="AB173" t="s">
        <v>28</v>
      </c>
    </row>
    <row r="174" spans="1:29" x14ac:dyDescent="0.25">
      <c r="A174" t="s">
        <v>1481</v>
      </c>
      <c r="B174" t="s">
        <v>1481</v>
      </c>
      <c r="C174" t="s">
        <v>1482</v>
      </c>
      <c r="D174" t="s">
        <v>1483</v>
      </c>
      <c r="E174" t="s">
        <v>770</v>
      </c>
      <c r="F174" t="s">
        <v>771</v>
      </c>
      <c r="G174" t="s">
        <v>772</v>
      </c>
      <c r="J174" t="s">
        <v>783</v>
      </c>
      <c r="K174" t="s">
        <v>839</v>
      </c>
      <c r="L174" t="s">
        <v>840</v>
      </c>
      <c r="M174" t="s">
        <v>26</v>
      </c>
      <c r="N174" t="s">
        <v>770</v>
      </c>
      <c r="O174">
        <v>1</v>
      </c>
      <c r="P174" t="s">
        <v>776</v>
      </c>
      <c r="Q174">
        <v>44.9</v>
      </c>
      <c r="Y174" t="s">
        <v>1484</v>
      </c>
      <c r="AA174">
        <v>27230</v>
      </c>
      <c r="AB174" t="s">
        <v>28</v>
      </c>
    </row>
    <row r="175" spans="1:29" x14ac:dyDescent="0.25">
      <c r="A175" t="s">
        <v>1485</v>
      </c>
      <c r="B175" t="s">
        <v>1485</v>
      </c>
      <c r="C175" t="s">
        <v>1486</v>
      </c>
      <c r="D175" t="s">
        <v>1487</v>
      </c>
      <c r="E175" t="s">
        <v>770</v>
      </c>
      <c r="F175" t="s">
        <v>771</v>
      </c>
      <c r="G175" t="s">
        <v>772</v>
      </c>
      <c r="J175" t="s">
        <v>773</v>
      </c>
      <c r="K175" t="s">
        <v>1488</v>
      </c>
      <c r="L175" t="s">
        <v>1489</v>
      </c>
      <c r="M175" t="s">
        <v>75</v>
      </c>
      <c r="N175" t="s">
        <v>770</v>
      </c>
      <c r="O175">
        <v>1</v>
      </c>
      <c r="P175" t="s">
        <v>776</v>
      </c>
      <c r="Q175">
        <v>59.9</v>
      </c>
      <c r="S175">
        <v>0.66</v>
      </c>
      <c r="X175">
        <v>0.66</v>
      </c>
      <c r="Y175" t="s">
        <v>1490</v>
      </c>
      <c r="AA175">
        <v>84000</v>
      </c>
      <c r="AB175" t="s">
        <v>28</v>
      </c>
      <c r="AC175" t="s">
        <v>778</v>
      </c>
    </row>
    <row r="176" spans="1:29" x14ac:dyDescent="0.25">
      <c r="A176" t="s">
        <v>1491</v>
      </c>
      <c r="B176" t="s">
        <v>1491</v>
      </c>
      <c r="C176" t="s">
        <v>1492</v>
      </c>
      <c r="D176" t="s">
        <v>1493</v>
      </c>
      <c r="E176" t="s">
        <v>782</v>
      </c>
      <c r="F176" t="s">
        <v>771</v>
      </c>
      <c r="G176" t="s">
        <v>772</v>
      </c>
      <c r="J176" t="s">
        <v>773</v>
      </c>
      <c r="K176" t="s">
        <v>839</v>
      </c>
      <c r="L176" t="s">
        <v>840</v>
      </c>
      <c r="M176" t="s">
        <v>26</v>
      </c>
      <c r="N176" t="s">
        <v>782</v>
      </c>
      <c r="O176">
        <v>0</v>
      </c>
      <c r="Y176" t="s">
        <v>1310</v>
      </c>
      <c r="AA176">
        <v>95100</v>
      </c>
      <c r="AB176" t="s">
        <v>28</v>
      </c>
      <c r="AC176" t="s">
        <v>778</v>
      </c>
    </row>
    <row r="177" spans="1:29" x14ac:dyDescent="0.25">
      <c r="A177" t="s">
        <v>1494</v>
      </c>
      <c r="B177" t="s">
        <v>1494</v>
      </c>
      <c r="C177" t="s">
        <v>1495</v>
      </c>
      <c r="D177" t="s">
        <v>1496</v>
      </c>
      <c r="E177" t="s">
        <v>770</v>
      </c>
      <c r="F177" t="s">
        <v>771</v>
      </c>
      <c r="G177" t="s">
        <v>772</v>
      </c>
      <c r="J177" t="s">
        <v>783</v>
      </c>
      <c r="K177" t="s">
        <v>839</v>
      </c>
      <c r="L177" t="s">
        <v>840</v>
      </c>
      <c r="M177" t="s">
        <v>26</v>
      </c>
      <c r="N177" t="s">
        <v>770</v>
      </c>
      <c r="O177">
        <v>1</v>
      </c>
      <c r="P177" t="s">
        <v>776</v>
      </c>
      <c r="Q177">
        <v>44.9</v>
      </c>
      <c r="Y177" t="s">
        <v>1497</v>
      </c>
      <c r="AA177">
        <v>73410</v>
      </c>
      <c r="AB177" t="s">
        <v>28</v>
      </c>
    </row>
    <row r="178" spans="1:29" x14ac:dyDescent="0.25">
      <c r="A178" t="s">
        <v>1498</v>
      </c>
      <c r="B178" t="s">
        <v>1498</v>
      </c>
      <c r="C178" t="s">
        <v>1499</v>
      </c>
      <c r="D178" t="s">
        <v>1500</v>
      </c>
      <c r="E178" t="s">
        <v>770</v>
      </c>
      <c r="F178" t="s">
        <v>771</v>
      </c>
      <c r="G178" t="s">
        <v>772</v>
      </c>
      <c r="J178" t="s">
        <v>783</v>
      </c>
      <c r="K178" t="s">
        <v>774</v>
      </c>
      <c r="L178" t="s">
        <v>775</v>
      </c>
      <c r="M178" t="s">
        <v>65</v>
      </c>
      <c r="N178" t="s">
        <v>770</v>
      </c>
      <c r="O178">
        <v>1</v>
      </c>
      <c r="P178" t="s">
        <v>776</v>
      </c>
      <c r="Q178">
        <v>39.9</v>
      </c>
      <c r="Y178" t="s">
        <v>1282</v>
      </c>
      <c r="AA178">
        <v>92130</v>
      </c>
      <c r="AB178" t="s">
        <v>28</v>
      </c>
    </row>
    <row r="179" spans="1:29" x14ac:dyDescent="0.25">
      <c r="A179" t="s">
        <v>1501</v>
      </c>
      <c r="B179" t="s">
        <v>1501</v>
      </c>
      <c r="C179" t="s">
        <v>1502</v>
      </c>
      <c r="D179" t="s">
        <v>1503</v>
      </c>
      <c r="E179" t="s">
        <v>770</v>
      </c>
      <c r="F179" t="s">
        <v>771</v>
      </c>
      <c r="G179" t="s">
        <v>772</v>
      </c>
      <c r="J179" t="s">
        <v>773</v>
      </c>
      <c r="K179" t="s">
        <v>1504</v>
      </c>
      <c r="L179" t="s">
        <v>1505</v>
      </c>
      <c r="M179" t="s">
        <v>53</v>
      </c>
      <c r="N179" t="s">
        <v>770</v>
      </c>
      <c r="O179">
        <v>1</v>
      </c>
      <c r="P179" t="s">
        <v>776</v>
      </c>
      <c r="Q179">
        <v>44.9</v>
      </c>
      <c r="S179">
        <v>3.99</v>
      </c>
      <c r="X179">
        <v>3.99</v>
      </c>
      <c r="Y179" t="s">
        <v>1506</v>
      </c>
      <c r="AA179">
        <v>26300</v>
      </c>
      <c r="AB179" t="s">
        <v>28</v>
      </c>
      <c r="AC179" t="s">
        <v>778</v>
      </c>
    </row>
    <row r="180" spans="1:29" x14ac:dyDescent="0.25">
      <c r="A180" t="s">
        <v>1507</v>
      </c>
      <c r="B180" t="s">
        <v>1507</v>
      </c>
      <c r="C180" t="s">
        <v>1508</v>
      </c>
      <c r="D180" t="s">
        <v>1509</v>
      </c>
      <c r="E180" t="s">
        <v>770</v>
      </c>
      <c r="F180" t="s">
        <v>771</v>
      </c>
      <c r="G180" t="s">
        <v>772</v>
      </c>
      <c r="J180" t="s">
        <v>783</v>
      </c>
      <c r="K180" t="s">
        <v>839</v>
      </c>
      <c r="L180" t="s">
        <v>840</v>
      </c>
      <c r="M180" t="s">
        <v>26</v>
      </c>
      <c r="N180" t="s">
        <v>770</v>
      </c>
      <c r="O180">
        <v>1</v>
      </c>
      <c r="P180" t="s">
        <v>776</v>
      </c>
      <c r="Q180">
        <v>44.9</v>
      </c>
      <c r="Y180" t="s">
        <v>1510</v>
      </c>
      <c r="AA180">
        <v>43100</v>
      </c>
      <c r="AB180" t="s">
        <v>28</v>
      </c>
    </row>
    <row r="181" spans="1:29" x14ac:dyDescent="0.25">
      <c r="A181" t="s">
        <v>1511</v>
      </c>
      <c r="B181" t="s">
        <v>1511</v>
      </c>
      <c r="C181" t="s">
        <v>1512</v>
      </c>
      <c r="D181" t="s">
        <v>1513</v>
      </c>
      <c r="E181" t="s">
        <v>770</v>
      </c>
      <c r="F181" t="s">
        <v>771</v>
      </c>
      <c r="G181" t="s">
        <v>772</v>
      </c>
      <c r="J181" t="s">
        <v>783</v>
      </c>
      <c r="K181" t="s">
        <v>839</v>
      </c>
      <c r="L181" t="s">
        <v>840</v>
      </c>
      <c r="M181" t="s">
        <v>26</v>
      </c>
      <c r="N181" t="s">
        <v>770</v>
      </c>
      <c r="O181">
        <v>1</v>
      </c>
      <c r="P181" t="s">
        <v>776</v>
      </c>
      <c r="Q181">
        <v>44.9</v>
      </c>
      <c r="Y181" t="s">
        <v>1514</v>
      </c>
      <c r="AA181">
        <v>57300</v>
      </c>
      <c r="AB181" t="s">
        <v>28</v>
      </c>
    </row>
    <row r="182" spans="1:29" x14ac:dyDescent="0.25">
      <c r="A182" t="s">
        <v>1515</v>
      </c>
      <c r="B182" t="s">
        <v>1515</v>
      </c>
      <c r="C182" t="s">
        <v>1516</v>
      </c>
      <c r="D182" t="s">
        <v>1517</v>
      </c>
      <c r="E182" t="s">
        <v>782</v>
      </c>
      <c r="F182" t="s">
        <v>771</v>
      </c>
      <c r="G182" t="s">
        <v>772</v>
      </c>
      <c r="J182" t="s">
        <v>783</v>
      </c>
      <c r="K182" t="s">
        <v>839</v>
      </c>
      <c r="L182" t="s">
        <v>840</v>
      </c>
      <c r="M182" t="s">
        <v>26</v>
      </c>
      <c r="N182" t="s">
        <v>782</v>
      </c>
      <c r="O182">
        <v>0</v>
      </c>
      <c r="Y182" t="s">
        <v>1514</v>
      </c>
      <c r="AA182">
        <v>57300</v>
      </c>
      <c r="AB182" t="s">
        <v>28</v>
      </c>
    </row>
    <row r="183" spans="1:29" x14ac:dyDescent="0.25">
      <c r="A183" t="s">
        <v>1518</v>
      </c>
      <c r="B183" t="s">
        <v>1518</v>
      </c>
      <c r="C183" t="s">
        <v>1519</v>
      </c>
      <c r="D183" t="s">
        <v>1520</v>
      </c>
      <c r="E183" t="s">
        <v>770</v>
      </c>
      <c r="F183" t="s">
        <v>771</v>
      </c>
      <c r="G183" t="s">
        <v>772</v>
      </c>
      <c r="J183" t="s">
        <v>783</v>
      </c>
      <c r="K183" t="s">
        <v>839</v>
      </c>
      <c r="L183" t="s">
        <v>840</v>
      </c>
      <c r="M183" t="s">
        <v>26</v>
      </c>
      <c r="N183" t="s">
        <v>770</v>
      </c>
      <c r="O183">
        <v>1</v>
      </c>
      <c r="P183" t="s">
        <v>776</v>
      </c>
      <c r="Q183">
        <v>44.9</v>
      </c>
      <c r="Y183" t="s">
        <v>841</v>
      </c>
      <c r="AA183">
        <v>75008</v>
      </c>
      <c r="AB183" t="s">
        <v>28</v>
      </c>
    </row>
    <row r="184" spans="1:29" x14ac:dyDescent="0.25">
      <c r="A184" t="s">
        <v>1521</v>
      </c>
      <c r="B184" t="s">
        <v>1521</v>
      </c>
      <c r="C184" t="s">
        <v>1522</v>
      </c>
      <c r="D184" t="s">
        <v>1523</v>
      </c>
      <c r="E184" t="s">
        <v>770</v>
      </c>
      <c r="F184" t="s">
        <v>771</v>
      </c>
      <c r="G184" t="s">
        <v>772</v>
      </c>
      <c r="J184" t="s">
        <v>773</v>
      </c>
      <c r="K184" t="s">
        <v>774</v>
      </c>
      <c r="L184" t="s">
        <v>775</v>
      </c>
      <c r="M184" t="s">
        <v>65</v>
      </c>
      <c r="N184" t="s">
        <v>770</v>
      </c>
      <c r="O184">
        <v>1</v>
      </c>
      <c r="P184" t="s">
        <v>776</v>
      </c>
      <c r="Q184">
        <v>39.9</v>
      </c>
      <c r="S184">
        <v>1.33</v>
      </c>
      <c r="X184">
        <v>1.33</v>
      </c>
      <c r="Y184" t="s">
        <v>1524</v>
      </c>
      <c r="AA184">
        <v>83170</v>
      </c>
      <c r="AB184" t="s">
        <v>28</v>
      </c>
      <c r="AC184" t="s">
        <v>778</v>
      </c>
    </row>
    <row r="185" spans="1:29" x14ac:dyDescent="0.25">
      <c r="A185" t="s">
        <v>1525</v>
      </c>
      <c r="B185" t="s">
        <v>1525</v>
      </c>
      <c r="C185" t="s">
        <v>1526</v>
      </c>
      <c r="D185" t="s">
        <v>1527</v>
      </c>
      <c r="E185" t="s">
        <v>782</v>
      </c>
      <c r="F185" t="s">
        <v>771</v>
      </c>
      <c r="G185" t="s">
        <v>772</v>
      </c>
      <c r="J185" t="s">
        <v>773</v>
      </c>
      <c r="K185" t="s">
        <v>774</v>
      </c>
      <c r="L185" t="s">
        <v>775</v>
      </c>
      <c r="M185" t="s">
        <v>65</v>
      </c>
      <c r="N185" t="s">
        <v>782</v>
      </c>
      <c r="O185">
        <v>0</v>
      </c>
      <c r="Y185" t="s">
        <v>1524</v>
      </c>
      <c r="AA185">
        <v>83170</v>
      </c>
      <c r="AB185" t="s">
        <v>28</v>
      </c>
      <c r="AC185" t="s">
        <v>778</v>
      </c>
    </row>
    <row r="186" spans="1:29" x14ac:dyDescent="0.25">
      <c r="A186" t="s">
        <v>1528</v>
      </c>
      <c r="B186" t="s">
        <v>1528</v>
      </c>
      <c r="C186" t="s">
        <v>1529</v>
      </c>
      <c r="D186" t="s">
        <v>1530</v>
      </c>
      <c r="E186" t="s">
        <v>770</v>
      </c>
      <c r="F186" t="s">
        <v>771</v>
      </c>
      <c r="G186" t="s">
        <v>772</v>
      </c>
      <c r="J186" t="s">
        <v>773</v>
      </c>
      <c r="K186" t="s">
        <v>1488</v>
      </c>
      <c r="L186" t="s">
        <v>1489</v>
      </c>
      <c r="M186" t="s">
        <v>75</v>
      </c>
      <c r="N186" t="s">
        <v>770</v>
      </c>
      <c r="O186">
        <v>1</v>
      </c>
      <c r="P186" t="s">
        <v>776</v>
      </c>
      <c r="Q186">
        <v>59.9</v>
      </c>
      <c r="S186">
        <v>3.99</v>
      </c>
      <c r="X186">
        <v>3.99</v>
      </c>
      <c r="Y186" t="s">
        <v>819</v>
      </c>
      <c r="AA186">
        <v>75009</v>
      </c>
      <c r="AB186" t="s">
        <v>28</v>
      </c>
      <c r="AC186" t="s">
        <v>778</v>
      </c>
    </row>
    <row r="187" spans="1:29" x14ac:dyDescent="0.25">
      <c r="A187" t="s">
        <v>1531</v>
      </c>
      <c r="B187" t="s">
        <v>1531</v>
      </c>
      <c r="C187" t="s">
        <v>1532</v>
      </c>
      <c r="D187" t="s">
        <v>1533</v>
      </c>
      <c r="E187" t="s">
        <v>770</v>
      </c>
      <c r="F187" t="s">
        <v>771</v>
      </c>
      <c r="G187" t="s">
        <v>772</v>
      </c>
      <c r="J187" t="s">
        <v>783</v>
      </c>
      <c r="K187" t="s">
        <v>839</v>
      </c>
      <c r="L187" t="s">
        <v>840</v>
      </c>
      <c r="M187" t="s">
        <v>26</v>
      </c>
      <c r="N187" t="s">
        <v>770</v>
      </c>
      <c r="O187">
        <v>1</v>
      </c>
      <c r="P187" t="s">
        <v>776</v>
      </c>
      <c r="Q187">
        <v>44.9</v>
      </c>
      <c r="Y187" t="s">
        <v>1534</v>
      </c>
      <c r="AA187">
        <v>41250</v>
      </c>
      <c r="AB187" t="s">
        <v>28</v>
      </c>
    </row>
    <row r="188" spans="1:29" x14ac:dyDescent="0.25">
      <c r="A188" t="s">
        <v>1535</v>
      </c>
      <c r="B188" t="s">
        <v>1535</v>
      </c>
      <c r="C188" t="s">
        <v>1536</v>
      </c>
      <c r="D188" t="s">
        <v>1537</v>
      </c>
      <c r="E188" t="s">
        <v>770</v>
      </c>
      <c r="F188" t="s">
        <v>771</v>
      </c>
      <c r="G188" t="s">
        <v>772</v>
      </c>
      <c r="J188" t="s">
        <v>783</v>
      </c>
      <c r="K188" t="s">
        <v>839</v>
      </c>
      <c r="L188" t="s">
        <v>840</v>
      </c>
      <c r="M188" t="s">
        <v>26</v>
      </c>
      <c r="N188" t="s">
        <v>770</v>
      </c>
      <c r="O188">
        <v>1</v>
      </c>
      <c r="P188" t="s">
        <v>776</v>
      </c>
      <c r="Q188">
        <v>44.9</v>
      </c>
      <c r="Y188" t="s">
        <v>1538</v>
      </c>
      <c r="AA188">
        <v>59730</v>
      </c>
      <c r="AB188" t="s">
        <v>28</v>
      </c>
    </row>
    <row r="189" spans="1:29" x14ac:dyDescent="0.25">
      <c r="A189" t="s">
        <v>1539</v>
      </c>
      <c r="B189" t="s">
        <v>1539</v>
      </c>
      <c r="C189" t="s">
        <v>1540</v>
      </c>
      <c r="D189" t="s">
        <v>1541</v>
      </c>
      <c r="E189" t="s">
        <v>770</v>
      </c>
      <c r="F189" t="s">
        <v>771</v>
      </c>
      <c r="G189" t="s">
        <v>772</v>
      </c>
      <c r="J189" t="s">
        <v>783</v>
      </c>
      <c r="K189" t="s">
        <v>774</v>
      </c>
      <c r="L189" t="s">
        <v>775</v>
      </c>
      <c r="M189" t="s">
        <v>65</v>
      </c>
      <c r="N189" t="s">
        <v>770</v>
      </c>
      <c r="O189">
        <v>1</v>
      </c>
      <c r="P189" t="s">
        <v>776</v>
      </c>
      <c r="Q189">
        <v>39.9</v>
      </c>
      <c r="Y189" t="s">
        <v>1542</v>
      </c>
      <c r="AA189">
        <v>68440</v>
      </c>
      <c r="AB189" t="s">
        <v>28</v>
      </c>
    </row>
    <row r="190" spans="1:29" x14ac:dyDescent="0.25">
      <c r="A190" t="s">
        <v>1543</v>
      </c>
      <c r="B190" t="s">
        <v>1543</v>
      </c>
      <c r="C190" t="s">
        <v>1544</v>
      </c>
      <c r="D190" t="s">
        <v>1545</v>
      </c>
      <c r="E190" t="s">
        <v>782</v>
      </c>
      <c r="F190" t="s">
        <v>771</v>
      </c>
      <c r="G190" t="s">
        <v>772</v>
      </c>
      <c r="J190" t="s">
        <v>783</v>
      </c>
      <c r="K190" t="s">
        <v>774</v>
      </c>
      <c r="L190" t="s">
        <v>775</v>
      </c>
      <c r="M190" t="s">
        <v>65</v>
      </c>
      <c r="N190" t="s">
        <v>782</v>
      </c>
      <c r="O190">
        <v>0</v>
      </c>
      <c r="Y190" t="s">
        <v>1542</v>
      </c>
      <c r="AA190">
        <v>68440</v>
      </c>
      <c r="AB190" t="s">
        <v>28</v>
      </c>
    </row>
    <row r="191" spans="1:29" x14ac:dyDescent="0.25">
      <c r="A191" t="s">
        <v>1546</v>
      </c>
      <c r="B191" t="s">
        <v>1546</v>
      </c>
      <c r="C191" t="s">
        <v>1547</v>
      </c>
      <c r="D191" t="s">
        <v>1548</v>
      </c>
      <c r="E191" t="s">
        <v>770</v>
      </c>
      <c r="F191" t="s">
        <v>771</v>
      </c>
      <c r="G191" t="s">
        <v>772</v>
      </c>
      <c r="J191" t="s">
        <v>783</v>
      </c>
      <c r="K191" t="s">
        <v>839</v>
      </c>
      <c r="L191" t="s">
        <v>840</v>
      </c>
      <c r="M191" t="s">
        <v>26</v>
      </c>
      <c r="N191" t="s">
        <v>770</v>
      </c>
      <c r="O191">
        <v>1</v>
      </c>
      <c r="P191" t="s">
        <v>776</v>
      </c>
      <c r="Q191">
        <v>44.9</v>
      </c>
      <c r="Y191" t="s">
        <v>1549</v>
      </c>
      <c r="AA191">
        <v>6400</v>
      </c>
      <c r="AB191" t="s">
        <v>28</v>
      </c>
    </row>
    <row r="192" spans="1:29" x14ac:dyDescent="0.25">
      <c r="A192" t="s">
        <v>1550</v>
      </c>
      <c r="B192" t="s">
        <v>1550</v>
      </c>
      <c r="C192" t="s">
        <v>1551</v>
      </c>
      <c r="D192" t="s">
        <v>1552</v>
      </c>
      <c r="E192" t="s">
        <v>770</v>
      </c>
      <c r="F192" t="s">
        <v>771</v>
      </c>
      <c r="G192" t="s">
        <v>772</v>
      </c>
      <c r="J192" t="s">
        <v>783</v>
      </c>
      <c r="K192" t="s">
        <v>1488</v>
      </c>
      <c r="L192" t="s">
        <v>1489</v>
      </c>
      <c r="M192" t="s">
        <v>75</v>
      </c>
      <c r="N192" t="s">
        <v>770</v>
      </c>
      <c r="O192">
        <v>1</v>
      </c>
      <c r="P192" t="s">
        <v>776</v>
      </c>
      <c r="Q192">
        <v>59.9</v>
      </c>
      <c r="Y192" t="s">
        <v>1553</v>
      </c>
      <c r="AA192">
        <v>57100</v>
      </c>
      <c r="AB192" t="s">
        <v>28</v>
      </c>
    </row>
    <row r="193" spans="1:29" x14ac:dyDescent="0.25">
      <c r="A193" t="s">
        <v>1554</v>
      </c>
      <c r="B193" t="s">
        <v>1554</v>
      </c>
      <c r="C193" t="s">
        <v>1555</v>
      </c>
      <c r="D193" t="s">
        <v>1556</v>
      </c>
      <c r="E193" t="s">
        <v>770</v>
      </c>
      <c r="F193" t="s">
        <v>771</v>
      </c>
      <c r="G193" t="s">
        <v>772</v>
      </c>
      <c r="J193" t="s">
        <v>783</v>
      </c>
      <c r="K193" t="s">
        <v>839</v>
      </c>
      <c r="L193" t="s">
        <v>840</v>
      </c>
      <c r="M193" t="s">
        <v>26</v>
      </c>
      <c r="N193" t="s">
        <v>770</v>
      </c>
      <c r="O193">
        <v>1</v>
      </c>
      <c r="P193" t="s">
        <v>776</v>
      </c>
      <c r="Q193">
        <v>44.9</v>
      </c>
      <c r="Y193" t="s">
        <v>1557</v>
      </c>
      <c r="AA193">
        <v>64800</v>
      </c>
      <c r="AB193" t="s">
        <v>28</v>
      </c>
    </row>
    <row r="194" spans="1:29" x14ac:dyDescent="0.25">
      <c r="A194" t="s">
        <v>1558</v>
      </c>
      <c r="B194" t="s">
        <v>1558</v>
      </c>
      <c r="C194" t="s">
        <v>1559</v>
      </c>
      <c r="D194" t="s">
        <v>1560</v>
      </c>
      <c r="E194" t="s">
        <v>770</v>
      </c>
      <c r="F194" t="s">
        <v>771</v>
      </c>
      <c r="G194" t="s">
        <v>772</v>
      </c>
      <c r="J194" t="s">
        <v>783</v>
      </c>
      <c r="K194" t="s">
        <v>774</v>
      </c>
      <c r="L194" t="s">
        <v>775</v>
      </c>
      <c r="M194" t="s">
        <v>65</v>
      </c>
      <c r="N194" t="s">
        <v>770</v>
      </c>
      <c r="O194">
        <v>1</v>
      </c>
      <c r="P194" t="s">
        <v>776</v>
      </c>
      <c r="Q194">
        <v>39.9</v>
      </c>
      <c r="Y194" t="s">
        <v>1027</v>
      </c>
      <c r="AA194">
        <v>13009</v>
      </c>
      <c r="AB194" t="s">
        <v>28</v>
      </c>
    </row>
    <row r="195" spans="1:29" x14ac:dyDescent="0.25">
      <c r="A195" t="s">
        <v>1561</v>
      </c>
      <c r="B195" t="s">
        <v>1561</v>
      </c>
      <c r="C195" t="s">
        <v>1562</v>
      </c>
      <c r="D195" t="s">
        <v>1563</v>
      </c>
      <c r="E195" t="s">
        <v>770</v>
      </c>
      <c r="F195" t="s">
        <v>771</v>
      </c>
      <c r="G195" t="s">
        <v>772</v>
      </c>
      <c r="J195" t="s">
        <v>783</v>
      </c>
      <c r="K195" t="s">
        <v>839</v>
      </c>
      <c r="L195" t="s">
        <v>840</v>
      </c>
      <c r="M195" t="s">
        <v>26</v>
      </c>
      <c r="N195" t="s">
        <v>770</v>
      </c>
      <c r="O195">
        <v>1</v>
      </c>
      <c r="P195" t="s">
        <v>776</v>
      </c>
      <c r="Q195">
        <v>44.9</v>
      </c>
      <c r="S195">
        <v>1.99</v>
      </c>
      <c r="Y195" t="s">
        <v>1564</v>
      </c>
      <c r="AA195">
        <v>60520</v>
      </c>
      <c r="AB195" t="s">
        <v>28</v>
      </c>
    </row>
    <row r="196" spans="1:29" x14ac:dyDescent="0.25">
      <c r="A196" t="s">
        <v>1565</v>
      </c>
      <c r="B196" t="s">
        <v>1565</v>
      </c>
      <c r="C196" t="s">
        <v>1566</v>
      </c>
      <c r="D196" t="s">
        <v>1567</v>
      </c>
      <c r="E196" t="s">
        <v>770</v>
      </c>
      <c r="F196" t="s">
        <v>771</v>
      </c>
      <c r="G196" t="s">
        <v>772</v>
      </c>
      <c r="J196" t="s">
        <v>783</v>
      </c>
      <c r="K196" t="s">
        <v>774</v>
      </c>
      <c r="L196" t="s">
        <v>775</v>
      </c>
      <c r="M196" t="s">
        <v>65</v>
      </c>
      <c r="N196" t="s">
        <v>770</v>
      </c>
      <c r="O196">
        <v>1</v>
      </c>
      <c r="P196" t="s">
        <v>776</v>
      </c>
      <c r="Q196">
        <v>39.9</v>
      </c>
      <c r="Y196" t="s">
        <v>1568</v>
      </c>
      <c r="AA196">
        <v>69800</v>
      </c>
      <c r="AB196" t="s">
        <v>28</v>
      </c>
    </row>
    <row r="197" spans="1:29" x14ac:dyDescent="0.25">
      <c r="A197" t="s">
        <v>1569</v>
      </c>
      <c r="B197" t="s">
        <v>1569</v>
      </c>
      <c r="C197" t="s">
        <v>1570</v>
      </c>
      <c r="D197" t="s">
        <v>1571</v>
      </c>
      <c r="E197" t="s">
        <v>770</v>
      </c>
      <c r="F197" t="s">
        <v>771</v>
      </c>
      <c r="G197" t="s">
        <v>772</v>
      </c>
      <c r="J197" t="s">
        <v>773</v>
      </c>
      <c r="K197" t="s">
        <v>1079</v>
      </c>
      <c r="L197" t="s">
        <v>1080</v>
      </c>
      <c r="M197" t="s">
        <v>186</v>
      </c>
      <c r="N197" t="s">
        <v>770</v>
      </c>
      <c r="O197">
        <v>1</v>
      </c>
      <c r="P197" t="s">
        <v>776</v>
      </c>
      <c r="Q197">
        <v>49.9</v>
      </c>
      <c r="Y197" t="s">
        <v>841</v>
      </c>
      <c r="AA197">
        <v>75014</v>
      </c>
      <c r="AB197" t="s">
        <v>28</v>
      </c>
      <c r="AC197" t="s">
        <v>778</v>
      </c>
    </row>
    <row r="198" spans="1:29" x14ac:dyDescent="0.25">
      <c r="A198" t="s">
        <v>1572</v>
      </c>
      <c r="B198" t="s">
        <v>1572</v>
      </c>
      <c r="C198" t="s">
        <v>1573</v>
      </c>
      <c r="D198" t="s">
        <v>1574</v>
      </c>
      <c r="E198" t="s">
        <v>782</v>
      </c>
      <c r="F198" t="s">
        <v>771</v>
      </c>
      <c r="G198" t="s">
        <v>772</v>
      </c>
      <c r="J198" t="s">
        <v>783</v>
      </c>
      <c r="K198" t="s">
        <v>839</v>
      </c>
      <c r="L198" t="s">
        <v>840</v>
      </c>
      <c r="M198" t="s">
        <v>26</v>
      </c>
      <c r="N198" t="s">
        <v>782</v>
      </c>
      <c r="O198">
        <v>0</v>
      </c>
      <c r="Y198" t="s">
        <v>1575</v>
      </c>
      <c r="AA198">
        <v>1000</v>
      </c>
      <c r="AB198" t="s">
        <v>28</v>
      </c>
    </row>
    <row r="199" spans="1:29" x14ac:dyDescent="0.25">
      <c r="A199" t="s">
        <v>1576</v>
      </c>
      <c r="B199" t="s">
        <v>1576</v>
      </c>
      <c r="C199" t="s">
        <v>1577</v>
      </c>
      <c r="D199" t="s">
        <v>1578</v>
      </c>
      <c r="E199" t="s">
        <v>770</v>
      </c>
      <c r="F199" t="s">
        <v>771</v>
      </c>
      <c r="G199" t="s">
        <v>772</v>
      </c>
      <c r="J199" t="s">
        <v>773</v>
      </c>
      <c r="K199" t="s">
        <v>1046</v>
      </c>
      <c r="L199" t="s">
        <v>1047</v>
      </c>
      <c r="M199" t="s">
        <v>21</v>
      </c>
      <c r="N199" t="s">
        <v>770</v>
      </c>
      <c r="O199">
        <v>1</v>
      </c>
      <c r="P199" t="s">
        <v>776</v>
      </c>
      <c r="Q199">
        <v>39.9</v>
      </c>
      <c r="Y199" t="s">
        <v>1579</v>
      </c>
      <c r="AA199">
        <v>13015</v>
      </c>
      <c r="AB199" t="s">
        <v>28</v>
      </c>
      <c r="AC199" t="s">
        <v>778</v>
      </c>
    </row>
    <row r="200" spans="1:29" x14ac:dyDescent="0.25">
      <c r="A200" t="s">
        <v>1580</v>
      </c>
      <c r="B200" t="s">
        <v>1580</v>
      </c>
      <c r="C200" t="s">
        <v>1581</v>
      </c>
      <c r="D200" t="s">
        <v>1582</v>
      </c>
      <c r="E200" t="s">
        <v>770</v>
      </c>
      <c r="F200" t="s">
        <v>771</v>
      </c>
      <c r="G200" t="s">
        <v>772</v>
      </c>
      <c r="J200" t="s">
        <v>783</v>
      </c>
      <c r="K200" t="s">
        <v>839</v>
      </c>
      <c r="L200" t="s">
        <v>840</v>
      </c>
      <c r="M200" t="s">
        <v>26</v>
      </c>
      <c r="N200" t="s">
        <v>770</v>
      </c>
      <c r="O200">
        <v>1</v>
      </c>
      <c r="P200" t="s">
        <v>776</v>
      </c>
      <c r="Q200">
        <v>44.9</v>
      </c>
      <c r="Y200" t="s">
        <v>1583</v>
      </c>
      <c r="AA200">
        <v>6250</v>
      </c>
      <c r="AB200" t="s">
        <v>28</v>
      </c>
    </row>
    <row r="201" spans="1:29" x14ac:dyDescent="0.25">
      <c r="A201" t="s">
        <v>1584</v>
      </c>
      <c r="B201" t="s">
        <v>1584</v>
      </c>
      <c r="C201" t="s">
        <v>1585</v>
      </c>
      <c r="D201" t="s">
        <v>1586</v>
      </c>
      <c r="E201" t="s">
        <v>770</v>
      </c>
      <c r="F201" t="s">
        <v>771</v>
      </c>
      <c r="G201" t="s">
        <v>772</v>
      </c>
      <c r="J201" t="s">
        <v>773</v>
      </c>
      <c r="K201" t="s">
        <v>839</v>
      </c>
      <c r="L201" t="s">
        <v>840</v>
      </c>
      <c r="M201" t="s">
        <v>26</v>
      </c>
      <c r="N201" t="s">
        <v>770</v>
      </c>
      <c r="O201">
        <v>1</v>
      </c>
      <c r="P201" t="s">
        <v>776</v>
      </c>
      <c r="Q201">
        <v>44.9</v>
      </c>
      <c r="Y201" t="s">
        <v>869</v>
      </c>
      <c r="AA201">
        <v>75017</v>
      </c>
      <c r="AB201" t="s">
        <v>28</v>
      </c>
      <c r="AC201" t="s">
        <v>778</v>
      </c>
    </row>
    <row r="202" spans="1:29" x14ac:dyDescent="0.25">
      <c r="A202" t="s">
        <v>1587</v>
      </c>
      <c r="B202" t="s">
        <v>1587</v>
      </c>
      <c r="C202" t="s">
        <v>1588</v>
      </c>
      <c r="D202" t="s">
        <v>1589</v>
      </c>
      <c r="E202" t="s">
        <v>770</v>
      </c>
      <c r="F202" t="s">
        <v>771</v>
      </c>
      <c r="G202" t="s">
        <v>772</v>
      </c>
      <c r="J202" t="s">
        <v>773</v>
      </c>
      <c r="K202" t="s">
        <v>774</v>
      </c>
      <c r="L202" t="s">
        <v>775</v>
      </c>
      <c r="M202" t="s">
        <v>65</v>
      </c>
      <c r="N202" t="s">
        <v>770</v>
      </c>
      <c r="O202">
        <v>1</v>
      </c>
      <c r="P202" t="s">
        <v>776</v>
      </c>
      <c r="Q202">
        <v>39.9</v>
      </c>
      <c r="S202">
        <v>3.99</v>
      </c>
      <c r="X202">
        <v>3.99</v>
      </c>
      <c r="Y202" t="s">
        <v>1590</v>
      </c>
      <c r="AA202">
        <v>59111</v>
      </c>
      <c r="AB202" t="s">
        <v>28</v>
      </c>
      <c r="AC202" t="s">
        <v>778</v>
      </c>
    </row>
    <row r="203" spans="1:29" x14ac:dyDescent="0.25">
      <c r="A203" t="s">
        <v>1591</v>
      </c>
      <c r="B203" t="s">
        <v>1591</v>
      </c>
      <c r="C203" t="s">
        <v>1592</v>
      </c>
      <c r="D203" t="s">
        <v>1593</v>
      </c>
      <c r="E203" t="s">
        <v>770</v>
      </c>
      <c r="F203" t="s">
        <v>771</v>
      </c>
      <c r="G203" t="s">
        <v>772</v>
      </c>
      <c r="J203" t="s">
        <v>783</v>
      </c>
      <c r="K203" t="s">
        <v>839</v>
      </c>
      <c r="L203" t="s">
        <v>840</v>
      </c>
      <c r="M203" t="s">
        <v>26</v>
      </c>
      <c r="N203" t="s">
        <v>770</v>
      </c>
      <c r="O203">
        <v>1</v>
      </c>
      <c r="P203" t="s">
        <v>776</v>
      </c>
      <c r="Q203">
        <v>44.9</v>
      </c>
      <c r="Y203" t="s">
        <v>1594</v>
      </c>
      <c r="AA203">
        <v>31600</v>
      </c>
      <c r="AB203" t="s">
        <v>28</v>
      </c>
    </row>
    <row r="204" spans="1:29" x14ac:dyDescent="0.25">
      <c r="A204" t="s">
        <v>1595</v>
      </c>
      <c r="B204" t="s">
        <v>1595</v>
      </c>
      <c r="C204" t="s">
        <v>1596</v>
      </c>
      <c r="D204" t="s">
        <v>1597</v>
      </c>
      <c r="E204" t="s">
        <v>770</v>
      </c>
      <c r="F204" t="s">
        <v>771</v>
      </c>
      <c r="G204" t="s">
        <v>772</v>
      </c>
      <c r="J204" t="s">
        <v>783</v>
      </c>
      <c r="K204" t="s">
        <v>839</v>
      </c>
      <c r="L204" t="s">
        <v>840</v>
      </c>
      <c r="M204" t="s">
        <v>26</v>
      </c>
      <c r="N204" t="s">
        <v>770</v>
      </c>
      <c r="O204">
        <v>1</v>
      </c>
      <c r="P204" t="s">
        <v>776</v>
      </c>
      <c r="Q204">
        <v>44.9</v>
      </c>
      <c r="Y204" t="s">
        <v>1598</v>
      </c>
      <c r="AA204">
        <v>37000</v>
      </c>
      <c r="AB204" t="s">
        <v>28</v>
      </c>
    </row>
    <row r="205" spans="1:29" x14ac:dyDescent="0.25">
      <c r="A205" t="s">
        <v>1599</v>
      </c>
      <c r="B205" t="s">
        <v>1599</v>
      </c>
      <c r="C205" t="s">
        <v>1600</v>
      </c>
      <c r="D205" t="s">
        <v>1601</v>
      </c>
      <c r="E205" t="s">
        <v>770</v>
      </c>
      <c r="F205" t="s">
        <v>771</v>
      </c>
      <c r="G205" t="s">
        <v>772</v>
      </c>
      <c r="J205" t="s">
        <v>773</v>
      </c>
      <c r="K205" t="s">
        <v>774</v>
      </c>
      <c r="L205" t="s">
        <v>775</v>
      </c>
      <c r="M205" t="s">
        <v>65</v>
      </c>
      <c r="N205" t="s">
        <v>770</v>
      </c>
      <c r="O205">
        <v>1</v>
      </c>
      <c r="P205" t="s">
        <v>776</v>
      </c>
      <c r="Q205">
        <v>39.9</v>
      </c>
      <c r="Y205" t="s">
        <v>1602</v>
      </c>
      <c r="AA205">
        <v>31140</v>
      </c>
      <c r="AB205" t="s">
        <v>28</v>
      </c>
      <c r="AC205" t="s">
        <v>778</v>
      </c>
    </row>
    <row r="206" spans="1:29" x14ac:dyDescent="0.25">
      <c r="A206" t="s">
        <v>1603</v>
      </c>
      <c r="B206" t="s">
        <v>1603</v>
      </c>
      <c r="C206" t="s">
        <v>1604</v>
      </c>
      <c r="D206" t="s">
        <v>1605</v>
      </c>
      <c r="E206" t="s">
        <v>770</v>
      </c>
      <c r="F206" t="s">
        <v>771</v>
      </c>
      <c r="G206" t="s">
        <v>772</v>
      </c>
      <c r="J206" t="s">
        <v>773</v>
      </c>
      <c r="K206" t="s">
        <v>774</v>
      </c>
      <c r="L206" t="s">
        <v>775</v>
      </c>
      <c r="M206" t="s">
        <v>65</v>
      </c>
      <c r="N206" t="s">
        <v>770</v>
      </c>
      <c r="O206">
        <v>1</v>
      </c>
      <c r="P206" t="s">
        <v>776</v>
      </c>
      <c r="Q206">
        <v>39.9</v>
      </c>
      <c r="Y206" t="s">
        <v>1606</v>
      </c>
      <c r="AA206">
        <v>98000</v>
      </c>
      <c r="AB206" t="s">
        <v>1607</v>
      </c>
      <c r="AC206" t="s">
        <v>778</v>
      </c>
    </row>
    <row r="207" spans="1:29" x14ac:dyDescent="0.25">
      <c r="A207" t="s">
        <v>1608</v>
      </c>
      <c r="B207" t="s">
        <v>1608</v>
      </c>
      <c r="C207" t="s">
        <v>1609</v>
      </c>
      <c r="D207" t="s">
        <v>1610</v>
      </c>
      <c r="E207" t="s">
        <v>770</v>
      </c>
      <c r="F207" t="s">
        <v>771</v>
      </c>
      <c r="G207" t="s">
        <v>772</v>
      </c>
      <c r="J207" t="s">
        <v>783</v>
      </c>
      <c r="K207" t="s">
        <v>774</v>
      </c>
      <c r="L207" t="s">
        <v>775</v>
      </c>
      <c r="M207" t="s">
        <v>65</v>
      </c>
      <c r="N207" t="s">
        <v>770</v>
      </c>
      <c r="O207">
        <v>1</v>
      </c>
      <c r="P207" t="s">
        <v>776</v>
      </c>
      <c r="Q207">
        <v>39.9</v>
      </c>
      <c r="Y207" t="s">
        <v>1611</v>
      </c>
      <c r="Z207" t="s">
        <v>1612</v>
      </c>
      <c r="AA207">
        <v>44550</v>
      </c>
      <c r="AB207" t="s">
        <v>28</v>
      </c>
    </row>
    <row r="208" spans="1:29" x14ac:dyDescent="0.25">
      <c r="A208" t="s">
        <v>1613</v>
      </c>
      <c r="B208" t="s">
        <v>1613</v>
      </c>
      <c r="C208" t="s">
        <v>1614</v>
      </c>
      <c r="D208" t="s">
        <v>1615</v>
      </c>
      <c r="E208" t="s">
        <v>782</v>
      </c>
      <c r="F208" t="s">
        <v>771</v>
      </c>
      <c r="G208" t="s">
        <v>772</v>
      </c>
      <c r="J208" t="s">
        <v>783</v>
      </c>
      <c r="K208" t="s">
        <v>774</v>
      </c>
      <c r="L208" t="s">
        <v>775</v>
      </c>
      <c r="M208" t="s">
        <v>65</v>
      </c>
      <c r="N208" t="s">
        <v>782</v>
      </c>
      <c r="O208">
        <v>0</v>
      </c>
      <c r="Y208" t="s">
        <v>1611</v>
      </c>
      <c r="Z208" t="s">
        <v>1612</v>
      </c>
      <c r="AA208">
        <v>44550</v>
      </c>
      <c r="AB208" t="s">
        <v>28</v>
      </c>
    </row>
    <row r="209" spans="1:29" x14ac:dyDescent="0.25">
      <c r="A209" t="s">
        <v>1616</v>
      </c>
      <c r="B209" t="s">
        <v>1616</v>
      </c>
      <c r="C209" t="s">
        <v>1617</v>
      </c>
      <c r="D209" t="s">
        <v>1618</v>
      </c>
      <c r="E209" t="s">
        <v>770</v>
      </c>
      <c r="F209" t="s">
        <v>771</v>
      </c>
      <c r="G209" t="s">
        <v>772</v>
      </c>
      <c r="J209" t="s">
        <v>783</v>
      </c>
      <c r="K209" t="s">
        <v>774</v>
      </c>
      <c r="L209" t="s">
        <v>775</v>
      </c>
      <c r="M209" t="s">
        <v>65</v>
      </c>
      <c r="N209" t="s">
        <v>770</v>
      </c>
      <c r="O209">
        <v>1</v>
      </c>
      <c r="P209" t="s">
        <v>776</v>
      </c>
      <c r="Q209">
        <v>39.9</v>
      </c>
      <c r="Y209" t="s">
        <v>1619</v>
      </c>
      <c r="AA209">
        <v>59100</v>
      </c>
      <c r="AB209" t="s">
        <v>28</v>
      </c>
    </row>
    <row r="210" spans="1:29" x14ac:dyDescent="0.25">
      <c r="A210" t="s">
        <v>1620</v>
      </c>
      <c r="B210" t="s">
        <v>1620</v>
      </c>
      <c r="C210" t="s">
        <v>1621</v>
      </c>
      <c r="D210" t="s">
        <v>1622</v>
      </c>
      <c r="E210" t="s">
        <v>770</v>
      </c>
      <c r="F210" t="s">
        <v>771</v>
      </c>
      <c r="G210" t="s">
        <v>772</v>
      </c>
      <c r="J210" t="s">
        <v>783</v>
      </c>
      <c r="K210" t="s">
        <v>839</v>
      </c>
      <c r="L210" t="s">
        <v>840</v>
      </c>
      <c r="M210" t="s">
        <v>26</v>
      </c>
      <c r="N210" t="s">
        <v>770</v>
      </c>
      <c r="O210">
        <v>1</v>
      </c>
      <c r="P210" t="s">
        <v>776</v>
      </c>
      <c r="Q210">
        <v>44.9</v>
      </c>
      <c r="Y210" t="s">
        <v>962</v>
      </c>
      <c r="AA210">
        <v>69008</v>
      </c>
      <c r="AB210" t="s">
        <v>28</v>
      </c>
    </row>
    <row r="211" spans="1:29" x14ac:dyDescent="0.25">
      <c r="A211" t="s">
        <v>1623</v>
      </c>
      <c r="B211" t="s">
        <v>1623</v>
      </c>
      <c r="C211" t="s">
        <v>1624</v>
      </c>
      <c r="D211" t="s">
        <v>1625</v>
      </c>
      <c r="E211" t="s">
        <v>770</v>
      </c>
      <c r="F211" t="s">
        <v>771</v>
      </c>
      <c r="G211" t="s">
        <v>772</v>
      </c>
      <c r="J211" t="s">
        <v>773</v>
      </c>
      <c r="K211" t="s">
        <v>774</v>
      </c>
      <c r="L211" t="s">
        <v>775</v>
      </c>
      <c r="M211" t="s">
        <v>65</v>
      </c>
      <c r="N211" t="s">
        <v>770</v>
      </c>
      <c r="O211">
        <v>1</v>
      </c>
      <c r="P211" t="s">
        <v>776</v>
      </c>
      <c r="Q211">
        <v>39.9</v>
      </c>
      <c r="S211">
        <v>3.99</v>
      </c>
      <c r="X211">
        <v>3.99</v>
      </c>
      <c r="Y211" t="s">
        <v>1626</v>
      </c>
      <c r="Z211" t="s">
        <v>1627</v>
      </c>
      <c r="AA211">
        <v>71100</v>
      </c>
      <c r="AB211" t="s">
        <v>28</v>
      </c>
      <c r="AC211" t="s">
        <v>778</v>
      </c>
    </row>
    <row r="212" spans="1:29" x14ac:dyDescent="0.25">
      <c r="A212" t="s">
        <v>1628</v>
      </c>
      <c r="B212" t="s">
        <v>1628</v>
      </c>
      <c r="C212" t="s">
        <v>1629</v>
      </c>
      <c r="D212" t="s">
        <v>1630</v>
      </c>
      <c r="E212" t="s">
        <v>770</v>
      </c>
      <c r="F212" t="s">
        <v>771</v>
      </c>
      <c r="G212" t="s">
        <v>772</v>
      </c>
      <c r="J212" t="s">
        <v>783</v>
      </c>
      <c r="K212" t="s">
        <v>1046</v>
      </c>
      <c r="L212" t="s">
        <v>1047</v>
      </c>
      <c r="M212" t="s">
        <v>21</v>
      </c>
      <c r="N212" t="s">
        <v>770</v>
      </c>
      <c r="O212">
        <v>1</v>
      </c>
      <c r="P212" t="s">
        <v>776</v>
      </c>
      <c r="Q212">
        <v>39.9</v>
      </c>
      <c r="Y212" t="s">
        <v>1631</v>
      </c>
      <c r="AA212">
        <v>83350</v>
      </c>
      <c r="AB212" t="s">
        <v>28</v>
      </c>
    </row>
    <row r="213" spans="1:29" x14ac:dyDescent="0.25">
      <c r="A213" t="s">
        <v>1632</v>
      </c>
      <c r="B213" t="s">
        <v>1632</v>
      </c>
      <c r="C213" t="s">
        <v>1633</v>
      </c>
      <c r="D213" t="s">
        <v>1634</v>
      </c>
      <c r="E213" t="s">
        <v>770</v>
      </c>
      <c r="F213" t="s">
        <v>771</v>
      </c>
      <c r="G213" t="s">
        <v>772</v>
      </c>
      <c r="J213" t="s">
        <v>783</v>
      </c>
      <c r="K213" t="s">
        <v>839</v>
      </c>
      <c r="L213" t="s">
        <v>840</v>
      </c>
      <c r="M213" t="s">
        <v>26</v>
      </c>
      <c r="N213" t="s">
        <v>770</v>
      </c>
      <c r="O213">
        <v>1</v>
      </c>
      <c r="P213" t="s">
        <v>776</v>
      </c>
      <c r="Q213">
        <v>44.9</v>
      </c>
      <c r="Y213" t="s">
        <v>1635</v>
      </c>
      <c r="AA213">
        <v>13480</v>
      </c>
      <c r="AB213" t="s">
        <v>28</v>
      </c>
    </row>
    <row r="214" spans="1:29" x14ac:dyDescent="0.25">
      <c r="A214" t="s">
        <v>1636</v>
      </c>
      <c r="B214" t="s">
        <v>1636</v>
      </c>
      <c r="C214" t="s">
        <v>1637</v>
      </c>
      <c r="D214" t="s">
        <v>1638</v>
      </c>
      <c r="E214" t="s">
        <v>770</v>
      </c>
      <c r="F214" t="s">
        <v>771</v>
      </c>
      <c r="G214" t="s">
        <v>772</v>
      </c>
      <c r="J214" t="s">
        <v>773</v>
      </c>
      <c r="K214" t="s">
        <v>1046</v>
      </c>
      <c r="L214" t="s">
        <v>1047</v>
      </c>
      <c r="M214" t="s">
        <v>21</v>
      </c>
      <c r="N214" t="s">
        <v>770</v>
      </c>
      <c r="O214">
        <v>1</v>
      </c>
      <c r="P214" t="s">
        <v>776</v>
      </c>
      <c r="Q214">
        <v>39.9</v>
      </c>
      <c r="S214">
        <v>3.99</v>
      </c>
      <c r="X214">
        <v>3.99</v>
      </c>
      <c r="Y214" t="s">
        <v>1639</v>
      </c>
      <c r="AA214">
        <v>17250</v>
      </c>
      <c r="AB214" t="s">
        <v>28</v>
      </c>
      <c r="AC214" t="s">
        <v>778</v>
      </c>
    </row>
    <row r="215" spans="1:29" x14ac:dyDescent="0.25">
      <c r="A215" t="s">
        <v>1640</v>
      </c>
      <c r="B215" t="s">
        <v>1640</v>
      </c>
      <c r="C215" t="s">
        <v>1641</v>
      </c>
      <c r="D215" t="s">
        <v>1642</v>
      </c>
      <c r="E215" t="s">
        <v>770</v>
      </c>
      <c r="F215" t="s">
        <v>771</v>
      </c>
      <c r="G215" t="s">
        <v>772</v>
      </c>
      <c r="J215" t="s">
        <v>783</v>
      </c>
      <c r="K215" t="s">
        <v>839</v>
      </c>
      <c r="L215" t="s">
        <v>840</v>
      </c>
      <c r="M215" t="s">
        <v>26</v>
      </c>
      <c r="N215" t="s">
        <v>770</v>
      </c>
      <c r="O215">
        <v>1</v>
      </c>
      <c r="P215" t="s">
        <v>776</v>
      </c>
      <c r="Q215">
        <v>44.9</v>
      </c>
      <c r="Y215" t="s">
        <v>1286</v>
      </c>
      <c r="AA215">
        <v>49300</v>
      </c>
      <c r="AB215" t="s">
        <v>28</v>
      </c>
    </row>
    <row r="216" spans="1:29" x14ac:dyDescent="0.25">
      <c r="A216" t="s">
        <v>1643</v>
      </c>
      <c r="B216" t="s">
        <v>1643</v>
      </c>
      <c r="C216" t="s">
        <v>1644</v>
      </c>
      <c r="D216" t="s">
        <v>1645</v>
      </c>
      <c r="E216" t="s">
        <v>770</v>
      </c>
      <c r="F216" t="s">
        <v>771</v>
      </c>
      <c r="G216" t="s">
        <v>772</v>
      </c>
      <c r="J216" t="s">
        <v>773</v>
      </c>
      <c r="K216" t="s">
        <v>774</v>
      </c>
      <c r="L216" t="s">
        <v>775</v>
      </c>
      <c r="M216" t="s">
        <v>65</v>
      </c>
      <c r="N216" t="s">
        <v>770</v>
      </c>
      <c r="O216">
        <v>1</v>
      </c>
      <c r="P216" t="s">
        <v>776</v>
      </c>
      <c r="Q216">
        <v>39.9</v>
      </c>
      <c r="Y216" t="s">
        <v>1646</v>
      </c>
      <c r="AA216">
        <v>20200</v>
      </c>
      <c r="AB216" t="s">
        <v>28</v>
      </c>
      <c r="AC216" t="s">
        <v>778</v>
      </c>
    </row>
    <row r="217" spans="1:29" x14ac:dyDescent="0.25">
      <c r="A217" t="s">
        <v>1647</v>
      </c>
      <c r="B217" t="s">
        <v>1647</v>
      </c>
      <c r="C217" t="s">
        <v>1648</v>
      </c>
      <c r="D217" t="s">
        <v>1649</v>
      </c>
      <c r="E217" t="s">
        <v>770</v>
      </c>
      <c r="F217" t="s">
        <v>771</v>
      </c>
      <c r="G217" t="s">
        <v>772</v>
      </c>
      <c r="J217" t="s">
        <v>773</v>
      </c>
      <c r="K217" t="s">
        <v>774</v>
      </c>
      <c r="L217" t="s">
        <v>775</v>
      </c>
      <c r="M217" t="s">
        <v>65</v>
      </c>
      <c r="N217" t="s">
        <v>770</v>
      </c>
      <c r="O217">
        <v>1</v>
      </c>
      <c r="P217" t="s">
        <v>776</v>
      </c>
      <c r="Q217">
        <v>39.9</v>
      </c>
      <c r="Y217" t="s">
        <v>1650</v>
      </c>
      <c r="AA217">
        <v>87280</v>
      </c>
      <c r="AB217" t="s">
        <v>28</v>
      </c>
      <c r="AC217" t="s">
        <v>778</v>
      </c>
    </row>
    <row r="218" spans="1:29" x14ac:dyDescent="0.25">
      <c r="A218" t="s">
        <v>1651</v>
      </c>
      <c r="B218" t="s">
        <v>1651</v>
      </c>
      <c r="C218" t="s">
        <v>1652</v>
      </c>
      <c r="D218" t="s">
        <v>1653</v>
      </c>
      <c r="E218" t="s">
        <v>770</v>
      </c>
      <c r="F218" t="s">
        <v>771</v>
      </c>
      <c r="G218" t="s">
        <v>772</v>
      </c>
      <c r="J218" t="s">
        <v>783</v>
      </c>
      <c r="K218" t="s">
        <v>839</v>
      </c>
      <c r="L218" t="s">
        <v>840</v>
      </c>
      <c r="M218" t="s">
        <v>26</v>
      </c>
      <c r="N218" t="s">
        <v>770</v>
      </c>
      <c r="O218">
        <v>1</v>
      </c>
      <c r="P218" t="s">
        <v>776</v>
      </c>
      <c r="Q218">
        <v>44.9</v>
      </c>
      <c r="Y218" t="s">
        <v>1654</v>
      </c>
      <c r="AA218">
        <v>94430</v>
      </c>
      <c r="AB218" t="s">
        <v>28</v>
      </c>
    </row>
    <row r="219" spans="1:29" x14ac:dyDescent="0.25">
      <c r="A219" t="s">
        <v>1655</v>
      </c>
      <c r="B219" t="s">
        <v>1655</v>
      </c>
      <c r="C219" t="s">
        <v>1656</v>
      </c>
      <c r="D219" t="s">
        <v>1657</v>
      </c>
      <c r="E219" t="s">
        <v>770</v>
      </c>
      <c r="F219" t="s">
        <v>771</v>
      </c>
      <c r="G219" t="s">
        <v>772</v>
      </c>
      <c r="J219" t="s">
        <v>773</v>
      </c>
      <c r="K219" t="s">
        <v>839</v>
      </c>
      <c r="L219" t="s">
        <v>840</v>
      </c>
      <c r="M219" t="s">
        <v>26</v>
      </c>
      <c r="N219" t="s">
        <v>770</v>
      </c>
      <c r="O219">
        <v>1</v>
      </c>
      <c r="P219" t="s">
        <v>776</v>
      </c>
      <c r="Q219">
        <v>44.9</v>
      </c>
      <c r="S219">
        <v>1.33</v>
      </c>
      <c r="X219">
        <v>1.33</v>
      </c>
      <c r="Y219" t="s">
        <v>1658</v>
      </c>
      <c r="AA219">
        <v>2580</v>
      </c>
      <c r="AB219" t="s">
        <v>28</v>
      </c>
      <c r="AC219" t="s">
        <v>778</v>
      </c>
    </row>
    <row r="220" spans="1:29" x14ac:dyDescent="0.25">
      <c r="A220" t="s">
        <v>1659</v>
      </c>
      <c r="B220" t="s">
        <v>1659</v>
      </c>
      <c r="C220" t="s">
        <v>1660</v>
      </c>
      <c r="D220" t="s">
        <v>1661</v>
      </c>
      <c r="E220" t="s">
        <v>770</v>
      </c>
      <c r="F220" t="s">
        <v>771</v>
      </c>
      <c r="G220" t="s">
        <v>772</v>
      </c>
      <c r="J220" t="s">
        <v>783</v>
      </c>
      <c r="K220" t="s">
        <v>839</v>
      </c>
      <c r="L220" t="s">
        <v>840</v>
      </c>
      <c r="M220" t="s">
        <v>26</v>
      </c>
      <c r="N220" t="s">
        <v>770</v>
      </c>
      <c r="O220">
        <v>1</v>
      </c>
      <c r="P220" t="s">
        <v>776</v>
      </c>
      <c r="Q220">
        <v>44.9</v>
      </c>
      <c r="Y220" t="s">
        <v>1662</v>
      </c>
      <c r="AA220">
        <v>74650</v>
      </c>
      <c r="AB220" t="s">
        <v>28</v>
      </c>
    </row>
    <row r="221" spans="1:29" x14ac:dyDescent="0.25">
      <c r="A221" t="s">
        <v>1663</v>
      </c>
      <c r="B221" t="s">
        <v>1663</v>
      </c>
      <c r="C221" t="s">
        <v>1664</v>
      </c>
      <c r="D221" t="s">
        <v>1665</v>
      </c>
      <c r="E221" t="s">
        <v>770</v>
      </c>
      <c r="F221" t="s">
        <v>771</v>
      </c>
      <c r="G221" t="s">
        <v>772</v>
      </c>
      <c r="J221" t="s">
        <v>773</v>
      </c>
      <c r="K221" t="s">
        <v>839</v>
      </c>
      <c r="L221" t="s">
        <v>840</v>
      </c>
      <c r="M221" t="s">
        <v>26</v>
      </c>
      <c r="N221" t="s">
        <v>770</v>
      </c>
      <c r="O221">
        <v>1</v>
      </c>
      <c r="P221" t="s">
        <v>776</v>
      </c>
      <c r="Q221">
        <v>44.9</v>
      </c>
      <c r="Y221" t="s">
        <v>1666</v>
      </c>
      <c r="AA221">
        <v>59820</v>
      </c>
      <c r="AB221" t="s">
        <v>28</v>
      </c>
      <c r="AC221" t="s">
        <v>778</v>
      </c>
    </row>
    <row r="222" spans="1:29" x14ac:dyDescent="0.25">
      <c r="A222" t="s">
        <v>1667</v>
      </c>
      <c r="B222" t="s">
        <v>1667</v>
      </c>
      <c r="C222" t="s">
        <v>1668</v>
      </c>
      <c r="D222" t="s">
        <v>1669</v>
      </c>
      <c r="E222" t="s">
        <v>770</v>
      </c>
      <c r="F222" t="s">
        <v>771</v>
      </c>
      <c r="G222" t="s">
        <v>772</v>
      </c>
      <c r="J222" t="s">
        <v>783</v>
      </c>
      <c r="K222" t="s">
        <v>839</v>
      </c>
      <c r="L222" t="s">
        <v>840</v>
      </c>
      <c r="M222" t="s">
        <v>26</v>
      </c>
      <c r="N222" t="s">
        <v>770</v>
      </c>
      <c r="O222">
        <v>1</v>
      </c>
      <c r="P222" t="s">
        <v>776</v>
      </c>
      <c r="Q222">
        <v>44.9</v>
      </c>
      <c r="Y222" t="s">
        <v>841</v>
      </c>
      <c r="AA222">
        <v>75015</v>
      </c>
      <c r="AB222" t="s">
        <v>28</v>
      </c>
    </row>
    <row r="223" spans="1:29" x14ac:dyDescent="0.25">
      <c r="A223" t="s">
        <v>1670</v>
      </c>
      <c r="B223" t="s">
        <v>1670</v>
      </c>
      <c r="C223" t="s">
        <v>1671</v>
      </c>
      <c r="D223" t="s">
        <v>1672</v>
      </c>
      <c r="E223" t="s">
        <v>770</v>
      </c>
      <c r="F223" t="s">
        <v>771</v>
      </c>
      <c r="G223" t="s">
        <v>772</v>
      </c>
      <c r="J223" t="s">
        <v>783</v>
      </c>
      <c r="K223" t="s">
        <v>839</v>
      </c>
      <c r="L223" t="s">
        <v>840</v>
      </c>
      <c r="M223" t="s">
        <v>26</v>
      </c>
      <c r="N223" t="s">
        <v>770</v>
      </c>
      <c r="O223">
        <v>1</v>
      </c>
      <c r="P223" t="s">
        <v>776</v>
      </c>
      <c r="Q223">
        <v>44.9</v>
      </c>
      <c r="Y223" t="s">
        <v>1673</v>
      </c>
      <c r="AA223">
        <v>77810</v>
      </c>
      <c r="AB223" t="s">
        <v>28</v>
      </c>
    </row>
    <row r="224" spans="1:29" x14ac:dyDescent="0.25">
      <c r="A224" t="s">
        <v>1674</v>
      </c>
      <c r="B224" t="s">
        <v>1674</v>
      </c>
      <c r="C224" t="s">
        <v>1675</v>
      </c>
      <c r="D224" t="s">
        <v>1676</v>
      </c>
      <c r="E224" t="s">
        <v>770</v>
      </c>
      <c r="F224" t="s">
        <v>771</v>
      </c>
      <c r="G224" t="s">
        <v>772</v>
      </c>
      <c r="J224" t="s">
        <v>783</v>
      </c>
      <c r="K224" t="s">
        <v>839</v>
      </c>
      <c r="L224" t="s">
        <v>840</v>
      </c>
      <c r="M224" t="s">
        <v>26</v>
      </c>
      <c r="N224" t="s">
        <v>770</v>
      </c>
      <c r="O224">
        <v>1</v>
      </c>
      <c r="P224" t="s">
        <v>776</v>
      </c>
      <c r="Q224">
        <v>44.9</v>
      </c>
      <c r="Y224" t="s">
        <v>1677</v>
      </c>
      <c r="AA224">
        <v>40600</v>
      </c>
      <c r="AB224" t="s">
        <v>28</v>
      </c>
    </row>
    <row r="225" spans="1:29" x14ac:dyDescent="0.25">
      <c r="A225" t="s">
        <v>1678</v>
      </c>
      <c r="B225" t="s">
        <v>1678</v>
      </c>
      <c r="C225" t="s">
        <v>1679</v>
      </c>
      <c r="D225" t="s">
        <v>1680</v>
      </c>
      <c r="E225" t="s">
        <v>770</v>
      </c>
      <c r="F225" t="s">
        <v>771</v>
      </c>
      <c r="G225" t="s">
        <v>772</v>
      </c>
      <c r="J225" t="s">
        <v>783</v>
      </c>
      <c r="K225" t="s">
        <v>774</v>
      </c>
      <c r="L225" t="s">
        <v>775</v>
      </c>
      <c r="M225" t="s">
        <v>65</v>
      </c>
      <c r="N225" t="s">
        <v>770</v>
      </c>
      <c r="O225">
        <v>1</v>
      </c>
      <c r="P225" t="s">
        <v>776</v>
      </c>
      <c r="Q225">
        <v>39.9</v>
      </c>
      <c r="Y225" t="s">
        <v>1681</v>
      </c>
      <c r="AA225">
        <v>72160</v>
      </c>
      <c r="AB225" t="s">
        <v>28</v>
      </c>
    </row>
    <row r="226" spans="1:29" x14ac:dyDescent="0.25">
      <c r="A226" t="s">
        <v>1682</v>
      </c>
      <c r="B226" t="s">
        <v>1682</v>
      </c>
      <c r="C226" t="s">
        <v>1683</v>
      </c>
      <c r="D226" t="s">
        <v>1684</v>
      </c>
      <c r="E226" t="s">
        <v>770</v>
      </c>
      <c r="F226" t="s">
        <v>771</v>
      </c>
      <c r="G226" t="s">
        <v>772</v>
      </c>
      <c r="J226" t="s">
        <v>783</v>
      </c>
      <c r="K226" t="s">
        <v>839</v>
      </c>
      <c r="L226" t="s">
        <v>840</v>
      </c>
      <c r="M226" t="s">
        <v>26</v>
      </c>
      <c r="N226" t="s">
        <v>770</v>
      </c>
      <c r="O226">
        <v>1</v>
      </c>
      <c r="P226" t="s">
        <v>776</v>
      </c>
      <c r="Q226">
        <v>44.9</v>
      </c>
      <c r="Y226" t="s">
        <v>1685</v>
      </c>
      <c r="AA226">
        <v>1210</v>
      </c>
      <c r="AB226" t="s">
        <v>28</v>
      </c>
    </row>
    <row r="227" spans="1:29" x14ac:dyDescent="0.25">
      <c r="A227" t="s">
        <v>1686</v>
      </c>
      <c r="B227" t="s">
        <v>1686</v>
      </c>
      <c r="C227" t="s">
        <v>1687</v>
      </c>
      <c r="D227" t="s">
        <v>1688</v>
      </c>
      <c r="E227" t="s">
        <v>770</v>
      </c>
      <c r="F227" t="s">
        <v>771</v>
      </c>
      <c r="G227" t="s">
        <v>772</v>
      </c>
      <c r="J227" t="s">
        <v>773</v>
      </c>
      <c r="K227" t="s">
        <v>839</v>
      </c>
      <c r="L227" t="s">
        <v>840</v>
      </c>
      <c r="M227" t="s">
        <v>26</v>
      </c>
      <c r="N227" t="s">
        <v>770</v>
      </c>
      <c r="O227">
        <v>1</v>
      </c>
      <c r="P227" t="s">
        <v>776</v>
      </c>
      <c r="Q227">
        <v>44.9</v>
      </c>
      <c r="S227">
        <v>3.99</v>
      </c>
      <c r="X227">
        <v>3.99</v>
      </c>
      <c r="Y227" t="s">
        <v>1689</v>
      </c>
      <c r="AA227">
        <v>57100</v>
      </c>
      <c r="AB227" t="s">
        <v>28</v>
      </c>
      <c r="AC227" t="s">
        <v>778</v>
      </c>
    </row>
    <row r="228" spans="1:29" x14ac:dyDescent="0.25">
      <c r="A228" t="s">
        <v>1690</v>
      </c>
      <c r="B228" t="s">
        <v>1690</v>
      </c>
      <c r="C228" t="s">
        <v>1691</v>
      </c>
      <c r="D228" t="s">
        <v>1692</v>
      </c>
      <c r="E228" t="s">
        <v>770</v>
      </c>
      <c r="F228" t="s">
        <v>771</v>
      </c>
      <c r="G228" t="s">
        <v>772</v>
      </c>
      <c r="J228" t="s">
        <v>773</v>
      </c>
      <c r="K228" t="s">
        <v>839</v>
      </c>
      <c r="L228" t="s">
        <v>840</v>
      </c>
      <c r="M228" t="s">
        <v>26</v>
      </c>
      <c r="N228" t="s">
        <v>770</v>
      </c>
      <c r="O228">
        <v>1</v>
      </c>
      <c r="P228" t="s">
        <v>776</v>
      </c>
      <c r="Q228">
        <v>44.9</v>
      </c>
      <c r="S228">
        <v>2.99</v>
      </c>
      <c r="X228">
        <v>2.99</v>
      </c>
      <c r="Y228" t="s">
        <v>1693</v>
      </c>
      <c r="Z228" t="s">
        <v>1694</v>
      </c>
      <c r="AA228">
        <v>2625</v>
      </c>
      <c r="AB228" t="s">
        <v>1067</v>
      </c>
      <c r="AC228" t="s">
        <v>778</v>
      </c>
    </row>
    <row r="229" spans="1:29" x14ac:dyDescent="0.25">
      <c r="A229" t="s">
        <v>1695</v>
      </c>
      <c r="B229" t="s">
        <v>1695</v>
      </c>
      <c r="C229" t="s">
        <v>1696</v>
      </c>
      <c r="D229" t="s">
        <v>1697</v>
      </c>
      <c r="E229" t="s">
        <v>770</v>
      </c>
      <c r="F229" t="s">
        <v>771</v>
      </c>
      <c r="G229" t="s">
        <v>772</v>
      </c>
      <c r="J229" t="s">
        <v>773</v>
      </c>
      <c r="K229" t="s">
        <v>839</v>
      </c>
      <c r="L229" t="s">
        <v>840</v>
      </c>
      <c r="M229" t="s">
        <v>26</v>
      </c>
      <c r="N229" t="s">
        <v>770</v>
      </c>
      <c r="O229">
        <v>1</v>
      </c>
      <c r="P229" t="s">
        <v>776</v>
      </c>
      <c r="Q229">
        <v>44.9</v>
      </c>
      <c r="S229">
        <v>1</v>
      </c>
      <c r="X229">
        <v>1</v>
      </c>
      <c r="Y229" t="s">
        <v>1698</v>
      </c>
      <c r="AA229">
        <v>13600</v>
      </c>
      <c r="AB229" t="s">
        <v>28</v>
      </c>
      <c r="AC229" t="s">
        <v>778</v>
      </c>
    </row>
    <row r="230" spans="1:29" x14ac:dyDescent="0.25">
      <c r="A230" t="s">
        <v>1699</v>
      </c>
      <c r="B230" t="s">
        <v>1699</v>
      </c>
      <c r="C230" t="s">
        <v>1700</v>
      </c>
      <c r="D230" t="s">
        <v>1701</v>
      </c>
      <c r="E230" t="s">
        <v>770</v>
      </c>
      <c r="F230" t="s">
        <v>771</v>
      </c>
      <c r="G230" t="s">
        <v>772</v>
      </c>
      <c r="J230" t="s">
        <v>773</v>
      </c>
      <c r="K230" t="s">
        <v>839</v>
      </c>
      <c r="L230" t="s">
        <v>840</v>
      </c>
      <c r="M230" t="s">
        <v>26</v>
      </c>
      <c r="N230" t="s">
        <v>770</v>
      </c>
      <c r="O230">
        <v>1</v>
      </c>
      <c r="P230" t="s">
        <v>776</v>
      </c>
      <c r="Q230">
        <v>44.9</v>
      </c>
      <c r="S230">
        <v>3.99</v>
      </c>
      <c r="X230">
        <v>3.99</v>
      </c>
      <c r="Y230" t="s">
        <v>1702</v>
      </c>
      <c r="AA230">
        <v>34800</v>
      </c>
      <c r="AB230" t="s">
        <v>28</v>
      </c>
      <c r="AC230" t="s">
        <v>778</v>
      </c>
    </row>
    <row r="231" spans="1:29" x14ac:dyDescent="0.25">
      <c r="A231" t="s">
        <v>1703</v>
      </c>
      <c r="B231" t="s">
        <v>1703</v>
      </c>
      <c r="C231" t="s">
        <v>1704</v>
      </c>
      <c r="D231" t="s">
        <v>1705</v>
      </c>
      <c r="E231" t="s">
        <v>770</v>
      </c>
      <c r="F231" t="s">
        <v>771</v>
      </c>
      <c r="G231" t="s">
        <v>772</v>
      </c>
      <c r="J231" t="s">
        <v>773</v>
      </c>
      <c r="K231" t="s">
        <v>1079</v>
      </c>
      <c r="L231" t="s">
        <v>1080</v>
      </c>
      <c r="M231" t="s">
        <v>186</v>
      </c>
      <c r="N231" t="s">
        <v>770</v>
      </c>
      <c r="O231">
        <v>1</v>
      </c>
      <c r="P231" t="s">
        <v>776</v>
      </c>
      <c r="Q231">
        <v>49.9</v>
      </c>
      <c r="Y231" t="s">
        <v>1706</v>
      </c>
      <c r="AA231">
        <v>69100</v>
      </c>
      <c r="AB231" t="s">
        <v>28</v>
      </c>
      <c r="AC231" t="s">
        <v>778</v>
      </c>
    </row>
    <row r="232" spans="1:29" x14ac:dyDescent="0.25">
      <c r="A232" t="s">
        <v>1707</v>
      </c>
      <c r="B232" t="s">
        <v>1707</v>
      </c>
      <c r="C232" t="s">
        <v>1708</v>
      </c>
      <c r="D232" t="s">
        <v>1709</v>
      </c>
      <c r="E232" t="s">
        <v>770</v>
      </c>
      <c r="F232" t="s">
        <v>771</v>
      </c>
      <c r="G232" t="s">
        <v>772</v>
      </c>
      <c r="J232" t="s">
        <v>773</v>
      </c>
      <c r="K232" t="s">
        <v>839</v>
      </c>
      <c r="L232" t="s">
        <v>840</v>
      </c>
      <c r="M232" t="s">
        <v>26</v>
      </c>
      <c r="N232" t="s">
        <v>770</v>
      </c>
      <c r="O232">
        <v>1</v>
      </c>
      <c r="P232" t="s">
        <v>776</v>
      </c>
      <c r="Q232">
        <v>44.9</v>
      </c>
      <c r="S232">
        <v>2</v>
      </c>
      <c r="X232">
        <v>2</v>
      </c>
      <c r="Y232" t="s">
        <v>962</v>
      </c>
      <c r="Z232" t="s">
        <v>1710</v>
      </c>
      <c r="AA232">
        <v>69008</v>
      </c>
      <c r="AB232" t="s">
        <v>28</v>
      </c>
      <c r="AC232" t="s">
        <v>778</v>
      </c>
    </row>
    <row r="233" spans="1:29" x14ac:dyDescent="0.25">
      <c r="A233" t="s">
        <v>1711</v>
      </c>
      <c r="B233" t="s">
        <v>1711</v>
      </c>
      <c r="C233" t="s">
        <v>1712</v>
      </c>
      <c r="D233" t="s">
        <v>1713</v>
      </c>
      <c r="E233" t="s">
        <v>770</v>
      </c>
      <c r="F233" t="s">
        <v>771</v>
      </c>
      <c r="G233" t="s">
        <v>772</v>
      </c>
      <c r="J233" t="s">
        <v>773</v>
      </c>
      <c r="K233" t="s">
        <v>774</v>
      </c>
      <c r="L233" t="s">
        <v>775</v>
      </c>
      <c r="M233" t="s">
        <v>65</v>
      </c>
      <c r="N233" t="s">
        <v>770</v>
      </c>
      <c r="O233">
        <v>1</v>
      </c>
      <c r="P233" t="s">
        <v>776</v>
      </c>
      <c r="Q233">
        <v>39.9</v>
      </c>
      <c r="S233">
        <v>3.5</v>
      </c>
      <c r="X233">
        <v>3.5</v>
      </c>
      <c r="Y233" t="s">
        <v>1714</v>
      </c>
      <c r="Z233" t="s">
        <v>1715</v>
      </c>
      <c r="AA233">
        <v>1263</v>
      </c>
      <c r="AB233" t="s">
        <v>1716</v>
      </c>
    </row>
    <row r="234" spans="1:29" x14ac:dyDescent="0.25">
      <c r="A234" t="s">
        <v>1717</v>
      </c>
      <c r="B234" t="s">
        <v>1717</v>
      </c>
      <c r="C234" t="s">
        <v>1718</v>
      </c>
      <c r="D234" t="s">
        <v>1719</v>
      </c>
      <c r="E234" t="s">
        <v>770</v>
      </c>
      <c r="F234" t="s">
        <v>771</v>
      </c>
      <c r="G234" t="s">
        <v>772</v>
      </c>
      <c r="J234" t="s">
        <v>783</v>
      </c>
      <c r="K234" t="s">
        <v>1079</v>
      </c>
      <c r="L234" t="s">
        <v>1080</v>
      </c>
      <c r="M234" t="s">
        <v>186</v>
      </c>
      <c r="N234" t="s">
        <v>770</v>
      </c>
      <c r="O234">
        <v>1</v>
      </c>
      <c r="P234" t="s">
        <v>776</v>
      </c>
      <c r="Q234">
        <v>49.9</v>
      </c>
      <c r="Y234" t="s">
        <v>1720</v>
      </c>
      <c r="AA234">
        <v>61400</v>
      </c>
      <c r="AB234" t="s">
        <v>28</v>
      </c>
    </row>
    <row r="235" spans="1:29" x14ac:dyDescent="0.25">
      <c r="A235" t="s">
        <v>1721</v>
      </c>
      <c r="B235" t="s">
        <v>1721</v>
      </c>
      <c r="C235" t="s">
        <v>1722</v>
      </c>
      <c r="D235" t="s">
        <v>1723</v>
      </c>
      <c r="E235" t="s">
        <v>770</v>
      </c>
      <c r="F235" t="s">
        <v>771</v>
      </c>
      <c r="G235" t="s">
        <v>772</v>
      </c>
      <c r="J235" t="s">
        <v>783</v>
      </c>
      <c r="K235" t="s">
        <v>774</v>
      </c>
      <c r="L235" t="s">
        <v>775</v>
      </c>
      <c r="M235" t="s">
        <v>65</v>
      </c>
      <c r="N235" t="s">
        <v>770</v>
      </c>
      <c r="O235">
        <v>1</v>
      </c>
      <c r="P235" t="s">
        <v>776</v>
      </c>
      <c r="Q235">
        <v>39.9</v>
      </c>
      <c r="Y235" t="s">
        <v>1724</v>
      </c>
      <c r="AA235">
        <v>37130</v>
      </c>
      <c r="AB235" t="s">
        <v>28</v>
      </c>
    </row>
    <row r="236" spans="1:29" x14ac:dyDescent="0.25">
      <c r="A236" t="s">
        <v>1725</v>
      </c>
      <c r="B236" t="s">
        <v>1725</v>
      </c>
      <c r="C236" t="s">
        <v>1726</v>
      </c>
      <c r="D236" t="s">
        <v>1727</v>
      </c>
      <c r="E236" t="s">
        <v>770</v>
      </c>
      <c r="F236" t="s">
        <v>771</v>
      </c>
      <c r="G236" t="s">
        <v>772</v>
      </c>
      <c r="J236" t="s">
        <v>783</v>
      </c>
      <c r="K236" t="s">
        <v>774</v>
      </c>
      <c r="L236" t="s">
        <v>775</v>
      </c>
      <c r="M236" t="s">
        <v>65</v>
      </c>
      <c r="N236" t="s">
        <v>770</v>
      </c>
      <c r="O236">
        <v>1</v>
      </c>
      <c r="P236" t="s">
        <v>776</v>
      </c>
      <c r="Q236">
        <v>39.9</v>
      </c>
      <c r="Y236" t="s">
        <v>1728</v>
      </c>
      <c r="AA236">
        <v>82170</v>
      </c>
      <c r="AB236" t="s">
        <v>28</v>
      </c>
    </row>
    <row r="237" spans="1:29" x14ac:dyDescent="0.25">
      <c r="A237" t="s">
        <v>1729</v>
      </c>
      <c r="B237" t="s">
        <v>1729</v>
      </c>
      <c r="C237" t="s">
        <v>1730</v>
      </c>
      <c r="D237" t="s">
        <v>1731</v>
      </c>
      <c r="E237" t="s">
        <v>770</v>
      </c>
      <c r="F237" t="s">
        <v>771</v>
      </c>
      <c r="G237" t="s">
        <v>772</v>
      </c>
      <c r="J237" t="s">
        <v>783</v>
      </c>
      <c r="K237" t="s">
        <v>839</v>
      </c>
      <c r="L237" t="s">
        <v>840</v>
      </c>
      <c r="M237" t="s">
        <v>26</v>
      </c>
      <c r="N237" t="s">
        <v>770</v>
      </c>
      <c r="O237">
        <v>1</v>
      </c>
      <c r="P237" t="s">
        <v>776</v>
      </c>
      <c r="Q237">
        <v>44.9</v>
      </c>
      <c r="Y237" t="s">
        <v>1732</v>
      </c>
      <c r="AA237">
        <v>67300</v>
      </c>
      <c r="AB237" t="s">
        <v>28</v>
      </c>
    </row>
    <row r="238" spans="1:29" x14ac:dyDescent="0.25">
      <c r="A238" t="s">
        <v>1733</v>
      </c>
      <c r="B238" t="s">
        <v>1733</v>
      </c>
      <c r="C238" t="s">
        <v>1734</v>
      </c>
      <c r="D238" t="s">
        <v>1735</v>
      </c>
      <c r="E238" t="s">
        <v>770</v>
      </c>
      <c r="F238" t="s">
        <v>771</v>
      </c>
      <c r="G238" t="s">
        <v>772</v>
      </c>
      <c r="J238" t="s">
        <v>783</v>
      </c>
      <c r="K238" t="s">
        <v>774</v>
      </c>
      <c r="L238" t="s">
        <v>775</v>
      </c>
      <c r="M238" t="s">
        <v>65</v>
      </c>
      <c r="N238" t="s">
        <v>770</v>
      </c>
      <c r="O238">
        <v>1</v>
      </c>
      <c r="P238" t="s">
        <v>776</v>
      </c>
      <c r="Q238">
        <v>39.9</v>
      </c>
      <c r="Y238" t="s">
        <v>1736</v>
      </c>
      <c r="AA238">
        <v>83400</v>
      </c>
      <c r="AB238" t="s">
        <v>28</v>
      </c>
    </row>
    <row r="239" spans="1:29" x14ac:dyDescent="0.25">
      <c r="A239" t="s">
        <v>1737</v>
      </c>
      <c r="B239" t="s">
        <v>1737</v>
      </c>
      <c r="C239" t="s">
        <v>1738</v>
      </c>
      <c r="D239" t="s">
        <v>1739</v>
      </c>
      <c r="E239" t="s">
        <v>782</v>
      </c>
      <c r="F239" t="s">
        <v>771</v>
      </c>
      <c r="G239" t="s">
        <v>772</v>
      </c>
      <c r="J239" t="s">
        <v>783</v>
      </c>
      <c r="K239" t="s">
        <v>774</v>
      </c>
      <c r="L239" t="s">
        <v>775</v>
      </c>
      <c r="M239" t="s">
        <v>65</v>
      </c>
      <c r="N239" t="s">
        <v>782</v>
      </c>
      <c r="O239">
        <v>0</v>
      </c>
      <c r="Y239" t="s">
        <v>1736</v>
      </c>
      <c r="AA239">
        <v>83400</v>
      </c>
      <c r="AB239" t="s">
        <v>28</v>
      </c>
    </row>
    <row r="240" spans="1:29" x14ac:dyDescent="0.25">
      <c r="A240" t="s">
        <v>1740</v>
      </c>
      <c r="B240" t="s">
        <v>1740</v>
      </c>
      <c r="C240" t="s">
        <v>1741</v>
      </c>
      <c r="D240" t="s">
        <v>1742</v>
      </c>
      <c r="E240" t="s">
        <v>770</v>
      </c>
      <c r="F240" t="s">
        <v>771</v>
      </c>
      <c r="G240" t="s">
        <v>772</v>
      </c>
      <c r="J240" t="s">
        <v>783</v>
      </c>
      <c r="K240" t="s">
        <v>839</v>
      </c>
      <c r="L240" t="s">
        <v>840</v>
      </c>
      <c r="M240" t="s">
        <v>26</v>
      </c>
      <c r="N240" t="s">
        <v>770</v>
      </c>
      <c r="O240">
        <v>1</v>
      </c>
      <c r="P240" t="s">
        <v>776</v>
      </c>
      <c r="Q240">
        <v>44.9</v>
      </c>
      <c r="Y240" t="s">
        <v>962</v>
      </c>
      <c r="AA240">
        <v>69006</v>
      </c>
      <c r="AB240" t="s">
        <v>28</v>
      </c>
    </row>
    <row r="241" spans="1:35" x14ac:dyDescent="0.25">
      <c r="A241" t="s">
        <v>1743</v>
      </c>
      <c r="B241" t="s">
        <v>1743</v>
      </c>
      <c r="C241" t="s">
        <v>1744</v>
      </c>
      <c r="D241" t="s">
        <v>1745</v>
      </c>
      <c r="E241" t="s">
        <v>770</v>
      </c>
      <c r="F241" t="s">
        <v>771</v>
      </c>
      <c r="G241" t="s">
        <v>772</v>
      </c>
      <c r="J241" t="s">
        <v>783</v>
      </c>
      <c r="K241" t="s">
        <v>774</v>
      </c>
      <c r="L241" t="s">
        <v>775</v>
      </c>
      <c r="M241" t="s">
        <v>65</v>
      </c>
      <c r="N241" t="s">
        <v>770</v>
      </c>
      <c r="O241">
        <v>1</v>
      </c>
      <c r="P241" t="s">
        <v>776</v>
      </c>
      <c r="Q241">
        <v>39.9</v>
      </c>
      <c r="Y241" t="s">
        <v>1746</v>
      </c>
      <c r="AA241">
        <v>30390</v>
      </c>
      <c r="AB241" t="s">
        <v>28</v>
      </c>
    </row>
    <row r="242" spans="1:35" x14ac:dyDescent="0.25">
      <c r="A242" t="s">
        <v>1747</v>
      </c>
      <c r="B242" t="s">
        <v>1747</v>
      </c>
      <c r="C242" t="s">
        <v>1748</v>
      </c>
      <c r="D242" t="s">
        <v>1749</v>
      </c>
      <c r="E242" t="s">
        <v>770</v>
      </c>
      <c r="F242" t="s">
        <v>771</v>
      </c>
      <c r="G242" t="s">
        <v>772</v>
      </c>
      <c r="J242" t="s">
        <v>783</v>
      </c>
      <c r="K242" t="s">
        <v>839</v>
      </c>
      <c r="L242" t="s">
        <v>840</v>
      </c>
      <c r="M242" t="s">
        <v>26</v>
      </c>
      <c r="N242" t="s">
        <v>770</v>
      </c>
      <c r="O242">
        <v>1</v>
      </c>
      <c r="P242" t="s">
        <v>776</v>
      </c>
      <c r="Q242">
        <v>44.9</v>
      </c>
      <c r="Y242" t="s">
        <v>1750</v>
      </c>
      <c r="AA242">
        <v>38870</v>
      </c>
      <c r="AB242" t="s">
        <v>28</v>
      </c>
    </row>
    <row r="243" spans="1:35" x14ac:dyDescent="0.25">
      <c r="A243" t="s">
        <v>1751</v>
      </c>
      <c r="B243" t="s">
        <v>1751</v>
      </c>
      <c r="C243" t="s">
        <v>1752</v>
      </c>
      <c r="D243" t="s">
        <v>1753</v>
      </c>
      <c r="E243" t="s">
        <v>770</v>
      </c>
      <c r="F243" t="s">
        <v>771</v>
      </c>
      <c r="G243" t="s">
        <v>772</v>
      </c>
      <c r="J243" t="s">
        <v>783</v>
      </c>
      <c r="K243" t="s">
        <v>774</v>
      </c>
      <c r="L243" t="s">
        <v>775</v>
      </c>
      <c r="M243" t="s">
        <v>65</v>
      </c>
      <c r="N243" t="s">
        <v>770</v>
      </c>
      <c r="O243">
        <v>1</v>
      </c>
      <c r="P243" t="s">
        <v>776</v>
      </c>
      <c r="Q243">
        <v>39.9</v>
      </c>
      <c r="Y243" t="s">
        <v>1754</v>
      </c>
      <c r="AA243">
        <v>49430</v>
      </c>
      <c r="AB243" t="s">
        <v>28</v>
      </c>
    </row>
    <row r="244" spans="1:35" x14ac:dyDescent="0.25">
      <c r="A244" t="s">
        <v>1755</v>
      </c>
      <c r="B244" t="s">
        <v>1755</v>
      </c>
      <c r="C244" t="s">
        <v>1756</v>
      </c>
      <c r="D244" t="s">
        <v>1757</v>
      </c>
      <c r="E244" t="s">
        <v>770</v>
      </c>
      <c r="F244" t="s">
        <v>771</v>
      </c>
      <c r="G244" t="s">
        <v>772</v>
      </c>
      <c r="J244" t="s">
        <v>783</v>
      </c>
      <c r="K244" t="s">
        <v>839</v>
      </c>
      <c r="L244" t="s">
        <v>840</v>
      </c>
      <c r="M244" t="s">
        <v>26</v>
      </c>
      <c r="N244" t="s">
        <v>770</v>
      </c>
      <c r="O244">
        <v>1</v>
      </c>
      <c r="P244" t="s">
        <v>776</v>
      </c>
      <c r="Q244">
        <v>44.9</v>
      </c>
      <c r="Y244" t="s">
        <v>1758</v>
      </c>
      <c r="AA244">
        <v>79370</v>
      </c>
      <c r="AB244" t="s">
        <v>28</v>
      </c>
    </row>
    <row r="245" spans="1:35" x14ac:dyDescent="0.25">
      <c r="A245" t="s">
        <v>1759</v>
      </c>
      <c r="B245" t="s">
        <v>1759</v>
      </c>
      <c r="C245" t="s">
        <v>1760</v>
      </c>
      <c r="D245" t="s">
        <v>1761</v>
      </c>
      <c r="E245" t="s">
        <v>770</v>
      </c>
      <c r="F245" t="s">
        <v>771</v>
      </c>
      <c r="G245" t="s">
        <v>772</v>
      </c>
      <c r="J245" t="s">
        <v>773</v>
      </c>
      <c r="K245" t="s">
        <v>774</v>
      </c>
      <c r="L245" t="s">
        <v>775</v>
      </c>
      <c r="M245" t="s">
        <v>65</v>
      </c>
      <c r="N245" t="s">
        <v>770</v>
      </c>
      <c r="O245">
        <v>1</v>
      </c>
      <c r="P245" t="s">
        <v>776</v>
      </c>
      <c r="Q245">
        <v>39.9</v>
      </c>
      <c r="S245">
        <v>3.99</v>
      </c>
      <c r="X245">
        <v>3.99</v>
      </c>
      <c r="Y245" t="s">
        <v>1762</v>
      </c>
      <c r="AA245">
        <v>64990</v>
      </c>
      <c r="AB245" t="s">
        <v>28</v>
      </c>
      <c r="AC245" t="s">
        <v>778</v>
      </c>
    </row>
    <row r="246" spans="1:35" x14ac:dyDescent="0.25">
      <c r="A246" t="s">
        <v>1763</v>
      </c>
      <c r="B246" t="s">
        <v>1763</v>
      </c>
      <c r="C246" t="s">
        <v>1764</v>
      </c>
      <c r="D246" t="s">
        <v>1765</v>
      </c>
      <c r="E246" t="s">
        <v>770</v>
      </c>
      <c r="F246" t="s">
        <v>771</v>
      </c>
      <c r="G246" t="s">
        <v>772</v>
      </c>
      <c r="J246" t="s">
        <v>773</v>
      </c>
      <c r="K246" t="s">
        <v>839</v>
      </c>
      <c r="L246" t="s">
        <v>840</v>
      </c>
      <c r="M246" t="s">
        <v>26</v>
      </c>
      <c r="N246" t="s">
        <v>770</v>
      </c>
      <c r="O246">
        <v>1</v>
      </c>
      <c r="P246" t="s">
        <v>776</v>
      </c>
      <c r="Q246">
        <v>44.9</v>
      </c>
      <c r="S246">
        <v>2</v>
      </c>
      <c r="X246">
        <v>2</v>
      </c>
      <c r="Y246" t="s">
        <v>1766</v>
      </c>
      <c r="AA246">
        <v>13340</v>
      </c>
      <c r="AB246" t="s">
        <v>28</v>
      </c>
      <c r="AC246" t="s">
        <v>778</v>
      </c>
    </row>
    <row r="247" spans="1:35" x14ac:dyDescent="0.25">
      <c r="A247" t="s">
        <v>1767</v>
      </c>
      <c r="B247" t="s">
        <v>1767</v>
      </c>
      <c r="C247" t="s">
        <v>1768</v>
      </c>
      <c r="D247" t="s">
        <v>1769</v>
      </c>
      <c r="E247" t="s">
        <v>770</v>
      </c>
      <c r="F247" t="s">
        <v>771</v>
      </c>
      <c r="G247" t="s">
        <v>772</v>
      </c>
      <c r="J247" t="s">
        <v>773</v>
      </c>
      <c r="K247" t="s">
        <v>1488</v>
      </c>
      <c r="L247" t="s">
        <v>1489</v>
      </c>
      <c r="M247" t="s">
        <v>75</v>
      </c>
      <c r="N247" t="s">
        <v>770</v>
      </c>
      <c r="O247">
        <v>1</v>
      </c>
      <c r="P247" t="s">
        <v>776</v>
      </c>
      <c r="Q247">
        <v>59.9</v>
      </c>
      <c r="S247">
        <v>3.99</v>
      </c>
      <c r="X247">
        <v>3.99</v>
      </c>
      <c r="Y247" t="s">
        <v>1770</v>
      </c>
      <c r="AA247">
        <v>91600</v>
      </c>
      <c r="AB247" t="s">
        <v>28</v>
      </c>
      <c r="AC247" t="s">
        <v>778</v>
      </c>
    </row>
    <row r="248" spans="1:35" x14ac:dyDescent="0.25">
      <c r="A248" t="s">
        <v>1771</v>
      </c>
      <c r="B248" t="s">
        <v>1771</v>
      </c>
      <c r="C248" t="s">
        <v>1772</v>
      </c>
      <c r="D248" t="s">
        <v>1773</v>
      </c>
      <c r="E248" t="s">
        <v>782</v>
      </c>
      <c r="F248" t="s">
        <v>771</v>
      </c>
      <c r="G248" t="s">
        <v>772</v>
      </c>
      <c r="J248" t="s">
        <v>783</v>
      </c>
      <c r="K248" t="s">
        <v>839</v>
      </c>
      <c r="L248" t="s">
        <v>840</v>
      </c>
      <c r="M248" t="s">
        <v>26</v>
      </c>
      <c r="N248" t="s">
        <v>782</v>
      </c>
      <c r="O248">
        <v>0</v>
      </c>
      <c r="Y248" t="s">
        <v>1774</v>
      </c>
      <c r="AA248">
        <v>63100</v>
      </c>
      <c r="AB248" t="s">
        <v>28</v>
      </c>
    </row>
    <row r="249" spans="1:35" x14ac:dyDescent="0.25">
      <c r="A249" t="s">
        <v>1775</v>
      </c>
      <c r="B249" t="s">
        <v>1775</v>
      </c>
      <c r="C249" t="s">
        <v>1776</v>
      </c>
      <c r="D249" t="s">
        <v>1777</v>
      </c>
      <c r="E249" t="s">
        <v>770</v>
      </c>
      <c r="F249" t="s">
        <v>771</v>
      </c>
      <c r="G249" t="s">
        <v>1778</v>
      </c>
      <c r="J249" t="s">
        <v>783</v>
      </c>
      <c r="K249" t="s">
        <v>1779</v>
      </c>
      <c r="L249" t="s">
        <v>1505</v>
      </c>
      <c r="M249" t="s">
        <v>53</v>
      </c>
      <c r="N249" t="s">
        <v>770</v>
      </c>
      <c r="O249">
        <v>1</v>
      </c>
      <c r="P249" t="s">
        <v>776</v>
      </c>
      <c r="Q249">
        <v>44.9</v>
      </c>
      <c r="Y249" t="s">
        <v>1780</v>
      </c>
      <c r="Z249" t="s">
        <v>1781</v>
      </c>
      <c r="AA249">
        <v>12550</v>
      </c>
      <c r="AB249" t="s">
        <v>25</v>
      </c>
    </row>
    <row r="250" spans="1:35" x14ac:dyDescent="0.25">
      <c r="A250" t="s">
        <v>1782</v>
      </c>
      <c r="B250" t="s">
        <v>1782</v>
      </c>
      <c r="C250" t="s">
        <v>1783</v>
      </c>
      <c r="D250" t="s">
        <v>1784</v>
      </c>
      <c r="E250" t="s">
        <v>770</v>
      </c>
      <c r="F250" t="s">
        <v>771</v>
      </c>
      <c r="G250" t="s">
        <v>1778</v>
      </c>
      <c r="J250" t="s">
        <v>783</v>
      </c>
      <c r="K250" t="s">
        <v>1785</v>
      </c>
      <c r="L250" t="s">
        <v>840</v>
      </c>
      <c r="M250" t="s">
        <v>26</v>
      </c>
      <c r="N250" t="s">
        <v>770</v>
      </c>
      <c r="O250">
        <v>1</v>
      </c>
      <c r="P250" t="s">
        <v>776</v>
      </c>
      <c r="Q250">
        <v>44.9</v>
      </c>
      <c r="Y250" t="s">
        <v>1786</v>
      </c>
      <c r="Z250" t="s">
        <v>1787</v>
      </c>
      <c r="AA250">
        <v>3690</v>
      </c>
      <c r="AB250" t="s">
        <v>25</v>
      </c>
    </row>
    <row r="251" spans="1:35" x14ac:dyDescent="0.25">
      <c r="A251" t="s">
        <v>1788</v>
      </c>
      <c r="B251" t="s">
        <v>1788</v>
      </c>
      <c r="C251" t="s">
        <v>1789</v>
      </c>
      <c r="D251" t="s">
        <v>1790</v>
      </c>
      <c r="E251" t="s">
        <v>770</v>
      </c>
      <c r="F251" t="s">
        <v>771</v>
      </c>
      <c r="G251" t="s">
        <v>1778</v>
      </c>
      <c r="J251" t="s">
        <v>783</v>
      </c>
      <c r="K251" t="s">
        <v>1791</v>
      </c>
      <c r="L251" t="s">
        <v>1792</v>
      </c>
      <c r="M251" t="s">
        <v>88</v>
      </c>
      <c r="N251" t="s">
        <v>770</v>
      </c>
      <c r="O251">
        <v>1</v>
      </c>
      <c r="P251" t="s">
        <v>776</v>
      </c>
      <c r="Q251">
        <v>64.900000000000006</v>
      </c>
      <c r="Y251" t="s">
        <v>881</v>
      </c>
      <c r="Z251" t="s">
        <v>1793</v>
      </c>
      <c r="AA251">
        <v>8759</v>
      </c>
      <c r="AB251" t="s">
        <v>25</v>
      </c>
      <c r="AG251" t="s">
        <v>1794</v>
      </c>
      <c r="AH251" t="s">
        <v>25</v>
      </c>
      <c r="AI251" t="s">
        <v>1795</v>
      </c>
    </row>
    <row r="252" spans="1:35" x14ac:dyDescent="0.25">
      <c r="A252" t="s">
        <v>1796</v>
      </c>
      <c r="B252" t="s">
        <v>1796</v>
      </c>
      <c r="C252" t="s">
        <v>1797</v>
      </c>
      <c r="D252" t="s">
        <v>1798</v>
      </c>
      <c r="E252" t="s">
        <v>770</v>
      </c>
      <c r="F252" t="s">
        <v>771</v>
      </c>
      <c r="G252" t="s">
        <v>1778</v>
      </c>
      <c r="J252" t="s">
        <v>783</v>
      </c>
      <c r="K252" t="s">
        <v>1799</v>
      </c>
      <c r="L252" t="s">
        <v>1800</v>
      </c>
      <c r="M252" t="s">
        <v>14</v>
      </c>
      <c r="N252" t="s">
        <v>770</v>
      </c>
      <c r="O252">
        <v>1</v>
      </c>
      <c r="P252" t="s">
        <v>776</v>
      </c>
      <c r="Q252">
        <v>24.9</v>
      </c>
      <c r="S252">
        <v>1.99</v>
      </c>
      <c r="Y252" t="s">
        <v>1801</v>
      </c>
      <c r="Z252" t="s">
        <v>1802</v>
      </c>
      <c r="AA252">
        <v>5003</v>
      </c>
      <c r="AB252" t="s">
        <v>25</v>
      </c>
    </row>
    <row r="253" spans="1:35" x14ac:dyDescent="0.25">
      <c r="A253" t="s">
        <v>1803</v>
      </c>
      <c r="B253" t="s">
        <v>1803</v>
      </c>
      <c r="C253" t="s">
        <v>1804</v>
      </c>
      <c r="D253" t="s">
        <v>1805</v>
      </c>
      <c r="E253" t="s">
        <v>770</v>
      </c>
      <c r="F253" t="s">
        <v>771</v>
      </c>
      <c r="G253" t="s">
        <v>1778</v>
      </c>
      <c r="J253" t="s">
        <v>783</v>
      </c>
      <c r="K253" t="s">
        <v>1791</v>
      </c>
      <c r="L253" t="s">
        <v>1792</v>
      </c>
      <c r="M253" t="s">
        <v>88</v>
      </c>
      <c r="N253" t="s">
        <v>770</v>
      </c>
      <c r="O253">
        <v>1</v>
      </c>
      <c r="P253" t="s">
        <v>776</v>
      </c>
      <c r="Q253">
        <v>64.900000000000006</v>
      </c>
      <c r="Y253" t="s">
        <v>1806</v>
      </c>
      <c r="Z253" t="s">
        <v>1807</v>
      </c>
      <c r="AA253">
        <v>28850</v>
      </c>
      <c r="AB253" t="s">
        <v>25</v>
      </c>
    </row>
    <row r="254" spans="1:35" x14ac:dyDescent="0.25">
      <c r="A254" t="s">
        <v>1808</v>
      </c>
      <c r="B254" t="s">
        <v>1808</v>
      </c>
      <c r="C254" t="s">
        <v>1809</v>
      </c>
      <c r="D254" t="s">
        <v>1810</v>
      </c>
      <c r="E254" t="s">
        <v>770</v>
      </c>
      <c r="F254" t="s">
        <v>771</v>
      </c>
      <c r="G254" t="s">
        <v>1778</v>
      </c>
      <c r="J254" t="s">
        <v>783</v>
      </c>
      <c r="K254" t="s">
        <v>1811</v>
      </c>
      <c r="L254" t="s">
        <v>775</v>
      </c>
      <c r="M254" t="s">
        <v>65</v>
      </c>
      <c r="N254" t="s">
        <v>770</v>
      </c>
      <c r="O254">
        <v>1</v>
      </c>
      <c r="P254" t="s">
        <v>776</v>
      </c>
      <c r="Q254">
        <v>39.9</v>
      </c>
      <c r="Y254" t="s">
        <v>1812</v>
      </c>
      <c r="Z254" t="s">
        <v>1813</v>
      </c>
      <c r="AA254">
        <v>15200</v>
      </c>
      <c r="AB254" t="s">
        <v>25</v>
      </c>
    </row>
    <row r="255" spans="1:35" x14ac:dyDescent="0.25">
      <c r="A255" t="s">
        <v>1814</v>
      </c>
      <c r="B255" t="s">
        <v>1814</v>
      </c>
      <c r="C255" t="s">
        <v>1815</v>
      </c>
      <c r="D255" t="s">
        <v>1816</v>
      </c>
      <c r="E255" t="s">
        <v>770</v>
      </c>
      <c r="F255" t="s">
        <v>771</v>
      </c>
      <c r="G255" t="s">
        <v>1778</v>
      </c>
      <c r="J255" t="s">
        <v>783</v>
      </c>
      <c r="K255" t="s">
        <v>1817</v>
      </c>
      <c r="L255" t="s">
        <v>1047</v>
      </c>
      <c r="M255" t="s">
        <v>21</v>
      </c>
      <c r="N255" t="s">
        <v>770</v>
      </c>
      <c r="O255">
        <v>1</v>
      </c>
      <c r="P255" t="s">
        <v>776</v>
      </c>
      <c r="Q255">
        <v>32.700000000000003</v>
      </c>
      <c r="S255">
        <v>3.99</v>
      </c>
      <c r="X255">
        <v>3.99</v>
      </c>
      <c r="Y255" t="s">
        <v>1818</v>
      </c>
      <c r="Z255" t="s">
        <v>1819</v>
      </c>
      <c r="AA255">
        <v>7009</v>
      </c>
      <c r="AB255" t="s">
        <v>25</v>
      </c>
      <c r="AG255" t="s">
        <v>1820</v>
      </c>
      <c r="AH255" t="s">
        <v>25</v>
      </c>
      <c r="AI255" t="s">
        <v>1258</v>
      </c>
    </row>
    <row r="256" spans="1:35" x14ac:dyDescent="0.25">
      <c r="A256" t="s">
        <v>1821</v>
      </c>
      <c r="B256" t="s">
        <v>1821</v>
      </c>
      <c r="C256" t="s">
        <v>1822</v>
      </c>
      <c r="D256" t="s">
        <v>1823</v>
      </c>
      <c r="E256" t="s">
        <v>770</v>
      </c>
      <c r="F256" t="s">
        <v>771</v>
      </c>
      <c r="G256" t="s">
        <v>1778</v>
      </c>
      <c r="J256" t="s">
        <v>783</v>
      </c>
      <c r="K256" t="s">
        <v>1824</v>
      </c>
      <c r="L256" t="s">
        <v>1094</v>
      </c>
      <c r="M256" t="s">
        <v>208</v>
      </c>
      <c r="N256" t="s">
        <v>770</v>
      </c>
      <c r="O256">
        <v>1</v>
      </c>
      <c r="P256" t="s">
        <v>776</v>
      </c>
      <c r="Q256">
        <v>99</v>
      </c>
      <c r="S256">
        <v>3.99</v>
      </c>
      <c r="X256">
        <v>3.99</v>
      </c>
      <c r="Y256" t="s">
        <v>1825</v>
      </c>
      <c r="Z256" t="s">
        <v>1826</v>
      </c>
      <c r="AA256">
        <v>18500</v>
      </c>
      <c r="AB256" t="s">
        <v>25</v>
      </c>
    </row>
    <row r="257" spans="1:28" x14ac:dyDescent="0.25">
      <c r="A257" t="s">
        <v>1827</v>
      </c>
      <c r="B257" t="s">
        <v>1827</v>
      </c>
      <c r="C257" t="s">
        <v>1828</v>
      </c>
      <c r="D257" t="s">
        <v>1829</v>
      </c>
      <c r="E257" t="s">
        <v>770</v>
      </c>
      <c r="F257" t="s">
        <v>771</v>
      </c>
      <c r="G257" t="s">
        <v>1778</v>
      </c>
      <c r="J257" t="s">
        <v>783</v>
      </c>
      <c r="K257" t="s">
        <v>1830</v>
      </c>
      <c r="L257" t="s">
        <v>1831</v>
      </c>
      <c r="M257" t="s">
        <v>51</v>
      </c>
      <c r="N257" t="s">
        <v>770</v>
      </c>
      <c r="O257">
        <v>1</v>
      </c>
      <c r="P257" t="s">
        <v>776</v>
      </c>
      <c r="Q257">
        <v>34.9</v>
      </c>
      <c r="Y257" t="s">
        <v>1832</v>
      </c>
      <c r="Z257" t="s">
        <v>1833</v>
      </c>
      <c r="AA257">
        <v>7009</v>
      </c>
      <c r="AB257" t="s">
        <v>25</v>
      </c>
    </row>
    <row r="258" spans="1:28" x14ac:dyDescent="0.25">
      <c r="A258" t="s">
        <v>1834</v>
      </c>
      <c r="B258" t="s">
        <v>1834</v>
      </c>
      <c r="C258" t="s">
        <v>1835</v>
      </c>
      <c r="D258" t="s">
        <v>1836</v>
      </c>
      <c r="E258" t="s">
        <v>770</v>
      </c>
      <c r="F258" t="s">
        <v>771</v>
      </c>
      <c r="G258" t="s">
        <v>1778</v>
      </c>
      <c r="J258" t="s">
        <v>783</v>
      </c>
      <c r="K258" t="s">
        <v>1779</v>
      </c>
      <c r="L258" t="s">
        <v>1505</v>
      </c>
      <c r="M258" t="s">
        <v>53</v>
      </c>
      <c r="N258" t="s">
        <v>770</v>
      </c>
      <c r="O258">
        <v>1</v>
      </c>
      <c r="P258" t="s">
        <v>776</v>
      </c>
      <c r="Q258">
        <v>44.9</v>
      </c>
      <c r="Y258" t="s">
        <v>1837</v>
      </c>
      <c r="Z258" t="s">
        <v>1838</v>
      </c>
      <c r="AA258">
        <v>45518</v>
      </c>
      <c r="AB258" t="s">
        <v>25</v>
      </c>
    </row>
    <row r="259" spans="1:28" x14ac:dyDescent="0.25">
      <c r="A259" t="s">
        <v>1839</v>
      </c>
      <c r="B259" t="s">
        <v>1839</v>
      </c>
      <c r="C259" t="s">
        <v>1840</v>
      </c>
      <c r="D259" t="s">
        <v>1841</v>
      </c>
      <c r="E259" t="s">
        <v>770</v>
      </c>
      <c r="F259" t="s">
        <v>771</v>
      </c>
      <c r="G259" t="s">
        <v>1778</v>
      </c>
      <c r="J259" t="s">
        <v>783</v>
      </c>
      <c r="K259" t="s">
        <v>1785</v>
      </c>
      <c r="L259" t="s">
        <v>840</v>
      </c>
      <c r="M259" t="s">
        <v>26</v>
      </c>
      <c r="N259" t="s">
        <v>770</v>
      </c>
      <c r="O259">
        <v>1</v>
      </c>
      <c r="P259" t="s">
        <v>776</v>
      </c>
      <c r="Q259">
        <v>44.9</v>
      </c>
      <c r="Y259" t="s">
        <v>1842</v>
      </c>
      <c r="Z259" t="s">
        <v>1793</v>
      </c>
      <c r="AA259">
        <v>8820</v>
      </c>
      <c r="AB259" t="s">
        <v>25</v>
      </c>
    </row>
    <row r="260" spans="1:28" x14ac:dyDescent="0.25">
      <c r="A260" t="s">
        <v>1843</v>
      </c>
      <c r="B260" t="s">
        <v>1844</v>
      </c>
      <c r="C260" t="s">
        <v>1845</v>
      </c>
      <c r="D260" t="s">
        <v>1846</v>
      </c>
      <c r="E260" t="s">
        <v>770</v>
      </c>
      <c r="F260" t="s">
        <v>771</v>
      </c>
      <c r="G260" t="s">
        <v>1847</v>
      </c>
      <c r="J260" t="s">
        <v>773</v>
      </c>
      <c r="K260" t="s">
        <v>1848</v>
      </c>
      <c r="L260" t="s">
        <v>1849</v>
      </c>
      <c r="M260" t="s">
        <v>33</v>
      </c>
      <c r="N260" t="s">
        <v>1850</v>
      </c>
      <c r="O260">
        <v>1</v>
      </c>
    </row>
    <row r="261" spans="1:28" x14ac:dyDescent="0.25">
      <c r="A261" t="s">
        <v>1851</v>
      </c>
      <c r="B261" t="s">
        <v>1851</v>
      </c>
      <c r="C261" t="s">
        <v>1852</v>
      </c>
      <c r="D261" t="s">
        <v>1853</v>
      </c>
      <c r="E261" t="s">
        <v>770</v>
      </c>
      <c r="F261" t="s">
        <v>771</v>
      </c>
      <c r="G261" t="s">
        <v>1854</v>
      </c>
      <c r="J261" t="s">
        <v>783</v>
      </c>
      <c r="K261" t="s">
        <v>1855</v>
      </c>
      <c r="L261" t="s">
        <v>1856</v>
      </c>
      <c r="M261" t="s">
        <v>12</v>
      </c>
      <c r="N261" t="s">
        <v>770</v>
      </c>
      <c r="O261">
        <v>1</v>
      </c>
      <c r="P261" t="s">
        <v>776</v>
      </c>
      <c r="Q261">
        <v>19.899999999999999</v>
      </c>
      <c r="R261">
        <v>3.59</v>
      </c>
      <c r="Y261" t="s">
        <v>1857</v>
      </c>
      <c r="Z261" t="s">
        <v>1858</v>
      </c>
      <c r="AA261">
        <v>45010</v>
      </c>
      <c r="AB261" t="s">
        <v>11</v>
      </c>
    </row>
    <row r="262" spans="1:28" x14ac:dyDescent="0.25">
      <c r="A262" t="s">
        <v>1859</v>
      </c>
      <c r="B262" t="s">
        <v>1859</v>
      </c>
      <c r="C262" t="s">
        <v>1860</v>
      </c>
      <c r="D262" t="s">
        <v>1861</v>
      </c>
      <c r="E262" t="s">
        <v>782</v>
      </c>
      <c r="F262" t="s">
        <v>771</v>
      </c>
      <c r="G262" t="s">
        <v>1854</v>
      </c>
      <c r="J262" t="s">
        <v>783</v>
      </c>
      <c r="K262" t="s">
        <v>1862</v>
      </c>
      <c r="L262" t="s">
        <v>1505</v>
      </c>
      <c r="M262" t="s">
        <v>53</v>
      </c>
      <c r="N262" t="s">
        <v>782</v>
      </c>
      <c r="O262">
        <v>0</v>
      </c>
      <c r="Y262" t="s">
        <v>1863</v>
      </c>
      <c r="Z262" t="s">
        <v>1864</v>
      </c>
      <c r="AA262">
        <v>20073</v>
      </c>
      <c r="AB262" t="s">
        <v>11</v>
      </c>
    </row>
    <row r="263" spans="1:28" x14ac:dyDescent="0.25">
      <c r="A263" t="s">
        <v>1865</v>
      </c>
      <c r="B263" t="s">
        <v>1865</v>
      </c>
      <c r="C263" t="s">
        <v>1866</v>
      </c>
      <c r="D263" t="s">
        <v>1867</v>
      </c>
      <c r="E263" t="s">
        <v>770</v>
      </c>
      <c r="F263" t="s">
        <v>771</v>
      </c>
      <c r="G263" t="s">
        <v>1854</v>
      </c>
      <c r="J263" t="s">
        <v>783</v>
      </c>
      <c r="K263" t="s">
        <v>1855</v>
      </c>
      <c r="L263" t="s">
        <v>1856</v>
      </c>
      <c r="M263" t="s">
        <v>12</v>
      </c>
      <c r="N263" t="s">
        <v>770</v>
      </c>
      <c r="O263">
        <v>1</v>
      </c>
      <c r="P263" t="s">
        <v>776</v>
      </c>
      <c r="Q263">
        <v>19.899999999999999</v>
      </c>
      <c r="R263">
        <v>3.59</v>
      </c>
      <c r="Y263" t="s">
        <v>1868</v>
      </c>
      <c r="Z263" t="s">
        <v>1869</v>
      </c>
      <c r="AA263">
        <v>10071</v>
      </c>
      <c r="AB263" t="s">
        <v>11</v>
      </c>
    </row>
    <row r="264" spans="1:28" x14ac:dyDescent="0.25">
      <c r="A264" t="s">
        <v>1870</v>
      </c>
      <c r="B264" t="s">
        <v>1870</v>
      </c>
      <c r="C264" t="s">
        <v>1871</v>
      </c>
      <c r="D264" t="s">
        <v>1872</v>
      </c>
      <c r="E264" t="s">
        <v>770</v>
      </c>
      <c r="F264" t="s">
        <v>771</v>
      </c>
      <c r="G264" t="s">
        <v>1854</v>
      </c>
      <c r="J264" t="s">
        <v>783</v>
      </c>
      <c r="K264" t="s">
        <v>1873</v>
      </c>
      <c r="L264" t="s">
        <v>840</v>
      </c>
      <c r="M264" t="s">
        <v>26</v>
      </c>
      <c r="N264" t="s">
        <v>770</v>
      </c>
      <c r="O264">
        <v>1</v>
      </c>
      <c r="P264" t="s">
        <v>776</v>
      </c>
      <c r="Q264">
        <v>34.9</v>
      </c>
      <c r="R264">
        <v>6.29</v>
      </c>
      <c r="Y264" t="s">
        <v>1874</v>
      </c>
      <c r="Z264" t="s">
        <v>1875</v>
      </c>
      <c r="AA264">
        <v>20011</v>
      </c>
      <c r="AB264" t="s">
        <v>11</v>
      </c>
    </row>
    <row r="265" spans="1:28" x14ac:dyDescent="0.25">
      <c r="A265" t="s">
        <v>1876</v>
      </c>
      <c r="B265" t="s">
        <v>1876</v>
      </c>
      <c r="C265" t="s">
        <v>1877</v>
      </c>
      <c r="D265" t="s">
        <v>1878</v>
      </c>
      <c r="E265" t="s">
        <v>770</v>
      </c>
      <c r="F265" t="s">
        <v>771</v>
      </c>
      <c r="G265" t="s">
        <v>1854</v>
      </c>
      <c r="J265" t="s">
        <v>783</v>
      </c>
      <c r="K265" t="s">
        <v>1879</v>
      </c>
      <c r="L265" t="s">
        <v>1056</v>
      </c>
      <c r="M265" t="s">
        <v>212</v>
      </c>
      <c r="N265" t="s">
        <v>770</v>
      </c>
      <c r="O265">
        <v>1</v>
      </c>
      <c r="P265" t="s">
        <v>776</v>
      </c>
      <c r="Q265">
        <v>39.9</v>
      </c>
      <c r="R265">
        <v>7.2</v>
      </c>
      <c r="Y265" t="s">
        <v>1880</v>
      </c>
      <c r="Z265" t="s">
        <v>1880</v>
      </c>
      <c r="AA265">
        <v>41125</v>
      </c>
      <c r="AB265" t="s">
        <v>11</v>
      </c>
    </row>
    <row r="266" spans="1:28" x14ac:dyDescent="0.25">
      <c r="A266" t="s">
        <v>1881</v>
      </c>
      <c r="C266" t="s">
        <v>1882</v>
      </c>
      <c r="D266" t="s">
        <v>1883</v>
      </c>
      <c r="E266" t="s">
        <v>770</v>
      </c>
      <c r="F266" t="s">
        <v>1884</v>
      </c>
      <c r="G266" t="s">
        <v>1854</v>
      </c>
      <c r="H266" t="s">
        <v>1885</v>
      </c>
      <c r="J266" t="s">
        <v>773</v>
      </c>
      <c r="K266" t="s">
        <v>1886</v>
      </c>
      <c r="L266" t="s">
        <v>18</v>
      </c>
      <c r="M266" t="s">
        <v>17</v>
      </c>
      <c r="N266" t="s">
        <v>770</v>
      </c>
      <c r="O266">
        <v>1</v>
      </c>
      <c r="P266" t="s">
        <v>776</v>
      </c>
      <c r="Q266">
        <v>22.9</v>
      </c>
      <c r="R266">
        <v>4.13</v>
      </c>
      <c r="S266">
        <v>3</v>
      </c>
      <c r="T266">
        <v>0.54</v>
      </c>
      <c r="Y266" t="s">
        <v>1887</v>
      </c>
      <c r="Z266" t="s">
        <v>1888</v>
      </c>
      <c r="AA266">
        <v>40017</v>
      </c>
      <c r="AB266" t="s">
        <v>11</v>
      </c>
    </row>
    <row r="267" spans="1:28" x14ac:dyDescent="0.25">
      <c r="A267" t="s">
        <v>1889</v>
      </c>
      <c r="B267" t="s">
        <v>1889</v>
      </c>
      <c r="C267" t="s">
        <v>1890</v>
      </c>
      <c r="D267" t="s">
        <v>1891</v>
      </c>
      <c r="E267" t="s">
        <v>770</v>
      </c>
      <c r="F267" t="s">
        <v>771</v>
      </c>
      <c r="G267" t="s">
        <v>1854</v>
      </c>
      <c r="J267" t="s">
        <v>783</v>
      </c>
      <c r="K267" t="s">
        <v>1855</v>
      </c>
      <c r="L267" t="s">
        <v>1856</v>
      </c>
      <c r="M267" t="s">
        <v>12</v>
      </c>
      <c r="N267" t="s">
        <v>770</v>
      </c>
      <c r="O267">
        <v>1</v>
      </c>
      <c r="P267" t="s">
        <v>776</v>
      </c>
      <c r="Q267">
        <v>19.899999999999999</v>
      </c>
      <c r="R267">
        <v>3.59</v>
      </c>
      <c r="Y267" t="s">
        <v>1892</v>
      </c>
      <c r="Z267" t="s">
        <v>1893</v>
      </c>
      <c r="AA267">
        <v>10093</v>
      </c>
      <c r="AB267" t="s">
        <v>11</v>
      </c>
    </row>
    <row r="268" spans="1:28" x14ac:dyDescent="0.25">
      <c r="A268" t="s">
        <v>1894</v>
      </c>
      <c r="B268" t="s">
        <v>1894</v>
      </c>
      <c r="C268" t="s">
        <v>1895</v>
      </c>
      <c r="D268" t="s">
        <v>1896</v>
      </c>
      <c r="E268" t="s">
        <v>770</v>
      </c>
      <c r="F268" t="s">
        <v>771</v>
      </c>
      <c r="G268" t="s">
        <v>1854</v>
      </c>
      <c r="J268" t="s">
        <v>783</v>
      </c>
      <c r="K268" t="s">
        <v>1855</v>
      </c>
      <c r="L268" t="s">
        <v>1856</v>
      </c>
      <c r="M268" t="s">
        <v>12</v>
      </c>
      <c r="N268" t="s">
        <v>770</v>
      </c>
      <c r="O268">
        <v>1</v>
      </c>
      <c r="P268" t="s">
        <v>776</v>
      </c>
      <c r="Q268">
        <v>19.899999999999999</v>
      </c>
      <c r="R268">
        <v>3.59</v>
      </c>
      <c r="Y268" t="s">
        <v>1897</v>
      </c>
      <c r="Z268" t="s">
        <v>1898</v>
      </c>
      <c r="AA268">
        <v>46042</v>
      </c>
      <c r="AB268" t="s">
        <v>11</v>
      </c>
    </row>
    <row r="269" spans="1:28" x14ac:dyDescent="0.25">
      <c r="A269" t="s">
        <v>1899</v>
      </c>
      <c r="C269" t="s">
        <v>1900</v>
      </c>
      <c r="D269" t="s">
        <v>1901</v>
      </c>
      <c r="E269" t="s">
        <v>770</v>
      </c>
      <c r="F269" t="s">
        <v>1884</v>
      </c>
      <c r="G269" t="s">
        <v>1854</v>
      </c>
      <c r="H269" t="s">
        <v>1885</v>
      </c>
      <c r="J269" t="s">
        <v>773</v>
      </c>
      <c r="K269" t="s">
        <v>1902</v>
      </c>
      <c r="L269" t="s">
        <v>15</v>
      </c>
      <c r="M269" t="s">
        <v>14</v>
      </c>
      <c r="N269" t="s">
        <v>770</v>
      </c>
      <c r="O269">
        <v>1</v>
      </c>
      <c r="P269" t="s">
        <v>776</v>
      </c>
      <c r="Q269">
        <v>14.9</v>
      </c>
      <c r="R269">
        <v>2.69</v>
      </c>
      <c r="S269">
        <v>3</v>
      </c>
      <c r="T269">
        <v>0.54</v>
      </c>
      <c r="Y269" t="s">
        <v>1903</v>
      </c>
      <c r="Z269" t="s">
        <v>1903</v>
      </c>
      <c r="AA269">
        <v>39100</v>
      </c>
      <c r="AB269" t="s">
        <v>11</v>
      </c>
    </row>
    <row r="270" spans="1:28" x14ac:dyDescent="0.25">
      <c r="A270" t="s">
        <v>1904</v>
      </c>
      <c r="B270" t="s">
        <v>1904</v>
      </c>
      <c r="C270" t="s">
        <v>1905</v>
      </c>
      <c r="D270" t="s">
        <v>1906</v>
      </c>
      <c r="E270" t="s">
        <v>770</v>
      </c>
      <c r="F270" t="s">
        <v>771</v>
      </c>
      <c r="G270" t="s">
        <v>1854</v>
      </c>
      <c r="J270" t="s">
        <v>783</v>
      </c>
      <c r="K270" t="s">
        <v>1855</v>
      </c>
      <c r="L270" t="s">
        <v>1856</v>
      </c>
      <c r="M270" t="s">
        <v>12</v>
      </c>
      <c r="N270" t="s">
        <v>770</v>
      </c>
      <c r="O270">
        <v>1</v>
      </c>
      <c r="P270" t="s">
        <v>776</v>
      </c>
      <c r="Q270">
        <v>19.899999999999999</v>
      </c>
      <c r="R270">
        <v>3.59</v>
      </c>
      <c r="Y270" t="s">
        <v>1907</v>
      </c>
      <c r="Z270" t="s">
        <v>1908</v>
      </c>
      <c r="AA270">
        <v>80044</v>
      </c>
      <c r="AB270" t="s">
        <v>11</v>
      </c>
    </row>
    <row r="271" spans="1:28" x14ac:dyDescent="0.25">
      <c r="A271" t="s">
        <v>1909</v>
      </c>
      <c r="B271" t="s">
        <v>1909</v>
      </c>
      <c r="C271" t="s">
        <v>1910</v>
      </c>
      <c r="D271" t="s">
        <v>1911</v>
      </c>
      <c r="E271" t="s">
        <v>770</v>
      </c>
      <c r="F271" t="s">
        <v>771</v>
      </c>
      <c r="G271" t="s">
        <v>1854</v>
      </c>
      <c r="J271" t="s">
        <v>783</v>
      </c>
      <c r="K271" t="s">
        <v>1855</v>
      </c>
      <c r="L271" t="s">
        <v>1856</v>
      </c>
      <c r="M271" t="s">
        <v>12</v>
      </c>
      <c r="N271" t="s">
        <v>770</v>
      </c>
      <c r="O271">
        <v>1</v>
      </c>
      <c r="P271" t="s">
        <v>776</v>
      </c>
      <c r="Q271">
        <v>19.899999999999999</v>
      </c>
      <c r="R271">
        <v>3.59</v>
      </c>
      <c r="Y271" t="s">
        <v>1912</v>
      </c>
      <c r="Z271" t="s">
        <v>1913</v>
      </c>
      <c r="AA271">
        <v>10</v>
      </c>
      <c r="AB271" t="s">
        <v>11</v>
      </c>
    </row>
    <row r="272" spans="1:28" x14ac:dyDescent="0.25">
      <c r="A272" t="s">
        <v>1914</v>
      </c>
      <c r="B272" t="s">
        <v>1914</v>
      </c>
      <c r="C272" t="s">
        <v>1915</v>
      </c>
      <c r="D272" t="s">
        <v>1916</v>
      </c>
      <c r="E272" t="s">
        <v>770</v>
      </c>
      <c r="F272" t="s">
        <v>771</v>
      </c>
      <c r="G272" t="s">
        <v>1854</v>
      </c>
      <c r="J272" t="s">
        <v>783</v>
      </c>
      <c r="K272" t="s">
        <v>1862</v>
      </c>
      <c r="L272" t="s">
        <v>1505</v>
      </c>
      <c r="M272" t="s">
        <v>53</v>
      </c>
      <c r="N272" t="s">
        <v>770</v>
      </c>
      <c r="O272">
        <v>1</v>
      </c>
      <c r="P272" t="s">
        <v>776</v>
      </c>
      <c r="Q272">
        <v>32.9</v>
      </c>
      <c r="R272">
        <v>5.93</v>
      </c>
      <c r="Y272" t="s">
        <v>1917</v>
      </c>
      <c r="Z272" t="s">
        <v>1875</v>
      </c>
      <c r="AA272">
        <v>20122</v>
      </c>
      <c r="AB272" t="s">
        <v>11</v>
      </c>
    </row>
    <row r="273" spans="1:28" x14ac:dyDescent="0.25">
      <c r="A273" t="s">
        <v>1918</v>
      </c>
      <c r="B273" t="s">
        <v>1918</v>
      </c>
      <c r="C273" t="s">
        <v>1919</v>
      </c>
      <c r="D273" t="s">
        <v>1920</v>
      </c>
      <c r="E273" t="s">
        <v>770</v>
      </c>
      <c r="F273" t="s">
        <v>771</v>
      </c>
      <c r="G273" t="s">
        <v>1854</v>
      </c>
      <c r="J273" t="s">
        <v>783</v>
      </c>
      <c r="K273" t="s">
        <v>1862</v>
      </c>
      <c r="L273" t="s">
        <v>1505</v>
      </c>
      <c r="M273" t="s">
        <v>53</v>
      </c>
      <c r="N273" t="s">
        <v>770</v>
      </c>
      <c r="O273">
        <v>1</v>
      </c>
      <c r="P273" t="s">
        <v>776</v>
      </c>
      <c r="Q273">
        <v>32.9</v>
      </c>
      <c r="R273">
        <v>5.93</v>
      </c>
      <c r="Y273" t="s">
        <v>1921</v>
      </c>
      <c r="Z273" t="s">
        <v>1922</v>
      </c>
      <c r="AA273">
        <v>31040</v>
      </c>
      <c r="AB273" t="s">
        <v>11</v>
      </c>
    </row>
    <row r="274" spans="1:28" x14ac:dyDescent="0.25">
      <c r="A274" t="s">
        <v>1923</v>
      </c>
      <c r="B274" t="s">
        <v>1923</v>
      </c>
      <c r="C274" t="s">
        <v>1924</v>
      </c>
      <c r="D274" t="s">
        <v>1925</v>
      </c>
      <c r="E274" t="s">
        <v>770</v>
      </c>
      <c r="F274" t="s">
        <v>771</v>
      </c>
      <c r="G274" t="s">
        <v>1854</v>
      </c>
      <c r="J274" t="s">
        <v>783</v>
      </c>
      <c r="K274" t="s">
        <v>1855</v>
      </c>
      <c r="L274" t="s">
        <v>1856</v>
      </c>
      <c r="M274" t="s">
        <v>12</v>
      </c>
      <c r="N274" t="s">
        <v>770</v>
      </c>
      <c r="O274">
        <v>1</v>
      </c>
      <c r="P274" t="s">
        <v>776</v>
      </c>
      <c r="Q274">
        <v>19.899999999999999</v>
      </c>
      <c r="R274">
        <v>3.59</v>
      </c>
      <c r="Y274" t="s">
        <v>1913</v>
      </c>
      <c r="Z274" t="s">
        <v>1926</v>
      </c>
      <c r="AA274">
        <v>143</v>
      </c>
      <c r="AB274" t="s">
        <v>11</v>
      </c>
    </row>
    <row r="275" spans="1:28" x14ac:dyDescent="0.25">
      <c r="A275" t="s">
        <v>1927</v>
      </c>
      <c r="B275" t="s">
        <v>1927</v>
      </c>
      <c r="C275" t="s">
        <v>1928</v>
      </c>
      <c r="D275" t="s">
        <v>1929</v>
      </c>
      <c r="E275" t="s">
        <v>770</v>
      </c>
      <c r="F275" t="s">
        <v>771</v>
      </c>
      <c r="G275" t="s">
        <v>1854</v>
      </c>
      <c r="J275" t="s">
        <v>783</v>
      </c>
      <c r="K275" t="s">
        <v>1930</v>
      </c>
      <c r="L275" t="s">
        <v>775</v>
      </c>
      <c r="M275" t="s">
        <v>65</v>
      </c>
      <c r="N275" t="s">
        <v>770</v>
      </c>
      <c r="O275">
        <v>1</v>
      </c>
      <c r="P275" t="s">
        <v>776</v>
      </c>
      <c r="Q275">
        <v>29.9</v>
      </c>
      <c r="R275">
        <v>5.39</v>
      </c>
      <c r="Y275" t="s">
        <v>1931</v>
      </c>
      <c r="Z275" t="s">
        <v>1932</v>
      </c>
      <c r="AA275">
        <v>1030</v>
      </c>
      <c r="AB275" t="s">
        <v>11</v>
      </c>
    </row>
    <row r="276" spans="1:28" x14ac:dyDescent="0.25">
      <c r="A276" t="s">
        <v>1933</v>
      </c>
      <c r="B276" t="s">
        <v>1933</v>
      </c>
      <c r="C276" t="s">
        <v>1934</v>
      </c>
      <c r="D276" t="s">
        <v>1935</v>
      </c>
      <c r="E276" t="s">
        <v>770</v>
      </c>
      <c r="F276" t="s">
        <v>771</v>
      </c>
      <c r="G276" t="s">
        <v>1854</v>
      </c>
      <c r="J276" t="s">
        <v>783</v>
      </c>
      <c r="K276" t="s">
        <v>1873</v>
      </c>
      <c r="L276" t="s">
        <v>840</v>
      </c>
      <c r="M276" t="s">
        <v>26</v>
      </c>
      <c r="N276" t="s">
        <v>770</v>
      </c>
      <c r="O276">
        <v>1</v>
      </c>
      <c r="P276" t="s">
        <v>776</v>
      </c>
      <c r="Q276">
        <v>34.9</v>
      </c>
      <c r="R276">
        <v>6.29</v>
      </c>
      <c r="Y276" t="s">
        <v>1936</v>
      </c>
      <c r="Z276" t="s">
        <v>1937</v>
      </c>
      <c r="AA276">
        <v>24044</v>
      </c>
      <c r="AB276" t="s">
        <v>11</v>
      </c>
    </row>
    <row r="277" spans="1:28" x14ac:dyDescent="0.25">
      <c r="A277" t="s">
        <v>1938</v>
      </c>
      <c r="B277" t="s">
        <v>1938</v>
      </c>
      <c r="C277" t="s">
        <v>1939</v>
      </c>
      <c r="D277" t="s">
        <v>1940</v>
      </c>
      <c r="E277" t="s">
        <v>770</v>
      </c>
      <c r="F277" t="s">
        <v>771</v>
      </c>
      <c r="G277" t="s">
        <v>1854</v>
      </c>
      <c r="J277" t="s">
        <v>783</v>
      </c>
      <c r="K277" t="s">
        <v>1862</v>
      </c>
      <c r="L277" t="s">
        <v>1505</v>
      </c>
      <c r="M277" t="s">
        <v>53</v>
      </c>
      <c r="N277" t="s">
        <v>770</v>
      </c>
      <c r="O277">
        <v>1</v>
      </c>
      <c r="P277" t="s">
        <v>776</v>
      </c>
      <c r="Q277">
        <v>32.9</v>
      </c>
      <c r="R277">
        <v>5.93</v>
      </c>
      <c r="Y277" t="s">
        <v>1941</v>
      </c>
      <c r="Z277" t="s">
        <v>1942</v>
      </c>
      <c r="AA277">
        <v>71027</v>
      </c>
      <c r="AB277" t="s">
        <v>11</v>
      </c>
    </row>
    <row r="278" spans="1:28" x14ac:dyDescent="0.25">
      <c r="A278" t="s">
        <v>1943</v>
      </c>
      <c r="B278" t="s">
        <v>1943</v>
      </c>
      <c r="C278" t="s">
        <v>1944</v>
      </c>
      <c r="D278" t="s">
        <v>1945</v>
      </c>
      <c r="E278" t="s">
        <v>770</v>
      </c>
      <c r="F278" t="s">
        <v>771</v>
      </c>
      <c r="G278" t="s">
        <v>1854</v>
      </c>
      <c r="J278" t="s">
        <v>783</v>
      </c>
      <c r="K278" t="s">
        <v>1855</v>
      </c>
      <c r="L278" t="s">
        <v>1856</v>
      </c>
      <c r="M278" t="s">
        <v>12</v>
      </c>
      <c r="N278" t="s">
        <v>770</v>
      </c>
      <c r="O278">
        <v>1</v>
      </c>
      <c r="P278" t="s">
        <v>776</v>
      </c>
      <c r="Q278">
        <v>19.899999999999999</v>
      </c>
      <c r="R278">
        <v>3.59</v>
      </c>
      <c r="Y278" t="s">
        <v>1946</v>
      </c>
      <c r="Z278" t="s">
        <v>1947</v>
      </c>
      <c r="AA278">
        <v>86170</v>
      </c>
      <c r="AB278" t="s">
        <v>11</v>
      </c>
    </row>
    <row r="279" spans="1:28" x14ac:dyDescent="0.25">
      <c r="A279" t="s">
        <v>1948</v>
      </c>
      <c r="B279" t="s">
        <v>1948</v>
      </c>
      <c r="C279" t="s">
        <v>1949</v>
      </c>
      <c r="D279" t="s">
        <v>1950</v>
      </c>
      <c r="E279" t="s">
        <v>770</v>
      </c>
      <c r="F279" t="s">
        <v>771</v>
      </c>
      <c r="G279" t="s">
        <v>1854</v>
      </c>
      <c r="J279" t="s">
        <v>783</v>
      </c>
      <c r="K279" t="s">
        <v>1855</v>
      </c>
      <c r="L279" t="s">
        <v>1856</v>
      </c>
      <c r="M279" t="s">
        <v>12</v>
      </c>
      <c r="N279" t="s">
        <v>770</v>
      </c>
      <c r="O279">
        <v>1</v>
      </c>
      <c r="P279" t="s">
        <v>776</v>
      </c>
      <c r="Q279">
        <v>19.899999999999999</v>
      </c>
      <c r="R279">
        <v>3.59</v>
      </c>
      <c r="Y279" t="s">
        <v>1951</v>
      </c>
      <c r="Z279" t="s">
        <v>1952</v>
      </c>
      <c r="AA279">
        <v>35031</v>
      </c>
      <c r="AB279" t="s">
        <v>11</v>
      </c>
    </row>
    <row r="280" spans="1:28" x14ac:dyDescent="0.25">
      <c r="A280" t="s">
        <v>1953</v>
      </c>
      <c r="B280" t="s">
        <v>1953</v>
      </c>
      <c r="C280" t="s">
        <v>1954</v>
      </c>
      <c r="D280" t="s">
        <v>1955</v>
      </c>
      <c r="E280" t="s">
        <v>770</v>
      </c>
      <c r="F280" t="s">
        <v>771</v>
      </c>
      <c r="G280" t="s">
        <v>1854</v>
      </c>
      <c r="J280" t="s">
        <v>783</v>
      </c>
      <c r="K280" t="s">
        <v>1855</v>
      </c>
      <c r="L280" t="s">
        <v>1856</v>
      </c>
      <c r="M280" t="s">
        <v>12</v>
      </c>
      <c r="N280" t="s">
        <v>770</v>
      </c>
      <c r="O280">
        <v>1</v>
      </c>
      <c r="P280" t="s">
        <v>776</v>
      </c>
      <c r="Q280">
        <v>19.899999999999999</v>
      </c>
      <c r="R280">
        <v>3.59</v>
      </c>
      <c r="Y280" t="s">
        <v>1956</v>
      </c>
      <c r="Z280" t="s">
        <v>1913</v>
      </c>
      <c r="AA280">
        <v>174</v>
      </c>
      <c r="AB280" t="s">
        <v>11</v>
      </c>
    </row>
    <row r="281" spans="1:28" x14ac:dyDescent="0.25">
      <c r="A281" t="s">
        <v>1957</v>
      </c>
      <c r="B281" t="s">
        <v>1957</v>
      </c>
      <c r="C281" t="s">
        <v>1958</v>
      </c>
      <c r="D281" t="s">
        <v>1959</v>
      </c>
      <c r="E281" t="s">
        <v>770</v>
      </c>
      <c r="F281" t="s">
        <v>771</v>
      </c>
      <c r="G281" t="s">
        <v>1854</v>
      </c>
      <c r="J281" t="s">
        <v>783</v>
      </c>
      <c r="K281" t="s">
        <v>1960</v>
      </c>
      <c r="L281" t="s">
        <v>1047</v>
      </c>
      <c r="M281" t="s">
        <v>21</v>
      </c>
      <c r="N281" t="s">
        <v>770</v>
      </c>
      <c r="O281">
        <v>1</v>
      </c>
      <c r="P281" t="s">
        <v>776</v>
      </c>
      <c r="Q281">
        <v>29.9</v>
      </c>
      <c r="R281">
        <v>5.39</v>
      </c>
      <c r="Y281" t="s">
        <v>1875</v>
      </c>
      <c r="Z281" t="s">
        <v>1961</v>
      </c>
      <c r="AA281">
        <v>20129</v>
      </c>
      <c r="AB281" t="s">
        <v>11</v>
      </c>
    </row>
    <row r="282" spans="1:28" x14ac:dyDescent="0.25">
      <c r="A282" t="s">
        <v>1962</v>
      </c>
      <c r="B282" t="s">
        <v>1962</v>
      </c>
      <c r="C282" t="s">
        <v>1963</v>
      </c>
      <c r="D282" t="s">
        <v>1964</v>
      </c>
      <c r="E282" t="s">
        <v>770</v>
      </c>
      <c r="F282" t="s">
        <v>771</v>
      </c>
      <c r="G282" t="s">
        <v>1854</v>
      </c>
      <c r="J282" t="s">
        <v>783</v>
      </c>
      <c r="K282" t="s">
        <v>1862</v>
      </c>
      <c r="L282" t="s">
        <v>1505</v>
      </c>
      <c r="M282" t="s">
        <v>53</v>
      </c>
      <c r="N282" t="s">
        <v>770</v>
      </c>
      <c r="O282">
        <v>1</v>
      </c>
      <c r="P282" t="s">
        <v>776</v>
      </c>
      <c r="Q282">
        <v>32.9</v>
      </c>
      <c r="R282">
        <v>5.93</v>
      </c>
      <c r="Y282" t="s">
        <v>1965</v>
      </c>
      <c r="Z282" t="s">
        <v>1864</v>
      </c>
      <c r="AA282">
        <v>20900</v>
      </c>
      <c r="AB282" t="s">
        <v>11</v>
      </c>
    </row>
    <row r="283" spans="1:28" x14ac:dyDescent="0.25">
      <c r="A283" t="s">
        <v>1966</v>
      </c>
      <c r="B283" t="s">
        <v>1966</v>
      </c>
      <c r="C283" t="s">
        <v>1967</v>
      </c>
      <c r="D283" t="s">
        <v>1968</v>
      </c>
      <c r="E283" t="s">
        <v>770</v>
      </c>
      <c r="F283" t="s">
        <v>771</v>
      </c>
      <c r="G283" t="s">
        <v>1854</v>
      </c>
      <c r="J283" t="s">
        <v>783</v>
      </c>
      <c r="K283" t="s">
        <v>1855</v>
      </c>
      <c r="L283" t="s">
        <v>1856</v>
      </c>
      <c r="M283" t="s">
        <v>12</v>
      </c>
      <c r="N283" t="s">
        <v>770</v>
      </c>
      <c r="O283">
        <v>1</v>
      </c>
      <c r="P283" t="s">
        <v>776</v>
      </c>
      <c r="Q283">
        <v>19.899999999999999</v>
      </c>
      <c r="R283">
        <v>3.59</v>
      </c>
      <c r="Y283" t="s">
        <v>1969</v>
      </c>
      <c r="Z283" t="s">
        <v>1970</v>
      </c>
      <c r="AA283">
        <v>66041</v>
      </c>
      <c r="AB283" t="s">
        <v>11</v>
      </c>
    </row>
    <row r="284" spans="1:28" x14ac:dyDescent="0.25">
      <c r="A284" t="s">
        <v>1971</v>
      </c>
      <c r="B284" t="s">
        <v>1971</v>
      </c>
      <c r="C284" t="s">
        <v>1972</v>
      </c>
      <c r="D284" t="s">
        <v>1973</v>
      </c>
      <c r="E284" t="s">
        <v>770</v>
      </c>
      <c r="F284" t="s">
        <v>771</v>
      </c>
      <c r="G284" t="s">
        <v>1854</v>
      </c>
      <c r="J284" t="s">
        <v>783</v>
      </c>
      <c r="K284" t="s">
        <v>1862</v>
      </c>
      <c r="L284" t="s">
        <v>1505</v>
      </c>
      <c r="M284" t="s">
        <v>53</v>
      </c>
      <c r="N284" t="s">
        <v>770</v>
      </c>
      <c r="O284">
        <v>1</v>
      </c>
      <c r="P284" t="s">
        <v>776</v>
      </c>
      <c r="Q284">
        <v>32.9</v>
      </c>
      <c r="R284">
        <v>5.93</v>
      </c>
      <c r="Y284" t="s">
        <v>1974</v>
      </c>
      <c r="Z284" t="s">
        <v>1975</v>
      </c>
      <c r="AA284">
        <v>11010</v>
      </c>
      <c r="AB284" t="s">
        <v>11</v>
      </c>
    </row>
    <row r="285" spans="1:28" x14ac:dyDescent="0.25">
      <c r="A285" t="s">
        <v>1976</v>
      </c>
      <c r="B285" t="s">
        <v>1976</v>
      </c>
      <c r="C285" t="s">
        <v>1977</v>
      </c>
      <c r="D285" t="s">
        <v>1978</v>
      </c>
      <c r="E285" t="s">
        <v>770</v>
      </c>
      <c r="F285" t="s">
        <v>771</v>
      </c>
      <c r="G285" t="s">
        <v>1854</v>
      </c>
      <c r="J285" t="s">
        <v>783</v>
      </c>
      <c r="K285" t="s">
        <v>1930</v>
      </c>
      <c r="L285" t="s">
        <v>775</v>
      </c>
      <c r="M285" t="s">
        <v>65</v>
      </c>
      <c r="N285" t="s">
        <v>770</v>
      </c>
      <c r="O285">
        <v>1</v>
      </c>
      <c r="P285" t="s">
        <v>776</v>
      </c>
      <c r="Q285">
        <v>29.9</v>
      </c>
      <c r="R285">
        <v>5.39</v>
      </c>
      <c r="Y285" t="s">
        <v>1979</v>
      </c>
      <c r="Z285" t="s">
        <v>1979</v>
      </c>
      <c r="AA285">
        <v>92100</v>
      </c>
      <c r="AB285" t="s">
        <v>11</v>
      </c>
    </row>
    <row r="286" spans="1:28" x14ac:dyDescent="0.25">
      <c r="A286" t="s">
        <v>1980</v>
      </c>
      <c r="B286" t="s">
        <v>1980</v>
      </c>
      <c r="C286" t="s">
        <v>1981</v>
      </c>
      <c r="D286" t="s">
        <v>1982</v>
      </c>
      <c r="E286" t="s">
        <v>770</v>
      </c>
      <c r="F286" t="s">
        <v>771</v>
      </c>
      <c r="G286" t="s">
        <v>1854</v>
      </c>
      <c r="J286" t="s">
        <v>783</v>
      </c>
      <c r="K286" t="s">
        <v>1855</v>
      </c>
      <c r="L286" t="s">
        <v>1856</v>
      </c>
      <c r="M286" t="s">
        <v>12</v>
      </c>
      <c r="N286" t="s">
        <v>770</v>
      </c>
      <c r="O286">
        <v>1</v>
      </c>
      <c r="P286" t="s">
        <v>776</v>
      </c>
      <c r="Q286">
        <v>19.899999999999999</v>
      </c>
      <c r="R286">
        <v>3.59</v>
      </c>
      <c r="Y286" t="s">
        <v>1983</v>
      </c>
      <c r="Z286" t="s">
        <v>1984</v>
      </c>
      <c r="AA286">
        <v>12032</v>
      </c>
      <c r="AB286" t="s">
        <v>11</v>
      </c>
    </row>
    <row r="287" spans="1:28" x14ac:dyDescent="0.25">
      <c r="A287" t="s">
        <v>1985</v>
      </c>
      <c r="B287" t="s">
        <v>1985</v>
      </c>
      <c r="C287" t="s">
        <v>1986</v>
      </c>
      <c r="D287" t="s">
        <v>1987</v>
      </c>
      <c r="E287" t="s">
        <v>770</v>
      </c>
      <c r="F287" t="s">
        <v>771</v>
      </c>
      <c r="G287" t="s">
        <v>1854</v>
      </c>
      <c r="J287" t="s">
        <v>783</v>
      </c>
      <c r="K287" t="s">
        <v>1960</v>
      </c>
      <c r="L287" t="s">
        <v>1047</v>
      </c>
      <c r="M287" t="s">
        <v>21</v>
      </c>
      <c r="N287" t="s">
        <v>770</v>
      </c>
      <c r="O287">
        <v>1</v>
      </c>
      <c r="P287" t="s">
        <v>776</v>
      </c>
      <c r="Q287">
        <v>29.9</v>
      </c>
      <c r="R287">
        <v>5.39</v>
      </c>
      <c r="Y287" t="s">
        <v>1988</v>
      </c>
      <c r="Z287" t="s">
        <v>1989</v>
      </c>
      <c r="AA287">
        <v>36030</v>
      </c>
      <c r="AB287" t="s">
        <v>11</v>
      </c>
    </row>
    <row r="288" spans="1:28" x14ac:dyDescent="0.25">
      <c r="A288" t="s">
        <v>1990</v>
      </c>
      <c r="B288" t="s">
        <v>1990</v>
      </c>
      <c r="C288" t="s">
        <v>1991</v>
      </c>
      <c r="D288" t="s">
        <v>1992</v>
      </c>
      <c r="E288" t="s">
        <v>770</v>
      </c>
      <c r="F288" t="s">
        <v>771</v>
      </c>
      <c r="G288" t="s">
        <v>1854</v>
      </c>
      <c r="J288" t="s">
        <v>783</v>
      </c>
      <c r="K288" t="s">
        <v>1873</v>
      </c>
      <c r="L288" t="s">
        <v>840</v>
      </c>
      <c r="M288" t="s">
        <v>26</v>
      </c>
      <c r="N288" t="s">
        <v>770</v>
      </c>
      <c r="O288">
        <v>1</v>
      </c>
      <c r="P288" t="s">
        <v>776</v>
      </c>
      <c r="Q288">
        <v>34.9</v>
      </c>
      <c r="R288">
        <v>6.29</v>
      </c>
      <c r="Y288" t="s">
        <v>1993</v>
      </c>
      <c r="Z288" t="s">
        <v>1932</v>
      </c>
      <c r="AA288">
        <v>1015</v>
      </c>
      <c r="AB288" t="s">
        <v>11</v>
      </c>
    </row>
    <row r="289" spans="1:29" x14ac:dyDescent="0.25">
      <c r="A289" t="s">
        <v>1994</v>
      </c>
      <c r="B289" t="s">
        <v>1994</v>
      </c>
      <c r="C289" t="s">
        <v>1995</v>
      </c>
      <c r="D289" t="s">
        <v>1996</v>
      </c>
      <c r="E289" t="s">
        <v>770</v>
      </c>
      <c r="F289" t="s">
        <v>771</v>
      </c>
      <c r="G289" t="s">
        <v>1854</v>
      </c>
      <c r="J289" t="s">
        <v>783</v>
      </c>
      <c r="K289" t="s">
        <v>1873</v>
      </c>
      <c r="L289" t="s">
        <v>840</v>
      </c>
      <c r="M289" t="s">
        <v>26</v>
      </c>
      <c r="N289" t="s">
        <v>770</v>
      </c>
      <c r="O289">
        <v>1</v>
      </c>
      <c r="P289" t="s">
        <v>776</v>
      </c>
      <c r="Q289">
        <v>34.9</v>
      </c>
      <c r="R289">
        <v>6.29</v>
      </c>
      <c r="Y289" t="s">
        <v>1997</v>
      </c>
      <c r="Z289" t="s">
        <v>1997</v>
      </c>
      <c r="AA289">
        <v>50142</v>
      </c>
      <c r="AB289" t="s">
        <v>11</v>
      </c>
    </row>
    <row r="290" spans="1:29" x14ac:dyDescent="0.25">
      <c r="A290" t="s">
        <v>1998</v>
      </c>
      <c r="B290" t="s">
        <v>1998</v>
      </c>
      <c r="C290" t="s">
        <v>1999</v>
      </c>
      <c r="D290" t="s">
        <v>2000</v>
      </c>
      <c r="E290" t="s">
        <v>770</v>
      </c>
      <c r="F290" t="s">
        <v>771</v>
      </c>
      <c r="G290" t="s">
        <v>1854</v>
      </c>
      <c r="J290" t="s">
        <v>783</v>
      </c>
      <c r="K290" t="s">
        <v>1855</v>
      </c>
      <c r="L290" t="s">
        <v>1856</v>
      </c>
      <c r="M290" t="s">
        <v>12</v>
      </c>
      <c r="N290" t="s">
        <v>770</v>
      </c>
      <c r="O290">
        <v>1</v>
      </c>
      <c r="P290" t="s">
        <v>776</v>
      </c>
      <c r="Q290">
        <v>19.899999999999999</v>
      </c>
      <c r="R290">
        <v>3.59</v>
      </c>
      <c r="Y290" t="s">
        <v>2001</v>
      </c>
      <c r="Z290" t="s">
        <v>1961</v>
      </c>
      <c r="AA290">
        <v>20094</v>
      </c>
      <c r="AB290" t="s">
        <v>11</v>
      </c>
    </row>
    <row r="291" spans="1:29" x14ac:dyDescent="0.25">
      <c r="A291" t="s">
        <v>2002</v>
      </c>
      <c r="B291" t="s">
        <v>2002</v>
      </c>
      <c r="C291" t="s">
        <v>2003</v>
      </c>
      <c r="D291" t="s">
        <v>2004</v>
      </c>
      <c r="E291" t="s">
        <v>770</v>
      </c>
      <c r="F291" t="s">
        <v>771</v>
      </c>
      <c r="G291" t="s">
        <v>1854</v>
      </c>
      <c r="J291" t="s">
        <v>783</v>
      </c>
      <c r="K291" t="s">
        <v>1855</v>
      </c>
      <c r="L291" t="s">
        <v>1856</v>
      </c>
      <c r="M291" t="s">
        <v>12</v>
      </c>
      <c r="N291" t="s">
        <v>770</v>
      </c>
      <c r="O291">
        <v>1</v>
      </c>
      <c r="P291" t="s">
        <v>776</v>
      </c>
      <c r="Q291">
        <v>19.899999999999999</v>
      </c>
      <c r="R291">
        <v>3.59</v>
      </c>
      <c r="Y291" t="s">
        <v>2005</v>
      </c>
      <c r="Z291" t="s">
        <v>1908</v>
      </c>
      <c r="AA291">
        <v>80011</v>
      </c>
      <c r="AB291" t="s">
        <v>11</v>
      </c>
    </row>
    <row r="292" spans="1:29" x14ac:dyDescent="0.25">
      <c r="A292" t="s">
        <v>2006</v>
      </c>
      <c r="B292" t="s">
        <v>2006</v>
      </c>
      <c r="C292" t="s">
        <v>2007</v>
      </c>
      <c r="D292" t="s">
        <v>2008</v>
      </c>
      <c r="E292" t="s">
        <v>770</v>
      </c>
      <c r="F292" t="s">
        <v>771</v>
      </c>
      <c r="G292" t="s">
        <v>1854</v>
      </c>
      <c r="J292" t="s">
        <v>783</v>
      </c>
      <c r="K292" t="s">
        <v>1855</v>
      </c>
      <c r="L292" t="s">
        <v>1856</v>
      </c>
      <c r="M292" t="s">
        <v>12</v>
      </c>
      <c r="N292" t="s">
        <v>770</v>
      </c>
      <c r="O292">
        <v>1</v>
      </c>
      <c r="P292" t="s">
        <v>776</v>
      </c>
      <c r="Q292">
        <v>19.899999999999999</v>
      </c>
      <c r="R292">
        <v>3.59</v>
      </c>
      <c r="S292">
        <v>3.27</v>
      </c>
      <c r="X292">
        <v>3.27</v>
      </c>
      <c r="Y292" t="s">
        <v>2009</v>
      </c>
      <c r="Z292" t="s">
        <v>1908</v>
      </c>
      <c r="AA292">
        <v>80024</v>
      </c>
      <c r="AB292" t="s">
        <v>11</v>
      </c>
      <c r="AC292" t="s">
        <v>2010</v>
      </c>
    </row>
    <row r="293" spans="1:29" x14ac:dyDescent="0.25">
      <c r="A293" t="s">
        <v>2011</v>
      </c>
      <c r="B293" t="s">
        <v>2011</v>
      </c>
      <c r="C293" t="s">
        <v>2012</v>
      </c>
      <c r="D293" t="s">
        <v>2013</v>
      </c>
      <c r="E293" t="s">
        <v>770</v>
      </c>
      <c r="F293" t="s">
        <v>771</v>
      </c>
      <c r="G293" t="s">
        <v>1854</v>
      </c>
      <c r="J293" t="s">
        <v>783</v>
      </c>
      <c r="K293" t="s">
        <v>1855</v>
      </c>
      <c r="L293" t="s">
        <v>1856</v>
      </c>
      <c r="M293" t="s">
        <v>12</v>
      </c>
      <c r="N293" t="s">
        <v>770</v>
      </c>
      <c r="O293">
        <v>1</v>
      </c>
      <c r="P293" t="s">
        <v>776</v>
      </c>
      <c r="Q293">
        <v>19.899999999999999</v>
      </c>
      <c r="R293">
        <v>3.59</v>
      </c>
      <c r="Y293" t="s">
        <v>2014</v>
      </c>
      <c r="Z293" t="s">
        <v>2015</v>
      </c>
      <c r="AA293">
        <v>44028</v>
      </c>
      <c r="AB293" t="s">
        <v>11</v>
      </c>
    </row>
    <row r="294" spans="1:29" x14ac:dyDescent="0.25">
      <c r="A294" t="s">
        <v>2016</v>
      </c>
      <c r="B294" t="s">
        <v>2016</v>
      </c>
      <c r="C294" t="s">
        <v>2017</v>
      </c>
      <c r="D294" t="s">
        <v>2018</v>
      </c>
      <c r="E294" t="s">
        <v>770</v>
      </c>
      <c r="F294" t="s">
        <v>771</v>
      </c>
      <c r="G294" t="s">
        <v>1854</v>
      </c>
      <c r="J294" t="s">
        <v>783</v>
      </c>
      <c r="K294" t="s">
        <v>1855</v>
      </c>
      <c r="L294" t="s">
        <v>1856</v>
      </c>
      <c r="M294" t="s">
        <v>12</v>
      </c>
      <c r="N294" t="s">
        <v>770</v>
      </c>
      <c r="O294">
        <v>1</v>
      </c>
      <c r="P294" t="s">
        <v>776</v>
      </c>
      <c r="Q294">
        <v>19.899999999999999</v>
      </c>
      <c r="R294">
        <v>3.59</v>
      </c>
      <c r="Y294" t="s">
        <v>2019</v>
      </c>
      <c r="Z294" t="s">
        <v>2020</v>
      </c>
      <c r="AA294">
        <v>4021</v>
      </c>
      <c r="AB294" t="s">
        <v>11</v>
      </c>
    </row>
    <row r="295" spans="1:29" x14ac:dyDescent="0.25">
      <c r="A295" t="s">
        <v>2021</v>
      </c>
      <c r="B295" t="s">
        <v>2021</v>
      </c>
      <c r="C295" t="s">
        <v>2022</v>
      </c>
      <c r="D295" t="s">
        <v>2023</v>
      </c>
      <c r="E295" t="s">
        <v>770</v>
      </c>
      <c r="F295" t="s">
        <v>771</v>
      </c>
      <c r="G295" t="s">
        <v>1854</v>
      </c>
      <c r="J295" t="s">
        <v>783</v>
      </c>
      <c r="K295" t="s">
        <v>1855</v>
      </c>
      <c r="L295" t="s">
        <v>1856</v>
      </c>
      <c r="M295" t="s">
        <v>12</v>
      </c>
      <c r="N295" t="s">
        <v>770</v>
      </c>
      <c r="O295">
        <v>1</v>
      </c>
      <c r="P295" t="s">
        <v>776</v>
      </c>
      <c r="Q295">
        <v>19.899999999999999</v>
      </c>
      <c r="R295">
        <v>3.59</v>
      </c>
      <c r="S295">
        <v>3.99</v>
      </c>
      <c r="T295">
        <v>0.72</v>
      </c>
      <c r="Y295" t="s">
        <v>2024</v>
      </c>
      <c r="Z295" t="s">
        <v>2025</v>
      </c>
      <c r="AA295">
        <v>80033</v>
      </c>
      <c r="AB295" t="s">
        <v>11</v>
      </c>
    </row>
    <row r="296" spans="1:29" x14ac:dyDescent="0.25">
      <c r="A296" t="s">
        <v>2026</v>
      </c>
      <c r="B296" t="s">
        <v>2026</v>
      </c>
      <c r="C296" t="s">
        <v>2027</v>
      </c>
      <c r="D296" t="s">
        <v>2028</v>
      </c>
      <c r="E296" t="s">
        <v>770</v>
      </c>
      <c r="F296" t="s">
        <v>771</v>
      </c>
      <c r="G296" t="s">
        <v>1854</v>
      </c>
      <c r="J296" t="s">
        <v>783</v>
      </c>
      <c r="K296" t="s">
        <v>1862</v>
      </c>
      <c r="L296" t="s">
        <v>1505</v>
      </c>
      <c r="M296" t="s">
        <v>53</v>
      </c>
      <c r="N296" t="s">
        <v>770</v>
      </c>
      <c r="O296">
        <v>1</v>
      </c>
      <c r="P296" t="s">
        <v>776</v>
      </c>
      <c r="Q296">
        <v>32.9</v>
      </c>
      <c r="R296">
        <v>5.93</v>
      </c>
      <c r="Y296" t="s">
        <v>2029</v>
      </c>
      <c r="Z296" t="s">
        <v>2030</v>
      </c>
      <c r="AA296">
        <v>38089</v>
      </c>
      <c r="AB296" t="s">
        <v>11</v>
      </c>
    </row>
    <row r="297" spans="1:29" x14ac:dyDescent="0.25">
      <c r="A297" t="s">
        <v>2031</v>
      </c>
      <c r="B297" t="s">
        <v>2031</v>
      </c>
      <c r="C297" t="s">
        <v>2032</v>
      </c>
      <c r="D297" t="s">
        <v>2033</v>
      </c>
      <c r="E297" t="s">
        <v>770</v>
      </c>
      <c r="F297" t="s">
        <v>771</v>
      </c>
      <c r="G297" t="s">
        <v>1854</v>
      </c>
      <c r="J297" t="s">
        <v>783</v>
      </c>
      <c r="K297" t="s">
        <v>1930</v>
      </c>
      <c r="L297" t="s">
        <v>775</v>
      </c>
      <c r="M297" t="s">
        <v>65</v>
      </c>
      <c r="N297" t="s">
        <v>770</v>
      </c>
      <c r="O297">
        <v>1</v>
      </c>
      <c r="P297" t="s">
        <v>776</v>
      </c>
      <c r="Q297">
        <v>29.9</v>
      </c>
      <c r="R297">
        <v>5.39</v>
      </c>
      <c r="Y297" t="s">
        <v>2034</v>
      </c>
      <c r="Z297" t="s">
        <v>2035</v>
      </c>
      <c r="AA297">
        <v>20811</v>
      </c>
      <c r="AB297" t="s">
        <v>11</v>
      </c>
    </row>
    <row r="298" spans="1:29" x14ac:dyDescent="0.25">
      <c r="A298" t="s">
        <v>2036</v>
      </c>
      <c r="B298" t="s">
        <v>2036</v>
      </c>
      <c r="C298" t="s">
        <v>2037</v>
      </c>
      <c r="D298" t="s">
        <v>2038</v>
      </c>
      <c r="E298" t="s">
        <v>770</v>
      </c>
      <c r="F298" t="s">
        <v>771</v>
      </c>
      <c r="G298" t="s">
        <v>1854</v>
      </c>
      <c r="J298" t="s">
        <v>783</v>
      </c>
      <c r="K298" t="s">
        <v>1855</v>
      </c>
      <c r="L298" t="s">
        <v>1856</v>
      </c>
      <c r="M298" t="s">
        <v>12</v>
      </c>
      <c r="N298" t="s">
        <v>770</v>
      </c>
      <c r="O298">
        <v>1</v>
      </c>
      <c r="P298" t="s">
        <v>776</v>
      </c>
      <c r="Q298">
        <v>19.899999999999999</v>
      </c>
      <c r="R298">
        <v>3.59</v>
      </c>
      <c r="Y298" t="s">
        <v>2039</v>
      </c>
      <c r="Z298" t="s">
        <v>2040</v>
      </c>
      <c r="AA298">
        <v>65010</v>
      </c>
      <c r="AB298" t="s">
        <v>11</v>
      </c>
    </row>
    <row r="299" spans="1:29" x14ac:dyDescent="0.25">
      <c r="A299" t="s">
        <v>2041</v>
      </c>
      <c r="B299" t="s">
        <v>2041</v>
      </c>
      <c r="C299" t="s">
        <v>2042</v>
      </c>
      <c r="D299" t="s">
        <v>2043</v>
      </c>
      <c r="E299" t="s">
        <v>770</v>
      </c>
      <c r="F299" t="s">
        <v>771</v>
      </c>
      <c r="G299" t="s">
        <v>1854</v>
      </c>
      <c r="J299" t="s">
        <v>783</v>
      </c>
      <c r="K299" t="s">
        <v>2044</v>
      </c>
      <c r="L299" t="s">
        <v>1489</v>
      </c>
      <c r="M299" t="s">
        <v>75</v>
      </c>
      <c r="N299" t="s">
        <v>770</v>
      </c>
      <c r="O299">
        <v>1</v>
      </c>
      <c r="P299" t="s">
        <v>776</v>
      </c>
      <c r="Q299">
        <v>49.9</v>
      </c>
      <c r="R299">
        <v>9</v>
      </c>
      <c r="Y299" t="s">
        <v>2045</v>
      </c>
      <c r="Z299" t="s">
        <v>2046</v>
      </c>
      <c r="AA299">
        <v>89048</v>
      </c>
      <c r="AB299" t="s">
        <v>11</v>
      </c>
    </row>
    <row r="300" spans="1:29" x14ac:dyDescent="0.25">
      <c r="A300" t="s">
        <v>2047</v>
      </c>
      <c r="B300" t="s">
        <v>2047</v>
      </c>
      <c r="C300" t="s">
        <v>2048</v>
      </c>
      <c r="D300" t="s">
        <v>2049</v>
      </c>
      <c r="E300" t="s">
        <v>770</v>
      </c>
      <c r="F300" t="s">
        <v>771</v>
      </c>
      <c r="G300" t="s">
        <v>1854</v>
      </c>
      <c r="J300" t="s">
        <v>783</v>
      </c>
      <c r="K300" t="s">
        <v>1855</v>
      </c>
      <c r="L300" t="s">
        <v>1856</v>
      </c>
      <c r="M300" t="s">
        <v>12</v>
      </c>
      <c r="N300" t="s">
        <v>770</v>
      </c>
      <c r="O300">
        <v>1</v>
      </c>
      <c r="P300" t="s">
        <v>776</v>
      </c>
      <c r="Q300">
        <v>19.899999999999999</v>
      </c>
      <c r="R300">
        <v>3.59</v>
      </c>
      <c r="Y300" t="s">
        <v>2050</v>
      </c>
      <c r="Z300" t="s">
        <v>2051</v>
      </c>
      <c r="AA300">
        <v>95022</v>
      </c>
      <c r="AB300" t="s">
        <v>11</v>
      </c>
    </row>
    <row r="301" spans="1:29" x14ac:dyDescent="0.25">
      <c r="A301" t="s">
        <v>2052</v>
      </c>
      <c r="B301" t="s">
        <v>2052</v>
      </c>
      <c r="C301" t="s">
        <v>2053</v>
      </c>
      <c r="D301" t="s">
        <v>2054</v>
      </c>
      <c r="E301" t="s">
        <v>770</v>
      </c>
      <c r="F301" t="s">
        <v>771</v>
      </c>
      <c r="G301" t="s">
        <v>1854</v>
      </c>
      <c r="J301" t="s">
        <v>783</v>
      </c>
      <c r="K301" t="s">
        <v>2055</v>
      </c>
      <c r="L301" t="s">
        <v>806</v>
      </c>
      <c r="M301" t="s">
        <v>202</v>
      </c>
      <c r="N301" t="s">
        <v>770</v>
      </c>
      <c r="O301">
        <v>1</v>
      </c>
      <c r="P301" t="s">
        <v>776</v>
      </c>
      <c r="Q301">
        <v>14.9</v>
      </c>
      <c r="R301">
        <v>2.69</v>
      </c>
      <c r="Y301" t="s">
        <v>2056</v>
      </c>
      <c r="Z301" t="s">
        <v>2057</v>
      </c>
      <c r="AA301">
        <v>37011</v>
      </c>
      <c r="AB301" t="s">
        <v>11</v>
      </c>
    </row>
    <row r="302" spans="1:29" x14ac:dyDescent="0.25">
      <c r="A302" t="s">
        <v>2058</v>
      </c>
      <c r="B302" t="s">
        <v>2058</v>
      </c>
      <c r="C302" t="s">
        <v>2059</v>
      </c>
      <c r="D302" t="s">
        <v>2060</v>
      </c>
      <c r="E302" t="s">
        <v>770</v>
      </c>
      <c r="F302" t="s">
        <v>771</v>
      </c>
      <c r="G302" t="s">
        <v>1854</v>
      </c>
      <c r="J302" t="s">
        <v>783</v>
      </c>
      <c r="K302" t="s">
        <v>1930</v>
      </c>
      <c r="L302" t="s">
        <v>775</v>
      </c>
      <c r="M302" t="s">
        <v>65</v>
      </c>
      <c r="N302" t="s">
        <v>770</v>
      </c>
      <c r="O302">
        <v>1</v>
      </c>
      <c r="P302" t="s">
        <v>776</v>
      </c>
      <c r="Q302">
        <v>29.9</v>
      </c>
      <c r="R302">
        <v>5.39</v>
      </c>
      <c r="Y302" t="s">
        <v>2061</v>
      </c>
      <c r="Z302" t="s">
        <v>1913</v>
      </c>
      <c r="AA302">
        <v>13</v>
      </c>
      <c r="AB302" t="s">
        <v>11</v>
      </c>
    </row>
    <row r="303" spans="1:29" x14ac:dyDescent="0.25">
      <c r="A303" t="s">
        <v>2062</v>
      </c>
      <c r="B303" t="s">
        <v>2062</v>
      </c>
      <c r="C303" t="s">
        <v>2063</v>
      </c>
      <c r="D303" t="s">
        <v>2064</v>
      </c>
      <c r="E303" t="s">
        <v>782</v>
      </c>
      <c r="F303" t="s">
        <v>771</v>
      </c>
      <c r="G303" t="s">
        <v>1854</v>
      </c>
      <c r="J303" t="s">
        <v>783</v>
      </c>
      <c r="K303" t="s">
        <v>1855</v>
      </c>
      <c r="L303" t="s">
        <v>1856</v>
      </c>
      <c r="M303" t="s">
        <v>12</v>
      </c>
      <c r="N303" t="s">
        <v>782</v>
      </c>
      <c r="O303">
        <v>0</v>
      </c>
      <c r="Y303" t="s">
        <v>2065</v>
      </c>
      <c r="Z303" t="s">
        <v>1875</v>
      </c>
      <c r="AA303">
        <v>20096</v>
      </c>
      <c r="AB303" t="s">
        <v>11</v>
      </c>
    </row>
    <row r="304" spans="1:29" x14ac:dyDescent="0.25">
      <c r="A304" t="s">
        <v>2066</v>
      </c>
      <c r="B304" t="s">
        <v>2066</v>
      </c>
      <c r="C304" t="s">
        <v>2067</v>
      </c>
      <c r="D304" t="s">
        <v>2068</v>
      </c>
      <c r="E304" t="s">
        <v>770</v>
      </c>
      <c r="F304" t="s">
        <v>771</v>
      </c>
      <c r="G304" t="s">
        <v>1854</v>
      </c>
      <c r="J304" t="s">
        <v>783</v>
      </c>
      <c r="K304" t="s">
        <v>1855</v>
      </c>
      <c r="L304" t="s">
        <v>1856</v>
      </c>
      <c r="M304" t="s">
        <v>12</v>
      </c>
      <c r="N304" t="s">
        <v>770</v>
      </c>
      <c r="O304">
        <v>1</v>
      </c>
      <c r="P304" t="s">
        <v>776</v>
      </c>
      <c r="Q304">
        <v>19.899999999999999</v>
      </c>
      <c r="R304">
        <v>3.59</v>
      </c>
      <c r="Y304" t="s">
        <v>2069</v>
      </c>
      <c r="Z304" t="s">
        <v>2070</v>
      </c>
      <c r="AA304">
        <v>73014</v>
      </c>
      <c r="AB304" t="s">
        <v>11</v>
      </c>
    </row>
    <row r="305" spans="1:28" x14ac:dyDescent="0.25">
      <c r="A305" t="s">
        <v>2071</v>
      </c>
      <c r="B305" t="s">
        <v>2071</v>
      </c>
      <c r="C305" t="s">
        <v>2072</v>
      </c>
      <c r="D305" t="s">
        <v>2073</v>
      </c>
      <c r="E305" t="s">
        <v>770</v>
      </c>
      <c r="F305" t="s">
        <v>771</v>
      </c>
      <c r="G305" t="s">
        <v>1854</v>
      </c>
      <c r="J305" t="s">
        <v>783</v>
      </c>
      <c r="K305" t="s">
        <v>1855</v>
      </c>
      <c r="L305" t="s">
        <v>1856</v>
      </c>
      <c r="M305" t="s">
        <v>12</v>
      </c>
      <c r="N305" t="s">
        <v>770</v>
      </c>
      <c r="O305">
        <v>1</v>
      </c>
      <c r="P305" t="s">
        <v>776</v>
      </c>
      <c r="Q305">
        <v>19.899999999999999</v>
      </c>
      <c r="R305">
        <v>3.59</v>
      </c>
      <c r="Y305" t="s">
        <v>2074</v>
      </c>
      <c r="Z305" t="s">
        <v>2075</v>
      </c>
      <c r="AA305">
        <v>22060</v>
      </c>
      <c r="AB305" t="s">
        <v>11</v>
      </c>
    </row>
    <row r="306" spans="1:28" x14ac:dyDescent="0.25">
      <c r="A306" t="s">
        <v>2076</v>
      </c>
      <c r="B306" t="s">
        <v>2076</v>
      </c>
      <c r="C306" t="s">
        <v>2077</v>
      </c>
      <c r="D306" t="s">
        <v>2078</v>
      </c>
      <c r="E306" t="s">
        <v>770</v>
      </c>
      <c r="F306" t="s">
        <v>771</v>
      </c>
      <c r="G306" t="s">
        <v>1854</v>
      </c>
      <c r="J306" t="s">
        <v>783</v>
      </c>
      <c r="K306" t="s">
        <v>1855</v>
      </c>
      <c r="L306" t="s">
        <v>1856</v>
      </c>
      <c r="M306" t="s">
        <v>12</v>
      </c>
      <c r="N306" t="s">
        <v>770</v>
      </c>
      <c r="O306">
        <v>1</v>
      </c>
      <c r="P306" t="s">
        <v>776</v>
      </c>
      <c r="Q306">
        <v>19.899999999999999</v>
      </c>
      <c r="R306">
        <v>3.59</v>
      </c>
      <c r="S306">
        <v>3.99</v>
      </c>
      <c r="T306">
        <v>0.72</v>
      </c>
      <c r="Y306" t="s">
        <v>2079</v>
      </c>
      <c r="Z306" t="s">
        <v>1922</v>
      </c>
      <c r="AA306">
        <v>31055</v>
      </c>
      <c r="AB306" t="s">
        <v>11</v>
      </c>
    </row>
    <row r="307" spans="1:28" x14ac:dyDescent="0.25">
      <c r="A307" t="s">
        <v>2080</v>
      </c>
      <c r="B307" t="s">
        <v>2080</v>
      </c>
      <c r="C307" t="s">
        <v>2081</v>
      </c>
      <c r="D307" t="s">
        <v>2082</v>
      </c>
      <c r="E307" t="s">
        <v>770</v>
      </c>
      <c r="F307" t="s">
        <v>771</v>
      </c>
      <c r="G307" t="s">
        <v>1854</v>
      </c>
      <c r="J307" t="s">
        <v>783</v>
      </c>
      <c r="K307" t="s">
        <v>1855</v>
      </c>
      <c r="L307" t="s">
        <v>1856</v>
      </c>
      <c r="M307" t="s">
        <v>12</v>
      </c>
      <c r="N307" t="s">
        <v>770</v>
      </c>
      <c r="O307">
        <v>1</v>
      </c>
      <c r="P307" t="s">
        <v>776</v>
      </c>
      <c r="Q307">
        <v>19.899999999999999</v>
      </c>
      <c r="R307">
        <v>3.59</v>
      </c>
      <c r="Y307" t="s">
        <v>2083</v>
      </c>
      <c r="Z307" t="s">
        <v>2084</v>
      </c>
      <c r="AA307">
        <v>98075</v>
      </c>
      <c r="AB307" t="s">
        <v>11</v>
      </c>
    </row>
    <row r="308" spans="1:28" x14ac:dyDescent="0.25">
      <c r="A308" t="s">
        <v>2085</v>
      </c>
      <c r="B308" t="s">
        <v>2085</v>
      </c>
      <c r="C308" t="s">
        <v>2086</v>
      </c>
      <c r="D308" t="s">
        <v>2087</v>
      </c>
      <c r="E308" t="s">
        <v>770</v>
      </c>
      <c r="F308" t="s">
        <v>771</v>
      </c>
      <c r="G308" t="s">
        <v>1854</v>
      </c>
      <c r="J308" t="s">
        <v>783</v>
      </c>
      <c r="K308" t="s">
        <v>1855</v>
      </c>
      <c r="L308" t="s">
        <v>1856</v>
      </c>
      <c r="M308" t="s">
        <v>12</v>
      </c>
      <c r="N308" t="s">
        <v>770</v>
      </c>
      <c r="O308">
        <v>1</v>
      </c>
      <c r="P308" t="s">
        <v>776</v>
      </c>
      <c r="Q308">
        <v>19.899999999999999</v>
      </c>
      <c r="R308">
        <v>3.59</v>
      </c>
      <c r="Y308" t="s">
        <v>2083</v>
      </c>
      <c r="Z308" t="s">
        <v>2088</v>
      </c>
      <c r="AA308">
        <v>98075</v>
      </c>
      <c r="AB308" t="s">
        <v>11</v>
      </c>
    </row>
    <row r="309" spans="1:28" x14ac:dyDescent="0.25">
      <c r="A309" t="s">
        <v>2089</v>
      </c>
      <c r="B309" t="s">
        <v>2089</v>
      </c>
      <c r="C309" t="s">
        <v>2090</v>
      </c>
      <c r="D309" t="s">
        <v>2091</v>
      </c>
      <c r="E309" t="s">
        <v>770</v>
      </c>
      <c r="F309" t="s">
        <v>771</v>
      </c>
      <c r="G309" t="s">
        <v>1854</v>
      </c>
      <c r="J309" t="s">
        <v>783</v>
      </c>
      <c r="K309" t="s">
        <v>1862</v>
      </c>
      <c r="L309" t="s">
        <v>1505</v>
      </c>
      <c r="M309" t="s">
        <v>53</v>
      </c>
      <c r="N309" t="s">
        <v>770</v>
      </c>
      <c r="O309">
        <v>1</v>
      </c>
      <c r="P309" t="s">
        <v>776</v>
      </c>
      <c r="Q309">
        <v>32.9</v>
      </c>
      <c r="R309">
        <v>5.93</v>
      </c>
      <c r="Y309" t="s">
        <v>2092</v>
      </c>
      <c r="Z309" t="s">
        <v>2093</v>
      </c>
      <c r="AA309">
        <v>46040</v>
      </c>
      <c r="AB309" t="s">
        <v>11</v>
      </c>
    </row>
    <row r="310" spans="1:28" x14ac:dyDescent="0.25">
      <c r="A310" t="s">
        <v>2094</v>
      </c>
      <c r="B310" t="s">
        <v>2094</v>
      </c>
      <c r="C310" t="s">
        <v>2095</v>
      </c>
      <c r="D310" t="s">
        <v>2096</v>
      </c>
      <c r="E310" t="s">
        <v>770</v>
      </c>
      <c r="F310" t="s">
        <v>771</v>
      </c>
      <c r="G310" t="s">
        <v>1854</v>
      </c>
      <c r="J310" t="s">
        <v>783</v>
      </c>
      <c r="K310" t="s">
        <v>1873</v>
      </c>
      <c r="L310" t="s">
        <v>840</v>
      </c>
      <c r="M310" t="s">
        <v>26</v>
      </c>
      <c r="N310" t="s">
        <v>770</v>
      </c>
      <c r="O310">
        <v>1</v>
      </c>
      <c r="P310" t="s">
        <v>776</v>
      </c>
      <c r="Q310">
        <v>34.9</v>
      </c>
      <c r="R310">
        <v>6.29</v>
      </c>
      <c r="Y310" t="s">
        <v>2097</v>
      </c>
      <c r="Z310" t="s">
        <v>2097</v>
      </c>
      <c r="AA310">
        <v>94100</v>
      </c>
      <c r="AB310" t="s">
        <v>11</v>
      </c>
    </row>
    <row r="311" spans="1:28" x14ac:dyDescent="0.25">
      <c r="A311" t="s">
        <v>2098</v>
      </c>
      <c r="B311" t="s">
        <v>2098</v>
      </c>
      <c r="C311" t="s">
        <v>2099</v>
      </c>
      <c r="D311" t="s">
        <v>2100</v>
      </c>
      <c r="E311" t="s">
        <v>770</v>
      </c>
      <c r="F311" t="s">
        <v>771</v>
      </c>
      <c r="G311" t="s">
        <v>1854</v>
      </c>
      <c r="J311" t="s">
        <v>783</v>
      </c>
      <c r="K311" t="s">
        <v>1855</v>
      </c>
      <c r="L311" t="s">
        <v>1856</v>
      </c>
      <c r="M311" t="s">
        <v>12</v>
      </c>
      <c r="N311" t="s">
        <v>770</v>
      </c>
      <c r="O311">
        <v>1</v>
      </c>
      <c r="P311" t="s">
        <v>776</v>
      </c>
      <c r="Q311">
        <v>19.899999999999999</v>
      </c>
      <c r="R311">
        <v>3.59</v>
      </c>
      <c r="S311">
        <v>3.99</v>
      </c>
      <c r="T311">
        <v>0.72</v>
      </c>
      <c r="Y311" t="s">
        <v>2101</v>
      </c>
      <c r="Z311" t="s">
        <v>2101</v>
      </c>
      <c r="AA311">
        <v>47923</v>
      </c>
      <c r="AB311" t="s">
        <v>11</v>
      </c>
    </row>
    <row r="312" spans="1:28" x14ac:dyDescent="0.25">
      <c r="A312" t="s">
        <v>2102</v>
      </c>
      <c r="B312" t="s">
        <v>2102</v>
      </c>
      <c r="C312" t="s">
        <v>2103</v>
      </c>
      <c r="D312" t="s">
        <v>2104</v>
      </c>
      <c r="E312" t="s">
        <v>770</v>
      </c>
      <c r="F312" t="s">
        <v>771</v>
      </c>
      <c r="G312" t="s">
        <v>1854</v>
      </c>
      <c r="J312" t="s">
        <v>783</v>
      </c>
      <c r="K312" t="s">
        <v>1855</v>
      </c>
      <c r="L312" t="s">
        <v>1856</v>
      </c>
      <c r="M312" t="s">
        <v>12</v>
      </c>
      <c r="N312" t="s">
        <v>770</v>
      </c>
      <c r="O312">
        <v>1</v>
      </c>
      <c r="P312" t="s">
        <v>776</v>
      </c>
      <c r="Q312">
        <v>19.899999999999999</v>
      </c>
      <c r="R312">
        <v>3.59</v>
      </c>
      <c r="S312">
        <v>3.99</v>
      </c>
      <c r="T312">
        <v>0.72</v>
      </c>
      <c r="Y312" t="s">
        <v>2105</v>
      </c>
      <c r="Z312" t="s">
        <v>2106</v>
      </c>
      <c r="AA312">
        <v>7049</v>
      </c>
      <c r="AB312" t="s">
        <v>11</v>
      </c>
    </row>
    <row r="313" spans="1:28" x14ac:dyDescent="0.25">
      <c r="A313" t="s">
        <v>2107</v>
      </c>
      <c r="B313" t="s">
        <v>2107</v>
      </c>
      <c r="C313" t="s">
        <v>2108</v>
      </c>
      <c r="D313" t="s">
        <v>2109</v>
      </c>
      <c r="E313" t="s">
        <v>770</v>
      </c>
      <c r="F313" t="s">
        <v>771</v>
      </c>
      <c r="G313" t="s">
        <v>1854</v>
      </c>
      <c r="J313" t="s">
        <v>783</v>
      </c>
      <c r="K313" t="s">
        <v>1862</v>
      </c>
      <c r="L313" t="s">
        <v>1505</v>
      </c>
      <c r="M313" t="s">
        <v>53</v>
      </c>
      <c r="N313" t="s">
        <v>770</v>
      </c>
      <c r="O313">
        <v>1</v>
      </c>
      <c r="P313" t="s">
        <v>776</v>
      </c>
      <c r="Q313">
        <v>32.9</v>
      </c>
      <c r="R313">
        <v>5.93</v>
      </c>
      <c r="Y313" t="s">
        <v>2110</v>
      </c>
      <c r="Z313" t="s">
        <v>2111</v>
      </c>
      <c r="AA313">
        <v>42021</v>
      </c>
      <c r="AB313" t="s">
        <v>11</v>
      </c>
    </row>
    <row r="314" spans="1:28" x14ac:dyDescent="0.25">
      <c r="A314" t="s">
        <v>2112</v>
      </c>
      <c r="B314" t="s">
        <v>2112</v>
      </c>
      <c r="C314" t="s">
        <v>2113</v>
      </c>
      <c r="D314" t="s">
        <v>2114</v>
      </c>
      <c r="E314" t="s">
        <v>770</v>
      </c>
      <c r="F314" t="s">
        <v>771</v>
      </c>
      <c r="G314" t="s">
        <v>1854</v>
      </c>
      <c r="J314" t="s">
        <v>783</v>
      </c>
      <c r="K314" t="s">
        <v>1855</v>
      </c>
      <c r="L314" t="s">
        <v>1856</v>
      </c>
      <c r="M314" t="s">
        <v>12</v>
      </c>
      <c r="N314" t="s">
        <v>770</v>
      </c>
      <c r="O314">
        <v>2</v>
      </c>
      <c r="P314" t="s">
        <v>776</v>
      </c>
      <c r="Q314">
        <v>39.799999999999997</v>
      </c>
      <c r="R314">
        <v>7.18</v>
      </c>
      <c r="Y314" t="s">
        <v>2115</v>
      </c>
      <c r="Z314" t="s">
        <v>2116</v>
      </c>
      <c r="AA314">
        <v>22063</v>
      </c>
      <c r="AB314" t="s">
        <v>11</v>
      </c>
    </row>
    <row r="315" spans="1:28" x14ac:dyDescent="0.25">
      <c r="A315" t="s">
        <v>2117</v>
      </c>
      <c r="B315" t="s">
        <v>2117</v>
      </c>
      <c r="C315" t="s">
        <v>2118</v>
      </c>
      <c r="D315" t="s">
        <v>2119</v>
      </c>
      <c r="E315" t="s">
        <v>770</v>
      </c>
      <c r="F315" t="s">
        <v>771</v>
      </c>
      <c r="G315" t="s">
        <v>1854</v>
      </c>
      <c r="J315" t="s">
        <v>783</v>
      </c>
      <c r="K315" t="s">
        <v>1855</v>
      </c>
      <c r="L315" t="s">
        <v>1856</v>
      </c>
      <c r="M315" t="s">
        <v>12</v>
      </c>
      <c r="N315" t="s">
        <v>770</v>
      </c>
      <c r="O315">
        <v>1</v>
      </c>
      <c r="P315" t="s">
        <v>776</v>
      </c>
      <c r="Q315">
        <v>19.899999999999999</v>
      </c>
      <c r="R315">
        <v>3.59</v>
      </c>
      <c r="Y315" t="s">
        <v>2120</v>
      </c>
      <c r="Z315" t="s">
        <v>2121</v>
      </c>
      <c r="AA315">
        <v>33057</v>
      </c>
      <c r="AB315" t="s">
        <v>11</v>
      </c>
    </row>
    <row r="316" spans="1:28" x14ac:dyDescent="0.25">
      <c r="A316" t="s">
        <v>2122</v>
      </c>
      <c r="B316" t="s">
        <v>2122</v>
      </c>
      <c r="C316" t="s">
        <v>2123</v>
      </c>
      <c r="D316" t="s">
        <v>2124</v>
      </c>
      <c r="E316" t="s">
        <v>770</v>
      </c>
      <c r="F316" t="s">
        <v>771</v>
      </c>
      <c r="G316" t="s">
        <v>1854</v>
      </c>
      <c r="J316" t="s">
        <v>783</v>
      </c>
      <c r="K316" t="s">
        <v>1855</v>
      </c>
      <c r="L316" t="s">
        <v>1856</v>
      </c>
      <c r="M316" t="s">
        <v>12</v>
      </c>
      <c r="N316" t="s">
        <v>770</v>
      </c>
      <c r="O316">
        <v>1</v>
      </c>
      <c r="P316" t="s">
        <v>776</v>
      </c>
      <c r="Q316">
        <v>19.899999999999999</v>
      </c>
      <c r="R316">
        <v>3.59</v>
      </c>
      <c r="Y316" t="s">
        <v>2125</v>
      </c>
      <c r="Z316" t="s">
        <v>2126</v>
      </c>
      <c r="AA316">
        <v>81041</v>
      </c>
      <c r="AB316" t="s">
        <v>11</v>
      </c>
    </row>
    <row r="317" spans="1:28" x14ac:dyDescent="0.25">
      <c r="A317" t="s">
        <v>2127</v>
      </c>
      <c r="B317" t="s">
        <v>2127</v>
      </c>
      <c r="C317" t="s">
        <v>2128</v>
      </c>
      <c r="D317" t="s">
        <v>2129</v>
      </c>
      <c r="E317" t="s">
        <v>770</v>
      </c>
      <c r="F317" t="s">
        <v>771</v>
      </c>
      <c r="G317" t="s">
        <v>1854</v>
      </c>
      <c r="J317" t="s">
        <v>783</v>
      </c>
      <c r="K317" t="s">
        <v>1855</v>
      </c>
      <c r="L317" t="s">
        <v>1856</v>
      </c>
      <c r="M317" t="s">
        <v>12</v>
      </c>
      <c r="N317" t="s">
        <v>770</v>
      </c>
      <c r="O317">
        <v>1</v>
      </c>
      <c r="P317" t="s">
        <v>776</v>
      </c>
      <c r="Q317">
        <v>19.899999999999999</v>
      </c>
      <c r="R317">
        <v>3.59</v>
      </c>
      <c r="Y317" t="s">
        <v>2130</v>
      </c>
      <c r="Z317" t="s">
        <v>1997</v>
      </c>
      <c r="AA317">
        <v>50068</v>
      </c>
      <c r="AB317" t="s">
        <v>11</v>
      </c>
    </row>
    <row r="318" spans="1:28" x14ac:dyDescent="0.25">
      <c r="A318" t="s">
        <v>2131</v>
      </c>
      <c r="B318" t="s">
        <v>2131</v>
      </c>
      <c r="C318" t="s">
        <v>2132</v>
      </c>
      <c r="D318" t="s">
        <v>2133</v>
      </c>
      <c r="E318" t="s">
        <v>770</v>
      </c>
      <c r="F318" t="s">
        <v>771</v>
      </c>
      <c r="G318" t="s">
        <v>1854</v>
      </c>
      <c r="J318" t="s">
        <v>783</v>
      </c>
      <c r="K318" t="s">
        <v>1855</v>
      </c>
      <c r="L318" t="s">
        <v>1856</v>
      </c>
      <c r="M318" t="s">
        <v>12</v>
      </c>
      <c r="N318" t="s">
        <v>770</v>
      </c>
      <c r="O318">
        <v>1</v>
      </c>
      <c r="P318" t="s">
        <v>776</v>
      </c>
      <c r="Q318">
        <v>19.899999999999999</v>
      </c>
      <c r="R318">
        <v>3.59</v>
      </c>
      <c r="Y318" t="s">
        <v>2134</v>
      </c>
      <c r="Z318" t="s">
        <v>1926</v>
      </c>
      <c r="AA318">
        <v>139</v>
      </c>
      <c r="AB318" t="s">
        <v>11</v>
      </c>
    </row>
    <row r="319" spans="1:28" x14ac:dyDescent="0.25">
      <c r="A319" t="s">
        <v>2135</v>
      </c>
      <c r="B319" t="s">
        <v>2135</v>
      </c>
      <c r="C319" t="s">
        <v>2136</v>
      </c>
      <c r="D319" t="s">
        <v>2137</v>
      </c>
      <c r="E319" t="s">
        <v>770</v>
      </c>
      <c r="F319" t="s">
        <v>771</v>
      </c>
      <c r="G319" t="s">
        <v>1854</v>
      </c>
      <c r="J319" t="s">
        <v>783</v>
      </c>
      <c r="K319" t="s">
        <v>1930</v>
      </c>
      <c r="L319" t="s">
        <v>775</v>
      </c>
      <c r="M319" t="s">
        <v>65</v>
      </c>
      <c r="N319" t="s">
        <v>770</v>
      </c>
      <c r="O319">
        <v>1</v>
      </c>
      <c r="P319" t="s">
        <v>776</v>
      </c>
      <c r="Q319">
        <v>29.9</v>
      </c>
      <c r="R319">
        <v>5.39</v>
      </c>
      <c r="Y319" t="s">
        <v>2138</v>
      </c>
      <c r="Z319" t="s">
        <v>1913</v>
      </c>
      <c r="AA319">
        <v>36</v>
      </c>
      <c r="AB319" t="s">
        <v>11</v>
      </c>
    </row>
    <row r="320" spans="1:28" x14ac:dyDescent="0.25">
      <c r="A320" t="s">
        <v>2139</v>
      </c>
      <c r="B320" t="s">
        <v>2139</v>
      </c>
      <c r="C320" t="s">
        <v>2140</v>
      </c>
      <c r="D320" t="s">
        <v>2141</v>
      </c>
      <c r="E320" t="s">
        <v>770</v>
      </c>
      <c r="F320" t="s">
        <v>771</v>
      </c>
      <c r="G320" t="s">
        <v>1854</v>
      </c>
      <c r="J320" t="s">
        <v>783</v>
      </c>
      <c r="K320" t="s">
        <v>1855</v>
      </c>
      <c r="L320" t="s">
        <v>1856</v>
      </c>
      <c r="M320" t="s">
        <v>12</v>
      </c>
      <c r="N320" t="s">
        <v>770</v>
      </c>
      <c r="O320">
        <v>1</v>
      </c>
      <c r="P320" t="s">
        <v>776</v>
      </c>
      <c r="Q320">
        <v>19.899999999999999</v>
      </c>
      <c r="R320">
        <v>3.59</v>
      </c>
      <c r="Y320" t="s">
        <v>2142</v>
      </c>
      <c r="Z320" t="s">
        <v>2143</v>
      </c>
      <c r="AA320">
        <v>3011</v>
      </c>
      <c r="AB320" t="s">
        <v>11</v>
      </c>
    </row>
    <row r="321" spans="1:28" x14ac:dyDescent="0.25">
      <c r="A321" t="s">
        <v>2144</v>
      </c>
      <c r="B321" t="s">
        <v>2144</v>
      </c>
      <c r="C321" t="s">
        <v>2145</v>
      </c>
      <c r="D321" t="s">
        <v>2146</v>
      </c>
      <c r="E321" t="s">
        <v>770</v>
      </c>
      <c r="F321" t="s">
        <v>771</v>
      </c>
      <c r="G321" t="s">
        <v>1854</v>
      </c>
      <c r="J321" t="s">
        <v>783</v>
      </c>
      <c r="K321" t="s">
        <v>1930</v>
      </c>
      <c r="L321" t="s">
        <v>775</v>
      </c>
      <c r="M321" t="s">
        <v>65</v>
      </c>
      <c r="N321" t="s">
        <v>770</v>
      </c>
      <c r="O321">
        <v>1</v>
      </c>
      <c r="P321" t="s">
        <v>776</v>
      </c>
      <c r="Q321">
        <v>29.9</v>
      </c>
      <c r="R321">
        <v>5.39</v>
      </c>
      <c r="Y321" t="s">
        <v>2147</v>
      </c>
      <c r="Z321" t="s">
        <v>2148</v>
      </c>
      <c r="AA321">
        <v>21040</v>
      </c>
      <c r="AB321" t="s">
        <v>11</v>
      </c>
    </row>
    <row r="322" spans="1:28" x14ac:dyDescent="0.25">
      <c r="A322" t="s">
        <v>2149</v>
      </c>
      <c r="B322" t="s">
        <v>2149</v>
      </c>
      <c r="C322" t="s">
        <v>2150</v>
      </c>
      <c r="D322" t="s">
        <v>2151</v>
      </c>
      <c r="E322" t="s">
        <v>770</v>
      </c>
      <c r="F322" t="s">
        <v>771</v>
      </c>
      <c r="G322" t="s">
        <v>1854</v>
      </c>
      <c r="J322" t="s">
        <v>783</v>
      </c>
      <c r="K322" t="s">
        <v>1855</v>
      </c>
      <c r="L322" t="s">
        <v>1856</v>
      </c>
      <c r="M322" t="s">
        <v>12</v>
      </c>
      <c r="N322" t="s">
        <v>770</v>
      </c>
      <c r="O322">
        <v>1</v>
      </c>
      <c r="P322" t="s">
        <v>776</v>
      </c>
      <c r="Q322">
        <v>19.899999999999999</v>
      </c>
      <c r="R322">
        <v>3.59</v>
      </c>
      <c r="Y322" t="s">
        <v>2152</v>
      </c>
      <c r="Z322" t="s">
        <v>2153</v>
      </c>
      <c r="AA322">
        <v>84010</v>
      </c>
      <c r="AB322" t="s">
        <v>11</v>
      </c>
    </row>
    <row r="323" spans="1:28" x14ac:dyDescent="0.25">
      <c r="A323" t="s">
        <v>2154</v>
      </c>
      <c r="B323" t="s">
        <v>2154</v>
      </c>
      <c r="C323" t="s">
        <v>2155</v>
      </c>
      <c r="D323" t="s">
        <v>2156</v>
      </c>
      <c r="E323" t="s">
        <v>770</v>
      </c>
      <c r="F323" t="s">
        <v>771</v>
      </c>
      <c r="G323" t="s">
        <v>1854</v>
      </c>
      <c r="J323" t="s">
        <v>783</v>
      </c>
      <c r="K323" t="s">
        <v>1855</v>
      </c>
      <c r="L323" t="s">
        <v>1856</v>
      </c>
      <c r="M323" t="s">
        <v>12</v>
      </c>
      <c r="N323" t="s">
        <v>770</v>
      </c>
      <c r="O323">
        <v>1</v>
      </c>
      <c r="P323" t="s">
        <v>776</v>
      </c>
      <c r="Q323">
        <v>19.899999999999999</v>
      </c>
      <c r="R323">
        <v>3.59</v>
      </c>
      <c r="Y323" t="s">
        <v>2157</v>
      </c>
      <c r="Z323" t="s">
        <v>2158</v>
      </c>
      <c r="AA323">
        <v>24060</v>
      </c>
      <c r="AB323" t="s">
        <v>11</v>
      </c>
    </row>
    <row r="324" spans="1:28" x14ac:dyDescent="0.25">
      <c r="A324" t="s">
        <v>2159</v>
      </c>
      <c r="B324" t="s">
        <v>2159</v>
      </c>
      <c r="C324" t="s">
        <v>2160</v>
      </c>
      <c r="D324" t="s">
        <v>2161</v>
      </c>
      <c r="E324" t="s">
        <v>770</v>
      </c>
      <c r="F324" t="s">
        <v>771</v>
      </c>
      <c r="G324" t="s">
        <v>1854</v>
      </c>
      <c r="J324" t="s">
        <v>783</v>
      </c>
      <c r="K324" t="s">
        <v>2162</v>
      </c>
      <c r="L324" t="s">
        <v>2163</v>
      </c>
      <c r="M324" t="s">
        <v>59</v>
      </c>
      <c r="N324" t="s">
        <v>770</v>
      </c>
      <c r="O324">
        <v>1</v>
      </c>
      <c r="P324" t="s">
        <v>776</v>
      </c>
      <c r="Q324">
        <v>29.9</v>
      </c>
      <c r="R324">
        <v>5.39</v>
      </c>
      <c r="Y324" t="s">
        <v>2164</v>
      </c>
      <c r="Z324" t="s">
        <v>2165</v>
      </c>
      <c r="AA324">
        <v>55022</v>
      </c>
      <c r="AB324" t="s">
        <v>11</v>
      </c>
    </row>
    <row r="325" spans="1:28" x14ac:dyDescent="0.25">
      <c r="A325" t="s">
        <v>2166</v>
      </c>
      <c r="B325" t="s">
        <v>2166</v>
      </c>
      <c r="C325" t="s">
        <v>2167</v>
      </c>
      <c r="D325" t="s">
        <v>2168</v>
      </c>
      <c r="E325" t="s">
        <v>770</v>
      </c>
      <c r="F325" t="s">
        <v>771</v>
      </c>
      <c r="G325" t="s">
        <v>1854</v>
      </c>
      <c r="J325" t="s">
        <v>783</v>
      </c>
      <c r="K325" t="s">
        <v>1855</v>
      </c>
      <c r="L325" t="s">
        <v>1856</v>
      </c>
      <c r="M325" t="s">
        <v>12</v>
      </c>
      <c r="N325" t="s">
        <v>770</v>
      </c>
      <c r="O325">
        <v>1</v>
      </c>
      <c r="P325" t="s">
        <v>776</v>
      </c>
      <c r="Q325">
        <v>19.899999999999999</v>
      </c>
      <c r="R325">
        <v>3.59</v>
      </c>
      <c r="S325">
        <v>1.64</v>
      </c>
      <c r="X325">
        <v>1.64</v>
      </c>
      <c r="Y325" t="s">
        <v>2169</v>
      </c>
      <c r="Z325" t="s">
        <v>1067</v>
      </c>
      <c r="AA325">
        <v>55049</v>
      </c>
      <c r="AB325" t="s">
        <v>11</v>
      </c>
    </row>
    <row r="326" spans="1:28" x14ac:dyDescent="0.25">
      <c r="A326" t="s">
        <v>2170</v>
      </c>
      <c r="B326" t="s">
        <v>2170</v>
      </c>
      <c r="C326" t="s">
        <v>2171</v>
      </c>
      <c r="D326" t="s">
        <v>2172</v>
      </c>
      <c r="E326" t="s">
        <v>770</v>
      </c>
      <c r="F326" t="s">
        <v>771</v>
      </c>
      <c r="G326" t="s">
        <v>1854</v>
      </c>
      <c r="J326" t="s">
        <v>783</v>
      </c>
      <c r="K326" t="s">
        <v>1855</v>
      </c>
      <c r="L326" t="s">
        <v>1856</v>
      </c>
      <c r="M326" t="s">
        <v>12</v>
      </c>
      <c r="N326" t="s">
        <v>770</v>
      </c>
      <c r="O326">
        <v>1</v>
      </c>
      <c r="P326" t="s">
        <v>776</v>
      </c>
      <c r="Q326">
        <v>19.899999999999999</v>
      </c>
      <c r="R326">
        <v>3.59</v>
      </c>
      <c r="Y326" t="s">
        <v>2173</v>
      </c>
      <c r="Z326" t="s">
        <v>2174</v>
      </c>
      <c r="AA326">
        <v>80055</v>
      </c>
      <c r="AB326" t="s">
        <v>11</v>
      </c>
    </row>
    <row r="327" spans="1:28" x14ac:dyDescent="0.25">
      <c r="A327" t="s">
        <v>2175</v>
      </c>
      <c r="B327" t="s">
        <v>2175</v>
      </c>
      <c r="C327" t="s">
        <v>2176</v>
      </c>
      <c r="D327" t="s">
        <v>2177</v>
      </c>
      <c r="E327" t="s">
        <v>770</v>
      </c>
      <c r="F327" t="s">
        <v>771</v>
      </c>
      <c r="G327" t="s">
        <v>1854</v>
      </c>
      <c r="J327" t="s">
        <v>783</v>
      </c>
      <c r="K327" t="s">
        <v>1862</v>
      </c>
      <c r="L327" t="s">
        <v>1505</v>
      </c>
      <c r="M327" t="s">
        <v>53</v>
      </c>
      <c r="N327" t="s">
        <v>770</v>
      </c>
      <c r="O327">
        <v>1</v>
      </c>
      <c r="P327" t="s">
        <v>776</v>
      </c>
      <c r="Q327">
        <v>32.9</v>
      </c>
      <c r="R327">
        <v>5.93</v>
      </c>
      <c r="Y327" t="s">
        <v>2178</v>
      </c>
      <c r="Z327" t="s">
        <v>2179</v>
      </c>
      <c r="AA327">
        <v>29018</v>
      </c>
      <c r="AB327" t="s">
        <v>11</v>
      </c>
    </row>
    <row r="328" spans="1:28" x14ac:dyDescent="0.25">
      <c r="A328" t="s">
        <v>2180</v>
      </c>
      <c r="B328" t="s">
        <v>2180</v>
      </c>
      <c r="C328" t="s">
        <v>2181</v>
      </c>
      <c r="D328" t="s">
        <v>2182</v>
      </c>
      <c r="E328" t="s">
        <v>770</v>
      </c>
      <c r="F328" t="s">
        <v>771</v>
      </c>
      <c r="G328" t="s">
        <v>1854</v>
      </c>
      <c r="J328" t="s">
        <v>783</v>
      </c>
      <c r="K328" t="s">
        <v>1855</v>
      </c>
      <c r="L328" t="s">
        <v>1856</v>
      </c>
      <c r="M328" t="s">
        <v>12</v>
      </c>
      <c r="N328" t="s">
        <v>770</v>
      </c>
      <c r="O328">
        <v>1</v>
      </c>
      <c r="P328" t="s">
        <v>776</v>
      </c>
      <c r="Q328">
        <v>19.899999999999999</v>
      </c>
      <c r="R328">
        <v>3.59</v>
      </c>
      <c r="Y328" t="s">
        <v>2183</v>
      </c>
      <c r="Z328" t="s">
        <v>1913</v>
      </c>
      <c r="AA328">
        <v>66</v>
      </c>
      <c r="AB328" t="s">
        <v>11</v>
      </c>
    </row>
    <row r="329" spans="1:28" x14ac:dyDescent="0.25">
      <c r="A329" t="s">
        <v>2184</v>
      </c>
      <c r="B329" t="s">
        <v>2184</v>
      </c>
      <c r="C329" t="s">
        <v>2185</v>
      </c>
      <c r="D329" t="s">
        <v>2186</v>
      </c>
      <c r="E329" t="s">
        <v>770</v>
      </c>
      <c r="F329" t="s">
        <v>771</v>
      </c>
      <c r="G329" t="s">
        <v>1854</v>
      </c>
      <c r="J329" t="s">
        <v>783</v>
      </c>
      <c r="K329" t="s">
        <v>2055</v>
      </c>
      <c r="L329" t="s">
        <v>806</v>
      </c>
      <c r="M329" t="s">
        <v>202</v>
      </c>
      <c r="N329" t="s">
        <v>770</v>
      </c>
      <c r="O329">
        <v>1</v>
      </c>
      <c r="P329" t="s">
        <v>776</v>
      </c>
      <c r="Q329">
        <v>14.9</v>
      </c>
      <c r="R329">
        <v>2.69</v>
      </c>
      <c r="Y329" t="s">
        <v>2187</v>
      </c>
      <c r="Z329" t="s">
        <v>2188</v>
      </c>
      <c r="AA329">
        <v>64015</v>
      </c>
      <c r="AB329" t="s">
        <v>11</v>
      </c>
    </row>
    <row r="330" spans="1:28" x14ac:dyDescent="0.25">
      <c r="A330" t="s">
        <v>2189</v>
      </c>
      <c r="B330" t="s">
        <v>2189</v>
      </c>
      <c r="C330" t="s">
        <v>2190</v>
      </c>
      <c r="D330" t="s">
        <v>2191</v>
      </c>
      <c r="E330" t="s">
        <v>770</v>
      </c>
      <c r="F330" t="s">
        <v>771</v>
      </c>
      <c r="G330" t="s">
        <v>1854</v>
      </c>
      <c r="J330" t="s">
        <v>783</v>
      </c>
      <c r="K330" t="s">
        <v>1873</v>
      </c>
      <c r="L330" t="s">
        <v>840</v>
      </c>
      <c r="M330" t="s">
        <v>26</v>
      </c>
      <c r="N330" t="s">
        <v>770</v>
      </c>
      <c r="O330">
        <v>1</v>
      </c>
      <c r="P330" t="s">
        <v>776</v>
      </c>
      <c r="Q330">
        <v>34.9</v>
      </c>
      <c r="R330">
        <v>6.29</v>
      </c>
      <c r="Y330" t="s">
        <v>2192</v>
      </c>
      <c r="Z330" t="s">
        <v>1937</v>
      </c>
      <c r="AA330">
        <v>24018</v>
      </c>
      <c r="AB330" t="s">
        <v>11</v>
      </c>
    </row>
    <row r="331" spans="1:28" x14ac:dyDescent="0.25">
      <c r="A331" t="s">
        <v>2193</v>
      </c>
      <c r="B331" t="s">
        <v>2193</v>
      </c>
      <c r="C331" t="s">
        <v>2194</v>
      </c>
      <c r="D331" t="s">
        <v>2195</v>
      </c>
      <c r="E331" t="s">
        <v>770</v>
      </c>
      <c r="F331" t="s">
        <v>771</v>
      </c>
      <c r="G331" t="s">
        <v>1854</v>
      </c>
      <c r="J331" t="s">
        <v>783</v>
      </c>
      <c r="K331" t="s">
        <v>1862</v>
      </c>
      <c r="L331" t="s">
        <v>1505</v>
      </c>
      <c r="M331" t="s">
        <v>53</v>
      </c>
      <c r="N331" t="s">
        <v>770</v>
      </c>
      <c r="O331">
        <v>1</v>
      </c>
      <c r="P331" t="s">
        <v>776</v>
      </c>
      <c r="Q331">
        <v>32.9</v>
      </c>
      <c r="R331">
        <v>5.93</v>
      </c>
      <c r="Y331" t="s">
        <v>2196</v>
      </c>
      <c r="Z331" t="s">
        <v>2197</v>
      </c>
      <c r="AA331">
        <v>84091</v>
      </c>
      <c r="AB331" t="s">
        <v>11</v>
      </c>
    </row>
    <row r="332" spans="1:28" x14ac:dyDescent="0.25">
      <c r="A332" t="s">
        <v>2198</v>
      </c>
      <c r="B332" t="s">
        <v>2198</v>
      </c>
      <c r="C332" t="s">
        <v>2199</v>
      </c>
      <c r="D332" t="s">
        <v>2200</v>
      </c>
      <c r="E332" t="s">
        <v>770</v>
      </c>
      <c r="F332" t="s">
        <v>771</v>
      </c>
      <c r="G332" t="s">
        <v>1854</v>
      </c>
      <c r="J332" t="s">
        <v>783</v>
      </c>
      <c r="K332" t="s">
        <v>2055</v>
      </c>
      <c r="L332" t="s">
        <v>806</v>
      </c>
      <c r="M332" t="s">
        <v>202</v>
      </c>
      <c r="N332" t="s">
        <v>770</v>
      </c>
      <c r="O332">
        <v>1</v>
      </c>
      <c r="P332" t="s">
        <v>776</v>
      </c>
      <c r="Q332">
        <v>14.9</v>
      </c>
      <c r="R332">
        <v>2.69</v>
      </c>
      <c r="Y332" t="s">
        <v>2201</v>
      </c>
      <c r="Z332" t="s">
        <v>1880</v>
      </c>
      <c r="AA332">
        <v>41012</v>
      </c>
      <c r="AB332" t="s">
        <v>11</v>
      </c>
    </row>
    <row r="333" spans="1:28" x14ac:dyDescent="0.25">
      <c r="A333" t="s">
        <v>2202</v>
      </c>
      <c r="B333" t="s">
        <v>2202</v>
      </c>
      <c r="C333" t="s">
        <v>2203</v>
      </c>
      <c r="D333" t="s">
        <v>2204</v>
      </c>
      <c r="E333" t="s">
        <v>770</v>
      </c>
      <c r="F333" t="s">
        <v>771</v>
      </c>
      <c r="G333" t="s">
        <v>1854</v>
      </c>
      <c r="J333" t="s">
        <v>783</v>
      </c>
      <c r="K333" t="s">
        <v>1855</v>
      </c>
      <c r="L333" t="s">
        <v>1856</v>
      </c>
      <c r="M333" t="s">
        <v>12</v>
      </c>
      <c r="N333" t="s">
        <v>770</v>
      </c>
      <c r="O333">
        <v>1</v>
      </c>
      <c r="P333" t="s">
        <v>776</v>
      </c>
      <c r="Q333">
        <v>19.899999999999999</v>
      </c>
      <c r="R333">
        <v>3.59</v>
      </c>
      <c r="S333">
        <v>4.99</v>
      </c>
      <c r="T333">
        <v>0.9</v>
      </c>
      <c r="Y333" t="s">
        <v>2205</v>
      </c>
      <c r="Z333" t="s">
        <v>2206</v>
      </c>
      <c r="AA333">
        <v>28856</v>
      </c>
      <c r="AB333" t="s">
        <v>11</v>
      </c>
    </row>
    <row r="334" spans="1:28" x14ac:dyDescent="0.25">
      <c r="A334" t="s">
        <v>2207</v>
      </c>
      <c r="C334" t="s">
        <v>2208</v>
      </c>
      <c r="D334" t="s">
        <v>2209</v>
      </c>
      <c r="E334" t="s">
        <v>770</v>
      </c>
      <c r="F334" t="s">
        <v>1884</v>
      </c>
      <c r="G334" t="s">
        <v>1854</v>
      </c>
      <c r="H334" t="s">
        <v>1885</v>
      </c>
      <c r="J334" t="s">
        <v>773</v>
      </c>
      <c r="K334" t="s">
        <v>2210</v>
      </c>
      <c r="L334" t="s">
        <v>64</v>
      </c>
      <c r="M334" t="s">
        <v>63</v>
      </c>
      <c r="N334" t="s">
        <v>770</v>
      </c>
      <c r="O334">
        <v>1</v>
      </c>
      <c r="P334" t="s">
        <v>776</v>
      </c>
      <c r="Q334">
        <v>70.900000000000006</v>
      </c>
      <c r="R334">
        <v>12.79</v>
      </c>
      <c r="S334">
        <v>3</v>
      </c>
      <c r="T334">
        <v>0.54</v>
      </c>
      <c r="Y334" t="s">
        <v>2211</v>
      </c>
      <c r="Z334" t="s">
        <v>2212</v>
      </c>
      <c r="AA334">
        <v>63066</v>
      </c>
      <c r="AB334" t="s">
        <v>11</v>
      </c>
    </row>
    <row r="335" spans="1:28" x14ac:dyDescent="0.25">
      <c r="A335" t="s">
        <v>2213</v>
      </c>
      <c r="B335" t="s">
        <v>2213</v>
      </c>
      <c r="C335" t="s">
        <v>2214</v>
      </c>
      <c r="D335" t="s">
        <v>2215</v>
      </c>
      <c r="E335" t="s">
        <v>770</v>
      </c>
      <c r="F335" t="s">
        <v>771</v>
      </c>
      <c r="G335" t="s">
        <v>1854</v>
      </c>
      <c r="J335" t="s">
        <v>783</v>
      </c>
      <c r="K335" t="s">
        <v>1855</v>
      </c>
      <c r="L335" t="s">
        <v>1856</v>
      </c>
      <c r="M335" t="s">
        <v>12</v>
      </c>
      <c r="N335" t="s">
        <v>770</v>
      </c>
      <c r="O335">
        <v>1</v>
      </c>
      <c r="P335" t="s">
        <v>776</v>
      </c>
      <c r="Q335">
        <v>19.899999999999999</v>
      </c>
      <c r="R335">
        <v>3.59</v>
      </c>
      <c r="Y335" t="s">
        <v>1913</v>
      </c>
      <c r="Z335" t="s">
        <v>1926</v>
      </c>
      <c r="AA335">
        <v>148</v>
      </c>
      <c r="AB335" t="s">
        <v>11</v>
      </c>
    </row>
    <row r="336" spans="1:28" x14ac:dyDescent="0.25">
      <c r="A336" t="s">
        <v>2216</v>
      </c>
      <c r="B336" t="s">
        <v>2216</v>
      </c>
      <c r="C336" t="s">
        <v>2217</v>
      </c>
      <c r="D336" t="s">
        <v>2218</v>
      </c>
      <c r="E336" t="s">
        <v>770</v>
      </c>
      <c r="F336" t="s">
        <v>771</v>
      </c>
      <c r="G336" t="s">
        <v>1854</v>
      </c>
      <c r="J336" t="s">
        <v>783</v>
      </c>
      <c r="K336" t="s">
        <v>1855</v>
      </c>
      <c r="L336" t="s">
        <v>1856</v>
      </c>
      <c r="M336" t="s">
        <v>12</v>
      </c>
      <c r="N336" t="s">
        <v>770</v>
      </c>
      <c r="O336">
        <v>1</v>
      </c>
      <c r="P336" t="s">
        <v>776</v>
      </c>
      <c r="Q336">
        <v>19.899999999999999</v>
      </c>
      <c r="R336">
        <v>3.59</v>
      </c>
      <c r="Y336" t="s">
        <v>1997</v>
      </c>
      <c r="Z336" t="s">
        <v>2219</v>
      </c>
      <c r="AA336">
        <v>50126</v>
      </c>
      <c r="AB336" t="s">
        <v>11</v>
      </c>
    </row>
    <row r="337" spans="1:28" x14ac:dyDescent="0.25">
      <c r="A337" t="s">
        <v>2220</v>
      </c>
      <c r="B337" t="s">
        <v>2220</v>
      </c>
      <c r="C337" t="s">
        <v>2221</v>
      </c>
      <c r="D337" t="s">
        <v>2222</v>
      </c>
      <c r="E337" t="s">
        <v>770</v>
      </c>
      <c r="F337" t="s">
        <v>771</v>
      </c>
      <c r="G337" t="s">
        <v>1854</v>
      </c>
      <c r="J337" t="s">
        <v>783</v>
      </c>
      <c r="K337" t="s">
        <v>1855</v>
      </c>
      <c r="L337" t="s">
        <v>1856</v>
      </c>
      <c r="M337" t="s">
        <v>12</v>
      </c>
      <c r="N337" t="s">
        <v>770</v>
      </c>
      <c r="O337">
        <v>1</v>
      </c>
      <c r="P337" t="s">
        <v>776</v>
      </c>
      <c r="Q337">
        <v>19.899999999999999</v>
      </c>
      <c r="R337">
        <v>3.59</v>
      </c>
      <c r="Y337" t="s">
        <v>1908</v>
      </c>
      <c r="Z337" t="s">
        <v>1908</v>
      </c>
      <c r="AA337">
        <v>80129</v>
      </c>
      <c r="AB337" t="s">
        <v>11</v>
      </c>
    </row>
    <row r="338" spans="1:28" x14ac:dyDescent="0.25">
      <c r="A338" t="s">
        <v>2223</v>
      </c>
      <c r="B338" t="s">
        <v>2223</v>
      </c>
      <c r="C338" t="s">
        <v>2224</v>
      </c>
      <c r="D338" t="s">
        <v>2225</v>
      </c>
      <c r="E338" t="s">
        <v>770</v>
      </c>
      <c r="F338" t="s">
        <v>771</v>
      </c>
      <c r="G338" t="s">
        <v>1854</v>
      </c>
      <c r="J338" t="s">
        <v>783</v>
      </c>
      <c r="K338" t="s">
        <v>1855</v>
      </c>
      <c r="L338" t="s">
        <v>1856</v>
      </c>
      <c r="M338" t="s">
        <v>12</v>
      </c>
      <c r="N338" t="s">
        <v>770</v>
      </c>
      <c r="O338">
        <v>1</v>
      </c>
      <c r="P338" t="s">
        <v>776</v>
      </c>
      <c r="Q338">
        <v>19.899999999999999</v>
      </c>
      <c r="R338">
        <v>3.59</v>
      </c>
      <c r="S338">
        <v>4.99</v>
      </c>
      <c r="T338">
        <v>0.9</v>
      </c>
      <c r="Y338" t="s">
        <v>2226</v>
      </c>
      <c r="Z338" t="s">
        <v>2227</v>
      </c>
      <c r="AA338">
        <v>67100</v>
      </c>
      <c r="AB338" t="s">
        <v>11</v>
      </c>
    </row>
    <row r="339" spans="1:28" x14ac:dyDescent="0.25">
      <c r="A339" t="s">
        <v>2228</v>
      </c>
      <c r="B339" t="s">
        <v>2228</v>
      </c>
      <c r="C339" t="s">
        <v>2229</v>
      </c>
      <c r="D339" t="s">
        <v>2230</v>
      </c>
      <c r="E339" t="s">
        <v>770</v>
      </c>
      <c r="F339" t="s">
        <v>771</v>
      </c>
      <c r="G339" t="s">
        <v>1854</v>
      </c>
      <c r="J339" t="s">
        <v>783</v>
      </c>
      <c r="K339" t="s">
        <v>1930</v>
      </c>
      <c r="L339" t="s">
        <v>775</v>
      </c>
      <c r="M339" t="s">
        <v>65</v>
      </c>
      <c r="N339" t="s">
        <v>770</v>
      </c>
      <c r="O339">
        <v>1</v>
      </c>
      <c r="P339" t="s">
        <v>776</v>
      </c>
      <c r="Q339">
        <v>29.9</v>
      </c>
      <c r="R339">
        <v>5.39</v>
      </c>
      <c r="Y339" t="s">
        <v>2231</v>
      </c>
      <c r="Z339" t="s">
        <v>2030</v>
      </c>
      <c r="AA339">
        <v>38050</v>
      </c>
      <c r="AB339" t="s">
        <v>11</v>
      </c>
    </row>
    <row r="340" spans="1:28" x14ac:dyDescent="0.25">
      <c r="A340" t="s">
        <v>2232</v>
      </c>
      <c r="B340" t="s">
        <v>2232</v>
      </c>
      <c r="C340" t="s">
        <v>2233</v>
      </c>
      <c r="D340" t="s">
        <v>2234</v>
      </c>
      <c r="E340" t="s">
        <v>770</v>
      </c>
      <c r="F340" t="s">
        <v>771</v>
      </c>
      <c r="G340" t="s">
        <v>1854</v>
      </c>
      <c r="J340" t="s">
        <v>783</v>
      </c>
      <c r="K340" t="s">
        <v>1855</v>
      </c>
      <c r="L340" t="s">
        <v>1856</v>
      </c>
      <c r="M340" t="s">
        <v>12</v>
      </c>
      <c r="N340" t="s">
        <v>770</v>
      </c>
      <c r="O340">
        <v>1</v>
      </c>
      <c r="P340" t="s">
        <v>776</v>
      </c>
      <c r="Q340">
        <v>19.899999999999999</v>
      </c>
      <c r="R340">
        <v>3.59</v>
      </c>
      <c r="Y340" t="s">
        <v>2235</v>
      </c>
      <c r="Z340" t="s">
        <v>2236</v>
      </c>
      <c r="AA340">
        <v>54011</v>
      </c>
      <c r="AB340" t="s">
        <v>11</v>
      </c>
    </row>
    <row r="341" spans="1:28" x14ac:dyDescent="0.25">
      <c r="A341" t="s">
        <v>2237</v>
      </c>
      <c r="B341" t="s">
        <v>2237</v>
      </c>
      <c r="C341" t="s">
        <v>2238</v>
      </c>
      <c r="D341" t="s">
        <v>2239</v>
      </c>
      <c r="E341" t="s">
        <v>782</v>
      </c>
      <c r="F341" t="s">
        <v>771</v>
      </c>
      <c r="G341" t="s">
        <v>1854</v>
      </c>
      <c r="J341" t="s">
        <v>783</v>
      </c>
      <c r="K341" t="s">
        <v>1855</v>
      </c>
      <c r="L341" t="s">
        <v>1856</v>
      </c>
      <c r="M341" t="s">
        <v>12</v>
      </c>
      <c r="N341" t="s">
        <v>782</v>
      </c>
      <c r="O341">
        <v>0</v>
      </c>
      <c r="Y341" t="s">
        <v>2240</v>
      </c>
      <c r="Z341" t="s">
        <v>2057</v>
      </c>
      <c r="AA341">
        <v>37030</v>
      </c>
      <c r="AB341" t="s">
        <v>11</v>
      </c>
    </row>
    <row r="342" spans="1:28" x14ac:dyDescent="0.25">
      <c r="A342" t="s">
        <v>2241</v>
      </c>
      <c r="B342" t="s">
        <v>2241</v>
      </c>
      <c r="C342" t="s">
        <v>2242</v>
      </c>
      <c r="D342" t="s">
        <v>2243</v>
      </c>
      <c r="E342" t="s">
        <v>770</v>
      </c>
      <c r="F342" t="s">
        <v>771</v>
      </c>
      <c r="G342" t="s">
        <v>1854</v>
      </c>
      <c r="J342" t="s">
        <v>783</v>
      </c>
      <c r="K342" t="s">
        <v>1855</v>
      </c>
      <c r="L342" t="s">
        <v>1856</v>
      </c>
      <c r="M342" t="s">
        <v>12</v>
      </c>
      <c r="N342" t="s">
        <v>770</v>
      </c>
      <c r="O342">
        <v>1</v>
      </c>
      <c r="P342" t="s">
        <v>776</v>
      </c>
      <c r="Q342">
        <v>19.899999999999999</v>
      </c>
      <c r="R342">
        <v>3.59</v>
      </c>
      <c r="S342">
        <v>1.63</v>
      </c>
      <c r="X342">
        <v>1.63</v>
      </c>
      <c r="Y342" t="s">
        <v>2244</v>
      </c>
      <c r="Z342" t="s">
        <v>2244</v>
      </c>
      <c r="AA342">
        <v>59100</v>
      </c>
      <c r="AB342" t="s">
        <v>11</v>
      </c>
    </row>
    <row r="343" spans="1:28" x14ac:dyDescent="0.25">
      <c r="A343" t="s">
        <v>2245</v>
      </c>
      <c r="C343" t="s">
        <v>2246</v>
      </c>
      <c r="D343" t="s">
        <v>2247</v>
      </c>
      <c r="E343" t="s">
        <v>770</v>
      </c>
      <c r="F343" t="s">
        <v>1884</v>
      </c>
      <c r="G343" t="s">
        <v>1854</v>
      </c>
      <c r="H343" t="s">
        <v>1885</v>
      </c>
      <c r="J343" t="s">
        <v>773</v>
      </c>
      <c r="K343" t="s">
        <v>2248</v>
      </c>
      <c r="L343" t="s">
        <v>173</v>
      </c>
      <c r="M343" t="s">
        <v>172</v>
      </c>
      <c r="N343" t="s">
        <v>770</v>
      </c>
      <c r="O343">
        <v>1</v>
      </c>
      <c r="P343" t="s">
        <v>776</v>
      </c>
      <c r="Q343">
        <v>39.9</v>
      </c>
      <c r="R343">
        <v>7.2</v>
      </c>
      <c r="S343">
        <v>3</v>
      </c>
      <c r="T343">
        <v>0.54</v>
      </c>
      <c r="Y343" t="s">
        <v>2249</v>
      </c>
      <c r="Z343" t="s">
        <v>1908</v>
      </c>
      <c r="AA343">
        <v>80016</v>
      </c>
      <c r="AB343" t="s">
        <v>11</v>
      </c>
    </row>
    <row r="344" spans="1:28" x14ac:dyDescent="0.25">
      <c r="A344" t="s">
        <v>2250</v>
      </c>
      <c r="B344" t="s">
        <v>2250</v>
      </c>
      <c r="C344" t="s">
        <v>2246</v>
      </c>
      <c r="D344" t="s">
        <v>2251</v>
      </c>
      <c r="E344" t="s">
        <v>770</v>
      </c>
      <c r="F344" t="s">
        <v>771</v>
      </c>
      <c r="G344" t="s">
        <v>1854</v>
      </c>
      <c r="J344" t="s">
        <v>783</v>
      </c>
      <c r="K344" t="s">
        <v>2252</v>
      </c>
      <c r="L344" t="s">
        <v>2253</v>
      </c>
      <c r="M344" t="s">
        <v>73</v>
      </c>
      <c r="N344" t="s">
        <v>770</v>
      </c>
      <c r="O344">
        <v>1</v>
      </c>
      <c r="P344" t="s">
        <v>776</v>
      </c>
      <c r="Q344">
        <v>16.899999999999999</v>
      </c>
      <c r="R344">
        <v>3.05</v>
      </c>
      <c r="S344">
        <v>3.99</v>
      </c>
      <c r="T344">
        <v>0.72</v>
      </c>
      <c r="Y344" t="s">
        <v>2249</v>
      </c>
      <c r="Z344" t="s">
        <v>1908</v>
      </c>
      <c r="AA344">
        <v>80016</v>
      </c>
      <c r="AB344" t="s">
        <v>11</v>
      </c>
    </row>
    <row r="345" spans="1:28" x14ac:dyDescent="0.25">
      <c r="A345" t="s">
        <v>2254</v>
      </c>
      <c r="B345" t="s">
        <v>2254</v>
      </c>
      <c r="C345" t="s">
        <v>2255</v>
      </c>
      <c r="D345" t="s">
        <v>2256</v>
      </c>
      <c r="E345" t="s">
        <v>770</v>
      </c>
      <c r="F345" t="s">
        <v>771</v>
      </c>
      <c r="G345" t="s">
        <v>1854</v>
      </c>
      <c r="J345" t="s">
        <v>783</v>
      </c>
      <c r="K345" t="s">
        <v>2162</v>
      </c>
      <c r="L345" t="s">
        <v>2163</v>
      </c>
      <c r="M345" t="s">
        <v>59</v>
      </c>
      <c r="N345" t="s">
        <v>770</v>
      </c>
      <c r="O345">
        <v>1</v>
      </c>
      <c r="P345" t="s">
        <v>776</v>
      </c>
      <c r="Q345">
        <v>29.9</v>
      </c>
      <c r="R345">
        <v>5.39</v>
      </c>
      <c r="Y345" t="s">
        <v>1888</v>
      </c>
      <c r="Z345" t="s">
        <v>2257</v>
      </c>
      <c r="AA345">
        <v>40139</v>
      </c>
      <c r="AB345" t="s">
        <v>11</v>
      </c>
    </row>
    <row r="346" spans="1:28" x14ac:dyDescent="0.25">
      <c r="A346" t="s">
        <v>2258</v>
      </c>
      <c r="B346" t="s">
        <v>2258</v>
      </c>
      <c r="C346" t="s">
        <v>2259</v>
      </c>
      <c r="D346" t="s">
        <v>2260</v>
      </c>
      <c r="E346" t="s">
        <v>782</v>
      </c>
      <c r="F346" t="s">
        <v>771</v>
      </c>
      <c r="G346" t="s">
        <v>1854</v>
      </c>
      <c r="J346" t="s">
        <v>783</v>
      </c>
      <c r="K346" t="s">
        <v>1855</v>
      </c>
      <c r="L346" t="s">
        <v>1856</v>
      </c>
      <c r="M346" t="s">
        <v>12</v>
      </c>
      <c r="N346" t="s">
        <v>782</v>
      </c>
      <c r="O346">
        <v>0</v>
      </c>
      <c r="Y346" t="s">
        <v>2244</v>
      </c>
      <c r="Z346" t="s">
        <v>2244</v>
      </c>
      <c r="AA346">
        <v>59100</v>
      </c>
      <c r="AB346" t="s">
        <v>11</v>
      </c>
    </row>
    <row r="347" spans="1:28" x14ac:dyDescent="0.25">
      <c r="A347" t="s">
        <v>2261</v>
      </c>
      <c r="B347" t="s">
        <v>2261</v>
      </c>
      <c r="C347" t="s">
        <v>2262</v>
      </c>
      <c r="D347" t="s">
        <v>2263</v>
      </c>
      <c r="E347" t="s">
        <v>770</v>
      </c>
      <c r="F347" t="s">
        <v>771</v>
      </c>
      <c r="G347" t="s">
        <v>1854</v>
      </c>
      <c r="J347" t="s">
        <v>783</v>
      </c>
      <c r="K347" t="s">
        <v>1855</v>
      </c>
      <c r="L347" t="s">
        <v>1856</v>
      </c>
      <c r="M347" t="s">
        <v>12</v>
      </c>
      <c r="N347" t="s">
        <v>770</v>
      </c>
      <c r="O347">
        <v>1</v>
      </c>
      <c r="P347" t="s">
        <v>776</v>
      </c>
      <c r="Q347">
        <v>19.899999999999999</v>
      </c>
      <c r="R347">
        <v>3.59</v>
      </c>
      <c r="Y347" t="s">
        <v>2264</v>
      </c>
      <c r="Z347" t="s">
        <v>2236</v>
      </c>
      <c r="AA347">
        <v>54029</v>
      </c>
      <c r="AB347" t="s">
        <v>11</v>
      </c>
    </row>
    <row r="348" spans="1:28" x14ac:dyDescent="0.25">
      <c r="A348" t="s">
        <v>2265</v>
      </c>
      <c r="B348" t="s">
        <v>2265</v>
      </c>
      <c r="C348" t="s">
        <v>2266</v>
      </c>
      <c r="D348" t="s">
        <v>2267</v>
      </c>
      <c r="E348" t="s">
        <v>770</v>
      </c>
      <c r="F348" t="s">
        <v>771</v>
      </c>
      <c r="G348" t="s">
        <v>1854</v>
      </c>
      <c r="J348" t="s">
        <v>783</v>
      </c>
      <c r="K348" t="s">
        <v>1855</v>
      </c>
      <c r="L348" t="s">
        <v>1856</v>
      </c>
      <c r="M348" t="s">
        <v>12</v>
      </c>
      <c r="N348" t="s">
        <v>770</v>
      </c>
      <c r="O348">
        <v>1</v>
      </c>
      <c r="P348" t="s">
        <v>776</v>
      </c>
      <c r="Q348">
        <v>19.899999999999999</v>
      </c>
      <c r="R348">
        <v>3.59</v>
      </c>
      <c r="Y348" t="s">
        <v>2268</v>
      </c>
      <c r="Z348" t="s">
        <v>2269</v>
      </c>
      <c r="AA348">
        <v>9030</v>
      </c>
      <c r="AB348" t="s">
        <v>11</v>
      </c>
    </row>
    <row r="349" spans="1:28" x14ac:dyDescent="0.25">
      <c r="A349" t="s">
        <v>2270</v>
      </c>
      <c r="B349" t="s">
        <v>2270</v>
      </c>
      <c r="C349" t="s">
        <v>2271</v>
      </c>
      <c r="D349" t="s">
        <v>2272</v>
      </c>
      <c r="E349" t="s">
        <v>782</v>
      </c>
      <c r="F349" t="s">
        <v>771</v>
      </c>
      <c r="G349" t="s">
        <v>1854</v>
      </c>
      <c r="J349" t="s">
        <v>783</v>
      </c>
      <c r="K349" t="s">
        <v>1855</v>
      </c>
      <c r="L349" t="s">
        <v>1856</v>
      </c>
      <c r="M349" t="s">
        <v>12</v>
      </c>
      <c r="N349" t="s">
        <v>782</v>
      </c>
      <c r="O349">
        <v>0</v>
      </c>
      <c r="Y349" t="s">
        <v>2273</v>
      </c>
      <c r="Z349" t="s">
        <v>2057</v>
      </c>
      <c r="AA349">
        <v>37045</v>
      </c>
      <c r="AB349" t="s">
        <v>11</v>
      </c>
    </row>
    <row r="350" spans="1:28" x14ac:dyDescent="0.25">
      <c r="A350" t="s">
        <v>2274</v>
      </c>
      <c r="B350" t="s">
        <v>2274</v>
      </c>
      <c r="C350" t="s">
        <v>2275</v>
      </c>
      <c r="D350" t="s">
        <v>2276</v>
      </c>
      <c r="E350" t="s">
        <v>770</v>
      </c>
      <c r="F350" t="s">
        <v>771</v>
      </c>
      <c r="G350" t="s">
        <v>1854</v>
      </c>
      <c r="J350" t="s">
        <v>783</v>
      </c>
      <c r="K350" t="s">
        <v>1855</v>
      </c>
      <c r="L350" t="s">
        <v>1856</v>
      </c>
      <c r="M350" t="s">
        <v>12</v>
      </c>
      <c r="N350" t="s">
        <v>770</v>
      </c>
      <c r="O350">
        <v>1</v>
      </c>
      <c r="P350" t="s">
        <v>776</v>
      </c>
      <c r="Q350">
        <v>19.899999999999999</v>
      </c>
      <c r="R350">
        <v>3.59</v>
      </c>
      <c r="Y350" t="s">
        <v>1880</v>
      </c>
      <c r="Z350" t="s">
        <v>2148</v>
      </c>
      <c r="AA350">
        <v>41122</v>
      </c>
      <c r="AB350" t="s">
        <v>11</v>
      </c>
    </row>
    <row r="351" spans="1:28" x14ac:dyDescent="0.25">
      <c r="A351" t="s">
        <v>2277</v>
      </c>
      <c r="B351" t="s">
        <v>2277</v>
      </c>
      <c r="C351" t="s">
        <v>2278</v>
      </c>
      <c r="D351" t="s">
        <v>2279</v>
      </c>
      <c r="E351" t="s">
        <v>770</v>
      </c>
      <c r="F351" t="s">
        <v>771</v>
      </c>
      <c r="G351" t="s">
        <v>1854</v>
      </c>
      <c r="J351" t="s">
        <v>783</v>
      </c>
      <c r="K351" t="s">
        <v>1873</v>
      </c>
      <c r="L351" t="s">
        <v>840</v>
      </c>
      <c r="M351" t="s">
        <v>26</v>
      </c>
      <c r="N351" t="s">
        <v>770</v>
      </c>
      <c r="O351">
        <v>1</v>
      </c>
      <c r="P351" t="s">
        <v>776</v>
      </c>
      <c r="Q351">
        <v>34.9</v>
      </c>
      <c r="R351">
        <v>6.29</v>
      </c>
      <c r="S351">
        <v>4.99</v>
      </c>
      <c r="T351">
        <v>0.9</v>
      </c>
      <c r="Y351" t="s">
        <v>2280</v>
      </c>
      <c r="Z351" t="s">
        <v>2281</v>
      </c>
      <c r="AA351">
        <v>73030</v>
      </c>
      <c r="AB351" t="s">
        <v>11</v>
      </c>
    </row>
    <row r="352" spans="1:28" x14ac:dyDescent="0.25">
      <c r="A352" t="s">
        <v>2282</v>
      </c>
      <c r="B352" t="s">
        <v>2282</v>
      </c>
      <c r="C352" t="s">
        <v>2283</v>
      </c>
      <c r="D352" t="s">
        <v>2284</v>
      </c>
      <c r="E352" t="s">
        <v>770</v>
      </c>
      <c r="F352" t="s">
        <v>771</v>
      </c>
      <c r="G352" t="s">
        <v>1854</v>
      </c>
      <c r="J352" t="s">
        <v>783</v>
      </c>
      <c r="K352" t="s">
        <v>1855</v>
      </c>
      <c r="L352" t="s">
        <v>1856</v>
      </c>
      <c r="M352" t="s">
        <v>12</v>
      </c>
      <c r="N352" t="s">
        <v>770</v>
      </c>
      <c r="O352">
        <v>1</v>
      </c>
      <c r="P352" t="s">
        <v>776</v>
      </c>
      <c r="Q352">
        <v>19.899999999999999</v>
      </c>
      <c r="R352">
        <v>3.59</v>
      </c>
      <c r="Y352" t="s">
        <v>2285</v>
      </c>
      <c r="Z352" t="s">
        <v>2286</v>
      </c>
      <c r="AA352">
        <v>56048</v>
      </c>
      <c r="AB352" t="s">
        <v>11</v>
      </c>
    </row>
    <row r="353" spans="1:35" x14ac:dyDescent="0.25">
      <c r="A353" t="s">
        <v>2287</v>
      </c>
      <c r="B353" t="s">
        <v>2287</v>
      </c>
      <c r="C353" t="s">
        <v>2288</v>
      </c>
      <c r="D353" t="s">
        <v>2289</v>
      </c>
      <c r="E353" t="s">
        <v>770</v>
      </c>
      <c r="F353" t="s">
        <v>771</v>
      </c>
      <c r="G353" t="s">
        <v>1854</v>
      </c>
      <c r="J353" t="s">
        <v>783</v>
      </c>
      <c r="K353" t="s">
        <v>1873</v>
      </c>
      <c r="L353" t="s">
        <v>840</v>
      </c>
      <c r="M353" t="s">
        <v>26</v>
      </c>
      <c r="N353" t="s">
        <v>770</v>
      </c>
      <c r="O353">
        <v>1</v>
      </c>
      <c r="P353" t="s">
        <v>776</v>
      </c>
      <c r="Q353">
        <v>34.9</v>
      </c>
      <c r="R353">
        <v>6.29</v>
      </c>
      <c r="S353">
        <v>4.99</v>
      </c>
      <c r="T353">
        <v>0.9</v>
      </c>
      <c r="Y353" t="s">
        <v>2290</v>
      </c>
      <c r="Z353" t="s">
        <v>1893</v>
      </c>
      <c r="AA353">
        <v>10090</v>
      </c>
      <c r="AB353" t="s">
        <v>11</v>
      </c>
    </row>
    <row r="354" spans="1:35" x14ac:dyDescent="0.25">
      <c r="A354" t="s">
        <v>2291</v>
      </c>
      <c r="B354" t="s">
        <v>2291</v>
      </c>
      <c r="C354" t="s">
        <v>2292</v>
      </c>
      <c r="D354" t="s">
        <v>2293</v>
      </c>
      <c r="E354" t="s">
        <v>770</v>
      </c>
      <c r="F354" t="s">
        <v>771</v>
      </c>
      <c r="G354" t="s">
        <v>1854</v>
      </c>
      <c r="J354" t="s">
        <v>783</v>
      </c>
      <c r="K354" t="s">
        <v>2294</v>
      </c>
      <c r="L354" t="s">
        <v>2295</v>
      </c>
      <c r="M354" t="s">
        <v>232</v>
      </c>
      <c r="N354" t="s">
        <v>770</v>
      </c>
      <c r="O354">
        <v>1</v>
      </c>
      <c r="P354" t="s">
        <v>776</v>
      </c>
      <c r="Q354">
        <v>49.9</v>
      </c>
      <c r="R354">
        <v>9</v>
      </c>
      <c r="Y354" t="s">
        <v>2296</v>
      </c>
      <c r="Z354" t="s">
        <v>1898</v>
      </c>
      <c r="AA354">
        <v>46035</v>
      </c>
      <c r="AB354" t="s">
        <v>11</v>
      </c>
    </row>
    <row r="355" spans="1:35" x14ac:dyDescent="0.25">
      <c r="A355" t="s">
        <v>2297</v>
      </c>
      <c r="B355" t="s">
        <v>2297</v>
      </c>
      <c r="C355" t="s">
        <v>2298</v>
      </c>
      <c r="D355" t="s">
        <v>2299</v>
      </c>
      <c r="E355" t="s">
        <v>770</v>
      </c>
      <c r="F355" t="s">
        <v>771</v>
      </c>
      <c r="G355" t="s">
        <v>1854</v>
      </c>
      <c r="J355" t="s">
        <v>783</v>
      </c>
      <c r="K355" t="s">
        <v>1855</v>
      </c>
      <c r="L355" t="s">
        <v>1856</v>
      </c>
      <c r="M355" t="s">
        <v>12</v>
      </c>
      <c r="N355" t="s">
        <v>770</v>
      </c>
      <c r="O355">
        <v>1</v>
      </c>
      <c r="P355" t="s">
        <v>776</v>
      </c>
      <c r="Q355">
        <v>19.899999999999999</v>
      </c>
      <c r="R355">
        <v>3.59</v>
      </c>
      <c r="Y355" t="s">
        <v>1961</v>
      </c>
      <c r="Z355" t="s">
        <v>2300</v>
      </c>
      <c r="AA355">
        <v>20125</v>
      </c>
      <c r="AB355" t="s">
        <v>11</v>
      </c>
    </row>
    <row r="356" spans="1:35" x14ac:dyDescent="0.25">
      <c r="A356" t="s">
        <v>2301</v>
      </c>
      <c r="B356" t="s">
        <v>2301</v>
      </c>
      <c r="C356" t="s">
        <v>2302</v>
      </c>
      <c r="D356" t="s">
        <v>2303</v>
      </c>
      <c r="E356" t="s">
        <v>770</v>
      </c>
      <c r="F356" t="s">
        <v>771</v>
      </c>
      <c r="G356" t="s">
        <v>1854</v>
      </c>
      <c r="J356" t="s">
        <v>783</v>
      </c>
      <c r="K356" t="s">
        <v>2162</v>
      </c>
      <c r="L356" t="s">
        <v>2163</v>
      </c>
      <c r="M356" t="s">
        <v>59</v>
      </c>
      <c r="N356" t="s">
        <v>770</v>
      </c>
      <c r="O356">
        <v>1</v>
      </c>
      <c r="P356" t="s">
        <v>776</v>
      </c>
      <c r="Q356">
        <v>29.9</v>
      </c>
      <c r="R356">
        <v>5.39</v>
      </c>
      <c r="Y356" t="s">
        <v>2304</v>
      </c>
      <c r="Z356" t="s">
        <v>2305</v>
      </c>
      <c r="AA356">
        <v>83010</v>
      </c>
      <c r="AB356" t="s">
        <v>11</v>
      </c>
    </row>
    <row r="357" spans="1:35" x14ac:dyDescent="0.25">
      <c r="A357" t="s">
        <v>2306</v>
      </c>
      <c r="B357" t="s">
        <v>2306</v>
      </c>
      <c r="C357" t="s">
        <v>2307</v>
      </c>
      <c r="D357" t="s">
        <v>2308</v>
      </c>
      <c r="E357" t="s">
        <v>770</v>
      </c>
      <c r="F357" t="s">
        <v>771</v>
      </c>
      <c r="G357" t="s">
        <v>1854</v>
      </c>
      <c r="J357" t="s">
        <v>783</v>
      </c>
      <c r="K357" t="s">
        <v>1855</v>
      </c>
      <c r="L357" t="s">
        <v>1856</v>
      </c>
      <c r="M357" t="s">
        <v>12</v>
      </c>
      <c r="N357" t="s">
        <v>770</v>
      </c>
      <c r="O357">
        <v>1</v>
      </c>
      <c r="P357" t="s">
        <v>776</v>
      </c>
      <c r="Q357">
        <v>19.899999999999999</v>
      </c>
      <c r="R357">
        <v>3.59</v>
      </c>
      <c r="Y357" t="s">
        <v>2196</v>
      </c>
      <c r="Z357" t="s">
        <v>2153</v>
      </c>
      <c r="AA357">
        <v>84091</v>
      </c>
      <c r="AB357" t="s">
        <v>11</v>
      </c>
    </row>
    <row r="358" spans="1:35" x14ac:dyDescent="0.25">
      <c r="A358" t="s">
        <v>2309</v>
      </c>
      <c r="B358" t="s">
        <v>2309</v>
      </c>
      <c r="C358" t="s">
        <v>2310</v>
      </c>
      <c r="D358" t="s">
        <v>2311</v>
      </c>
      <c r="E358" t="s">
        <v>770</v>
      </c>
      <c r="F358" t="s">
        <v>771</v>
      </c>
      <c r="G358" t="s">
        <v>1854</v>
      </c>
      <c r="J358" t="s">
        <v>783</v>
      </c>
      <c r="K358" t="s">
        <v>1855</v>
      </c>
      <c r="L358" t="s">
        <v>1856</v>
      </c>
      <c r="M358" t="s">
        <v>12</v>
      </c>
      <c r="N358" t="s">
        <v>770</v>
      </c>
      <c r="O358">
        <v>1</v>
      </c>
      <c r="P358" t="s">
        <v>776</v>
      </c>
      <c r="Q358">
        <v>19.899999999999999</v>
      </c>
      <c r="R358">
        <v>3.59</v>
      </c>
      <c r="Y358" t="s">
        <v>1917</v>
      </c>
      <c r="Z358" t="s">
        <v>1864</v>
      </c>
      <c r="AA358">
        <v>20154</v>
      </c>
      <c r="AB358" t="s">
        <v>11</v>
      </c>
    </row>
    <row r="359" spans="1:35" x14ac:dyDescent="0.25">
      <c r="A359" t="s">
        <v>2312</v>
      </c>
      <c r="C359" t="s">
        <v>2313</v>
      </c>
      <c r="D359" t="s">
        <v>2314</v>
      </c>
      <c r="E359" t="s">
        <v>770</v>
      </c>
      <c r="F359" t="s">
        <v>1884</v>
      </c>
      <c r="G359" t="s">
        <v>1854</v>
      </c>
      <c r="H359" t="s">
        <v>1885</v>
      </c>
      <c r="J359" t="s">
        <v>773</v>
      </c>
      <c r="K359" t="s">
        <v>2055</v>
      </c>
      <c r="L359" s="2">
        <v>40405</v>
      </c>
      <c r="M359" t="s">
        <v>202</v>
      </c>
      <c r="N359" t="s">
        <v>770</v>
      </c>
      <c r="O359">
        <v>3</v>
      </c>
      <c r="P359" t="s">
        <v>776</v>
      </c>
      <c r="Q359">
        <v>44.7</v>
      </c>
      <c r="R359">
        <v>8.07</v>
      </c>
      <c r="S359">
        <v>9</v>
      </c>
      <c r="T359">
        <v>1.62</v>
      </c>
      <c r="Y359" t="s">
        <v>1888</v>
      </c>
      <c r="Z359" t="s">
        <v>1888</v>
      </c>
      <c r="AA359">
        <v>40127</v>
      </c>
      <c r="AB359" t="s">
        <v>11</v>
      </c>
      <c r="AG359" t="s">
        <v>2315</v>
      </c>
      <c r="AH359" t="s">
        <v>11</v>
      </c>
      <c r="AI359" t="s">
        <v>1258</v>
      </c>
    </row>
    <row r="360" spans="1:35" x14ac:dyDescent="0.25">
      <c r="A360" t="s">
        <v>2316</v>
      </c>
      <c r="B360" t="s">
        <v>2316</v>
      </c>
      <c r="C360" t="s">
        <v>2317</v>
      </c>
      <c r="D360" t="s">
        <v>2318</v>
      </c>
      <c r="E360" t="s">
        <v>770</v>
      </c>
      <c r="F360" t="s">
        <v>771</v>
      </c>
      <c r="G360" t="s">
        <v>1854</v>
      </c>
      <c r="J360" t="s">
        <v>783</v>
      </c>
      <c r="K360" t="s">
        <v>2319</v>
      </c>
      <c r="L360" t="s">
        <v>1080</v>
      </c>
      <c r="M360" t="s">
        <v>186</v>
      </c>
      <c r="N360" t="s">
        <v>770</v>
      </c>
      <c r="O360">
        <v>1</v>
      </c>
      <c r="P360" t="s">
        <v>776</v>
      </c>
      <c r="Q360">
        <v>39.9</v>
      </c>
      <c r="R360">
        <v>7.2</v>
      </c>
      <c r="S360">
        <v>1.95</v>
      </c>
      <c r="X360">
        <v>1.95</v>
      </c>
      <c r="Y360" t="s">
        <v>2320</v>
      </c>
      <c r="Z360" t="s">
        <v>2321</v>
      </c>
      <c r="AA360">
        <v>36050</v>
      </c>
      <c r="AB360" t="s">
        <v>11</v>
      </c>
    </row>
    <row r="361" spans="1:35" x14ac:dyDescent="0.25">
      <c r="A361" t="s">
        <v>2322</v>
      </c>
      <c r="B361" t="s">
        <v>2322</v>
      </c>
      <c r="C361" t="s">
        <v>2323</v>
      </c>
      <c r="D361" t="s">
        <v>2324</v>
      </c>
      <c r="E361" t="s">
        <v>770</v>
      </c>
      <c r="F361" t="s">
        <v>771</v>
      </c>
      <c r="G361" t="s">
        <v>1854</v>
      </c>
      <c r="J361" t="s">
        <v>783</v>
      </c>
      <c r="K361" t="s">
        <v>1873</v>
      </c>
      <c r="L361" t="s">
        <v>840</v>
      </c>
      <c r="M361" t="s">
        <v>26</v>
      </c>
      <c r="N361" t="s">
        <v>770</v>
      </c>
      <c r="O361">
        <v>1</v>
      </c>
      <c r="P361" t="s">
        <v>776</v>
      </c>
      <c r="Q361">
        <v>34.9</v>
      </c>
      <c r="R361">
        <v>6.29</v>
      </c>
      <c r="S361">
        <v>3.99</v>
      </c>
      <c r="T361">
        <v>0.72</v>
      </c>
      <c r="Y361" t="s">
        <v>2325</v>
      </c>
      <c r="Z361" t="s">
        <v>1903</v>
      </c>
      <c r="AA361">
        <v>39030</v>
      </c>
      <c r="AB361" t="s">
        <v>11</v>
      </c>
    </row>
    <row r="362" spans="1:35" x14ac:dyDescent="0.25">
      <c r="A362" t="s">
        <v>2326</v>
      </c>
      <c r="B362" t="s">
        <v>2326</v>
      </c>
      <c r="C362" t="s">
        <v>2327</v>
      </c>
      <c r="D362" t="s">
        <v>2328</v>
      </c>
      <c r="E362" t="s">
        <v>770</v>
      </c>
      <c r="F362" t="s">
        <v>771</v>
      </c>
      <c r="G362" t="s">
        <v>1854</v>
      </c>
      <c r="J362" t="s">
        <v>783</v>
      </c>
      <c r="K362" t="s">
        <v>1855</v>
      </c>
      <c r="L362" t="s">
        <v>1856</v>
      </c>
      <c r="M362" t="s">
        <v>12</v>
      </c>
      <c r="N362" t="s">
        <v>770</v>
      </c>
      <c r="O362">
        <v>2</v>
      </c>
      <c r="P362" t="s">
        <v>776</v>
      </c>
      <c r="Q362">
        <v>39.799999999999997</v>
      </c>
      <c r="R362">
        <v>7.18</v>
      </c>
      <c r="Y362" t="s">
        <v>2329</v>
      </c>
      <c r="Z362" t="s">
        <v>2088</v>
      </c>
      <c r="AA362">
        <v>98021</v>
      </c>
      <c r="AB362" t="s">
        <v>11</v>
      </c>
    </row>
    <row r="363" spans="1:35" x14ac:dyDescent="0.25">
      <c r="A363" t="s">
        <v>2330</v>
      </c>
      <c r="B363" t="s">
        <v>2330</v>
      </c>
      <c r="C363" t="s">
        <v>2331</v>
      </c>
      <c r="D363" t="s">
        <v>2332</v>
      </c>
      <c r="E363" t="s">
        <v>770</v>
      </c>
      <c r="F363" t="s">
        <v>771</v>
      </c>
      <c r="G363" t="s">
        <v>1854</v>
      </c>
      <c r="J363" t="s">
        <v>783</v>
      </c>
      <c r="K363" t="s">
        <v>2055</v>
      </c>
      <c r="L363" t="s">
        <v>806</v>
      </c>
      <c r="M363" t="s">
        <v>202</v>
      </c>
      <c r="N363" t="s">
        <v>770</v>
      </c>
      <c r="O363">
        <v>1</v>
      </c>
      <c r="P363" t="s">
        <v>776</v>
      </c>
      <c r="Q363">
        <v>14.9</v>
      </c>
      <c r="R363">
        <v>2.69</v>
      </c>
      <c r="Y363" t="s">
        <v>2134</v>
      </c>
      <c r="Z363" t="s">
        <v>2333</v>
      </c>
      <c r="AA363">
        <v>176</v>
      </c>
      <c r="AB363" t="s">
        <v>11</v>
      </c>
    </row>
    <row r="364" spans="1:35" x14ac:dyDescent="0.25">
      <c r="A364" t="s">
        <v>2334</v>
      </c>
      <c r="B364" t="s">
        <v>2334</v>
      </c>
      <c r="C364" t="s">
        <v>2335</v>
      </c>
      <c r="D364" t="s">
        <v>2336</v>
      </c>
      <c r="E364" t="s">
        <v>770</v>
      </c>
      <c r="F364" t="s">
        <v>771</v>
      </c>
      <c r="G364" t="s">
        <v>1854</v>
      </c>
      <c r="J364" t="s">
        <v>783</v>
      </c>
      <c r="K364" t="s">
        <v>1930</v>
      </c>
      <c r="L364" t="s">
        <v>775</v>
      </c>
      <c r="M364" t="s">
        <v>65</v>
      </c>
      <c r="N364" t="s">
        <v>770</v>
      </c>
      <c r="O364">
        <v>1</v>
      </c>
      <c r="P364" t="s">
        <v>776</v>
      </c>
      <c r="Q364">
        <v>29.9</v>
      </c>
      <c r="R364">
        <v>5.39</v>
      </c>
      <c r="S364">
        <v>3.99</v>
      </c>
      <c r="T364">
        <v>0.72</v>
      </c>
      <c r="Y364" t="s">
        <v>2337</v>
      </c>
      <c r="Z364" t="s">
        <v>2338</v>
      </c>
      <c r="AA364">
        <v>23015</v>
      </c>
      <c r="AB364" t="s">
        <v>11</v>
      </c>
    </row>
    <row r="365" spans="1:35" x14ac:dyDescent="0.25">
      <c r="A365" t="s">
        <v>2339</v>
      </c>
      <c r="B365" t="s">
        <v>2339</v>
      </c>
      <c r="C365" t="s">
        <v>2340</v>
      </c>
      <c r="D365" t="s">
        <v>2341</v>
      </c>
      <c r="E365" t="s">
        <v>770</v>
      </c>
      <c r="F365" t="s">
        <v>771</v>
      </c>
      <c r="G365" t="s">
        <v>1854</v>
      </c>
      <c r="J365" t="s">
        <v>783</v>
      </c>
      <c r="K365" t="s">
        <v>1855</v>
      </c>
      <c r="L365" t="s">
        <v>1856</v>
      </c>
      <c r="M365" t="s">
        <v>12</v>
      </c>
      <c r="N365" t="s">
        <v>770</v>
      </c>
      <c r="O365">
        <v>1</v>
      </c>
      <c r="P365" t="s">
        <v>776</v>
      </c>
      <c r="Q365">
        <v>19.899999999999999</v>
      </c>
      <c r="R365">
        <v>3.59</v>
      </c>
      <c r="Y365" t="s">
        <v>2342</v>
      </c>
      <c r="Z365" t="s">
        <v>2343</v>
      </c>
      <c r="AA365">
        <v>90138</v>
      </c>
      <c r="AB365" t="s">
        <v>11</v>
      </c>
    </row>
    <row r="366" spans="1:35" x14ac:dyDescent="0.25">
      <c r="A366" t="s">
        <v>2344</v>
      </c>
      <c r="B366" t="s">
        <v>2344</v>
      </c>
      <c r="C366" t="s">
        <v>2345</v>
      </c>
      <c r="D366" t="s">
        <v>2346</v>
      </c>
      <c r="E366" t="s">
        <v>770</v>
      </c>
      <c r="F366" t="s">
        <v>771</v>
      </c>
      <c r="G366" t="s">
        <v>1854</v>
      </c>
      <c r="J366" t="s">
        <v>783</v>
      </c>
      <c r="K366" t="s">
        <v>1873</v>
      </c>
      <c r="L366" t="s">
        <v>840</v>
      </c>
      <c r="M366" t="s">
        <v>26</v>
      </c>
      <c r="N366" t="s">
        <v>770</v>
      </c>
      <c r="O366">
        <v>1</v>
      </c>
      <c r="P366" t="s">
        <v>776</v>
      </c>
      <c r="Q366">
        <v>34.9</v>
      </c>
      <c r="R366">
        <v>6.29</v>
      </c>
      <c r="S366">
        <v>0.47</v>
      </c>
      <c r="X366">
        <v>0.47</v>
      </c>
      <c r="Y366" t="s">
        <v>2134</v>
      </c>
      <c r="Z366" t="s">
        <v>2134</v>
      </c>
      <c r="AA366">
        <v>138</v>
      </c>
      <c r="AB366" t="s">
        <v>11</v>
      </c>
    </row>
    <row r="367" spans="1:35" x14ac:dyDescent="0.25">
      <c r="A367" t="s">
        <v>2347</v>
      </c>
      <c r="B367" t="s">
        <v>2347</v>
      </c>
      <c r="C367" t="s">
        <v>2348</v>
      </c>
      <c r="D367" t="s">
        <v>2349</v>
      </c>
      <c r="E367" t="s">
        <v>770</v>
      </c>
      <c r="F367" t="s">
        <v>771</v>
      </c>
      <c r="G367" t="s">
        <v>1854</v>
      </c>
      <c r="J367" t="s">
        <v>783</v>
      </c>
      <c r="K367" t="s">
        <v>1862</v>
      </c>
      <c r="L367" t="s">
        <v>1505</v>
      </c>
      <c r="M367" t="s">
        <v>53</v>
      </c>
      <c r="N367" t="s">
        <v>770</v>
      </c>
      <c r="O367">
        <v>1</v>
      </c>
      <c r="P367" t="s">
        <v>776</v>
      </c>
      <c r="Q367">
        <v>32.9</v>
      </c>
      <c r="R367">
        <v>5.93</v>
      </c>
      <c r="Y367" t="s">
        <v>2350</v>
      </c>
      <c r="Z367" t="s">
        <v>2281</v>
      </c>
      <c r="AA367">
        <v>73042</v>
      </c>
      <c r="AB367" t="s">
        <v>11</v>
      </c>
    </row>
    <row r="368" spans="1:35" x14ac:dyDescent="0.25">
      <c r="A368" t="s">
        <v>2351</v>
      </c>
      <c r="B368" t="s">
        <v>2351</v>
      </c>
      <c r="C368" t="s">
        <v>2352</v>
      </c>
      <c r="D368" t="s">
        <v>2353</v>
      </c>
      <c r="E368" t="s">
        <v>770</v>
      </c>
      <c r="F368" t="s">
        <v>771</v>
      </c>
      <c r="G368" t="s">
        <v>1854</v>
      </c>
      <c r="J368" t="s">
        <v>783</v>
      </c>
      <c r="K368" t="s">
        <v>1930</v>
      </c>
      <c r="L368" t="s">
        <v>775</v>
      </c>
      <c r="M368" t="s">
        <v>65</v>
      </c>
      <c r="N368" t="s">
        <v>770</v>
      </c>
      <c r="O368">
        <v>1</v>
      </c>
      <c r="P368" t="s">
        <v>776</v>
      </c>
      <c r="Q368">
        <v>29.9</v>
      </c>
      <c r="R368">
        <v>5.39</v>
      </c>
      <c r="Y368" t="s">
        <v>1937</v>
      </c>
      <c r="Z368" t="s">
        <v>1937</v>
      </c>
      <c r="AA368">
        <v>24127</v>
      </c>
      <c r="AB368" t="s">
        <v>11</v>
      </c>
    </row>
    <row r="369" spans="1:28" x14ac:dyDescent="0.25">
      <c r="A369" t="s">
        <v>2354</v>
      </c>
      <c r="B369" t="s">
        <v>2354</v>
      </c>
      <c r="C369" t="s">
        <v>2355</v>
      </c>
      <c r="D369" t="s">
        <v>2356</v>
      </c>
      <c r="E369" t="s">
        <v>770</v>
      </c>
      <c r="F369" t="s">
        <v>771</v>
      </c>
      <c r="G369" t="s">
        <v>1854</v>
      </c>
      <c r="J369" t="s">
        <v>783</v>
      </c>
      <c r="K369" t="s">
        <v>2162</v>
      </c>
      <c r="L369" t="s">
        <v>2163</v>
      </c>
      <c r="M369" t="s">
        <v>59</v>
      </c>
      <c r="N369" t="s">
        <v>770</v>
      </c>
      <c r="O369">
        <v>1</v>
      </c>
      <c r="P369" t="s">
        <v>776</v>
      </c>
      <c r="Q369">
        <v>29.9</v>
      </c>
      <c r="R369">
        <v>5.39</v>
      </c>
      <c r="Y369" t="s">
        <v>2357</v>
      </c>
      <c r="Z369" t="s">
        <v>1875</v>
      </c>
      <c r="AA369">
        <v>20092</v>
      </c>
      <c r="AB369" t="s">
        <v>11</v>
      </c>
    </row>
    <row r="370" spans="1:28" x14ac:dyDescent="0.25">
      <c r="A370" t="s">
        <v>2358</v>
      </c>
      <c r="B370" t="s">
        <v>2358</v>
      </c>
      <c r="C370" t="s">
        <v>2359</v>
      </c>
      <c r="D370" t="s">
        <v>2360</v>
      </c>
      <c r="E370" t="s">
        <v>770</v>
      </c>
      <c r="F370" t="s">
        <v>771</v>
      </c>
      <c r="G370" t="s">
        <v>1854</v>
      </c>
      <c r="J370" t="s">
        <v>783</v>
      </c>
      <c r="K370" t="s">
        <v>1855</v>
      </c>
      <c r="L370" t="s">
        <v>1856</v>
      </c>
      <c r="M370" t="s">
        <v>12</v>
      </c>
      <c r="N370" t="s">
        <v>770</v>
      </c>
      <c r="O370">
        <v>1</v>
      </c>
      <c r="P370" t="s">
        <v>776</v>
      </c>
      <c r="Q370">
        <v>19.899999999999999</v>
      </c>
      <c r="R370">
        <v>3.59</v>
      </c>
      <c r="Y370" t="s">
        <v>2361</v>
      </c>
      <c r="Z370" t="s">
        <v>2362</v>
      </c>
      <c r="AA370">
        <v>15033</v>
      </c>
      <c r="AB370" t="s">
        <v>11</v>
      </c>
    </row>
    <row r="371" spans="1:28" x14ac:dyDescent="0.25">
      <c r="A371" t="s">
        <v>2363</v>
      </c>
      <c r="C371" t="s">
        <v>2364</v>
      </c>
      <c r="D371" t="s">
        <v>2365</v>
      </c>
      <c r="E371" t="s">
        <v>770</v>
      </c>
      <c r="F371" t="s">
        <v>1884</v>
      </c>
      <c r="G371" t="s">
        <v>1854</v>
      </c>
      <c r="H371" t="s">
        <v>1885</v>
      </c>
      <c r="J371" t="s">
        <v>773</v>
      </c>
      <c r="K371" t="s">
        <v>1930</v>
      </c>
      <c r="L371" t="s">
        <v>66</v>
      </c>
      <c r="M371" t="s">
        <v>65</v>
      </c>
      <c r="N371" t="s">
        <v>770</v>
      </c>
      <c r="O371">
        <v>1</v>
      </c>
      <c r="P371" t="s">
        <v>776</v>
      </c>
      <c r="Q371">
        <v>29.9</v>
      </c>
      <c r="R371">
        <v>5.39</v>
      </c>
      <c r="S371">
        <v>3</v>
      </c>
      <c r="T371">
        <v>0.54</v>
      </c>
      <c r="Y371" t="s">
        <v>2366</v>
      </c>
      <c r="Z371" t="s">
        <v>2367</v>
      </c>
      <c r="AA371">
        <v>67031</v>
      </c>
      <c r="AB371" t="s">
        <v>11</v>
      </c>
    </row>
    <row r="372" spans="1:28" x14ac:dyDescent="0.25">
      <c r="A372" t="s">
        <v>2368</v>
      </c>
      <c r="B372" t="s">
        <v>2368</v>
      </c>
      <c r="C372" t="s">
        <v>2369</v>
      </c>
      <c r="D372" t="s">
        <v>2370</v>
      </c>
      <c r="E372" t="s">
        <v>770</v>
      </c>
      <c r="F372" t="s">
        <v>771</v>
      </c>
      <c r="G372" t="s">
        <v>1854</v>
      </c>
      <c r="J372" t="s">
        <v>783</v>
      </c>
      <c r="K372" t="s">
        <v>1855</v>
      </c>
      <c r="L372" t="s">
        <v>1856</v>
      </c>
      <c r="M372" t="s">
        <v>12</v>
      </c>
      <c r="N372" t="s">
        <v>770</v>
      </c>
      <c r="O372">
        <v>1</v>
      </c>
      <c r="P372" t="s">
        <v>776</v>
      </c>
      <c r="Q372">
        <v>19.899999999999999</v>
      </c>
      <c r="R372">
        <v>3.59</v>
      </c>
      <c r="Y372" t="s">
        <v>2371</v>
      </c>
      <c r="Z372" t="s">
        <v>2372</v>
      </c>
      <c r="AA372">
        <v>39012</v>
      </c>
      <c r="AB372" t="s">
        <v>11</v>
      </c>
    </row>
    <row r="373" spans="1:28" x14ac:dyDescent="0.25">
      <c r="A373" t="s">
        <v>2373</v>
      </c>
      <c r="B373" t="s">
        <v>2373</v>
      </c>
      <c r="C373" t="s">
        <v>2374</v>
      </c>
      <c r="D373" t="s">
        <v>2375</v>
      </c>
      <c r="E373" t="s">
        <v>770</v>
      </c>
      <c r="F373" t="s">
        <v>771</v>
      </c>
      <c r="G373" t="s">
        <v>1854</v>
      </c>
      <c r="J373" t="s">
        <v>783</v>
      </c>
      <c r="K373" t="s">
        <v>1930</v>
      </c>
      <c r="L373" t="s">
        <v>775</v>
      </c>
      <c r="M373" t="s">
        <v>65</v>
      </c>
      <c r="N373" t="s">
        <v>770</v>
      </c>
      <c r="O373">
        <v>1</v>
      </c>
      <c r="P373" t="s">
        <v>776</v>
      </c>
      <c r="Q373">
        <v>29.9</v>
      </c>
      <c r="R373">
        <v>5.39</v>
      </c>
      <c r="Y373" t="s">
        <v>2376</v>
      </c>
      <c r="Z373" t="s">
        <v>2377</v>
      </c>
      <c r="AA373">
        <v>61032</v>
      </c>
      <c r="AB373" t="s">
        <v>11</v>
      </c>
    </row>
    <row r="374" spans="1:28" x14ac:dyDescent="0.25">
      <c r="A374" t="s">
        <v>2378</v>
      </c>
      <c r="C374" t="s">
        <v>2379</v>
      </c>
      <c r="D374" t="s">
        <v>2380</v>
      </c>
      <c r="E374" t="s">
        <v>770</v>
      </c>
      <c r="F374" t="s">
        <v>1884</v>
      </c>
      <c r="G374" t="s">
        <v>1854</v>
      </c>
      <c r="H374" t="s">
        <v>1885</v>
      </c>
      <c r="J374" t="s">
        <v>773</v>
      </c>
      <c r="K374" t="s">
        <v>1902</v>
      </c>
      <c r="L374" t="s">
        <v>15</v>
      </c>
      <c r="M374" t="s">
        <v>14</v>
      </c>
      <c r="N374" t="s">
        <v>770</v>
      </c>
      <c r="O374">
        <v>1</v>
      </c>
      <c r="P374" t="s">
        <v>776</v>
      </c>
      <c r="Q374">
        <v>14.9</v>
      </c>
      <c r="R374">
        <v>2.69</v>
      </c>
      <c r="S374">
        <v>3</v>
      </c>
      <c r="T374">
        <v>0.54</v>
      </c>
      <c r="Y374" t="s">
        <v>2381</v>
      </c>
      <c r="Z374" t="s">
        <v>2286</v>
      </c>
      <c r="AA374">
        <v>56025</v>
      </c>
      <c r="AB374" t="s">
        <v>11</v>
      </c>
    </row>
    <row r="375" spans="1:28" x14ac:dyDescent="0.25">
      <c r="A375" t="s">
        <v>2382</v>
      </c>
      <c r="B375" t="s">
        <v>2382</v>
      </c>
      <c r="C375" t="s">
        <v>2383</v>
      </c>
      <c r="D375" t="s">
        <v>2384</v>
      </c>
      <c r="E375" t="s">
        <v>770</v>
      </c>
      <c r="F375" t="s">
        <v>771</v>
      </c>
      <c r="G375" t="s">
        <v>1854</v>
      </c>
      <c r="J375" t="s">
        <v>783</v>
      </c>
      <c r="K375" t="s">
        <v>1855</v>
      </c>
      <c r="L375" t="s">
        <v>1856</v>
      </c>
      <c r="M375" t="s">
        <v>12</v>
      </c>
      <c r="N375" t="s">
        <v>770</v>
      </c>
      <c r="O375">
        <v>2</v>
      </c>
      <c r="P375" t="s">
        <v>776</v>
      </c>
      <c r="Q375">
        <v>39.799999999999997</v>
      </c>
      <c r="R375">
        <v>7.18</v>
      </c>
      <c r="Y375" t="s">
        <v>2385</v>
      </c>
      <c r="Z375" t="s">
        <v>2386</v>
      </c>
      <c r="AA375">
        <v>48022</v>
      </c>
      <c r="AB375" t="s">
        <v>11</v>
      </c>
    </row>
    <row r="376" spans="1:28" x14ac:dyDescent="0.25">
      <c r="A376" t="s">
        <v>2387</v>
      </c>
      <c r="B376" t="s">
        <v>2387</v>
      </c>
      <c r="C376" t="s">
        <v>2388</v>
      </c>
      <c r="D376" t="s">
        <v>2389</v>
      </c>
      <c r="E376" t="s">
        <v>770</v>
      </c>
      <c r="F376" t="s">
        <v>771</v>
      </c>
      <c r="G376" t="s">
        <v>1854</v>
      </c>
      <c r="J376" t="s">
        <v>783</v>
      </c>
      <c r="K376" t="s">
        <v>2390</v>
      </c>
      <c r="L376" t="s">
        <v>1094</v>
      </c>
      <c r="M376" t="s">
        <v>208</v>
      </c>
      <c r="N376" t="s">
        <v>770</v>
      </c>
      <c r="O376">
        <v>1</v>
      </c>
      <c r="P376" t="s">
        <v>776</v>
      </c>
      <c r="Q376">
        <v>79.900000000000006</v>
      </c>
      <c r="R376">
        <v>14.41</v>
      </c>
      <c r="Y376" t="s">
        <v>2391</v>
      </c>
      <c r="Z376" t="s">
        <v>2392</v>
      </c>
      <c r="AA376">
        <v>9032</v>
      </c>
      <c r="AB376" t="s">
        <v>11</v>
      </c>
    </row>
    <row r="377" spans="1:28" x14ac:dyDescent="0.25">
      <c r="A377" t="s">
        <v>2393</v>
      </c>
      <c r="B377" t="s">
        <v>2393</v>
      </c>
      <c r="C377" t="s">
        <v>2394</v>
      </c>
      <c r="D377" t="s">
        <v>2395</v>
      </c>
      <c r="E377" t="s">
        <v>770</v>
      </c>
      <c r="F377" t="s">
        <v>771</v>
      </c>
      <c r="G377" t="s">
        <v>1854</v>
      </c>
      <c r="J377" t="s">
        <v>783</v>
      </c>
      <c r="K377" t="s">
        <v>2396</v>
      </c>
      <c r="L377" t="s">
        <v>1792</v>
      </c>
      <c r="M377" t="s">
        <v>88</v>
      </c>
      <c r="N377" t="s">
        <v>770</v>
      </c>
      <c r="O377">
        <v>1</v>
      </c>
      <c r="P377" t="s">
        <v>776</v>
      </c>
      <c r="Q377">
        <v>59.9</v>
      </c>
      <c r="R377">
        <v>10.8</v>
      </c>
      <c r="S377">
        <v>4.99</v>
      </c>
      <c r="T377">
        <v>0.9</v>
      </c>
      <c r="Y377" t="s">
        <v>2397</v>
      </c>
      <c r="Z377" t="s">
        <v>2398</v>
      </c>
      <c r="AA377">
        <v>26839</v>
      </c>
      <c r="AB377" t="s">
        <v>11</v>
      </c>
    </row>
    <row r="378" spans="1:28" x14ac:dyDescent="0.25">
      <c r="A378" t="s">
        <v>2399</v>
      </c>
      <c r="B378" t="s">
        <v>2399</v>
      </c>
      <c r="C378" t="s">
        <v>2400</v>
      </c>
      <c r="D378" t="s">
        <v>2401</v>
      </c>
      <c r="E378" t="s">
        <v>770</v>
      </c>
      <c r="F378" t="s">
        <v>771</v>
      </c>
      <c r="G378" t="s">
        <v>1854</v>
      </c>
      <c r="J378" t="s">
        <v>783</v>
      </c>
      <c r="K378" t="s">
        <v>2252</v>
      </c>
      <c r="L378" t="s">
        <v>2253</v>
      </c>
      <c r="M378" t="s">
        <v>73</v>
      </c>
      <c r="N378" t="s">
        <v>770</v>
      </c>
      <c r="O378">
        <v>7</v>
      </c>
      <c r="P378" t="s">
        <v>776</v>
      </c>
      <c r="Q378">
        <v>118.3</v>
      </c>
      <c r="R378">
        <v>21.35</v>
      </c>
      <c r="Y378" t="s">
        <v>1956</v>
      </c>
      <c r="Z378" t="s">
        <v>1926</v>
      </c>
      <c r="AA378">
        <v>156</v>
      </c>
      <c r="AB378" t="s">
        <v>11</v>
      </c>
    </row>
    <row r="379" spans="1:28" x14ac:dyDescent="0.25">
      <c r="A379" t="s">
        <v>2402</v>
      </c>
      <c r="B379" t="s">
        <v>2402</v>
      </c>
      <c r="C379" t="s">
        <v>2403</v>
      </c>
      <c r="D379" t="s">
        <v>2404</v>
      </c>
      <c r="E379" t="s">
        <v>770</v>
      </c>
      <c r="F379" t="s">
        <v>771</v>
      </c>
      <c r="G379" t="s">
        <v>1854</v>
      </c>
      <c r="J379" t="s">
        <v>783</v>
      </c>
      <c r="K379" t="s">
        <v>1873</v>
      </c>
      <c r="L379" t="s">
        <v>840</v>
      </c>
      <c r="M379" t="s">
        <v>26</v>
      </c>
      <c r="N379" t="s">
        <v>770</v>
      </c>
      <c r="O379">
        <v>1</v>
      </c>
      <c r="P379" t="s">
        <v>776</v>
      </c>
      <c r="Q379">
        <v>34.9</v>
      </c>
      <c r="R379">
        <v>6.29</v>
      </c>
      <c r="Y379" t="s">
        <v>1913</v>
      </c>
      <c r="Z379" t="s">
        <v>1926</v>
      </c>
      <c r="AA379">
        <v>136</v>
      </c>
      <c r="AB379" t="s">
        <v>11</v>
      </c>
    </row>
    <row r="380" spans="1:28" x14ac:dyDescent="0.25">
      <c r="A380" t="s">
        <v>2405</v>
      </c>
      <c r="B380" t="s">
        <v>2405</v>
      </c>
      <c r="C380" t="s">
        <v>2406</v>
      </c>
      <c r="D380" t="s">
        <v>2407</v>
      </c>
      <c r="E380" t="s">
        <v>770</v>
      </c>
      <c r="F380" t="s">
        <v>771</v>
      </c>
      <c r="G380" t="s">
        <v>1854</v>
      </c>
      <c r="J380" t="s">
        <v>783</v>
      </c>
      <c r="K380" t="s">
        <v>1862</v>
      </c>
      <c r="L380" t="s">
        <v>1505</v>
      </c>
      <c r="M380" t="s">
        <v>53</v>
      </c>
      <c r="N380" t="s">
        <v>770</v>
      </c>
      <c r="O380">
        <v>1</v>
      </c>
      <c r="P380" t="s">
        <v>776</v>
      </c>
      <c r="Q380">
        <v>32.9</v>
      </c>
      <c r="R380">
        <v>5.93</v>
      </c>
      <c r="Y380" t="s">
        <v>1961</v>
      </c>
      <c r="Z380" t="s">
        <v>1875</v>
      </c>
      <c r="AA380">
        <v>20144</v>
      </c>
      <c r="AB380" t="s">
        <v>11</v>
      </c>
    </row>
    <row r="381" spans="1:28" x14ac:dyDescent="0.25">
      <c r="A381" t="s">
        <v>2408</v>
      </c>
      <c r="B381" t="s">
        <v>2408</v>
      </c>
      <c r="C381" t="s">
        <v>2409</v>
      </c>
      <c r="D381" t="s">
        <v>2410</v>
      </c>
      <c r="E381" t="s">
        <v>770</v>
      </c>
      <c r="F381" t="s">
        <v>771</v>
      </c>
      <c r="G381" t="s">
        <v>1854</v>
      </c>
      <c r="J381" t="s">
        <v>773</v>
      </c>
      <c r="K381" t="s">
        <v>1862</v>
      </c>
      <c r="L381" t="s">
        <v>1505</v>
      </c>
      <c r="M381" t="s">
        <v>53</v>
      </c>
      <c r="N381" t="s">
        <v>770</v>
      </c>
      <c r="O381">
        <v>1</v>
      </c>
      <c r="P381" t="s">
        <v>776</v>
      </c>
      <c r="Q381">
        <v>32.9</v>
      </c>
      <c r="S381">
        <v>7.85</v>
      </c>
      <c r="Y381" t="s">
        <v>2411</v>
      </c>
      <c r="Z381" t="s">
        <v>2412</v>
      </c>
      <c r="AA381">
        <v>29012</v>
      </c>
      <c r="AB381" t="s">
        <v>25</v>
      </c>
    </row>
    <row r="382" spans="1:28" x14ac:dyDescent="0.25">
      <c r="A382" t="s">
        <v>2413</v>
      </c>
      <c r="B382" t="s">
        <v>2413</v>
      </c>
      <c r="C382" t="s">
        <v>2414</v>
      </c>
      <c r="D382" t="s">
        <v>2415</v>
      </c>
      <c r="E382" t="s">
        <v>770</v>
      </c>
      <c r="F382" t="s">
        <v>771</v>
      </c>
      <c r="G382" t="s">
        <v>1854</v>
      </c>
      <c r="J382" t="s">
        <v>783</v>
      </c>
      <c r="K382" t="s">
        <v>2396</v>
      </c>
      <c r="L382" t="s">
        <v>1792</v>
      </c>
      <c r="M382" t="s">
        <v>88</v>
      </c>
      <c r="N382" t="s">
        <v>770</v>
      </c>
      <c r="O382">
        <v>1</v>
      </c>
      <c r="P382" t="s">
        <v>776</v>
      </c>
      <c r="Q382">
        <v>59.9</v>
      </c>
      <c r="R382">
        <v>10.8</v>
      </c>
      <c r="Y382" t="s">
        <v>2416</v>
      </c>
      <c r="AA382">
        <v>6127</v>
      </c>
      <c r="AB382" t="s">
        <v>11</v>
      </c>
    </row>
    <row r="383" spans="1:28" x14ac:dyDescent="0.25">
      <c r="A383" t="s">
        <v>2417</v>
      </c>
      <c r="B383" t="s">
        <v>2417</v>
      </c>
      <c r="C383" t="s">
        <v>2418</v>
      </c>
      <c r="D383" t="s">
        <v>2419</v>
      </c>
      <c r="E383" t="s">
        <v>770</v>
      </c>
      <c r="F383" t="s">
        <v>771</v>
      </c>
      <c r="G383" t="s">
        <v>1854</v>
      </c>
      <c r="J383" t="s">
        <v>783</v>
      </c>
      <c r="K383" t="s">
        <v>2055</v>
      </c>
      <c r="L383" t="s">
        <v>806</v>
      </c>
      <c r="M383" t="s">
        <v>202</v>
      </c>
      <c r="N383" t="s">
        <v>770</v>
      </c>
      <c r="O383">
        <v>1</v>
      </c>
      <c r="P383" t="s">
        <v>776</v>
      </c>
      <c r="Q383">
        <v>14.9</v>
      </c>
      <c r="R383">
        <v>2.69</v>
      </c>
      <c r="Y383" t="s">
        <v>2420</v>
      </c>
      <c r="Z383" t="s">
        <v>1908</v>
      </c>
      <c r="AA383">
        <v>80126</v>
      </c>
      <c r="AB383" t="s">
        <v>11</v>
      </c>
    </row>
    <row r="384" spans="1:28" x14ac:dyDescent="0.25">
      <c r="A384" t="s">
        <v>2421</v>
      </c>
      <c r="B384" t="s">
        <v>2421</v>
      </c>
      <c r="C384" t="s">
        <v>2422</v>
      </c>
      <c r="D384" t="s">
        <v>2423</v>
      </c>
      <c r="E384" t="s">
        <v>770</v>
      </c>
      <c r="F384" t="s">
        <v>771</v>
      </c>
      <c r="G384" t="s">
        <v>1854</v>
      </c>
      <c r="J384" t="s">
        <v>783</v>
      </c>
      <c r="K384" t="s">
        <v>2424</v>
      </c>
      <c r="L384" t="s">
        <v>2425</v>
      </c>
      <c r="M384" t="s">
        <v>86</v>
      </c>
      <c r="N384" t="s">
        <v>770</v>
      </c>
      <c r="O384">
        <v>1</v>
      </c>
      <c r="P384" t="s">
        <v>776</v>
      </c>
      <c r="Q384">
        <v>32.9</v>
      </c>
      <c r="R384">
        <v>5.93</v>
      </c>
      <c r="Y384" t="s">
        <v>1888</v>
      </c>
      <c r="Z384" t="s">
        <v>2257</v>
      </c>
      <c r="AA384">
        <v>40138</v>
      </c>
      <c r="AB384" t="s">
        <v>11</v>
      </c>
    </row>
    <row r="385" spans="1:35" x14ac:dyDescent="0.25">
      <c r="A385" t="s">
        <v>2426</v>
      </c>
      <c r="B385" t="s">
        <v>2426</v>
      </c>
      <c r="C385" t="s">
        <v>2427</v>
      </c>
      <c r="D385" t="s">
        <v>2428</v>
      </c>
      <c r="E385" t="s">
        <v>770</v>
      </c>
      <c r="F385" t="s">
        <v>771</v>
      </c>
      <c r="G385" t="s">
        <v>1854</v>
      </c>
      <c r="J385" t="s">
        <v>783</v>
      </c>
      <c r="K385" t="s">
        <v>1855</v>
      </c>
      <c r="L385" t="s">
        <v>1856</v>
      </c>
      <c r="M385" t="s">
        <v>12</v>
      </c>
      <c r="N385" t="s">
        <v>770</v>
      </c>
      <c r="O385">
        <v>1</v>
      </c>
      <c r="P385" t="s">
        <v>776</v>
      </c>
      <c r="Q385">
        <v>19.899999999999999</v>
      </c>
      <c r="R385">
        <v>3.59</v>
      </c>
      <c r="Y385" t="s">
        <v>2429</v>
      </c>
      <c r="Z385" t="s">
        <v>2025</v>
      </c>
      <c r="AA385">
        <v>80018</v>
      </c>
      <c r="AB385" t="s">
        <v>11</v>
      </c>
    </row>
    <row r="386" spans="1:35" x14ac:dyDescent="0.25">
      <c r="A386" t="s">
        <v>2430</v>
      </c>
      <c r="B386" t="s">
        <v>2430</v>
      </c>
      <c r="C386" t="s">
        <v>2431</v>
      </c>
      <c r="D386" t="s">
        <v>2432</v>
      </c>
      <c r="E386" t="s">
        <v>770</v>
      </c>
      <c r="F386" t="s">
        <v>771</v>
      </c>
      <c r="G386" t="s">
        <v>1854</v>
      </c>
      <c r="J386" t="s">
        <v>783</v>
      </c>
      <c r="K386" t="s">
        <v>1873</v>
      </c>
      <c r="L386" t="s">
        <v>840</v>
      </c>
      <c r="M386" t="s">
        <v>26</v>
      </c>
      <c r="N386" t="s">
        <v>770</v>
      </c>
      <c r="O386">
        <v>1</v>
      </c>
      <c r="P386" t="s">
        <v>776</v>
      </c>
      <c r="Q386">
        <v>34.9</v>
      </c>
      <c r="R386">
        <v>6.29</v>
      </c>
      <c r="Y386" t="s">
        <v>2057</v>
      </c>
      <c r="Z386" t="s">
        <v>2433</v>
      </c>
      <c r="AA386">
        <v>37138</v>
      </c>
      <c r="AB386" t="s">
        <v>11</v>
      </c>
    </row>
    <row r="387" spans="1:35" x14ac:dyDescent="0.25">
      <c r="A387" t="s">
        <v>2434</v>
      </c>
      <c r="B387" t="s">
        <v>2434</v>
      </c>
      <c r="C387" t="s">
        <v>2435</v>
      </c>
      <c r="D387" t="s">
        <v>2436</v>
      </c>
      <c r="E387" t="s">
        <v>770</v>
      </c>
      <c r="F387" t="s">
        <v>771</v>
      </c>
      <c r="G387" t="s">
        <v>1854</v>
      </c>
      <c r="J387" t="s">
        <v>783</v>
      </c>
      <c r="K387" t="s">
        <v>1855</v>
      </c>
      <c r="L387" t="s">
        <v>1856</v>
      </c>
      <c r="M387" t="s">
        <v>12</v>
      </c>
      <c r="N387" t="s">
        <v>770</v>
      </c>
      <c r="O387">
        <v>1</v>
      </c>
      <c r="P387" t="s">
        <v>776</v>
      </c>
      <c r="Q387">
        <v>19.899999999999999</v>
      </c>
      <c r="R387">
        <v>3.59</v>
      </c>
      <c r="Y387" t="s">
        <v>2437</v>
      </c>
      <c r="Z387" t="s">
        <v>2438</v>
      </c>
      <c r="AA387">
        <v>65019</v>
      </c>
      <c r="AB387" t="s">
        <v>11</v>
      </c>
    </row>
    <row r="388" spans="1:35" x14ac:dyDescent="0.25">
      <c r="A388" t="s">
        <v>2439</v>
      </c>
      <c r="B388" t="s">
        <v>2439</v>
      </c>
      <c r="C388" t="s">
        <v>2440</v>
      </c>
      <c r="D388" t="s">
        <v>2441</v>
      </c>
      <c r="E388" t="s">
        <v>782</v>
      </c>
      <c r="F388" t="s">
        <v>771</v>
      </c>
      <c r="G388" t="s">
        <v>1854</v>
      </c>
      <c r="J388" t="s">
        <v>783</v>
      </c>
      <c r="K388" t="s">
        <v>1855</v>
      </c>
      <c r="L388" t="s">
        <v>1856</v>
      </c>
      <c r="M388" t="s">
        <v>12</v>
      </c>
      <c r="N388" t="s">
        <v>782</v>
      </c>
      <c r="O388">
        <v>0</v>
      </c>
      <c r="Y388" t="s">
        <v>2437</v>
      </c>
      <c r="Z388" t="s">
        <v>2438</v>
      </c>
      <c r="AA388">
        <v>65019</v>
      </c>
      <c r="AB388" t="s">
        <v>11</v>
      </c>
    </row>
    <row r="389" spans="1:35" x14ac:dyDescent="0.25">
      <c r="A389" t="s">
        <v>2442</v>
      </c>
      <c r="B389" t="s">
        <v>2442</v>
      </c>
      <c r="C389" t="s">
        <v>2443</v>
      </c>
      <c r="D389" t="s">
        <v>2444</v>
      </c>
      <c r="E389" t="s">
        <v>770</v>
      </c>
      <c r="F389" t="s">
        <v>771</v>
      </c>
      <c r="G389" t="s">
        <v>1854</v>
      </c>
      <c r="J389" t="s">
        <v>783</v>
      </c>
      <c r="K389" t="s">
        <v>1855</v>
      </c>
      <c r="L389" t="s">
        <v>1856</v>
      </c>
      <c r="M389" t="s">
        <v>12</v>
      </c>
      <c r="N389" t="s">
        <v>770</v>
      </c>
      <c r="O389">
        <v>1</v>
      </c>
      <c r="P389" t="s">
        <v>776</v>
      </c>
      <c r="Q389">
        <v>19.899999999999999</v>
      </c>
      <c r="R389">
        <v>3.59</v>
      </c>
      <c r="Y389" t="s">
        <v>2057</v>
      </c>
      <c r="Z389" t="s">
        <v>2057</v>
      </c>
      <c r="AA389">
        <v>37121</v>
      </c>
      <c r="AB389" t="s">
        <v>11</v>
      </c>
    </row>
    <row r="390" spans="1:35" x14ac:dyDescent="0.25">
      <c r="A390" t="s">
        <v>2445</v>
      </c>
      <c r="B390" t="s">
        <v>2445</v>
      </c>
      <c r="C390" t="s">
        <v>2446</v>
      </c>
      <c r="D390" t="s">
        <v>2447</v>
      </c>
      <c r="E390" t="s">
        <v>770</v>
      </c>
      <c r="F390" t="s">
        <v>771</v>
      </c>
      <c r="G390" t="s">
        <v>1854</v>
      </c>
      <c r="J390" t="s">
        <v>783</v>
      </c>
      <c r="K390" t="s">
        <v>1930</v>
      </c>
      <c r="L390" t="s">
        <v>775</v>
      </c>
      <c r="M390" t="s">
        <v>65</v>
      </c>
      <c r="N390" t="s">
        <v>770</v>
      </c>
      <c r="O390">
        <v>1</v>
      </c>
      <c r="P390" t="s">
        <v>776</v>
      </c>
      <c r="Q390">
        <v>29.9</v>
      </c>
      <c r="R390">
        <v>5.39</v>
      </c>
      <c r="S390">
        <v>4.99</v>
      </c>
      <c r="T390">
        <v>0.9</v>
      </c>
      <c r="Y390" t="s">
        <v>2448</v>
      </c>
      <c r="Z390" t="s">
        <v>2449</v>
      </c>
      <c r="AA390">
        <v>18038</v>
      </c>
      <c r="AB390" t="s">
        <v>11</v>
      </c>
    </row>
    <row r="391" spans="1:35" x14ac:dyDescent="0.25">
      <c r="A391" t="s">
        <v>2450</v>
      </c>
      <c r="B391" t="s">
        <v>2450</v>
      </c>
      <c r="C391" t="s">
        <v>2451</v>
      </c>
      <c r="D391" t="s">
        <v>2452</v>
      </c>
      <c r="E391" t="s">
        <v>770</v>
      </c>
      <c r="F391" t="s">
        <v>771</v>
      </c>
      <c r="G391" t="s">
        <v>1854</v>
      </c>
      <c r="J391" t="s">
        <v>783</v>
      </c>
      <c r="K391" t="s">
        <v>2252</v>
      </c>
      <c r="L391" t="s">
        <v>2253</v>
      </c>
      <c r="M391" t="s">
        <v>73</v>
      </c>
      <c r="N391" t="s">
        <v>770</v>
      </c>
      <c r="O391">
        <v>1</v>
      </c>
      <c r="P391" t="s">
        <v>776</v>
      </c>
      <c r="Q391">
        <v>16.899999999999999</v>
      </c>
      <c r="R391">
        <v>3.05</v>
      </c>
      <c r="Y391" t="s">
        <v>2453</v>
      </c>
      <c r="Z391" t="s">
        <v>2454</v>
      </c>
      <c r="AA391">
        <v>71013</v>
      </c>
      <c r="AB391" t="s">
        <v>11</v>
      </c>
    </row>
    <row r="392" spans="1:35" x14ac:dyDescent="0.25">
      <c r="A392" t="s">
        <v>2455</v>
      </c>
      <c r="B392" t="s">
        <v>2455</v>
      </c>
      <c r="C392" t="s">
        <v>2456</v>
      </c>
      <c r="D392" t="s">
        <v>2457</v>
      </c>
      <c r="E392" t="s">
        <v>770</v>
      </c>
      <c r="F392" t="s">
        <v>771</v>
      </c>
      <c r="G392" t="s">
        <v>1854</v>
      </c>
      <c r="J392" t="s">
        <v>783</v>
      </c>
      <c r="K392" t="s">
        <v>1855</v>
      </c>
      <c r="L392" t="s">
        <v>1856</v>
      </c>
      <c r="M392" t="s">
        <v>12</v>
      </c>
      <c r="N392" t="s">
        <v>770</v>
      </c>
      <c r="O392">
        <v>1</v>
      </c>
      <c r="P392" t="s">
        <v>776</v>
      </c>
      <c r="Q392">
        <v>19.899999999999999</v>
      </c>
      <c r="R392">
        <v>3.59</v>
      </c>
      <c r="Y392" t="s">
        <v>1893</v>
      </c>
      <c r="Z392" t="s">
        <v>1869</v>
      </c>
      <c r="AA392">
        <v>10135</v>
      </c>
      <c r="AB392" t="s">
        <v>11</v>
      </c>
      <c r="AG392" t="s">
        <v>2458</v>
      </c>
      <c r="AH392" t="s">
        <v>11</v>
      </c>
      <c r="AI392" t="s">
        <v>2459</v>
      </c>
    </row>
    <row r="393" spans="1:35" x14ac:dyDescent="0.25">
      <c r="A393" t="s">
        <v>2460</v>
      </c>
      <c r="B393" t="s">
        <v>2460</v>
      </c>
      <c r="C393" t="s">
        <v>2461</v>
      </c>
      <c r="D393" t="s">
        <v>2462</v>
      </c>
      <c r="E393" t="s">
        <v>782</v>
      </c>
      <c r="F393" t="s">
        <v>771</v>
      </c>
      <c r="G393" t="s">
        <v>1854</v>
      </c>
      <c r="J393" t="s">
        <v>783</v>
      </c>
      <c r="K393" t="s">
        <v>2055</v>
      </c>
      <c r="L393" t="s">
        <v>806</v>
      </c>
      <c r="M393" t="s">
        <v>202</v>
      </c>
      <c r="N393" t="s">
        <v>782</v>
      </c>
      <c r="O393">
        <v>0</v>
      </c>
      <c r="Y393" t="s">
        <v>2463</v>
      </c>
      <c r="Z393" t="s">
        <v>2464</v>
      </c>
      <c r="AA393">
        <v>6125</v>
      </c>
      <c r="AB393" t="s">
        <v>11</v>
      </c>
    </row>
    <row r="394" spans="1:35" x14ac:dyDescent="0.25">
      <c r="A394" t="s">
        <v>2465</v>
      </c>
      <c r="B394" t="s">
        <v>2465</v>
      </c>
      <c r="C394" t="s">
        <v>2466</v>
      </c>
      <c r="D394" t="s">
        <v>2467</v>
      </c>
      <c r="E394" t="s">
        <v>770</v>
      </c>
      <c r="F394" t="s">
        <v>771</v>
      </c>
      <c r="G394" t="s">
        <v>1854</v>
      </c>
      <c r="J394" t="s">
        <v>783</v>
      </c>
      <c r="K394" t="s">
        <v>1855</v>
      </c>
      <c r="L394" t="s">
        <v>1856</v>
      </c>
      <c r="M394" t="s">
        <v>12</v>
      </c>
      <c r="N394" t="s">
        <v>770</v>
      </c>
      <c r="O394">
        <v>1</v>
      </c>
      <c r="P394" t="s">
        <v>776</v>
      </c>
      <c r="Q394">
        <v>19.899999999999999</v>
      </c>
      <c r="R394">
        <v>3.59</v>
      </c>
      <c r="Y394" t="s">
        <v>2468</v>
      </c>
      <c r="Z394" t="s">
        <v>1869</v>
      </c>
      <c r="AA394">
        <v>10060</v>
      </c>
      <c r="AB394" t="s">
        <v>11</v>
      </c>
    </row>
    <row r="395" spans="1:35" x14ac:dyDescent="0.25">
      <c r="A395" t="s">
        <v>2469</v>
      </c>
      <c r="B395" t="s">
        <v>2469</v>
      </c>
      <c r="C395" t="s">
        <v>2470</v>
      </c>
      <c r="D395" t="s">
        <v>2471</v>
      </c>
      <c r="E395" t="s">
        <v>770</v>
      </c>
      <c r="F395" t="s">
        <v>771</v>
      </c>
      <c r="G395" t="s">
        <v>1854</v>
      </c>
      <c r="J395" t="s">
        <v>783</v>
      </c>
      <c r="K395" t="s">
        <v>2055</v>
      </c>
      <c r="L395" t="s">
        <v>806</v>
      </c>
      <c r="M395" t="s">
        <v>202</v>
      </c>
      <c r="N395" t="s">
        <v>770</v>
      </c>
      <c r="O395">
        <v>1</v>
      </c>
      <c r="P395" t="s">
        <v>776</v>
      </c>
      <c r="Q395">
        <v>14.9</v>
      </c>
      <c r="R395">
        <v>2.69</v>
      </c>
      <c r="Y395" t="s">
        <v>2472</v>
      </c>
      <c r="Z395" t="s">
        <v>2473</v>
      </c>
      <c r="AA395">
        <v>70014</v>
      </c>
      <c r="AB395" t="s">
        <v>11</v>
      </c>
    </row>
    <row r="396" spans="1:35" x14ac:dyDescent="0.25">
      <c r="A396" t="s">
        <v>2474</v>
      </c>
      <c r="B396" t="s">
        <v>2474</v>
      </c>
      <c r="C396" t="s">
        <v>2475</v>
      </c>
      <c r="D396" t="s">
        <v>2476</v>
      </c>
      <c r="E396" t="s">
        <v>770</v>
      </c>
      <c r="F396" t="s">
        <v>771</v>
      </c>
      <c r="G396" t="s">
        <v>1854</v>
      </c>
      <c r="J396" t="s">
        <v>783</v>
      </c>
      <c r="K396" t="s">
        <v>2396</v>
      </c>
      <c r="L396" t="s">
        <v>1792</v>
      </c>
      <c r="M396" t="s">
        <v>88</v>
      </c>
      <c r="N396" t="s">
        <v>770</v>
      </c>
      <c r="O396">
        <v>1</v>
      </c>
      <c r="P396" t="s">
        <v>776</v>
      </c>
      <c r="Q396">
        <v>59.9</v>
      </c>
      <c r="R396">
        <v>10.8</v>
      </c>
      <c r="Y396" t="s">
        <v>2477</v>
      </c>
      <c r="Z396" t="s">
        <v>1926</v>
      </c>
      <c r="AA396">
        <v>10</v>
      </c>
      <c r="AB396" t="s">
        <v>11</v>
      </c>
    </row>
    <row r="397" spans="1:35" x14ac:dyDescent="0.25">
      <c r="A397" t="s">
        <v>2478</v>
      </c>
      <c r="B397" t="s">
        <v>2478</v>
      </c>
      <c r="C397" t="s">
        <v>2479</v>
      </c>
      <c r="D397" t="s">
        <v>2480</v>
      </c>
      <c r="E397" t="s">
        <v>782</v>
      </c>
      <c r="F397" t="s">
        <v>771</v>
      </c>
      <c r="G397" t="s">
        <v>1854</v>
      </c>
      <c r="J397" t="s">
        <v>783</v>
      </c>
      <c r="K397" t="s">
        <v>1855</v>
      </c>
      <c r="L397" t="s">
        <v>1856</v>
      </c>
      <c r="M397" t="s">
        <v>12</v>
      </c>
      <c r="N397" t="s">
        <v>782</v>
      </c>
      <c r="O397">
        <v>0</v>
      </c>
      <c r="Y397" t="s">
        <v>2481</v>
      </c>
      <c r="Z397" t="s">
        <v>2481</v>
      </c>
      <c r="AA397">
        <v>88900</v>
      </c>
      <c r="AB397" t="s">
        <v>11</v>
      </c>
    </row>
    <row r="398" spans="1:35" x14ac:dyDescent="0.25">
      <c r="A398" t="s">
        <v>2482</v>
      </c>
      <c r="B398" t="s">
        <v>2482</v>
      </c>
      <c r="C398" t="s">
        <v>2483</v>
      </c>
      <c r="D398" t="s">
        <v>2484</v>
      </c>
      <c r="E398" t="s">
        <v>770</v>
      </c>
      <c r="F398" t="s">
        <v>771</v>
      </c>
      <c r="G398" t="s">
        <v>1854</v>
      </c>
      <c r="J398" t="s">
        <v>783</v>
      </c>
      <c r="K398" t="s">
        <v>1855</v>
      </c>
      <c r="L398" t="s">
        <v>1856</v>
      </c>
      <c r="M398" t="s">
        <v>12</v>
      </c>
      <c r="N398" t="s">
        <v>770</v>
      </c>
      <c r="O398">
        <v>1</v>
      </c>
      <c r="P398" t="s">
        <v>776</v>
      </c>
      <c r="Q398">
        <v>19.899999999999999</v>
      </c>
      <c r="R398">
        <v>3.59</v>
      </c>
      <c r="Y398" t="s">
        <v>2485</v>
      </c>
      <c r="Z398" t="s">
        <v>2486</v>
      </c>
      <c r="AA398">
        <v>61041</v>
      </c>
      <c r="AB398" t="s">
        <v>11</v>
      </c>
    </row>
    <row r="399" spans="1:35" x14ac:dyDescent="0.25">
      <c r="A399" t="s">
        <v>2487</v>
      </c>
      <c r="B399" t="s">
        <v>2487</v>
      </c>
      <c r="C399" t="s">
        <v>2488</v>
      </c>
      <c r="D399" t="s">
        <v>2489</v>
      </c>
      <c r="E399" t="s">
        <v>770</v>
      </c>
      <c r="F399" t="s">
        <v>771</v>
      </c>
      <c r="G399" t="s">
        <v>1854</v>
      </c>
      <c r="J399" t="s">
        <v>783</v>
      </c>
      <c r="K399" t="s">
        <v>1855</v>
      </c>
      <c r="L399" t="s">
        <v>1856</v>
      </c>
      <c r="M399" t="s">
        <v>12</v>
      </c>
      <c r="N399" t="s">
        <v>770</v>
      </c>
      <c r="O399">
        <v>1</v>
      </c>
      <c r="P399" t="s">
        <v>776</v>
      </c>
      <c r="Q399">
        <v>19.899999999999999</v>
      </c>
      <c r="R399">
        <v>3.59</v>
      </c>
      <c r="S399">
        <v>4.99</v>
      </c>
      <c r="T399">
        <v>0.9</v>
      </c>
      <c r="Y399" t="s">
        <v>1908</v>
      </c>
      <c r="Z399" t="s">
        <v>1908</v>
      </c>
      <c r="AA399">
        <v>80128</v>
      </c>
      <c r="AB399" t="s">
        <v>11</v>
      </c>
    </row>
    <row r="400" spans="1:35" x14ac:dyDescent="0.25">
      <c r="A400" t="s">
        <v>2490</v>
      </c>
      <c r="B400" t="s">
        <v>2490</v>
      </c>
      <c r="C400" t="s">
        <v>2491</v>
      </c>
      <c r="D400" t="s">
        <v>2492</v>
      </c>
      <c r="E400" t="s">
        <v>770</v>
      </c>
      <c r="F400" t="s">
        <v>771</v>
      </c>
      <c r="G400" t="s">
        <v>1854</v>
      </c>
      <c r="J400" t="s">
        <v>783</v>
      </c>
      <c r="K400" t="s">
        <v>1873</v>
      </c>
      <c r="L400" t="s">
        <v>840</v>
      </c>
      <c r="M400" t="s">
        <v>26</v>
      </c>
      <c r="N400" t="s">
        <v>770</v>
      </c>
      <c r="O400">
        <v>1</v>
      </c>
      <c r="P400" t="s">
        <v>776</v>
      </c>
      <c r="Q400">
        <v>34.9</v>
      </c>
      <c r="R400">
        <v>6.29</v>
      </c>
      <c r="Y400" t="s">
        <v>2493</v>
      </c>
      <c r="Z400" t="s">
        <v>1937</v>
      </c>
      <c r="AA400">
        <v>24050</v>
      </c>
      <c r="AB400" t="s">
        <v>11</v>
      </c>
    </row>
    <row r="401" spans="1:28" x14ac:dyDescent="0.25">
      <c r="A401" t="s">
        <v>2494</v>
      </c>
      <c r="B401" t="s">
        <v>2494</v>
      </c>
      <c r="C401" t="s">
        <v>2495</v>
      </c>
      <c r="D401" t="s">
        <v>2496</v>
      </c>
      <c r="E401" t="s">
        <v>770</v>
      </c>
      <c r="F401" t="s">
        <v>771</v>
      </c>
      <c r="G401" t="s">
        <v>1854</v>
      </c>
      <c r="J401" t="s">
        <v>783</v>
      </c>
      <c r="K401" t="s">
        <v>1862</v>
      </c>
      <c r="L401" t="s">
        <v>1505</v>
      </c>
      <c r="M401" t="s">
        <v>53</v>
      </c>
      <c r="N401" t="s">
        <v>770</v>
      </c>
      <c r="O401">
        <v>1</v>
      </c>
      <c r="P401" t="s">
        <v>776</v>
      </c>
      <c r="Q401">
        <v>32.9</v>
      </c>
      <c r="R401">
        <v>5.93</v>
      </c>
      <c r="S401">
        <v>1.66</v>
      </c>
      <c r="T401">
        <v>0.3</v>
      </c>
      <c r="Y401" t="s">
        <v>2497</v>
      </c>
      <c r="Z401" t="s">
        <v>2498</v>
      </c>
      <c r="AA401">
        <v>34011</v>
      </c>
      <c r="AB401" t="s">
        <v>11</v>
      </c>
    </row>
    <row r="402" spans="1:28" x14ac:dyDescent="0.25">
      <c r="A402" t="s">
        <v>2499</v>
      </c>
      <c r="B402" t="s">
        <v>2499</v>
      </c>
      <c r="C402" t="s">
        <v>2500</v>
      </c>
      <c r="D402" t="s">
        <v>2501</v>
      </c>
      <c r="E402" t="s">
        <v>770</v>
      </c>
      <c r="F402" t="s">
        <v>771</v>
      </c>
      <c r="G402" t="s">
        <v>1854</v>
      </c>
      <c r="J402" t="s">
        <v>783</v>
      </c>
      <c r="K402" t="s">
        <v>1930</v>
      </c>
      <c r="L402" t="s">
        <v>775</v>
      </c>
      <c r="M402" t="s">
        <v>65</v>
      </c>
      <c r="N402" t="s">
        <v>770</v>
      </c>
      <c r="O402">
        <v>1</v>
      </c>
      <c r="P402" t="s">
        <v>776</v>
      </c>
      <c r="Q402">
        <v>29.9</v>
      </c>
      <c r="R402">
        <v>5.39</v>
      </c>
      <c r="Y402" t="s">
        <v>2502</v>
      </c>
      <c r="Z402" t="s">
        <v>2503</v>
      </c>
      <c r="AA402">
        <v>48013</v>
      </c>
      <c r="AB402" t="s">
        <v>11</v>
      </c>
    </row>
    <row r="403" spans="1:28" x14ac:dyDescent="0.25">
      <c r="A403" t="s">
        <v>2504</v>
      </c>
      <c r="B403" t="s">
        <v>2504</v>
      </c>
      <c r="C403" t="s">
        <v>2505</v>
      </c>
      <c r="D403" t="s">
        <v>2506</v>
      </c>
      <c r="E403" t="s">
        <v>770</v>
      </c>
      <c r="F403" t="s">
        <v>771</v>
      </c>
      <c r="G403" t="s">
        <v>1854</v>
      </c>
      <c r="J403" t="s">
        <v>783</v>
      </c>
      <c r="K403" t="s">
        <v>1930</v>
      </c>
      <c r="L403" t="s">
        <v>775</v>
      </c>
      <c r="M403" t="s">
        <v>65</v>
      </c>
      <c r="N403" t="s">
        <v>770</v>
      </c>
      <c r="O403">
        <v>1</v>
      </c>
      <c r="P403" t="s">
        <v>776</v>
      </c>
      <c r="Q403">
        <v>29.9</v>
      </c>
      <c r="R403">
        <v>5.39</v>
      </c>
      <c r="Y403" t="s">
        <v>2507</v>
      </c>
      <c r="Z403" t="s">
        <v>2075</v>
      </c>
      <c r="AA403">
        <v>22010</v>
      </c>
      <c r="AB403" t="s">
        <v>11</v>
      </c>
    </row>
    <row r="404" spans="1:28" x14ac:dyDescent="0.25">
      <c r="A404" t="s">
        <v>2508</v>
      </c>
      <c r="B404" t="s">
        <v>2508</v>
      </c>
      <c r="C404" t="s">
        <v>2509</v>
      </c>
      <c r="D404" t="s">
        <v>2510</v>
      </c>
      <c r="E404" t="s">
        <v>782</v>
      </c>
      <c r="F404" t="s">
        <v>771</v>
      </c>
      <c r="G404" t="s">
        <v>1854</v>
      </c>
      <c r="J404" t="s">
        <v>783</v>
      </c>
      <c r="K404" t="s">
        <v>1855</v>
      </c>
      <c r="L404" t="s">
        <v>1856</v>
      </c>
      <c r="M404" t="s">
        <v>12</v>
      </c>
      <c r="N404" t="s">
        <v>782</v>
      </c>
      <c r="O404">
        <v>0</v>
      </c>
      <c r="Y404" t="s">
        <v>2511</v>
      </c>
      <c r="Z404" t="s">
        <v>2512</v>
      </c>
      <c r="AA404">
        <v>63858</v>
      </c>
      <c r="AB404" t="s">
        <v>11</v>
      </c>
    </row>
    <row r="405" spans="1:28" x14ac:dyDescent="0.25">
      <c r="A405" t="s">
        <v>2513</v>
      </c>
      <c r="B405" t="s">
        <v>2513</v>
      </c>
      <c r="C405" t="s">
        <v>2514</v>
      </c>
      <c r="D405" t="s">
        <v>2515</v>
      </c>
      <c r="E405" t="s">
        <v>770</v>
      </c>
      <c r="F405" t="s">
        <v>771</v>
      </c>
      <c r="G405" t="s">
        <v>1854</v>
      </c>
      <c r="J405" t="s">
        <v>783</v>
      </c>
      <c r="K405" t="s">
        <v>1855</v>
      </c>
      <c r="L405" t="s">
        <v>1856</v>
      </c>
      <c r="M405" t="s">
        <v>12</v>
      </c>
      <c r="N405" t="s">
        <v>770</v>
      </c>
      <c r="O405">
        <v>2</v>
      </c>
      <c r="P405" t="s">
        <v>776</v>
      </c>
      <c r="Q405">
        <v>39.799999999999997</v>
      </c>
      <c r="R405">
        <v>7.18</v>
      </c>
      <c r="Y405" t="s">
        <v>2009</v>
      </c>
      <c r="Z405" t="s">
        <v>1908</v>
      </c>
      <c r="AA405">
        <v>80014</v>
      </c>
      <c r="AB405" t="s">
        <v>11</v>
      </c>
    </row>
    <row r="406" spans="1:28" x14ac:dyDescent="0.25">
      <c r="A406" t="s">
        <v>2516</v>
      </c>
      <c r="B406" t="s">
        <v>2516</v>
      </c>
      <c r="C406" t="s">
        <v>2517</v>
      </c>
      <c r="D406" t="s">
        <v>2518</v>
      </c>
      <c r="E406" t="s">
        <v>782</v>
      </c>
      <c r="F406" t="s">
        <v>771</v>
      </c>
      <c r="G406" t="s">
        <v>1854</v>
      </c>
      <c r="J406" t="s">
        <v>783</v>
      </c>
      <c r="K406" t="s">
        <v>1855</v>
      </c>
      <c r="L406" t="s">
        <v>1856</v>
      </c>
      <c r="M406" t="s">
        <v>12</v>
      </c>
      <c r="N406" t="s">
        <v>782</v>
      </c>
      <c r="O406">
        <v>0</v>
      </c>
      <c r="Y406" t="s">
        <v>2511</v>
      </c>
      <c r="Z406" t="s">
        <v>2512</v>
      </c>
      <c r="AA406">
        <v>63858</v>
      </c>
      <c r="AB406" t="s">
        <v>11</v>
      </c>
    </row>
    <row r="407" spans="1:28" x14ac:dyDescent="0.25">
      <c r="A407" t="s">
        <v>2519</v>
      </c>
      <c r="B407" t="s">
        <v>2519</v>
      </c>
      <c r="C407" t="s">
        <v>2520</v>
      </c>
      <c r="D407" t="s">
        <v>2521</v>
      </c>
      <c r="E407" t="s">
        <v>770</v>
      </c>
      <c r="F407" t="s">
        <v>771</v>
      </c>
      <c r="G407" t="s">
        <v>1854</v>
      </c>
      <c r="J407" t="s">
        <v>783</v>
      </c>
      <c r="K407" t="s">
        <v>1855</v>
      </c>
      <c r="L407" t="s">
        <v>1856</v>
      </c>
      <c r="M407" t="s">
        <v>12</v>
      </c>
      <c r="N407" t="s">
        <v>770</v>
      </c>
      <c r="O407">
        <v>1</v>
      </c>
      <c r="P407" t="s">
        <v>776</v>
      </c>
      <c r="Q407">
        <v>19.899999999999999</v>
      </c>
      <c r="R407">
        <v>3.59</v>
      </c>
      <c r="Y407" t="s">
        <v>2522</v>
      </c>
      <c r="Z407" t="s">
        <v>2523</v>
      </c>
      <c r="AA407">
        <v>87070</v>
      </c>
      <c r="AB407" t="s">
        <v>11</v>
      </c>
    </row>
    <row r="408" spans="1:28" x14ac:dyDescent="0.25">
      <c r="A408" t="s">
        <v>2524</v>
      </c>
      <c r="B408" t="s">
        <v>2524</v>
      </c>
      <c r="C408" t="s">
        <v>2525</v>
      </c>
      <c r="D408" t="s">
        <v>2526</v>
      </c>
      <c r="E408" t="s">
        <v>770</v>
      </c>
      <c r="F408" t="s">
        <v>771</v>
      </c>
      <c r="G408" t="s">
        <v>1854</v>
      </c>
      <c r="J408" t="s">
        <v>783</v>
      </c>
      <c r="K408" t="s">
        <v>1855</v>
      </c>
      <c r="L408" t="s">
        <v>1856</v>
      </c>
      <c r="M408" t="s">
        <v>12</v>
      </c>
      <c r="N408" t="s">
        <v>770</v>
      </c>
      <c r="O408">
        <v>1</v>
      </c>
      <c r="P408" t="s">
        <v>776</v>
      </c>
      <c r="Q408">
        <v>19.899999999999999</v>
      </c>
      <c r="R408">
        <v>3.59</v>
      </c>
      <c r="Y408" t="s">
        <v>2527</v>
      </c>
      <c r="Z408" t="s">
        <v>2528</v>
      </c>
      <c r="AA408">
        <v>85042</v>
      </c>
      <c r="AB408" t="s">
        <v>11</v>
      </c>
    </row>
    <row r="409" spans="1:28" x14ac:dyDescent="0.25">
      <c r="A409" t="s">
        <v>2529</v>
      </c>
      <c r="B409" t="s">
        <v>2529</v>
      </c>
      <c r="C409" t="s">
        <v>2530</v>
      </c>
      <c r="D409" t="s">
        <v>2531</v>
      </c>
      <c r="E409" t="s">
        <v>770</v>
      </c>
      <c r="F409" t="s">
        <v>771</v>
      </c>
      <c r="G409" t="s">
        <v>1854</v>
      </c>
      <c r="J409" t="s">
        <v>783</v>
      </c>
      <c r="K409" t="s">
        <v>1855</v>
      </c>
      <c r="L409" t="s">
        <v>1856</v>
      </c>
      <c r="M409" t="s">
        <v>12</v>
      </c>
      <c r="N409" t="s">
        <v>770</v>
      </c>
      <c r="O409">
        <v>1</v>
      </c>
      <c r="P409" t="s">
        <v>776</v>
      </c>
      <c r="Q409">
        <v>19.899999999999999</v>
      </c>
      <c r="R409">
        <v>3.59</v>
      </c>
      <c r="Y409" t="s">
        <v>2532</v>
      </c>
      <c r="Z409" t="s">
        <v>2533</v>
      </c>
      <c r="AA409">
        <v>35045</v>
      </c>
      <c r="AB409" t="s">
        <v>11</v>
      </c>
    </row>
    <row r="410" spans="1:28" x14ac:dyDescent="0.25">
      <c r="A410" t="s">
        <v>2534</v>
      </c>
      <c r="B410" t="s">
        <v>2534</v>
      </c>
      <c r="C410" t="s">
        <v>2535</v>
      </c>
      <c r="D410" t="s">
        <v>2536</v>
      </c>
      <c r="E410" t="s">
        <v>770</v>
      </c>
      <c r="F410" t="s">
        <v>771</v>
      </c>
      <c r="G410" t="s">
        <v>1854</v>
      </c>
      <c r="J410" t="s">
        <v>783</v>
      </c>
      <c r="K410" t="s">
        <v>1855</v>
      </c>
      <c r="L410" t="s">
        <v>1856</v>
      </c>
      <c r="M410" t="s">
        <v>12</v>
      </c>
      <c r="N410" t="s">
        <v>770</v>
      </c>
      <c r="O410">
        <v>2</v>
      </c>
      <c r="P410" t="s">
        <v>776</v>
      </c>
      <c r="Q410">
        <v>39.799999999999997</v>
      </c>
      <c r="R410">
        <v>7.18</v>
      </c>
      <c r="Y410" t="s">
        <v>2537</v>
      </c>
      <c r="Z410" t="s">
        <v>2538</v>
      </c>
      <c r="AA410">
        <v>1016</v>
      </c>
      <c r="AB410" t="s">
        <v>11</v>
      </c>
    </row>
    <row r="411" spans="1:28" x14ac:dyDescent="0.25">
      <c r="A411" t="s">
        <v>2539</v>
      </c>
      <c r="B411" t="s">
        <v>2539</v>
      </c>
      <c r="C411" t="s">
        <v>2540</v>
      </c>
      <c r="D411" t="s">
        <v>2541</v>
      </c>
      <c r="E411" t="s">
        <v>770</v>
      </c>
      <c r="F411" t="s">
        <v>771</v>
      </c>
      <c r="G411" t="s">
        <v>1854</v>
      </c>
      <c r="J411" t="s">
        <v>783</v>
      </c>
      <c r="K411" t="s">
        <v>1862</v>
      </c>
      <c r="L411" t="s">
        <v>1505</v>
      </c>
      <c r="M411" t="s">
        <v>53</v>
      </c>
      <c r="N411" t="s">
        <v>770</v>
      </c>
      <c r="O411">
        <v>1</v>
      </c>
      <c r="P411" t="s">
        <v>776</v>
      </c>
      <c r="Q411">
        <v>32.9</v>
      </c>
      <c r="R411">
        <v>5.93</v>
      </c>
      <c r="Y411" t="s">
        <v>1875</v>
      </c>
      <c r="Z411" t="s">
        <v>1864</v>
      </c>
      <c r="AA411">
        <v>20133</v>
      </c>
      <c r="AB411" t="s">
        <v>11</v>
      </c>
    </row>
    <row r="412" spans="1:28" x14ac:dyDescent="0.25">
      <c r="A412" t="s">
        <v>2542</v>
      </c>
      <c r="B412" t="s">
        <v>2542</v>
      </c>
      <c r="C412" t="s">
        <v>2543</v>
      </c>
      <c r="D412" t="s">
        <v>2544</v>
      </c>
      <c r="E412" t="s">
        <v>770</v>
      </c>
      <c r="F412" t="s">
        <v>771</v>
      </c>
      <c r="G412" t="s">
        <v>1854</v>
      </c>
      <c r="J412" t="s">
        <v>783</v>
      </c>
      <c r="K412" t="s">
        <v>2252</v>
      </c>
      <c r="L412" t="s">
        <v>2253</v>
      </c>
      <c r="M412" t="s">
        <v>73</v>
      </c>
      <c r="N412" t="s">
        <v>770</v>
      </c>
      <c r="O412">
        <v>2</v>
      </c>
      <c r="P412" t="s">
        <v>776</v>
      </c>
      <c r="Q412">
        <v>33.799999999999997</v>
      </c>
      <c r="R412">
        <v>6.1</v>
      </c>
      <c r="Y412" t="s">
        <v>1908</v>
      </c>
      <c r="Z412" t="s">
        <v>2025</v>
      </c>
      <c r="AA412">
        <v>80144</v>
      </c>
      <c r="AB412" t="s">
        <v>11</v>
      </c>
    </row>
    <row r="413" spans="1:28" x14ac:dyDescent="0.25">
      <c r="A413" t="s">
        <v>2545</v>
      </c>
      <c r="B413" t="s">
        <v>2545</v>
      </c>
      <c r="C413" t="s">
        <v>2546</v>
      </c>
      <c r="D413" t="s">
        <v>2547</v>
      </c>
      <c r="E413" t="s">
        <v>770</v>
      </c>
      <c r="F413" t="s">
        <v>771</v>
      </c>
      <c r="G413" t="s">
        <v>1854</v>
      </c>
      <c r="J413" t="s">
        <v>783</v>
      </c>
      <c r="K413" t="s">
        <v>1862</v>
      </c>
      <c r="L413" t="s">
        <v>1505</v>
      </c>
      <c r="M413" t="s">
        <v>53</v>
      </c>
      <c r="N413" t="s">
        <v>770</v>
      </c>
      <c r="O413">
        <v>1</v>
      </c>
      <c r="P413" t="s">
        <v>776</v>
      </c>
      <c r="Q413">
        <v>32.9</v>
      </c>
      <c r="R413">
        <v>5.93</v>
      </c>
      <c r="Y413" t="s">
        <v>1913</v>
      </c>
      <c r="Z413" t="s">
        <v>2548</v>
      </c>
      <c r="AA413">
        <v>155</v>
      </c>
      <c r="AB413" t="s">
        <v>11</v>
      </c>
    </row>
    <row r="414" spans="1:28" x14ac:dyDescent="0.25">
      <c r="A414" t="s">
        <v>2549</v>
      </c>
      <c r="B414" t="s">
        <v>2549</v>
      </c>
      <c r="C414" t="s">
        <v>2550</v>
      </c>
      <c r="D414" t="s">
        <v>2551</v>
      </c>
      <c r="E414" t="s">
        <v>770</v>
      </c>
      <c r="F414" t="s">
        <v>771</v>
      </c>
      <c r="G414" t="s">
        <v>1854</v>
      </c>
      <c r="J414" t="s">
        <v>783</v>
      </c>
      <c r="K414" t="s">
        <v>1855</v>
      </c>
      <c r="L414" t="s">
        <v>1856</v>
      </c>
      <c r="M414" t="s">
        <v>12</v>
      </c>
      <c r="N414" t="s">
        <v>770</v>
      </c>
      <c r="O414">
        <v>1</v>
      </c>
      <c r="P414" t="s">
        <v>776</v>
      </c>
      <c r="Q414">
        <v>19.899999999999999</v>
      </c>
      <c r="R414">
        <v>3.59</v>
      </c>
      <c r="S414">
        <v>1.67</v>
      </c>
      <c r="T414">
        <v>0.3</v>
      </c>
      <c r="Y414" t="s">
        <v>2552</v>
      </c>
      <c r="Z414" t="s">
        <v>1975</v>
      </c>
      <c r="AA414">
        <v>18010</v>
      </c>
      <c r="AB414" t="s">
        <v>11</v>
      </c>
    </row>
    <row r="415" spans="1:28" x14ac:dyDescent="0.25">
      <c r="A415" t="s">
        <v>2553</v>
      </c>
      <c r="B415" t="s">
        <v>2553</v>
      </c>
      <c r="C415" t="s">
        <v>2554</v>
      </c>
      <c r="D415" t="s">
        <v>2555</v>
      </c>
      <c r="E415" t="s">
        <v>770</v>
      </c>
      <c r="F415" t="s">
        <v>771</v>
      </c>
      <c r="G415" t="s">
        <v>1854</v>
      </c>
      <c r="J415" t="s">
        <v>783</v>
      </c>
      <c r="K415" t="s">
        <v>1930</v>
      </c>
      <c r="L415" t="s">
        <v>775</v>
      </c>
      <c r="M415" t="s">
        <v>65</v>
      </c>
      <c r="N415" t="s">
        <v>770</v>
      </c>
      <c r="O415">
        <v>1</v>
      </c>
      <c r="P415" t="s">
        <v>776</v>
      </c>
      <c r="Q415">
        <v>29.9</v>
      </c>
      <c r="R415">
        <v>5.39</v>
      </c>
      <c r="Y415" t="s">
        <v>2556</v>
      </c>
      <c r="Z415" t="s">
        <v>2454</v>
      </c>
      <c r="AA415">
        <v>71010</v>
      </c>
      <c r="AB415" t="s">
        <v>11</v>
      </c>
    </row>
    <row r="416" spans="1:28" x14ac:dyDescent="0.25">
      <c r="A416" t="s">
        <v>2557</v>
      </c>
      <c r="B416" t="s">
        <v>2557</v>
      </c>
      <c r="C416" t="s">
        <v>2558</v>
      </c>
      <c r="D416" t="s">
        <v>2559</v>
      </c>
      <c r="E416" t="s">
        <v>782</v>
      </c>
      <c r="F416" t="s">
        <v>771</v>
      </c>
      <c r="G416" t="s">
        <v>1854</v>
      </c>
      <c r="J416" t="s">
        <v>783</v>
      </c>
      <c r="K416" t="s">
        <v>1855</v>
      </c>
      <c r="L416" t="s">
        <v>1856</v>
      </c>
      <c r="M416" t="s">
        <v>12</v>
      </c>
      <c r="N416" t="s">
        <v>782</v>
      </c>
      <c r="O416">
        <v>0</v>
      </c>
      <c r="Y416" t="s">
        <v>2560</v>
      </c>
      <c r="Z416" t="s">
        <v>2561</v>
      </c>
      <c r="AA416">
        <v>86021</v>
      </c>
      <c r="AB416" t="s">
        <v>11</v>
      </c>
    </row>
    <row r="417" spans="1:28" x14ac:dyDescent="0.25">
      <c r="A417" t="s">
        <v>2562</v>
      </c>
      <c r="B417" t="s">
        <v>2562</v>
      </c>
      <c r="C417" t="s">
        <v>2563</v>
      </c>
      <c r="D417" t="s">
        <v>2564</v>
      </c>
      <c r="E417" t="s">
        <v>770</v>
      </c>
      <c r="F417" t="s">
        <v>771</v>
      </c>
      <c r="G417" t="s">
        <v>1854</v>
      </c>
      <c r="J417" t="s">
        <v>783</v>
      </c>
      <c r="K417" t="s">
        <v>1855</v>
      </c>
      <c r="L417" t="s">
        <v>1856</v>
      </c>
      <c r="M417" t="s">
        <v>12</v>
      </c>
      <c r="N417" t="s">
        <v>770</v>
      </c>
      <c r="O417">
        <v>1</v>
      </c>
      <c r="P417" t="s">
        <v>776</v>
      </c>
      <c r="Q417">
        <v>19.899999999999999</v>
      </c>
      <c r="R417">
        <v>3.59</v>
      </c>
      <c r="Y417" t="s">
        <v>1908</v>
      </c>
      <c r="Z417" t="s">
        <v>1908</v>
      </c>
      <c r="AA417">
        <v>80136</v>
      </c>
      <c r="AB417" t="s">
        <v>11</v>
      </c>
    </row>
    <row r="418" spans="1:28" x14ac:dyDescent="0.25">
      <c r="A418" t="s">
        <v>2565</v>
      </c>
      <c r="B418" t="s">
        <v>2565</v>
      </c>
      <c r="C418" t="s">
        <v>2566</v>
      </c>
      <c r="D418" t="s">
        <v>2567</v>
      </c>
      <c r="E418" t="s">
        <v>770</v>
      </c>
      <c r="F418" t="s">
        <v>771</v>
      </c>
      <c r="G418" t="s">
        <v>1854</v>
      </c>
      <c r="J418" t="s">
        <v>783</v>
      </c>
      <c r="K418" t="s">
        <v>1862</v>
      </c>
      <c r="L418" t="s">
        <v>1505</v>
      </c>
      <c r="M418" t="s">
        <v>53</v>
      </c>
      <c r="N418" t="s">
        <v>770</v>
      </c>
      <c r="O418">
        <v>1</v>
      </c>
      <c r="P418" t="s">
        <v>776</v>
      </c>
      <c r="Q418">
        <v>32.9</v>
      </c>
      <c r="R418">
        <v>5.93</v>
      </c>
      <c r="Y418" t="s">
        <v>2568</v>
      </c>
      <c r="Z418" t="s">
        <v>2569</v>
      </c>
      <c r="AA418">
        <v>47522</v>
      </c>
      <c r="AB418" t="s">
        <v>11</v>
      </c>
    </row>
    <row r="419" spans="1:28" x14ac:dyDescent="0.25">
      <c r="A419" t="s">
        <v>2570</v>
      </c>
      <c r="B419" t="s">
        <v>2570</v>
      </c>
      <c r="C419" t="s">
        <v>2571</v>
      </c>
      <c r="D419" t="s">
        <v>2572</v>
      </c>
      <c r="E419" t="s">
        <v>770</v>
      </c>
      <c r="F419" t="s">
        <v>771</v>
      </c>
      <c r="G419" t="s">
        <v>1854</v>
      </c>
      <c r="J419" t="s">
        <v>783</v>
      </c>
      <c r="K419" t="s">
        <v>1862</v>
      </c>
      <c r="L419" t="s">
        <v>1505</v>
      </c>
      <c r="M419" t="s">
        <v>53</v>
      </c>
      <c r="N419" t="s">
        <v>770</v>
      </c>
      <c r="O419">
        <v>1</v>
      </c>
      <c r="P419" t="s">
        <v>776</v>
      </c>
      <c r="Q419">
        <v>32.9</v>
      </c>
      <c r="R419">
        <v>5.93</v>
      </c>
      <c r="Y419" t="s">
        <v>1913</v>
      </c>
      <c r="Z419" t="s">
        <v>1926</v>
      </c>
      <c r="AA419">
        <v>139</v>
      </c>
      <c r="AB419" t="s">
        <v>11</v>
      </c>
    </row>
    <row r="420" spans="1:28" x14ac:dyDescent="0.25">
      <c r="A420" t="s">
        <v>2573</v>
      </c>
      <c r="B420" t="s">
        <v>2573</v>
      </c>
      <c r="C420" t="s">
        <v>2574</v>
      </c>
      <c r="D420" t="s">
        <v>2575</v>
      </c>
      <c r="E420" t="s">
        <v>770</v>
      </c>
      <c r="F420" t="s">
        <v>771</v>
      </c>
      <c r="G420" t="s">
        <v>1854</v>
      </c>
      <c r="J420" t="s">
        <v>783</v>
      </c>
      <c r="K420" t="s">
        <v>1855</v>
      </c>
      <c r="L420" t="s">
        <v>1856</v>
      </c>
      <c r="M420" t="s">
        <v>12</v>
      </c>
      <c r="N420" t="s">
        <v>770</v>
      </c>
      <c r="O420">
        <v>1</v>
      </c>
      <c r="P420" t="s">
        <v>776</v>
      </c>
      <c r="Q420">
        <v>19.899999999999999</v>
      </c>
      <c r="R420">
        <v>3.59</v>
      </c>
      <c r="Y420" t="s">
        <v>2576</v>
      </c>
      <c r="Z420" t="s">
        <v>2025</v>
      </c>
      <c r="AA420">
        <v>80010</v>
      </c>
      <c r="AB420" t="s">
        <v>11</v>
      </c>
    </row>
    <row r="421" spans="1:28" x14ac:dyDescent="0.25">
      <c r="A421" t="s">
        <v>2577</v>
      </c>
      <c r="B421" t="s">
        <v>2577</v>
      </c>
      <c r="C421" t="s">
        <v>2578</v>
      </c>
      <c r="D421" t="s">
        <v>2579</v>
      </c>
      <c r="E421" t="s">
        <v>770</v>
      </c>
      <c r="F421" t="s">
        <v>771</v>
      </c>
      <c r="G421" t="s">
        <v>1854</v>
      </c>
      <c r="J421" t="s">
        <v>783</v>
      </c>
      <c r="K421" t="s">
        <v>1855</v>
      </c>
      <c r="L421" t="s">
        <v>1856</v>
      </c>
      <c r="M421" t="s">
        <v>12</v>
      </c>
      <c r="N421" t="s">
        <v>770</v>
      </c>
      <c r="O421">
        <v>1</v>
      </c>
      <c r="P421" t="s">
        <v>776</v>
      </c>
      <c r="Q421">
        <v>19.899999999999999</v>
      </c>
      <c r="R421">
        <v>3.59</v>
      </c>
      <c r="Y421" t="s">
        <v>2580</v>
      </c>
      <c r="Z421" t="s">
        <v>2581</v>
      </c>
      <c r="AA421">
        <v>50065</v>
      </c>
      <c r="AB421" t="s">
        <v>11</v>
      </c>
    </row>
    <row r="422" spans="1:28" x14ac:dyDescent="0.25">
      <c r="A422" t="s">
        <v>2582</v>
      </c>
      <c r="B422" t="s">
        <v>2582</v>
      </c>
      <c r="C422" t="s">
        <v>2583</v>
      </c>
      <c r="D422" t="s">
        <v>2584</v>
      </c>
      <c r="E422" t="s">
        <v>770</v>
      </c>
      <c r="F422" t="s">
        <v>771</v>
      </c>
      <c r="G422" t="s">
        <v>1854</v>
      </c>
      <c r="J422" t="s">
        <v>783</v>
      </c>
      <c r="K422" t="s">
        <v>2055</v>
      </c>
      <c r="L422" t="s">
        <v>806</v>
      </c>
      <c r="M422" t="s">
        <v>202</v>
      </c>
      <c r="N422" t="s">
        <v>770</v>
      </c>
      <c r="O422">
        <v>1</v>
      </c>
      <c r="P422" t="s">
        <v>776</v>
      </c>
      <c r="Q422">
        <v>14.9</v>
      </c>
      <c r="R422">
        <v>2.69</v>
      </c>
      <c r="Y422" t="s">
        <v>2585</v>
      </c>
      <c r="Z422" t="s">
        <v>2020</v>
      </c>
      <c r="AA422">
        <v>4011</v>
      </c>
      <c r="AB422" t="s">
        <v>11</v>
      </c>
    </row>
    <row r="423" spans="1:28" x14ac:dyDescent="0.25">
      <c r="A423" t="s">
        <v>2586</v>
      </c>
      <c r="B423" t="s">
        <v>2586</v>
      </c>
      <c r="C423" t="s">
        <v>2587</v>
      </c>
      <c r="D423" t="s">
        <v>2588</v>
      </c>
      <c r="E423" t="s">
        <v>770</v>
      </c>
      <c r="F423" t="s">
        <v>771</v>
      </c>
      <c r="G423" t="s">
        <v>1854</v>
      </c>
      <c r="J423" t="s">
        <v>783</v>
      </c>
      <c r="K423" t="s">
        <v>1855</v>
      </c>
      <c r="L423" t="s">
        <v>1856</v>
      </c>
      <c r="M423" t="s">
        <v>12</v>
      </c>
      <c r="N423" t="s">
        <v>770</v>
      </c>
      <c r="O423">
        <v>1</v>
      </c>
      <c r="P423" t="s">
        <v>776</v>
      </c>
      <c r="Q423">
        <v>19.899999999999999</v>
      </c>
      <c r="R423">
        <v>3.59</v>
      </c>
      <c r="Y423" t="s">
        <v>2580</v>
      </c>
      <c r="Z423" t="s">
        <v>2581</v>
      </c>
      <c r="AA423">
        <v>50065</v>
      </c>
      <c r="AB423" t="s">
        <v>11</v>
      </c>
    </row>
    <row r="424" spans="1:28" x14ac:dyDescent="0.25">
      <c r="A424" t="s">
        <v>2589</v>
      </c>
      <c r="B424" t="s">
        <v>2589</v>
      </c>
      <c r="C424" t="s">
        <v>2590</v>
      </c>
      <c r="D424" t="s">
        <v>2591</v>
      </c>
      <c r="E424" t="s">
        <v>770</v>
      </c>
      <c r="F424" t="s">
        <v>771</v>
      </c>
      <c r="G424" t="s">
        <v>1854</v>
      </c>
      <c r="J424" t="s">
        <v>783</v>
      </c>
      <c r="K424" t="s">
        <v>1855</v>
      </c>
      <c r="L424" t="s">
        <v>1856</v>
      </c>
      <c r="M424" t="s">
        <v>12</v>
      </c>
      <c r="N424" t="s">
        <v>770</v>
      </c>
      <c r="O424">
        <v>1</v>
      </c>
      <c r="P424" t="s">
        <v>776</v>
      </c>
      <c r="Q424">
        <v>19.899999999999999</v>
      </c>
      <c r="R424">
        <v>3.59</v>
      </c>
      <c r="S424">
        <v>4.99</v>
      </c>
      <c r="T424">
        <v>0.9</v>
      </c>
      <c r="Y424" t="s">
        <v>2592</v>
      </c>
      <c r="Z424" t="s">
        <v>1908</v>
      </c>
      <c r="AA424">
        <v>80018</v>
      </c>
      <c r="AB424" t="s">
        <v>11</v>
      </c>
    </row>
    <row r="425" spans="1:28" x14ac:dyDescent="0.25">
      <c r="A425" t="s">
        <v>2593</v>
      </c>
      <c r="B425" t="s">
        <v>2593</v>
      </c>
      <c r="C425" t="s">
        <v>2594</v>
      </c>
      <c r="D425" t="s">
        <v>2595</v>
      </c>
      <c r="E425" t="s">
        <v>770</v>
      </c>
      <c r="F425" t="s">
        <v>771</v>
      </c>
      <c r="G425" t="s">
        <v>1854</v>
      </c>
      <c r="J425" t="s">
        <v>783</v>
      </c>
      <c r="K425" t="s">
        <v>2252</v>
      </c>
      <c r="L425" t="s">
        <v>2253</v>
      </c>
      <c r="M425" t="s">
        <v>73</v>
      </c>
      <c r="N425" t="s">
        <v>770</v>
      </c>
      <c r="O425">
        <v>2</v>
      </c>
      <c r="P425" t="s">
        <v>776</v>
      </c>
      <c r="Q425">
        <v>33.799999999999997</v>
      </c>
      <c r="R425">
        <v>6.1</v>
      </c>
      <c r="Y425" t="s">
        <v>2596</v>
      </c>
      <c r="Z425" t="s">
        <v>2597</v>
      </c>
      <c r="AA425">
        <v>70020</v>
      </c>
      <c r="AB425" t="s">
        <v>11</v>
      </c>
    </row>
    <row r="426" spans="1:28" x14ac:dyDescent="0.25">
      <c r="A426" t="s">
        <v>2598</v>
      </c>
      <c r="B426" t="s">
        <v>2598</v>
      </c>
      <c r="C426" t="s">
        <v>2599</v>
      </c>
      <c r="D426" t="s">
        <v>2600</v>
      </c>
      <c r="E426" t="s">
        <v>782</v>
      </c>
      <c r="F426" t="s">
        <v>771</v>
      </c>
      <c r="G426" t="s">
        <v>1854</v>
      </c>
      <c r="J426" t="s">
        <v>783</v>
      </c>
      <c r="K426" t="s">
        <v>1855</v>
      </c>
      <c r="L426" t="s">
        <v>1856</v>
      </c>
      <c r="M426" t="s">
        <v>12</v>
      </c>
      <c r="N426" t="s">
        <v>782</v>
      </c>
      <c r="O426">
        <v>0</v>
      </c>
      <c r="Y426" t="s">
        <v>2601</v>
      </c>
      <c r="Z426" t="s">
        <v>2602</v>
      </c>
      <c r="AA426">
        <v>16166</v>
      </c>
      <c r="AB426" t="s">
        <v>11</v>
      </c>
    </row>
    <row r="427" spans="1:28" x14ac:dyDescent="0.25">
      <c r="A427" t="s">
        <v>2603</v>
      </c>
      <c r="B427" t="s">
        <v>2603</v>
      </c>
      <c r="C427" t="s">
        <v>2604</v>
      </c>
      <c r="D427" t="s">
        <v>2605</v>
      </c>
      <c r="E427" t="s">
        <v>770</v>
      </c>
      <c r="F427" t="s">
        <v>771</v>
      </c>
      <c r="G427" t="s">
        <v>1854</v>
      </c>
      <c r="J427" t="s">
        <v>783</v>
      </c>
      <c r="K427" t="s">
        <v>1855</v>
      </c>
      <c r="L427" t="s">
        <v>1856</v>
      </c>
      <c r="M427" t="s">
        <v>12</v>
      </c>
      <c r="N427" t="s">
        <v>770</v>
      </c>
      <c r="O427">
        <v>1</v>
      </c>
      <c r="P427" t="s">
        <v>776</v>
      </c>
      <c r="Q427">
        <v>19.899999999999999</v>
      </c>
      <c r="R427">
        <v>3.59</v>
      </c>
      <c r="S427">
        <v>4.99</v>
      </c>
      <c r="T427">
        <v>0.9</v>
      </c>
      <c r="Y427" t="s">
        <v>1913</v>
      </c>
      <c r="Z427" t="s">
        <v>1913</v>
      </c>
      <c r="AA427">
        <v>185</v>
      </c>
      <c r="AB427" t="s">
        <v>11</v>
      </c>
    </row>
    <row r="428" spans="1:28" x14ac:dyDescent="0.25">
      <c r="A428" t="s">
        <v>2606</v>
      </c>
      <c r="B428" t="s">
        <v>2606</v>
      </c>
      <c r="C428" t="s">
        <v>2607</v>
      </c>
      <c r="D428" t="s">
        <v>2608</v>
      </c>
      <c r="E428" t="s">
        <v>770</v>
      </c>
      <c r="F428" t="s">
        <v>771</v>
      </c>
      <c r="G428" t="s">
        <v>1854</v>
      </c>
      <c r="J428" t="s">
        <v>783</v>
      </c>
      <c r="K428" t="s">
        <v>2055</v>
      </c>
      <c r="L428" t="s">
        <v>806</v>
      </c>
      <c r="M428" t="s">
        <v>202</v>
      </c>
      <c r="N428" t="s">
        <v>770</v>
      </c>
      <c r="O428">
        <v>1</v>
      </c>
      <c r="P428" t="s">
        <v>776</v>
      </c>
      <c r="Q428">
        <v>14.9</v>
      </c>
      <c r="R428">
        <v>2.69</v>
      </c>
      <c r="Y428" t="s">
        <v>1961</v>
      </c>
      <c r="Z428" t="s">
        <v>1875</v>
      </c>
      <c r="AA428">
        <v>20148</v>
      </c>
      <c r="AB428" t="s">
        <v>11</v>
      </c>
    </row>
    <row r="429" spans="1:28" x14ac:dyDescent="0.25">
      <c r="A429" t="s">
        <v>2609</v>
      </c>
      <c r="B429" t="s">
        <v>2609</v>
      </c>
      <c r="C429" t="s">
        <v>2610</v>
      </c>
      <c r="D429" t="s">
        <v>2611</v>
      </c>
      <c r="E429" t="s">
        <v>770</v>
      </c>
      <c r="F429" t="s">
        <v>771</v>
      </c>
      <c r="G429" t="s">
        <v>1854</v>
      </c>
      <c r="J429" t="s">
        <v>783</v>
      </c>
      <c r="K429" t="s">
        <v>1855</v>
      </c>
      <c r="L429" t="s">
        <v>1856</v>
      </c>
      <c r="M429" t="s">
        <v>12</v>
      </c>
      <c r="N429" t="s">
        <v>770</v>
      </c>
      <c r="O429">
        <v>1</v>
      </c>
      <c r="P429" t="s">
        <v>776</v>
      </c>
      <c r="Q429">
        <v>19.899999999999999</v>
      </c>
      <c r="R429">
        <v>3.59</v>
      </c>
      <c r="Y429" t="s">
        <v>2244</v>
      </c>
      <c r="Z429" t="s">
        <v>2244</v>
      </c>
      <c r="AA429">
        <v>59100</v>
      </c>
      <c r="AB429" t="s">
        <v>11</v>
      </c>
    </row>
    <row r="430" spans="1:28" x14ac:dyDescent="0.25">
      <c r="A430" t="s">
        <v>2612</v>
      </c>
      <c r="B430" t="s">
        <v>2612</v>
      </c>
      <c r="C430" t="s">
        <v>2613</v>
      </c>
      <c r="D430" t="s">
        <v>2614</v>
      </c>
      <c r="E430" t="s">
        <v>770</v>
      </c>
      <c r="F430" t="s">
        <v>771</v>
      </c>
      <c r="G430" t="s">
        <v>1854</v>
      </c>
      <c r="J430" t="s">
        <v>783</v>
      </c>
      <c r="K430" t="s">
        <v>2162</v>
      </c>
      <c r="L430" t="s">
        <v>2163</v>
      </c>
      <c r="M430" t="s">
        <v>59</v>
      </c>
      <c r="N430" t="s">
        <v>770</v>
      </c>
      <c r="O430">
        <v>1</v>
      </c>
      <c r="P430" t="s">
        <v>776</v>
      </c>
      <c r="Q430">
        <v>29.9</v>
      </c>
      <c r="R430">
        <v>5.39</v>
      </c>
      <c r="Y430" t="s">
        <v>2615</v>
      </c>
      <c r="Z430" t="s">
        <v>2616</v>
      </c>
      <c r="AA430">
        <v>39040</v>
      </c>
      <c r="AB430" t="s">
        <v>11</v>
      </c>
    </row>
    <row r="431" spans="1:28" x14ac:dyDescent="0.25">
      <c r="A431" t="s">
        <v>2617</v>
      </c>
      <c r="B431" t="s">
        <v>2617</v>
      </c>
      <c r="C431" t="s">
        <v>2618</v>
      </c>
      <c r="D431" t="s">
        <v>2619</v>
      </c>
      <c r="E431" t="s">
        <v>770</v>
      </c>
      <c r="F431" t="s">
        <v>771</v>
      </c>
      <c r="G431" t="s">
        <v>1854</v>
      </c>
      <c r="J431" t="s">
        <v>783</v>
      </c>
      <c r="K431" t="s">
        <v>1930</v>
      </c>
      <c r="L431" t="s">
        <v>775</v>
      </c>
      <c r="M431" t="s">
        <v>65</v>
      </c>
      <c r="N431" t="s">
        <v>770</v>
      </c>
      <c r="O431">
        <v>1</v>
      </c>
      <c r="P431" t="s">
        <v>776</v>
      </c>
      <c r="Q431">
        <v>29.9</v>
      </c>
      <c r="R431">
        <v>5.39</v>
      </c>
      <c r="Y431" t="s">
        <v>2620</v>
      </c>
      <c r="Z431" t="s">
        <v>2621</v>
      </c>
      <c r="AA431">
        <v>21100</v>
      </c>
      <c r="AB431" t="s">
        <v>11</v>
      </c>
    </row>
    <row r="432" spans="1:28" x14ac:dyDescent="0.25">
      <c r="A432" t="s">
        <v>2622</v>
      </c>
      <c r="B432" t="s">
        <v>2622</v>
      </c>
      <c r="C432" t="s">
        <v>2623</v>
      </c>
      <c r="D432" t="s">
        <v>2624</v>
      </c>
      <c r="E432" t="s">
        <v>770</v>
      </c>
      <c r="F432" t="s">
        <v>771</v>
      </c>
      <c r="G432" t="s">
        <v>1854</v>
      </c>
      <c r="J432" t="s">
        <v>783</v>
      </c>
      <c r="K432" t="s">
        <v>1873</v>
      </c>
      <c r="L432" t="s">
        <v>840</v>
      </c>
      <c r="M432" t="s">
        <v>26</v>
      </c>
      <c r="N432" t="s">
        <v>770</v>
      </c>
      <c r="O432">
        <v>1</v>
      </c>
      <c r="P432" t="s">
        <v>776</v>
      </c>
      <c r="Q432">
        <v>34.9</v>
      </c>
      <c r="R432">
        <v>6.29</v>
      </c>
      <c r="Y432" t="s">
        <v>2625</v>
      </c>
      <c r="Z432" t="s">
        <v>2626</v>
      </c>
      <c r="AA432">
        <v>51100</v>
      </c>
      <c r="AB432" t="s">
        <v>11</v>
      </c>
    </row>
    <row r="433" spans="1:29" x14ac:dyDescent="0.25">
      <c r="A433" t="s">
        <v>2627</v>
      </c>
      <c r="B433" t="s">
        <v>2627</v>
      </c>
      <c r="C433" t="s">
        <v>2628</v>
      </c>
      <c r="D433" t="s">
        <v>2629</v>
      </c>
      <c r="E433" t="s">
        <v>770</v>
      </c>
      <c r="F433" t="s">
        <v>771</v>
      </c>
      <c r="G433" t="s">
        <v>1854</v>
      </c>
      <c r="J433" t="s">
        <v>783</v>
      </c>
      <c r="K433" t="s">
        <v>1873</v>
      </c>
      <c r="L433" t="s">
        <v>840</v>
      </c>
      <c r="M433" t="s">
        <v>26</v>
      </c>
      <c r="N433" t="s">
        <v>770</v>
      </c>
      <c r="O433">
        <v>1</v>
      </c>
      <c r="P433" t="s">
        <v>776</v>
      </c>
      <c r="Q433">
        <v>34.9</v>
      </c>
      <c r="R433">
        <v>6.29</v>
      </c>
      <c r="Y433" t="s">
        <v>2630</v>
      </c>
      <c r="Z433" t="s">
        <v>2533</v>
      </c>
      <c r="AA433">
        <v>35024</v>
      </c>
      <c r="AB433" t="s">
        <v>11</v>
      </c>
    </row>
    <row r="434" spans="1:29" x14ac:dyDescent="0.25">
      <c r="A434" t="s">
        <v>2631</v>
      </c>
      <c r="B434" t="s">
        <v>2631</v>
      </c>
      <c r="C434" t="s">
        <v>2632</v>
      </c>
      <c r="D434" t="s">
        <v>2633</v>
      </c>
      <c r="E434" t="s">
        <v>770</v>
      </c>
      <c r="F434" t="s">
        <v>771</v>
      </c>
      <c r="G434" t="s">
        <v>1854</v>
      </c>
      <c r="J434" t="s">
        <v>783</v>
      </c>
      <c r="K434" t="s">
        <v>1862</v>
      </c>
      <c r="L434" t="s">
        <v>1505</v>
      </c>
      <c r="M434" t="s">
        <v>53</v>
      </c>
      <c r="N434" t="s">
        <v>770</v>
      </c>
      <c r="O434">
        <v>1</v>
      </c>
      <c r="P434" t="s">
        <v>776</v>
      </c>
      <c r="Q434">
        <v>32.9</v>
      </c>
      <c r="R434">
        <v>5.93</v>
      </c>
      <c r="Y434" t="s">
        <v>2634</v>
      </c>
      <c r="Z434" t="s">
        <v>2635</v>
      </c>
      <c r="AA434">
        <v>97019</v>
      </c>
      <c r="AB434" t="s">
        <v>11</v>
      </c>
    </row>
    <row r="435" spans="1:29" x14ac:dyDescent="0.25">
      <c r="A435" t="s">
        <v>2636</v>
      </c>
      <c r="B435" t="s">
        <v>2636</v>
      </c>
      <c r="C435" t="s">
        <v>2637</v>
      </c>
      <c r="D435" t="s">
        <v>2638</v>
      </c>
      <c r="E435" t="s">
        <v>770</v>
      </c>
      <c r="F435" t="s">
        <v>771</v>
      </c>
      <c r="G435" t="s">
        <v>1854</v>
      </c>
      <c r="J435" t="s">
        <v>783</v>
      </c>
      <c r="K435" t="s">
        <v>1862</v>
      </c>
      <c r="L435" t="s">
        <v>1505</v>
      </c>
      <c r="M435" t="s">
        <v>53</v>
      </c>
      <c r="N435" t="s">
        <v>770</v>
      </c>
      <c r="O435">
        <v>1</v>
      </c>
      <c r="P435" t="s">
        <v>776</v>
      </c>
      <c r="Q435">
        <v>32.9</v>
      </c>
      <c r="R435">
        <v>5.93</v>
      </c>
      <c r="Y435" t="s">
        <v>2639</v>
      </c>
      <c r="Z435" t="s">
        <v>2088</v>
      </c>
      <c r="AA435">
        <v>98057</v>
      </c>
      <c r="AB435" t="s">
        <v>11</v>
      </c>
    </row>
    <row r="436" spans="1:29" x14ac:dyDescent="0.25">
      <c r="A436" t="s">
        <v>2640</v>
      </c>
      <c r="B436" t="s">
        <v>2640</v>
      </c>
      <c r="C436" t="s">
        <v>2641</v>
      </c>
      <c r="D436" t="s">
        <v>2642</v>
      </c>
      <c r="E436" t="s">
        <v>770</v>
      </c>
      <c r="F436" t="s">
        <v>771</v>
      </c>
      <c r="G436" t="s">
        <v>1854</v>
      </c>
      <c r="J436" t="s">
        <v>783</v>
      </c>
      <c r="K436" t="s">
        <v>1855</v>
      </c>
      <c r="L436" t="s">
        <v>1856</v>
      </c>
      <c r="M436" t="s">
        <v>12</v>
      </c>
      <c r="N436" t="s">
        <v>770</v>
      </c>
      <c r="O436">
        <v>1</v>
      </c>
      <c r="P436" t="s">
        <v>776</v>
      </c>
      <c r="Q436">
        <v>19.899999999999999</v>
      </c>
      <c r="R436">
        <v>3.59</v>
      </c>
      <c r="Y436" t="s">
        <v>2643</v>
      </c>
      <c r="Z436" t="s">
        <v>2644</v>
      </c>
      <c r="AA436">
        <v>57023</v>
      </c>
      <c r="AB436" t="s">
        <v>11</v>
      </c>
    </row>
    <row r="437" spans="1:29" x14ac:dyDescent="0.25">
      <c r="A437" t="s">
        <v>2645</v>
      </c>
      <c r="B437" t="s">
        <v>2645</v>
      </c>
      <c r="C437" t="s">
        <v>2646</v>
      </c>
      <c r="D437" t="s">
        <v>2647</v>
      </c>
      <c r="E437" t="s">
        <v>770</v>
      </c>
      <c r="F437" t="s">
        <v>771</v>
      </c>
      <c r="G437" t="s">
        <v>1854</v>
      </c>
      <c r="J437" t="s">
        <v>783</v>
      </c>
      <c r="K437" t="s">
        <v>1855</v>
      </c>
      <c r="L437" t="s">
        <v>1856</v>
      </c>
      <c r="M437" t="s">
        <v>12</v>
      </c>
      <c r="N437" t="s">
        <v>770</v>
      </c>
      <c r="O437">
        <v>1</v>
      </c>
      <c r="P437" t="s">
        <v>776</v>
      </c>
      <c r="Q437">
        <v>19.899999999999999</v>
      </c>
      <c r="R437">
        <v>3.59</v>
      </c>
      <c r="S437">
        <v>4.99</v>
      </c>
      <c r="T437">
        <v>0.9</v>
      </c>
      <c r="Y437" t="s">
        <v>2648</v>
      </c>
      <c r="Z437" t="s">
        <v>1898</v>
      </c>
      <c r="AA437">
        <v>46031</v>
      </c>
      <c r="AB437" t="s">
        <v>11</v>
      </c>
    </row>
    <row r="438" spans="1:29" x14ac:dyDescent="0.25">
      <c r="A438" t="s">
        <v>2649</v>
      </c>
      <c r="C438" t="s">
        <v>2650</v>
      </c>
      <c r="D438" t="s">
        <v>2651</v>
      </c>
      <c r="E438" t="s">
        <v>770</v>
      </c>
      <c r="F438" t="s">
        <v>1884</v>
      </c>
      <c r="G438" t="s">
        <v>1854</v>
      </c>
      <c r="H438" t="s">
        <v>1885</v>
      </c>
      <c r="J438" t="s">
        <v>773</v>
      </c>
      <c r="K438" t="s">
        <v>2652</v>
      </c>
      <c r="L438" t="s">
        <v>52</v>
      </c>
      <c r="M438" t="s">
        <v>51</v>
      </c>
      <c r="N438" t="s">
        <v>770</v>
      </c>
      <c r="O438">
        <v>1</v>
      </c>
      <c r="P438" t="s">
        <v>776</v>
      </c>
      <c r="Q438">
        <v>24.9</v>
      </c>
      <c r="R438">
        <v>4.49</v>
      </c>
      <c r="S438">
        <v>3</v>
      </c>
      <c r="T438">
        <v>0.54</v>
      </c>
      <c r="Y438" t="s">
        <v>1913</v>
      </c>
      <c r="Z438" t="s">
        <v>1913</v>
      </c>
      <c r="AA438">
        <v>141</v>
      </c>
      <c r="AB438" t="s">
        <v>11</v>
      </c>
    </row>
    <row r="439" spans="1:29" x14ac:dyDescent="0.25">
      <c r="A439" t="s">
        <v>2653</v>
      </c>
      <c r="B439" t="s">
        <v>2653</v>
      </c>
      <c r="C439" t="s">
        <v>2654</v>
      </c>
      <c r="D439" t="s">
        <v>2655</v>
      </c>
      <c r="E439" t="s">
        <v>770</v>
      </c>
      <c r="F439" t="s">
        <v>771</v>
      </c>
      <c r="G439" t="s">
        <v>1854</v>
      </c>
      <c r="J439" t="s">
        <v>783</v>
      </c>
      <c r="K439" t="s">
        <v>1855</v>
      </c>
      <c r="L439" t="s">
        <v>1856</v>
      </c>
      <c r="M439" t="s">
        <v>12</v>
      </c>
      <c r="N439" t="s">
        <v>770</v>
      </c>
      <c r="O439">
        <v>1</v>
      </c>
      <c r="P439" t="s">
        <v>776</v>
      </c>
      <c r="Q439">
        <v>19.899999999999999</v>
      </c>
      <c r="R439">
        <v>3.59</v>
      </c>
      <c r="Y439" t="s">
        <v>2597</v>
      </c>
      <c r="Z439" t="s">
        <v>2597</v>
      </c>
      <c r="AA439">
        <v>70124</v>
      </c>
      <c r="AB439" t="s">
        <v>11</v>
      </c>
    </row>
    <row r="440" spans="1:29" x14ac:dyDescent="0.25">
      <c r="A440" t="s">
        <v>2656</v>
      </c>
      <c r="B440" t="s">
        <v>2656</v>
      </c>
      <c r="C440" t="s">
        <v>2657</v>
      </c>
      <c r="D440" t="s">
        <v>2658</v>
      </c>
      <c r="E440" t="s">
        <v>770</v>
      </c>
      <c r="F440" t="s">
        <v>771</v>
      </c>
      <c r="G440" t="s">
        <v>1854</v>
      </c>
      <c r="J440" t="s">
        <v>783</v>
      </c>
      <c r="K440" t="s">
        <v>1862</v>
      </c>
      <c r="L440" t="s">
        <v>1505</v>
      </c>
      <c r="M440" t="s">
        <v>53</v>
      </c>
      <c r="N440" t="s">
        <v>770</v>
      </c>
      <c r="O440">
        <v>1</v>
      </c>
      <c r="P440" t="s">
        <v>776</v>
      </c>
      <c r="Q440">
        <v>32.9</v>
      </c>
      <c r="R440">
        <v>5.93</v>
      </c>
      <c r="S440">
        <v>3.27</v>
      </c>
      <c r="X440">
        <v>3.27</v>
      </c>
      <c r="Y440" t="s">
        <v>2659</v>
      </c>
      <c r="Z440" t="s">
        <v>2597</v>
      </c>
      <c r="AA440">
        <v>70018</v>
      </c>
      <c r="AB440" t="s">
        <v>11</v>
      </c>
      <c r="AC440" t="s">
        <v>2010</v>
      </c>
    </row>
    <row r="441" spans="1:29" x14ac:dyDescent="0.25">
      <c r="A441" t="s">
        <v>2660</v>
      </c>
      <c r="B441" t="s">
        <v>2660</v>
      </c>
      <c r="C441" t="s">
        <v>2661</v>
      </c>
      <c r="D441" t="s">
        <v>2662</v>
      </c>
      <c r="E441" t="s">
        <v>770</v>
      </c>
      <c r="F441" t="s">
        <v>771</v>
      </c>
      <c r="G441" t="s">
        <v>1854</v>
      </c>
      <c r="J441" t="s">
        <v>783</v>
      </c>
      <c r="K441" t="s">
        <v>2055</v>
      </c>
      <c r="L441" t="s">
        <v>806</v>
      </c>
      <c r="M441" t="s">
        <v>202</v>
      </c>
      <c r="N441" t="s">
        <v>770</v>
      </c>
      <c r="O441">
        <v>1</v>
      </c>
      <c r="P441" t="s">
        <v>776</v>
      </c>
      <c r="Q441">
        <v>14.9</v>
      </c>
      <c r="R441">
        <v>2.69</v>
      </c>
      <c r="Y441" t="s">
        <v>2568</v>
      </c>
      <c r="Z441" t="s">
        <v>2663</v>
      </c>
      <c r="AA441">
        <v>47521</v>
      </c>
      <c r="AB441" t="s">
        <v>11</v>
      </c>
    </row>
    <row r="442" spans="1:29" x14ac:dyDescent="0.25">
      <c r="A442" t="s">
        <v>2664</v>
      </c>
      <c r="B442" t="s">
        <v>2664</v>
      </c>
      <c r="C442" t="s">
        <v>2665</v>
      </c>
      <c r="D442" t="s">
        <v>2666</v>
      </c>
      <c r="E442" t="s">
        <v>770</v>
      </c>
      <c r="F442" t="s">
        <v>771</v>
      </c>
      <c r="G442" t="s">
        <v>1854</v>
      </c>
      <c r="J442" t="s">
        <v>783</v>
      </c>
      <c r="K442" t="s">
        <v>1879</v>
      </c>
      <c r="L442" t="s">
        <v>1056</v>
      </c>
      <c r="M442" t="s">
        <v>212</v>
      </c>
      <c r="N442" t="s">
        <v>770</v>
      </c>
      <c r="O442">
        <v>1</v>
      </c>
      <c r="P442" t="s">
        <v>776</v>
      </c>
      <c r="Q442">
        <v>39.9</v>
      </c>
      <c r="R442">
        <v>7.2</v>
      </c>
      <c r="S442">
        <v>3.27</v>
      </c>
      <c r="X442">
        <v>3.27</v>
      </c>
      <c r="Y442" t="s">
        <v>2667</v>
      </c>
      <c r="Z442" t="s">
        <v>1922</v>
      </c>
      <c r="AA442">
        <v>31030</v>
      </c>
      <c r="AB442" t="s">
        <v>11</v>
      </c>
    </row>
    <row r="443" spans="1:29" x14ac:dyDescent="0.25">
      <c r="A443" t="s">
        <v>2668</v>
      </c>
      <c r="B443" t="s">
        <v>2668</v>
      </c>
      <c r="C443" t="s">
        <v>2669</v>
      </c>
      <c r="D443" t="s">
        <v>2670</v>
      </c>
      <c r="E443" t="s">
        <v>770</v>
      </c>
      <c r="F443" t="s">
        <v>771</v>
      </c>
      <c r="G443" t="s">
        <v>1854</v>
      </c>
      <c r="J443" t="s">
        <v>783</v>
      </c>
      <c r="K443" t="s">
        <v>2055</v>
      </c>
      <c r="L443" t="s">
        <v>806</v>
      </c>
      <c r="M443" t="s">
        <v>202</v>
      </c>
      <c r="N443" t="s">
        <v>770</v>
      </c>
      <c r="O443">
        <v>1</v>
      </c>
      <c r="P443" t="s">
        <v>776</v>
      </c>
      <c r="Q443">
        <v>14.9</v>
      </c>
      <c r="R443">
        <v>2.69</v>
      </c>
      <c r="Y443" t="s">
        <v>2074</v>
      </c>
      <c r="Z443" t="s">
        <v>2075</v>
      </c>
      <c r="AA443">
        <v>22060</v>
      </c>
      <c r="AB443" t="s">
        <v>11</v>
      </c>
    </row>
    <row r="444" spans="1:29" x14ac:dyDescent="0.25">
      <c r="A444" t="s">
        <v>2671</v>
      </c>
      <c r="B444" t="s">
        <v>2671</v>
      </c>
      <c r="C444" t="s">
        <v>2672</v>
      </c>
      <c r="D444" t="s">
        <v>2673</v>
      </c>
      <c r="E444" t="s">
        <v>770</v>
      </c>
      <c r="F444" t="s">
        <v>771</v>
      </c>
      <c r="G444" t="s">
        <v>1854</v>
      </c>
      <c r="J444" t="s">
        <v>783</v>
      </c>
      <c r="K444" t="s">
        <v>1855</v>
      </c>
      <c r="L444" t="s">
        <v>1856</v>
      </c>
      <c r="M444" t="s">
        <v>12</v>
      </c>
      <c r="N444" t="s">
        <v>770</v>
      </c>
      <c r="O444">
        <v>2</v>
      </c>
      <c r="P444" t="s">
        <v>776</v>
      </c>
      <c r="Q444">
        <v>39.799999999999997</v>
      </c>
      <c r="R444">
        <v>7.18</v>
      </c>
      <c r="S444">
        <v>4.99</v>
      </c>
      <c r="T444">
        <v>0.9</v>
      </c>
      <c r="Y444" t="s">
        <v>2674</v>
      </c>
      <c r="Z444" t="s">
        <v>2675</v>
      </c>
      <c r="AA444">
        <v>20823</v>
      </c>
      <c r="AB444" t="s">
        <v>11</v>
      </c>
    </row>
    <row r="445" spans="1:29" x14ac:dyDescent="0.25">
      <c r="A445" t="s">
        <v>2676</v>
      </c>
      <c r="B445" t="s">
        <v>2676</v>
      </c>
      <c r="C445" t="s">
        <v>2677</v>
      </c>
      <c r="D445" t="s">
        <v>2678</v>
      </c>
      <c r="E445" t="s">
        <v>770</v>
      </c>
      <c r="F445" t="s">
        <v>771</v>
      </c>
      <c r="G445" t="s">
        <v>1854</v>
      </c>
      <c r="J445" t="s">
        <v>783</v>
      </c>
      <c r="K445" t="s">
        <v>1862</v>
      </c>
      <c r="L445" t="s">
        <v>1505</v>
      </c>
      <c r="M445" t="s">
        <v>53</v>
      </c>
      <c r="N445" t="s">
        <v>770</v>
      </c>
      <c r="O445">
        <v>1</v>
      </c>
      <c r="P445" t="s">
        <v>776</v>
      </c>
      <c r="Q445">
        <v>32.9</v>
      </c>
      <c r="R445">
        <v>5.93</v>
      </c>
      <c r="Y445" t="s">
        <v>2679</v>
      </c>
      <c r="Z445" t="s">
        <v>2597</v>
      </c>
      <c r="AA445">
        <v>70015</v>
      </c>
      <c r="AB445" t="s">
        <v>11</v>
      </c>
    </row>
    <row r="446" spans="1:29" x14ac:dyDescent="0.25">
      <c r="A446" t="s">
        <v>2680</v>
      </c>
      <c r="B446" t="s">
        <v>2680</v>
      </c>
      <c r="C446" t="s">
        <v>2681</v>
      </c>
      <c r="D446" t="s">
        <v>2682</v>
      </c>
      <c r="E446" t="s">
        <v>770</v>
      </c>
      <c r="F446" t="s">
        <v>771</v>
      </c>
      <c r="G446" t="s">
        <v>1854</v>
      </c>
      <c r="J446" t="s">
        <v>783</v>
      </c>
      <c r="K446" t="s">
        <v>1855</v>
      </c>
      <c r="L446" t="s">
        <v>1856</v>
      </c>
      <c r="M446" t="s">
        <v>12</v>
      </c>
      <c r="N446" t="s">
        <v>770</v>
      </c>
      <c r="O446">
        <v>1</v>
      </c>
      <c r="P446" t="s">
        <v>776</v>
      </c>
      <c r="Q446">
        <v>19.899999999999999</v>
      </c>
      <c r="R446">
        <v>3.59</v>
      </c>
      <c r="Y446" t="s">
        <v>2683</v>
      </c>
      <c r="Z446" t="s">
        <v>2684</v>
      </c>
      <c r="AA446">
        <v>27030</v>
      </c>
      <c r="AB446" t="s">
        <v>11</v>
      </c>
    </row>
    <row r="447" spans="1:29" x14ac:dyDescent="0.25">
      <c r="A447" t="s">
        <v>2685</v>
      </c>
      <c r="B447" t="s">
        <v>2685</v>
      </c>
      <c r="C447" t="s">
        <v>2686</v>
      </c>
      <c r="D447" t="s">
        <v>2687</v>
      </c>
      <c r="E447" t="s">
        <v>770</v>
      </c>
      <c r="F447" t="s">
        <v>771</v>
      </c>
      <c r="G447" t="s">
        <v>1854</v>
      </c>
      <c r="J447" t="s">
        <v>783</v>
      </c>
      <c r="K447" t="s">
        <v>1855</v>
      </c>
      <c r="L447" t="s">
        <v>1856</v>
      </c>
      <c r="M447" t="s">
        <v>12</v>
      </c>
      <c r="N447" t="s">
        <v>770</v>
      </c>
      <c r="O447">
        <v>1</v>
      </c>
      <c r="P447" t="s">
        <v>776</v>
      </c>
      <c r="Q447">
        <v>19.899999999999999</v>
      </c>
      <c r="R447">
        <v>3.59</v>
      </c>
      <c r="Y447" t="s">
        <v>2688</v>
      </c>
      <c r="Z447" t="s">
        <v>1893</v>
      </c>
      <c r="AA447">
        <v>10040</v>
      </c>
      <c r="AB447" t="s">
        <v>11</v>
      </c>
    </row>
    <row r="448" spans="1:29" x14ac:dyDescent="0.25">
      <c r="A448" t="s">
        <v>2689</v>
      </c>
      <c r="B448" t="s">
        <v>2689</v>
      </c>
      <c r="C448" t="s">
        <v>2690</v>
      </c>
      <c r="D448" t="s">
        <v>2691</v>
      </c>
      <c r="E448" t="s">
        <v>770</v>
      </c>
      <c r="F448" t="s">
        <v>771</v>
      </c>
      <c r="G448" t="s">
        <v>1854</v>
      </c>
      <c r="I448" t="s">
        <v>2692</v>
      </c>
      <c r="J448" t="s">
        <v>783</v>
      </c>
      <c r="K448" t="s">
        <v>1862</v>
      </c>
      <c r="L448" t="s">
        <v>1505</v>
      </c>
      <c r="M448" t="s">
        <v>53</v>
      </c>
      <c r="N448" t="s">
        <v>770</v>
      </c>
      <c r="O448">
        <v>1</v>
      </c>
      <c r="P448" t="s">
        <v>776</v>
      </c>
      <c r="Q448">
        <v>32.9</v>
      </c>
      <c r="R448">
        <v>5.93</v>
      </c>
      <c r="Y448" t="s">
        <v>2693</v>
      </c>
      <c r="Z448" t="s">
        <v>2148</v>
      </c>
      <c r="AA448">
        <v>45020</v>
      </c>
      <c r="AB448" t="s">
        <v>11</v>
      </c>
    </row>
    <row r="449" spans="1:28" x14ac:dyDescent="0.25">
      <c r="A449" t="s">
        <v>2694</v>
      </c>
      <c r="B449" t="s">
        <v>2694</v>
      </c>
      <c r="C449" t="s">
        <v>2695</v>
      </c>
      <c r="D449" t="s">
        <v>2696</v>
      </c>
      <c r="E449" t="s">
        <v>770</v>
      </c>
      <c r="F449" t="s">
        <v>771</v>
      </c>
      <c r="G449" t="s">
        <v>1854</v>
      </c>
      <c r="J449" t="s">
        <v>783</v>
      </c>
      <c r="K449" t="s">
        <v>1855</v>
      </c>
      <c r="L449" t="s">
        <v>1856</v>
      </c>
      <c r="M449" t="s">
        <v>12</v>
      </c>
      <c r="N449" t="s">
        <v>770</v>
      </c>
      <c r="O449">
        <v>1</v>
      </c>
      <c r="P449" t="s">
        <v>776</v>
      </c>
      <c r="Q449">
        <v>19.899999999999999</v>
      </c>
      <c r="R449">
        <v>3.59</v>
      </c>
      <c r="Y449" t="s">
        <v>2448</v>
      </c>
      <c r="Z449" t="s">
        <v>2697</v>
      </c>
      <c r="AA449">
        <v>18038</v>
      </c>
      <c r="AB449" t="s">
        <v>11</v>
      </c>
    </row>
    <row r="450" spans="1:28" x14ac:dyDescent="0.25">
      <c r="A450" t="s">
        <v>2698</v>
      </c>
      <c r="B450" t="s">
        <v>2698</v>
      </c>
      <c r="C450" t="s">
        <v>2699</v>
      </c>
      <c r="D450" t="s">
        <v>2700</v>
      </c>
      <c r="E450" t="s">
        <v>770</v>
      </c>
      <c r="F450" t="s">
        <v>771</v>
      </c>
      <c r="G450" t="s">
        <v>1854</v>
      </c>
      <c r="J450" t="s">
        <v>783</v>
      </c>
      <c r="K450" t="s">
        <v>1873</v>
      </c>
      <c r="L450" t="s">
        <v>840</v>
      </c>
      <c r="M450" t="s">
        <v>26</v>
      </c>
      <c r="N450" t="s">
        <v>770</v>
      </c>
      <c r="O450">
        <v>1</v>
      </c>
      <c r="P450" t="s">
        <v>776</v>
      </c>
      <c r="Q450">
        <v>34.9</v>
      </c>
      <c r="R450">
        <v>6.29</v>
      </c>
      <c r="Y450" t="s">
        <v>1875</v>
      </c>
      <c r="Z450" t="s">
        <v>1864</v>
      </c>
      <c r="AA450">
        <v>20133</v>
      </c>
      <c r="AB450" t="s">
        <v>11</v>
      </c>
    </row>
    <row r="451" spans="1:28" x14ac:dyDescent="0.25">
      <c r="A451" t="s">
        <v>2701</v>
      </c>
      <c r="B451" t="s">
        <v>2701</v>
      </c>
      <c r="C451" t="s">
        <v>2702</v>
      </c>
      <c r="D451" t="s">
        <v>2703</v>
      </c>
      <c r="E451" t="s">
        <v>770</v>
      </c>
      <c r="F451" t="s">
        <v>771</v>
      </c>
      <c r="G451" t="s">
        <v>1854</v>
      </c>
      <c r="J451" t="s">
        <v>783</v>
      </c>
      <c r="K451" t="s">
        <v>1855</v>
      </c>
      <c r="L451" t="s">
        <v>1856</v>
      </c>
      <c r="M451" t="s">
        <v>12</v>
      </c>
      <c r="N451" t="s">
        <v>770</v>
      </c>
      <c r="O451">
        <v>1</v>
      </c>
      <c r="P451" t="s">
        <v>776</v>
      </c>
      <c r="Q451">
        <v>19.899999999999999</v>
      </c>
      <c r="R451">
        <v>3.59</v>
      </c>
      <c r="Y451" t="s">
        <v>2704</v>
      </c>
      <c r="Z451" t="s">
        <v>2015</v>
      </c>
      <c r="AA451">
        <v>44122</v>
      </c>
      <c r="AB451" t="s">
        <v>11</v>
      </c>
    </row>
    <row r="452" spans="1:28" x14ac:dyDescent="0.25">
      <c r="A452" t="s">
        <v>2705</v>
      </c>
      <c r="B452" t="s">
        <v>2705</v>
      </c>
      <c r="C452" t="s">
        <v>2706</v>
      </c>
      <c r="D452" t="s">
        <v>2707</v>
      </c>
      <c r="E452" t="s">
        <v>770</v>
      </c>
      <c r="F452" t="s">
        <v>771</v>
      </c>
      <c r="G452" t="s">
        <v>1854</v>
      </c>
      <c r="J452" t="s">
        <v>783</v>
      </c>
      <c r="K452" t="s">
        <v>1855</v>
      </c>
      <c r="L452" t="s">
        <v>1856</v>
      </c>
      <c r="M452" t="s">
        <v>12</v>
      </c>
      <c r="N452" t="s">
        <v>770</v>
      </c>
      <c r="O452">
        <v>1</v>
      </c>
      <c r="P452" t="s">
        <v>776</v>
      </c>
      <c r="Q452">
        <v>19.899999999999999</v>
      </c>
      <c r="R452">
        <v>3.59</v>
      </c>
      <c r="Y452" t="s">
        <v>2708</v>
      </c>
      <c r="Z452" t="s">
        <v>2020</v>
      </c>
      <c r="AA452">
        <v>4100</v>
      </c>
      <c r="AB452" t="s">
        <v>11</v>
      </c>
    </row>
    <row r="453" spans="1:28" x14ac:dyDescent="0.25">
      <c r="A453" t="s">
        <v>2709</v>
      </c>
      <c r="B453" t="s">
        <v>2709</v>
      </c>
      <c r="C453" t="s">
        <v>2710</v>
      </c>
      <c r="D453" t="s">
        <v>2711</v>
      </c>
      <c r="E453" t="s">
        <v>770</v>
      </c>
      <c r="F453" t="s">
        <v>771</v>
      </c>
      <c r="G453" t="s">
        <v>1854</v>
      </c>
      <c r="I453" t="s">
        <v>2692</v>
      </c>
      <c r="J453" t="s">
        <v>783</v>
      </c>
      <c r="K453" t="s">
        <v>2712</v>
      </c>
      <c r="L453" t="s">
        <v>1800</v>
      </c>
      <c r="M453" t="s">
        <v>14</v>
      </c>
      <c r="N453" t="s">
        <v>770</v>
      </c>
      <c r="O453">
        <v>1</v>
      </c>
      <c r="P453" t="s">
        <v>776</v>
      </c>
      <c r="Q453">
        <v>14.9</v>
      </c>
      <c r="R453">
        <v>2.69</v>
      </c>
      <c r="Y453" t="s">
        <v>2693</v>
      </c>
      <c r="Z453" t="s">
        <v>2148</v>
      </c>
      <c r="AA453">
        <v>45020</v>
      </c>
      <c r="AB453" t="s">
        <v>11</v>
      </c>
    </row>
    <row r="454" spans="1:28" x14ac:dyDescent="0.25">
      <c r="A454" t="s">
        <v>2713</v>
      </c>
      <c r="C454" t="s">
        <v>2714</v>
      </c>
      <c r="D454" t="s">
        <v>2715</v>
      </c>
      <c r="E454" t="s">
        <v>770</v>
      </c>
      <c r="F454" t="s">
        <v>1884</v>
      </c>
      <c r="G454" t="s">
        <v>1854</v>
      </c>
      <c r="H454" t="s">
        <v>1885</v>
      </c>
      <c r="J454" t="s">
        <v>773</v>
      </c>
      <c r="K454" t="s">
        <v>2652</v>
      </c>
      <c r="L454" t="s">
        <v>52</v>
      </c>
      <c r="M454" t="s">
        <v>51</v>
      </c>
      <c r="N454" t="s">
        <v>770</v>
      </c>
      <c r="O454">
        <v>1</v>
      </c>
      <c r="P454" t="s">
        <v>776</v>
      </c>
      <c r="Q454">
        <v>24.9</v>
      </c>
      <c r="R454">
        <v>4.49</v>
      </c>
      <c r="S454">
        <v>3</v>
      </c>
      <c r="T454">
        <v>0.54</v>
      </c>
      <c r="Y454" t="s">
        <v>2716</v>
      </c>
      <c r="Z454" t="s">
        <v>2153</v>
      </c>
      <c r="AA454">
        <v>84010</v>
      </c>
      <c r="AB454" t="s">
        <v>11</v>
      </c>
    </row>
    <row r="455" spans="1:28" x14ac:dyDescent="0.25">
      <c r="A455" t="s">
        <v>2717</v>
      </c>
      <c r="B455" t="s">
        <v>2717</v>
      </c>
      <c r="C455" t="s">
        <v>2718</v>
      </c>
      <c r="D455" t="s">
        <v>2719</v>
      </c>
      <c r="E455" t="s">
        <v>770</v>
      </c>
      <c r="F455" t="s">
        <v>771</v>
      </c>
      <c r="G455" t="s">
        <v>1854</v>
      </c>
      <c r="J455" t="s">
        <v>783</v>
      </c>
      <c r="K455" t="s">
        <v>1862</v>
      </c>
      <c r="L455" t="s">
        <v>1505</v>
      </c>
      <c r="M455" t="s">
        <v>53</v>
      </c>
      <c r="N455" t="s">
        <v>770</v>
      </c>
      <c r="O455">
        <v>1</v>
      </c>
      <c r="P455" t="s">
        <v>776</v>
      </c>
      <c r="Q455">
        <v>32.9</v>
      </c>
      <c r="R455">
        <v>5.93</v>
      </c>
      <c r="S455">
        <v>1.64</v>
      </c>
      <c r="X455">
        <v>1.64</v>
      </c>
      <c r="Y455" t="s">
        <v>2720</v>
      </c>
      <c r="Z455" t="s">
        <v>2721</v>
      </c>
      <c r="AA455">
        <v>27100</v>
      </c>
      <c r="AB455" t="s">
        <v>11</v>
      </c>
    </row>
    <row r="456" spans="1:28" x14ac:dyDescent="0.25">
      <c r="A456" t="s">
        <v>2722</v>
      </c>
      <c r="B456" t="s">
        <v>2722</v>
      </c>
      <c r="C456" t="s">
        <v>2723</v>
      </c>
      <c r="D456" t="s">
        <v>2724</v>
      </c>
      <c r="E456" t="s">
        <v>770</v>
      </c>
      <c r="F456" t="s">
        <v>771</v>
      </c>
      <c r="G456" t="s">
        <v>1854</v>
      </c>
      <c r="I456" t="s">
        <v>2692</v>
      </c>
      <c r="J456" t="s">
        <v>783</v>
      </c>
      <c r="K456" t="s">
        <v>2424</v>
      </c>
      <c r="L456" t="s">
        <v>2425</v>
      </c>
      <c r="M456" t="s">
        <v>86</v>
      </c>
      <c r="N456" t="s">
        <v>770</v>
      </c>
      <c r="O456">
        <v>1</v>
      </c>
      <c r="P456" t="s">
        <v>776</v>
      </c>
      <c r="Q456">
        <v>32.9</v>
      </c>
      <c r="R456">
        <v>5.93</v>
      </c>
      <c r="Y456" t="s">
        <v>2693</v>
      </c>
      <c r="Z456" t="s">
        <v>2148</v>
      </c>
      <c r="AA456">
        <v>45020</v>
      </c>
      <c r="AB456" t="s">
        <v>11</v>
      </c>
    </row>
    <row r="457" spans="1:28" x14ac:dyDescent="0.25">
      <c r="A457" t="s">
        <v>2725</v>
      </c>
      <c r="B457" t="s">
        <v>2725</v>
      </c>
      <c r="C457" t="s">
        <v>2726</v>
      </c>
      <c r="D457" t="s">
        <v>2727</v>
      </c>
      <c r="E457" t="s">
        <v>770</v>
      </c>
      <c r="F457" t="s">
        <v>771</v>
      </c>
      <c r="G457" t="s">
        <v>1854</v>
      </c>
      <c r="J457" t="s">
        <v>783</v>
      </c>
      <c r="K457" t="s">
        <v>2162</v>
      </c>
      <c r="L457" t="s">
        <v>2163</v>
      </c>
      <c r="M457" t="s">
        <v>59</v>
      </c>
      <c r="N457" t="s">
        <v>770</v>
      </c>
      <c r="O457">
        <v>1</v>
      </c>
      <c r="P457" t="s">
        <v>776</v>
      </c>
      <c r="Q457">
        <v>29.9</v>
      </c>
      <c r="R457">
        <v>5.39</v>
      </c>
      <c r="Y457" t="s">
        <v>2728</v>
      </c>
      <c r="Z457" t="s">
        <v>2729</v>
      </c>
      <c r="AA457">
        <v>23854</v>
      </c>
      <c r="AB457" t="s">
        <v>11</v>
      </c>
    </row>
    <row r="458" spans="1:28" x14ac:dyDescent="0.25">
      <c r="A458" t="s">
        <v>2730</v>
      </c>
      <c r="B458" t="s">
        <v>2730</v>
      </c>
      <c r="C458" t="s">
        <v>2731</v>
      </c>
      <c r="D458" t="s">
        <v>2732</v>
      </c>
      <c r="E458" t="s">
        <v>770</v>
      </c>
      <c r="F458" t="s">
        <v>771</v>
      </c>
      <c r="G458" t="s">
        <v>1854</v>
      </c>
      <c r="I458" t="s">
        <v>2692</v>
      </c>
      <c r="J458" t="s">
        <v>783</v>
      </c>
      <c r="K458" t="s">
        <v>2424</v>
      </c>
      <c r="L458" t="s">
        <v>2425</v>
      </c>
      <c r="M458" t="s">
        <v>86</v>
      </c>
      <c r="N458" t="s">
        <v>770</v>
      </c>
      <c r="O458">
        <v>1</v>
      </c>
      <c r="P458" t="s">
        <v>776</v>
      </c>
      <c r="Q458">
        <v>32.9</v>
      </c>
      <c r="R458">
        <v>5.93</v>
      </c>
      <c r="Y458" t="s">
        <v>2693</v>
      </c>
      <c r="Z458" t="s">
        <v>2148</v>
      </c>
      <c r="AA458">
        <v>45020</v>
      </c>
      <c r="AB458" t="s">
        <v>11</v>
      </c>
    </row>
    <row r="459" spans="1:28" x14ac:dyDescent="0.25">
      <c r="A459" t="s">
        <v>2733</v>
      </c>
      <c r="B459" t="s">
        <v>2733</v>
      </c>
      <c r="C459" t="s">
        <v>2734</v>
      </c>
      <c r="D459" t="s">
        <v>2735</v>
      </c>
      <c r="E459" t="s">
        <v>770</v>
      </c>
      <c r="F459" t="s">
        <v>771</v>
      </c>
      <c r="G459" t="s">
        <v>1854</v>
      </c>
      <c r="I459" t="s">
        <v>2692</v>
      </c>
      <c r="J459" t="s">
        <v>783</v>
      </c>
      <c r="K459" t="s">
        <v>2712</v>
      </c>
      <c r="L459" t="s">
        <v>1800</v>
      </c>
      <c r="M459" t="s">
        <v>14</v>
      </c>
      <c r="N459" t="s">
        <v>770</v>
      </c>
      <c r="O459">
        <v>1</v>
      </c>
      <c r="P459" t="s">
        <v>776</v>
      </c>
      <c r="Q459">
        <v>14.9</v>
      </c>
      <c r="R459">
        <v>2.69</v>
      </c>
      <c r="Y459" t="s">
        <v>2693</v>
      </c>
      <c r="Z459" t="s">
        <v>2148</v>
      </c>
      <c r="AA459">
        <v>45020</v>
      </c>
      <c r="AB459" t="s">
        <v>11</v>
      </c>
    </row>
    <row r="460" spans="1:28" x14ac:dyDescent="0.25">
      <c r="A460" t="s">
        <v>2736</v>
      </c>
      <c r="B460" t="s">
        <v>2736</v>
      </c>
      <c r="C460" t="s">
        <v>2737</v>
      </c>
      <c r="D460" t="s">
        <v>2738</v>
      </c>
      <c r="E460" t="s">
        <v>770</v>
      </c>
      <c r="F460" t="s">
        <v>771</v>
      </c>
      <c r="G460" t="s">
        <v>1854</v>
      </c>
      <c r="J460" t="s">
        <v>783</v>
      </c>
      <c r="K460" t="s">
        <v>1873</v>
      </c>
      <c r="L460" t="s">
        <v>840</v>
      </c>
      <c r="M460" t="s">
        <v>26</v>
      </c>
      <c r="N460" t="s">
        <v>770</v>
      </c>
      <c r="O460">
        <v>1</v>
      </c>
      <c r="P460" t="s">
        <v>776</v>
      </c>
      <c r="Q460">
        <v>34.9</v>
      </c>
      <c r="R460">
        <v>6.29</v>
      </c>
      <c r="Y460" t="s">
        <v>2739</v>
      </c>
      <c r="Z460" t="s">
        <v>2740</v>
      </c>
      <c r="AA460">
        <v>53049</v>
      </c>
      <c r="AB460" t="s">
        <v>11</v>
      </c>
    </row>
    <row r="461" spans="1:28" x14ac:dyDescent="0.25">
      <c r="A461" t="s">
        <v>2741</v>
      </c>
      <c r="B461" t="s">
        <v>2741</v>
      </c>
      <c r="C461" t="s">
        <v>2742</v>
      </c>
      <c r="D461" t="s">
        <v>2743</v>
      </c>
      <c r="E461" t="s">
        <v>770</v>
      </c>
      <c r="F461" t="s">
        <v>771</v>
      </c>
      <c r="G461" t="s">
        <v>1854</v>
      </c>
      <c r="J461" t="s">
        <v>783</v>
      </c>
      <c r="K461" t="s">
        <v>1855</v>
      </c>
      <c r="L461" t="s">
        <v>1856</v>
      </c>
      <c r="M461" t="s">
        <v>12</v>
      </c>
      <c r="N461" t="s">
        <v>770</v>
      </c>
      <c r="O461">
        <v>1</v>
      </c>
      <c r="P461" t="s">
        <v>776</v>
      </c>
      <c r="Q461">
        <v>19.899999999999999</v>
      </c>
      <c r="R461">
        <v>3.59</v>
      </c>
      <c r="Y461" t="s">
        <v>1875</v>
      </c>
      <c r="Z461" t="s">
        <v>1864</v>
      </c>
      <c r="AA461">
        <v>20151</v>
      </c>
      <c r="AB461" t="s">
        <v>11</v>
      </c>
    </row>
    <row r="462" spans="1:28" x14ac:dyDescent="0.25">
      <c r="A462" t="s">
        <v>2744</v>
      </c>
      <c r="B462" t="s">
        <v>2744</v>
      </c>
      <c r="C462" t="s">
        <v>2745</v>
      </c>
      <c r="D462" t="s">
        <v>2746</v>
      </c>
      <c r="E462" t="s">
        <v>770</v>
      </c>
      <c r="F462" t="s">
        <v>771</v>
      </c>
      <c r="G462" t="s">
        <v>1854</v>
      </c>
      <c r="J462" t="s">
        <v>783</v>
      </c>
      <c r="K462" t="s">
        <v>1855</v>
      </c>
      <c r="L462" t="s">
        <v>1856</v>
      </c>
      <c r="M462" t="s">
        <v>12</v>
      </c>
      <c r="N462" t="s">
        <v>770</v>
      </c>
      <c r="O462">
        <v>1</v>
      </c>
      <c r="P462" t="s">
        <v>776</v>
      </c>
      <c r="Q462">
        <v>19.899999999999999</v>
      </c>
      <c r="R462">
        <v>3.59</v>
      </c>
      <c r="Y462" t="s">
        <v>2226</v>
      </c>
      <c r="AA462">
        <v>67100</v>
      </c>
      <c r="AB462" t="s">
        <v>11</v>
      </c>
    </row>
    <row r="463" spans="1:28" x14ac:dyDescent="0.25">
      <c r="A463" t="s">
        <v>2747</v>
      </c>
      <c r="B463" t="s">
        <v>2747</v>
      </c>
      <c r="C463" t="s">
        <v>2748</v>
      </c>
      <c r="D463" t="s">
        <v>2749</v>
      </c>
      <c r="E463" t="s">
        <v>770</v>
      </c>
      <c r="F463" t="s">
        <v>771</v>
      </c>
      <c r="G463" t="s">
        <v>1854</v>
      </c>
      <c r="J463" t="s">
        <v>783</v>
      </c>
      <c r="K463" t="s">
        <v>1855</v>
      </c>
      <c r="L463" t="s">
        <v>1856</v>
      </c>
      <c r="M463" t="s">
        <v>12</v>
      </c>
      <c r="N463" t="s">
        <v>770</v>
      </c>
      <c r="O463">
        <v>1</v>
      </c>
      <c r="P463" t="s">
        <v>776</v>
      </c>
      <c r="Q463">
        <v>19.899999999999999</v>
      </c>
      <c r="R463">
        <v>3.59</v>
      </c>
      <c r="Y463" t="s">
        <v>2750</v>
      </c>
      <c r="Z463" t="s">
        <v>2625</v>
      </c>
      <c r="AA463">
        <v>51034</v>
      </c>
      <c r="AB463" t="s">
        <v>11</v>
      </c>
    </row>
    <row r="464" spans="1:28" x14ac:dyDescent="0.25">
      <c r="A464" t="s">
        <v>2751</v>
      </c>
      <c r="B464" t="s">
        <v>2751</v>
      </c>
      <c r="C464" t="s">
        <v>2752</v>
      </c>
      <c r="D464" t="s">
        <v>2753</v>
      </c>
      <c r="E464" t="s">
        <v>770</v>
      </c>
      <c r="F464" t="s">
        <v>771</v>
      </c>
      <c r="G464" t="s">
        <v>1854</v>
      </c>
      <c r="J464" t="s">
        <v>783</v>
      </c>
      <c r="K464" t="s">
        <v>1862</v>
      </c>
      <c r="L464" t="s">
        <v>1505</v>
      </c>
      <c r="M464" t="s">
        <v>53</v>
      </c>
      <c r="N464" t="s">
        <v>770</v>
      </c>
      <c r="O464">
        <v>1</v>
      </c>
      <c r="P464" t="s">
        <v>776</v>
      </c>
      <c r="Q464">
        <v>32.9</v>
      </c>
      <c r="R464">
        <v>5.93</v>
      </c>
      <c r="S464">
        <v>1.0900000000000001</v>
      </c>
      <c r="X464">
        <v>1.0900000000000001</v>
      </c>
      <c r="Y464" t="s">
        <v>2754</v>
      </c>
      <c r="Z464" t="s">
        <v>2097</v>
      </c>
      <c r="AA464">
        <v>94014</v>
      </c>
      <c r="AB464" t="s">
        <v>11</v>
      </c>
    </row>
    <row r="465" spans="1:35" x14ac:dyDescent="0.25">
      <c r="A465" t="s">
        <v>2755</v>
      </c>
      <c r="B465" t="s">
        <v>2755</v>
      </c>
      <c r="C465" t="s">
        <v>2756</v>
      </c>
      <c r="D465" t="s">
        <v>2757</v>
      </c>
      <c r="E465" t="s">
        <v>770</v>
      </c>
      <c r="F465" t="s">
        <v>771</v>
      </c>
      <c r="G465" t="s">
        <v>1854</v>
      </c>
      <c r="J465" t="s">
        <v>783</v>
      </c>
      <c r="K465" t="s">
        <v>1873</v>
      </c>
      <c r="L465" t="s">
        <v>840</v>
      </c>
      <c r="M465" t="s">
        <v>26</v>
      </c>
      <c r="N465" t="s">
        <v>770</v>
      </c>
      <c r="O465">
        <v>1</v>
      </c>
      <c r="P465" t="s">
        <v>776</v>
      </c>
      <c r="Q465">
        <v>34.9</v>
      </c>
      <c r="R465">
        <v>6.29</v>
      </c>
      <c r="Y465" t="s">
        <v>1875</v>
      </c>
      <c r="Z465" t="s">
        <v>1864</v>
      </c>
      <c r="AA465">
        <v>20122</v>
      </c>
      <c r="AB465" t="s">
        <v>11</v>
      </c>
    </row>
    <row r="466" spans="1:35" x14ac:dyDescent="0.25">
      <c r="A466" t="s">
        <v>2758</v>
      </c>
      <c r="B466" t="s">
        <v>2758</v>
      </c>
      <c r="C466" t="s">
        <v>2759</v>
      </c>
      <c r="D466" t="s">
        <v>2760</v>
      </c>
      <c r="E466" t="s">
        <v>770</v>
      </c>
      <c r="F466" t="s">
        <v>771</v>
      </c>
      <c r="G466" t="s">
        <v>1854</v>
      </c>
      <c r="J466" t="s">
        <v>783</v>
      </c>
      <c r="K466" t="s">
        <v>1873</v>
      </c>
      <c r="L466" t="s">
        <v>840</v>
      </c>
      <c r="M466" t="s">
        <v>26</v>
      </c>
      <c r="N466" t="s">
        <v>770</v>
      </c>
      <c r="O466">
        <v>1</v>
      </c>
      <c r="P466" t="s">
        <v>776</v>
      </c>
      <c r="Q466">
        <v>34.9</v>
      </c>
      <c r="R466">
        <v>6.29</v>
      </c>
      <c r="Y466" t="s">
        <v>2597</v>
      </c>
      <c r="Z466" t="s">
        <v>2597</v>
      </c>
      <c r="AA466">
        <v>70126</v>
      </c>
      <c r="AB466" t="s">
        <v>11</v>
      </c>
    </row>
    <row r="467" spans="1:35" x14ac:dyDescent="0.25">
      <c r="A467" t="s">
        <v>2761</v>
      </c>
      <c r="B467" t="s">
        <v>2761</v>
      </c>
      <c r="C467" t="s">
        <v>2762</v>
      </c>
      <c r="D467" t="s">
        <v>2763</v>
      </c>
      <c r="E467" t="s">
        <v>770</v>
      </c>
      <c r="F467" t="s">
        <v>771</v>
      </c>
      <c r="G467" t="s">
        <v>1854</v>
      </c>
      <c r="J467" t="s">
        <v>783</v>
      </c>
      <c r="K467" t="s">
        <v>2252</v>
      </c>
      <c r="L467" t="s">
        <v>2253</v>
      </c>
      <c r="M467" t="s">
        <v>73</v>
      </c>
      <c r="N467" t="s">
        <v>770</v>
      </c>
      <c r="O467">
        <v>1</v>
      </c>
      <c r="P467" t="s">
        <v>776</v>
      </c>
      <c r="Q467">
        <v>16.899999999999999</v>
      </c>
      <c r="R467">
        <v>3.05</v>
      </c>
      <c r="Y467" t="s">
        <v>2764</v>
      </c>
      <c r="Z467" t="s">
        <v>1908</v>
      </c>
      <c r="AA467">
        <v>80020</v>
      </c>
      <c r="AB467" t="s">
        <v>11</v>
      </c>
      <c r="AG467" t="s">
        <v>2765</v>
      </c>
      <c r="AH467" t="s">
        <v>11</v>
      </c>
      <c r="AI467" t="s">
        <v>2459</v>
      </c>
    </row>
    <row r="468" spans="1:35" x14ac:dyDescent="0.25">
      <c r="A468" t="s">
        <v>2766</v>
      </c>
      <c r="B468" t="s">
        <v>2766</v>
      </c>
      <c r="C468" t="s">
        <v>2767</v>
      </c>
      <c r="D468" t="s">
        <v>2768</v>
      </c>
      <c r="E468" t="s">
        <v>770</v>
      </c>
      <c r="F468" t="s">
        <v>771</v>
      </c>
      <c r="G468" t="s">
        <v>1854</v>
      </c>
      <c r="J468" t="s">
        <v>783</v>
      </c>
      <c r="K468" t="s">
        <v>2294</v>
      </c>
      <c r="L468" t="s">
        <v>2295</v>
      </c>
      <c r="M468" t="s">
        <v>232</v>
      </c>
      <c r="N468" t="s">
        <v>770</v>
      </c>
      <c r="O468">
        <v>1</v>
      </c>
      <c r="P468" t="s">
        <v>776</v>
      </c>
      <c r="Q468">
        <v>49.9</v>
      </c>
      <c r="R468">
        <v>9</v>
      </c>
      <c r="Y468" t="s">
        <v>2625</v>
      </c>
      <c r="Z468" t="s">
        <v>2625</v>
      </c>
      <c r="AA468">
        <v>51100</v>
      </c>
      <c r="AB468" t="s">
        <v>11</v>
      </c>
    </row>
    <row r="469" spans="1:35" x14ac:dyDescent="0.25">
      <c r="A469" t="s">
        <v>2769</v>
      </c>
      <c r="B469" t="s">
        <v>2769</v>
      </c>
      <c r="C469" t="s">
        <v>2770</v>
      </c>
      <c r="D469" t="s">
        <v>2771</v>
      </c>
      <c r="E469" t="s">
        <v>770</v>
      </c>
      <c r="F469" t="s">
        <v>771</v>
      </c>
      <c r="G469" t="s">
        <v>1854</v>
      </c>
      <c r="J469" t="s">
        <v>783</v>
      </c>
      <c r="K469" t="s">
        <v>2248</v>
      </c>
      <c r="L469" t="s">
        <v>2772</v>
      </c>
      <c r="M469" t="s">
        <v>172</v>
      </c>
      <c r="N469" t="s">
        <v>770</v>
      </c>
      <c r="O469">
        <v>1</v>
      </c>
      <c r="P469" t="s">
        <v>776</v>
      </c>
      <c r="Q469">
        <v>39.9</v>
      </c>
      <c r="R469">
        <v>7.2</v>
      </c>
      <c r="Y469" t="s">
        <v>2764</v>
      </c>
      <c r="Z469" t="s">
        <v>1908</v>
      </c>
      <c r="AA469">
        <v>80020</v>
      </c>
      <c r="AB469" t="s">
        <v>11</v>
      </c>
      <c r="AG469" t="s">
        <v>2765</v>
      </c>
      <c r="AH469" t="s">
        <v>11</v>
      </c>
      <c r="AI469" t="s">
        <v>2459</v>
      </c>
    </row>
    <row r="470" spans="1:35" x14ac:dyDescent="0.25">
      <c r="A470" t="s">
        <v>2773</v>
      </c>
      <c r="B470" t="s">
        <v>2773</v>
      </c>
      <c r="C470" t="s">
        <v>2774</v>
      </c>
      <c r="D470" t="s">
        <v>2775</v>
      </c>
      <c r="E470" t="s">
        <v>770</v>
      </c>
      <c r="F470" t="s">
        <v>771</v>
      </c>
      <c r="G470" t="s">
        <v>1854</v>
      </c>
      <c r="J470" t="s">
        <v>783</v>
      </c>
      <c r="K470" t="s">
        <v>1930</v>
      </c>
      <c r="L470" t="s">
        <v>775</v>
      </c>
      <c r="M470" t="s">
        <v>65</v>
      </c>
      <c r="N470" t="s">
        <v>770</v>
      </c>
      <c r="O470">
        <v>1</v>
      </c>
      <c r="P470" t="s">
        <v>776</v>
      </c>
      <c r="Q470">
        <v>29.9</v>
      </c>
      <c r="R470">
        <v>5.39</v>
      </c>
      <c r="Y470" t="s">
        <v>2134</v>
      </c>
      <c r="Z470" t="s">
        <v>1913</v>
      </c>
      <c r="AA470">
        <v>139</v>
      </c>
      <c r="AB470" t="s">
        <v>11</v>
      </c>
    </row>
    <row r="471" spans="1:35" x14ac:dyDescent="0.25">
      <c r="A471" t="s">
        <v>2776</v>
      </c>
      <c r="B471" t="s">
        <v>2776</v>
      </c>
      <c r="C471" t="s">
        <v>2777</v>
      </c>
      <c r="D471" t="s">
        <v>2778</v>
      </c>
      <c r="E471" t="s">
        <v>770</v>
      </c>
      <c r="F471" t="s">
        <v>771</v>
      </c>
      <c r="G471" t="s">
        <v>1854</v>
      </c>
      <c r="J471" t="s">
        <v>783</v>
      </c>
      <c r="K471" t="s">
        <v>1873</v>
      </c>
      <c r="L471" t="s">
        <v>840</v>
      </c>
      <c r="M471" t="s">
        <v>26</v>
      </c>
      <c r="N471" t="s">
        <v>770</v>
      </c>
      <c r="O471">
        <v>1</v>
      </c>
      <c r="P471" t="s">
        <v>776</v>
      </c>
      <c r="Q471">
        <v>34.9</v>
      </c>
      <c r="R471">
        <v>6.29</v>
      </c>
      <c r="Y471" t="s">
        <v>2416</v>
      </c>
      <c r="Z471" t="s">
        <v>2463</v>
      </c>
      <c r="AA471">
        <v>6134</v>
      </c>
      <c r="AB471" t="s">
        <v>11</v>
      </c>
    </row>
    <row r="472" spans="1:35" x14ac:dyDescent="0.25">
      <c r="A472" t="s">
        <v>2779</v>
      </c>
      <c r="B472" t="s">
        <v>2779</v>
      </c>
      <c r="C472" t="s">
        <v>2780</v>
      </c>
      <c r="D472" t="s">
        <v>2781</v>
      </c>
      <c r="E472" t="s">
        <v>770</v>
      </c>
      <c r="F472" t="s">
        <v>771</v>
      </c>
      <c r="G472" t="s">
        <v>1854</v>
      </c>
      <c r="J472" t="s">
        <v>783</v>
      </c>
      <c r="K472" t="s">
        <v>1855</v>
      </c>
      <c r="L472" t="s">
        <v>1856</v>
      </c>
      <c r="M472" t="s">
        <v>12</v>
      </c>
      <c r="N472" t="s">
        <v>770</v>
      </c>
      <c r="O472">
        <v>1</v>
      </c>
      <c r="P472" t="s">
        <v>776</v>
      </c>
      <c r="Q472">
        <v>19.899999999999999</v>
      </c>
      <c r="R472">
        <v>3.59</v>
      </c>
      <c r="Y472" t="s">
        <v>1913</v>
      </c>
      <c r="Z472" t="s">
        <v>1913</v>
      </c>
      <c r="AA472">
        <v>179</v>
      </c>
      <c r="AB472" t="s">
        <v>11</v>
      </c>
    </row>
    <row r="473" spans="1:35" x14ac:dyDescent="0.25">
      <c r="A473" t="s">
        <v>2782</v>
      </c>
      <c r="B473" t="s">
        <v>2782</v>
      </c>
      <c r="C473" t="s">
        <v>2783</v>
      </c>
      <c r="D473" t="s">
        <v>2784</v>
      </c>
      <c r="E473" t="s">
        <v>770</v>
      </c>
      <c r="F473" t="s">
        <v>771</v>
      </c>
      <c r="G473" t="s">
        <v>1854</v>
      </c>
      <c r="J473" t="s">
        <v>783</v>
      </c>
      <c r="K473" t="s">
        <v>2055</v>
      </c>
      <c r="L473" t="s">
        <v>806</v>
      </c>
      <c r="M473" t="s">
        <v>202</v>
      </c>
      <c r="N473" t="s">
        <v>770</v>
      </c>
      <c r="O473">
        <v>1</v>
      </c>
      <c r="P473" t="s">
        <v>776</v>
      </c>
      <c r="Q473">
        <v>12.21</v>
      </c>
      <c r="Y473" t="s">
        <v>2785</v>
      </c>
      <c r="Z473" t="s">
        <v>2786</v>
      </c>
      <c r="AA473">
        <v>23041</v>
      </c>
      <c r="AB473" t="s">
        <v>11</v>
      </c>
    </row>
    <row r="474" spans="1:35" x14ac:dyDescent="0.25">
      <c r="A474" t="s">
        <v>2787</v>
      </c>
      <c r="B474" t="s">
        <v>2787</v>
      </c>
      <c r="C474" t="s">
        <v>2788</v>
      </c>
      <c r="D474" t="s">
        <v>2789</v>
      </c>
      <c r="E474" t="s">
        <v>770</v>
      </c>
      <c r="F474" t="s">
        <v>771</v>
      </c>
      <c r="G474" t="s">
        <v>1854</v>
      </c>
      <c r="J474" t="s">
        <v>783</v>
      </c>
      <c r="K474" t="s">
        <v>1855</v>
      </c>
      <c r="L474" t="s">
        <v>1856</v>
      </c>
      <c r="M474" t="s">
        <v>12</v>
      </c>
      <c r="N474" t="s">
        <v>770</v>
      </c>
      <c r="O474">
        <v>1</v>
      </c>
      <c r="P474" t="s">
        <v>776</v>
      </c>
      <c r="Q474">
        <v>19.899999999999999</v>
      </c>
      <c r="R474">
        <v>3.59</v>
      </c>
      <c r="Y474" t="s">
        <v>2790</v>
      </c>
      <c r="Z474" t="s">
        <v>2791</v>
      </c>
      <c r="AA474">
        <v>25020</v>
      </c>
      <c r="AB474" t="s">
        <v>11</v>
      </c>
    </row>
    <row r="475" spans="1:35" x14ac:dyDescent="0.25">
      <c r="A475" t="s">
        <v>2792</v>
      </c>
      <c r="B475" t="s">
        <v>2792</v>
      </c>
      <c r="C475" t="s">
        <v>2793</v>
      </c>
      <c r="D475" t="s">
        <v>2794</v>
      </c>
      <c r="E475" t="s">
        <v>770</v>
      </c>
      <c r="F475" t="s">
        <v>771</v>
      </c>
      <c r="G475" t="s">
        <v>1854</v>
      </c>
      <c r="I475" t="s">
        <v>2692</v>
      </c>
      <c r="J475" t="s">
        <v>783</v>
      </c>
      <c r="K475" t="s">
        <v>1862</v>
      </c>
      <c r="L475" t="s">
        <v>1505</v>
      </c>
      <c r="M475" t="s">
        <v>53</v>
      </c>
      <c r="N475" t="s">
        <v>770</v>
      </c>
      <c r="O475">
        <v>1</v>
      </c>
      <c r="P475" t="s">
        <v>776</v>
      </c>
      <c r="Q475">
        <v>32.9</v>
      </c>
      <c r="R475">
        <v>5.93</v>
      </c>
      <c r="Y475" t="s">
        <v>2693</v>
      </c>
      <c r="Z475" t="s">
        <v>2148</v>
      </c>
      <c r="AA475">
        <v>45020</v>
      </c>
      <c r="AB475" t="s">
        <v>11</v>
      </c>
    </row>
    <row r="476" spans="1:35" x14ac:dyDescent="0.25">
      <c r="A476" t="s">
        <v>2795</v>
      </c>
      <c r="B476" t="s">
        <v>2795</v>
      </c>
      <c r="C476" t="s">
        <v>2796</v>
      </c>
      <c r="D476" t="s">
        <v>2797</v>
      </c>
      <c r="E476" t="s">
        <v>770</v>
      </c>
      <c r="F476" t="s">
        <v>771</v>
      </c>
      <c r="G476" t="s">
        <v>1854</v>
      </c>
      <c r="J476" t="s">
        <v>783</v>
      </c>
      <c r="K476" t="s">
        <v>1855</v>
      </c>
      <c r="L476" t="s">
        <v>1856</v>
      </c>
      <c r="M476" t="s">
        <v>12</v>
      </c>
      <c r="N476" t="s">
        <v>770</v>
      </c>
      <c r="O476">
        <v>1</v>
      </c>
      <c r="P476" t="s">
        <v>776</v>
      </c>
      <c r="Q476">
        <v>19.899999999999999</v>
      </c>
      <c r="R476">
        <v>3.59</v>
      </c>
      <c r="Y476" t="s">
        <v>2798</v>
      </c>
      <c r="Z476" t="s">
        <v>2398</v>
      </c>
      <c r="AA476">
        <v>26812</v>
      </c>
      <c r="AB476" t="s">
        <v>11</v>
      </c>
    </row>
    <row r="477" spans="1:35" x14ac:dyDescent="0.25">
      <c r="A477" t="s">
        <v>2799</v>
      </c>
      <c r="B477" t="s">
        <v>2799</v>
      </c>
      <c r="C477" t="s">
        <v>2800</v>
      </c>
      <c r="D477" t="s">
        <v>2801</v>
      </c>
      <c r="E477" t="s">
        <v>770</v>
      </c>
      <c r="F477" t="s">
        <v>771</v>
      </c>
      <c r="G477" t="s">
        <v>1854</v>
      </c>
      <c r="J477" t="s">
        <v>783</v>
      </c>
      <c r="K477" t="s">
        <v>1873</v>
      </c>
      <c r="L477" t="s">
        <v>840</v>
      </c>
      <c r="M477" t="s">
        <v>26</v>
      </c>
      <c r="N477" t="s">
        <v>770</v>
      </c>
      <c r="O477">
        <v>1</v>
      </c>
      <c r="P477" t="s">
        <v>776</v>
      </c>
      <c r="Q477">
        <v>34.9</v>
      </c>
      <c r="R477">
        <v>6.29</v>
      </c>
      <c r="Y477" t="s">
        <v>2802</v>
      </c>
      <c r="Z477" t="s">
        <v>2503</v>
      </c>
      <c r="AA477">
        <v>48124</v>
      </c>
      <c r="AB477" t="s">
        <v>11</v>
      </c>
    </row>
    <row r="478" spans="1:35" x14ac:dyDescent="0.25">
      <c r="A478" t="s">
        <v>2803</v>
      </c>
      <c r="B478" t="s">
        <v>2803</v>
      </c>
      <c r="C478" t="s">
        <v>2804</v>
      </c>
      <c r="D478" t="s">
        <v>2805</v>
      </c>
      <c r="E478" t="s">
        <v>770</v>
      </c>
      <c r="F478" t="s">
        <v>771</v>
      </c>
      <c r="G478" t="s">
        <v>1854</v>
      </c>
      <c r="J478" t="s">
        <v>783</v>
      </c>
      <c r="K478" t="s">
        <v>2055</v>
      </c>
      <c r="L478" t="s">
        <v>806</v>
      </c>
      <c r="M478" t="s">
        <v>202</v>
      </c>
      <c r="N478" t="s">
        <v>770</v>
      </c>
      <c r="O478">
        <v>1</v>
      </c>
      <c r="P478" t="s">
        <v>776</v>
      </c>
      <c r="Q478">
        <v>14.9</v>
      </c>
      <c r="R478">
        <v>2.69</v>
      </c>
      <c r="Y478" t="s">
        <v>2806</v>
      </c>
      <c r="Z478" t="s">
        <v>2807</v>
      </c>
      <c r="AA478">
        <v>64011</v>
      </c>
      <c r="AB478" t="s">
        <v>11</v>
      </c>
    </row>
    <row r="479" spans="1:35" x14ac:dyDescent="0.25">
      <c r="A479" t="s">
        <v>2808</v>
      </c>
      <c r="B479" t="s">
        <v>2808</v>
      </c>
      <c r="C479" t="s">
        <v>2809</v>
      </c>
      <c r="D479" t="s">
        <v>2810</v>
      </c>
      <c r="E479" t="s">
        <v>782</v>
      </c>
      <c r="F479" t="s">
        <v>771</v>
      </c>
      <c r="G479" t="s">
        <v>1854</v>
      </c>
      <c r="J479" t="s">
        <v>783</v>
      </c>
      <c r="K479" t="s">
        <v>1862</v>
      </c>
      <c r="L479" t="s">
        <v>1505</v>
      </c>
      <c r="M479" t="s">
        <v>53</v>
      </c>
      <c r="N479" t="s">
        <v>782</v>
      </c>
      <c r="O479">
        <v>0</v>
      </c>
      <c r="Y479" t="s">
        <v>2811</v>
      </c>
      <c r="Z479" t="s">
        <v>2197</v>
      </c>
      <c r="AA479">
        <v>84013</v>
      </c>
      <c r="AB479" t="s">
        <v>11</v>
      </c>
      <c r="AG479" t="s">
        <v>2812</v>
      </c>
      <c r="AH479" t="s">
        <v>11</v>
      </c>
      <c r="AI479" t="s">
        <v>1258</v>
      </c>
    </row>
    <row r="480" spans="1:35" x14ac:dyDescent="0.25">
      <c r="A480" t="s">
        <v>2813</v>
      </c>
      <c r="B480" t="s">
        <v>2813</v>
      </c>
      <c r="C480" t="s">
        <v>2814</v>
      </c>
      <c r="D480" t="s">
        <v>2815</v>
      </c>
      <c r="E480" t="s">
        <v>770</v>
      </c>
      <c r="F480" t="s">
        <v>771</v>
      </c>
      <c r="G480" t="s">
        <v>1854</v>
      </c>
      <c r="J480" t="s">
        <v>783</v>
      </c>
      <c r="K480" t="s">
        <v>1862</v>
      </c>
      <c r="L480" t="s">
        <v>1505</v>
      </c>
      <c r="M480" t="s">
        <v>53</v>
      </c>
      <c r="N480" t="s">
        <v>770</v>
      </c>
      <c r="O480">
        <v>1</v>
      </c>
      <c r="P480" t="s">
        <v>776</v>
      </c>
      <c r="Q480">
        <v>32.9</v>
      </c>
      <c r="R480">
        <v>5.93</v>
      </c>
      <c r="Y480" t="s">
        <v>1875</v>
      </c>
      <c r="Z480" t="s">
        <v>1875</v>
      </c>
      <c r="AA480">
        <v>20133</v>
      </c>
      <c r="AB480" t="s">
        <v>11</v>
      </c>
    </row>
    <row r="481" spans="1:28" x14ac:dyDescent="0.25">
      <c r="A481" t="s">
        <v>2816</v>
      </c>
      <c r="B481" t="s">
        <v>2816</v>
      </c>
      <c r="C481" t="s">
        <v>2817</v>
      </c>
      <c r="D481" t="s">
        <v>2409</v>
      </c>
      <c r="E481" t="s">
        <v>770</v>
      </c>
      <c r="F481" t="s">
        <v>771</v>
      </c>
      <c r="G481" t="s">
        <v>1854</v>
      </c>
      <c r="J481" t="s">
        <v>783</v>
      </c>
      <c r="K481" t="s">
        <v>1930</v>
      </c>
      <c r="L481" t="s">
        <v>775</v>
      </c>
      <c r="M481" t="s">
        <v>65</v>
      </c>
      <c r="N481" t="s">
        <v>770</v>
      </c>
      <c r="O481">
        <v>1</v>
      </c>
      <c r="P481" t="s">
        <v>776</v>
      </c>
      <c r="Q481">
        <v>29.9</v>
      </c>
      <c r="R481">
        <v>5.39</v>
      </c>
      <c r="Y481" t="s">
        <v>2818</v>
      </c>
      <c r="Z481" t="s">
        <v>2819</v>
      </c>
      <c r="AA481">
        <v>74015</v>
      </c>
      <c r="AB481" t="s">
        <v>11</v>
      </c>
    </row>
    <row r="482" spans="1:28" x14ac:dyDescent="0.25">
      <c r="A482" t="s">
        <v>2820</v>
      </c>
      <c r="B482" t="s">
        <v>2820</v>
      </c>
      <c r="C482" t="s">
        <v>2821</v>
      </c>
      <c r="D482" t="s">
        <v>2822</v>
      </c>
      <c r="E482" t="s">
        <v>770</v>
      </c>
      <c r="F482" t="s">
        <v>771</v>
      </c>
      <c r="G482" t="s">
        <v>1854</v>
      </c>
      <c r="J482" t="s">
        <v>783</v>
      </c>
      <c r="K482" t="s">
        <v>1855</v>
      </c>
      <c r="L482" t="s">
        <v>1856</v>
      </c>
      <c r="M482" t="s">
        <v>12</v>
      </c>
      <c r="N482" t="s">
        <v>770</v>
      </c>
      <c r="O482">
        <v>1</v>
      </c>
      <c r="P482" t="s">
        <v>776</v>
      </c>
      <c r="Q482">
        <v>19.899999999999999</v>
      </c>
      <c r="R482">
        <v>3.59</v>
      </c>
      <c r="S482">
        <v>4.99</v>
      </c>
      <c r="T482">
        <v>0.9</v>
      </c>
      <c r="Y482" t="s">
        <v>2823</v>
      </c>
      <c r="Z482" t="s">
        <v>1875</v>
      </c>
      <c r="AA482">
        <v>20025</v>
      </c>
      <c r="AB482" t="s">
        <v>11</v>
      </c>
    </row>
    <row r="483" spans="1:28" x14ac:dyDescent="0.25">
      <c r="A483" t="s">
        <v>2824</v>
      </c>
      <c r="B483" t="s">
        <v>2824</v>
      </c>
      <c r="C483" t="s">
        <v>2825</v>
      </c>
      <c r="D483" t="s">
        <v>2492</v>
      </c>
      <c r="E483" t="s">
        <v>770</v>
      </c>
      <c r="F483" t="s">
        <v>771</v>
      </c>
      <c r="G483" t="s">
        <v>1854</v>
      </c>
      <c r="J483" t="s">
        <v>783</v>
      </c>
      <c r="K483" t="s">
        <v>1862</v>
      </c>
      <c r="L483" t="s">
        <v>1505</v>
      </c>
      <c r="M483" t="s">
        <v>53</v>
      </c>
      <c r="N483" t="s">
        <v>770</v>
      </c>
      <c r="O483">
        <v>1</v>
      </c>
      <c r="P483" t="s">
        <v>776</v>
      </c>
      <c r="Q483">
        <v>32.9</v>
      </c>
      <c r="R483">
        <v>5.93</v>
      </c>
      <c r="Y483" t="s">
        <v>2826</v>
      </c>
      <c r="Z483" t="s">
        <v>2827</v>
      </c>
      <c r="AA483">
        <v>25016</v>
      </c>
      <c r="AB483" t="s">
        <v>11</v>
      </c>
    </row>
    <row r="484" spans="1:28" x14ac:dyDescent="0.25">
      <c r="A484" t="s">
        <v>2828</v>
      </c>
      <c r="B484" t="s">
        <v>2828</v>
      </c>
      <c r="C484" t="s">
        <v>2829</v>
      </c>
      <c r="D484" t="s">
        <v>2830</v>
      </c>
      <c r="E484" t="s">
        <v>770</v>
      </c>
      <c r="F484" t="s">
        <v>771</v>
      </c>
      <c r="G484" t="s">
        <v>1854</v>
      </c>
      <c r="J484" t="s">
        <v>783</v>
      </c>
      <c r="K484" t="s">
        <v>1873</v>
      </c>
      <c r="L484" t="s">
        <v>840</v>
      </c>
      <c r="M484" t="s">
        <v>26</v>
      </c>
      <c r="N484" t="s">
        <v>770</v>
      </c>
      <c r="O484">
        <v>1</v>
      </c>
      <c r="P484" t="s">
        <v>776</v>
      </c>
      <c r="Q484">
        <v>34.9</v>
      </c>
      <c r="R484">
        <v>6.29</v>
      </c>
      <c r="Y484" t="s">
        <v>2625</v>
      </c>
      <c r="Z484" t="s">
        <v>2626</v>
      </c>
      <c r="AA484">
        <v>51100</v>
      </c>
      <c r="AB484" t="s">
        <v>11</v>
      </c>
    </row>
    <row r="485" spans="1:28" x14ac:dyDescent="0.25">
      <c r="A485" t="s">
        <v>2831</v>
      </c>
      <c r="B485" t="s">
        <v>2831</v>
      </c>
      <c r="C485" t="s">
        <v>2832</v>
      </c>
      <c r="D485" t="s">
        <v>2833</v>
      </c>
      <c r="E485" t="s">
        <v>770</v>
      </c>
      <c r="F485" t="s">
        <v>771</v>
      </c>
      <c r="G485" t="s">
        <v>1854</v>
      </c>
      <c r="J485" t="s">
        <v>783</v>
      </c>
      <c r="K485" t="s">
        <v>2424</v>
      </c>
      <c r="L485" t="s">
        <v>2425</v>
      </c>
      <c r="M485" t="s">
        <v>86</v>
      </c>
      <c r="N485" t="s">
        <v>770</v>
      </c>
      <c r="O485">
        <v>1</v>
      </c>
      <c r="P485" t="s">
        <v>776</v>
      </c>
      <c r="Q485">
        <v>32.9</v>
      </c>
      <c r="R485">
        <v>5.93</v>
      </c>
      <c r="Y485" t="s">
        <v>2342</v>
      </c>
      <c r="Z485" t="s">
        <v>2343</v>
      </c>
      <c r="AA485">
        <v>90145</v>
      </c>
      <c r="AB485" t="s">
        <v>11</v>
      </c>
    </row>
    <row r="486" spans="1:28" x14ac:dyDescent="0.25">
      <c r="A486" t="s">
        <v>2834</v>
      </c>
      <c r="B486" t="s">
        <v>2834</v>
      </c>
      <c r="C486" t="s">
        <v>2835</v>
      </c>
      <c r="D486" t="s">
        <v>2836</v>
      </c>
      <c r="E486" t="s">
        <v>770</v>
      </c>
      <c r="F486" t="s">
        <v>771</v>
      </c>
      <c r="G486" t="s">
        <v>1854</v>
      </c>
      <c r="J486" t="s">
        <v>783</v>
      </c>
      <c r="K486" t="s">
        <v>2390</v>
      </c>
      <c r="L486" t="s">
        <v>1094</v>
      </c>
      <c r="M486" t="s">
        <v>208</v>
      </c>
      <c r="N486" t="s">
        <v>770</v>
      </c>
      <c r="O486">
        <v>1</v>
      </c>
      <c r="P486" t="s">
        <v>776</v>
      </c>
      <c r="Q486">
        <v>79.900000000000006</v>
      </c>
      <c r="R486">
        <v>14.41</v>
      </c>
      <c r="Y486" t="s">
        <v>2837</v>
      </c>
      <c r="Z486" t="s">
        <v>2838</v>
      </c>
      <c r="AA486">
        <v>5020</v>
      </c>
      <c r="AB486" t="s">
        <v>11</v>
      </c>
    </row>
    <row r="487" spans="1:28" x14ac:dyDescent="0.25">
      <c r="A487" t="s">
        <v>2839</v>
      </c>
      <c r="B487" t="s">
        <v>2839</v>
      </c>
      <c r="C487" t="s">
        <v>2840</v>
      </c>
      <c r="D487" t="s">
        <v>2841</v>
      </c>
      <c r="E487" t="s">
        <v>770</v>
      </c>
      <c r="F487" t="s">
        <v>771</v>
      </c>
      <c r="G487" t="s">
        <v>1854</v>
      </c>
      <c r="J487" t="s">
        <v>783</v>
      </c>
      <c r="K487" t="s">
        <v>1855</v>
      </c>
      <c r="L487" t="s">
        <v>1856</v>
      </c>
      <c r="M487" t="s">
        <v>12</v>
      </c>
      <c r="N487" t="s">
        <v>770</v>
      </c>
      <c r="O487">
        <v>1</v>
      </c>
      <c r="P487" t="s">
        <v>776</v>
      </c>
      <c r="Q487">
        <v>19.899999999999999</v>
      </c>
      <c r="R487">
        <v>3.59</v>
      </c>
      <c r="Y487" t="s">
        <v>2842</v>
      </c>
      <c r="Z487" t="s">
        <v>1898</v>
      </c>
      <c r="AA487">
        <v>46028</v>
      </c>
      <c r="AB487" t="s">
        <v>11</v>
      </c>
    </row>
    <row r="488" spans="1:28" x14ac:dyDescent="0.25">
      <c r="A488" t="s">
        <v>2843</v>
      </c>
      <c r="B488" t="s">
        <v>2843</v>
      </c>
      <c r="C488" t="s">
        <v>2844</v>
      </c>
      <c r="D488" t="s">
        <v>2845</v>
      </c>
      <c r="E488" t="s">
        <v>770</v>
      </c>
      <c r="F488" t="s">
        <v>771</v>
      </c>
      <c r="G488" t="s">
        <v>1854</v>
      </c>
      <c r="J488" t="s">
        <v>783</v>
      </c>
      <c r="K488" t="s">
        <v>1862</v>
      </c>
      <c r="L488" t="s">
        <v>1505</v>
      </c>
      <c r="M488" t="s">
        <v>53</v>
      </c>
      <c r="N488" t="s">
        <v>770</v>
      </c>
      <c r="O488">
        <v>1</v>
      </c>
      <c r="P488" t="s">
        <v>776</v>
      </c>
      <c r="Q488">
        <v>32.9</v>
      </c>
      <c r="R488">
        <v>5.93</v>
      </c>
      <c r="Y488" t="s">
        <v>2143</v>
      </c>
      <c r="Z488" t="s">
        <v>28</v>
      </c>
      <c r="AA488">
        <v>3100</v>
      </c>
      <c r="AB488" t="s">
        <v>11</v>
      </c>
    </row>
    <row r="489" spans="1:28" x14ac:dyDescent="0.25">
      <c r="A489" t="s">
        <v>2846</v>
      </c>
      <c r="B489" t="s">
        <v>2846</v>
      </c>
      <c r="C489" t="s">
        <v>2847</v>
      </c>
      <c r="D489" t="s">
        <v>2848</v>
      </c>
      <c r="E489" t="s">
        <v>770</v>
      </c>
      <c r="F489" t="s">
        <v>771</v>
      </c>
      <c r="G489" t="s">
        <v>1854</v>
      </c>
      <c r="J489" t="s">
        <v>783</v>
      </c>
      <c r="K489" t="s">
        <v>1960</v>
      </c>
      <c r="L489" t="s">
        <v>1047</v>
      </c>
      <c r="M489" t="s">
        <v>21</v>
      </c>
      <c r="N489" t="s">
        <v>770</v>
      </c>
      <c r="O489">
        <v>1</v>
      </c>
      <c r="P489" t="s">
        <v>776</v>
      </c>
      <c r="Q489">
        <v>29.9</v>
      </c>
      <c r="R489">
        <v>5.39</v>
      </c>
      <c r="Y489" t="s">
        <v>2849</v>
      </c>
      <c r="Z489" t="s">
        <v>2850</v>
      </c>
      <c r="AA489">
        <v>84010</v>
      </c>
      <c r="AB489" t="s">
        <v>11</v>
      </c>
    </row>
    <row r="490" spans="1:28" x14ac:dyDescent="0.25">
      <c r="A490" t="s">
        <v>2851</v>
      </c>
      <c r="B490" t="s">
        <v>2851</v>
      </c>
      <c r="C490" t="s">
        <v>2852</v>
      </c>
      <c r="D490" t="s">
        <v>2853</v>
      </c>
      <c r="E490" t="s">
        <v>782</v>
      </c>
      <c r="F490" t="s">
        <v>771</v>
      </c>
      <c r="G490" t="s">
        <v>1854</v>
      </c>
      <c r="J490" t="s">
        <v>783</v>
      </c>
      <c r="K490" t="s">
        <v>2055</v>
      </c>
      <c r="L490" t="s">
        <v>806</v>
      </c>
      <c r="M490" t="s">
        <v>202</v>
      </c>
      <c r="N490" t="s">
        <v>782</v>
      </c>
      <c r="O490">
        <v>0</v>
      </c>
      <c r="Y490" t="s">
        <v>2854</v>
      </c>
      <c r="Z490" t="s">
        <v>2855</v>
      </c>
      <c r="AA490">
        <v>61121</v>
      </c>
      <c r="AB490" t="s">
        <v>11</v>
      </c>
    </row>
    <row r="491" spans="1:28" x14ac:dyDescent="0.25">
      <c r="A491" t="s">
        <v>2856</v>
      </c>
      <c r="B491" t="s">
        <v>2856</v>
      </c>
      <c r="C491" t="s">
        <v>2857</v>
      </c>
      <c r="D491" t="s">
        <v>2858</v>
      </c>
      <c r="E491" t="s">
        <v>770</v>
      </c>
      <c r="F491" t="s">
        <v>771</v>
      </c>
      <c r="G491" t="s">
        <v>1854</v>
      </c>
      <c r="J491" t="s">
        <v>783</v>
      </c>
      <c r="K491" t="s">
        <v>1855</v>
      </c>
      <c r="L491" t="s">
        <v>1856</v>
      </c>
      <c r="M491" t="s">
        <v>12</v>
      </c>
      <c r="N491" t="s">
        <v>770</v>
      </c>
      <c r="O491">
        <v>1</v>
      </c>
      <c r="P491" t="s">
        <v>776</v>
      </c>
      <c r="Q491">
        <v>19.899999999999999</v>
      </c>
      <c r="R491">
        <v>3.59</v>
      </c>
      <c r="Y491" t="s">
        <v>2859</v>
      </c>
      <c r="Z491" t="s">
        <v>2860</v>
      </c>
      <c r="AA491">
        <v>36033</v>
      </c>
      <c r="AB491" t="s">
        <v>11</v>
      </c>
    </row>
    <row r="492" spans="1:28" x14ac:dyDescent="0.25">
      <c r="A492" t="s">
        <v>2861</v>
      </c>
      <c r="B492" t="s">
        <v>2861</v>
      </c>
      <c r="C492" t="s">
        <v>2862</v>
      </c>
      <c r="D492" t="s">
        <v>2863</v>
      </c>
      <c r="E492" t="s">
        <v>770</v>
      </c>
      <c r="F492" t="s">
        <v>771</v>
      </c>
      <c r="G492" t="s">
        <v>1854</v>
      </c>
      <c r="J492" t="s">
        <v>783</v>
      </c>
      <c r="K492" t="s">
        <v>1855</v>
      </c>
      <c r="L492" t="s">
        <v>1856</v>
      </c>
      <c r="M492" t="s">
        <v>12</v>
      </c>
      <c r="N492" t="s">
        <v>770</v>
      </c>
      <c r="O492">
        <v>1</v>
      </c>
      <c r="P492" t="s">
        <v>776</v>
      </c>
      <c r="Q492">
        <v>19.899999999999999</v>
      </c>
      <c r="R492">
        <v>3.59</v>
      </c>
      <c r="Y492" t="s">
        <v>2226</v>
      </c>
      <c r="Z492" t="s">
        <v>2367</v>
      </c>
      <c r="AA492">
        <v>67100</v>
      </c>
      <c r="AB492" t="s">
        <v>11</v>
      </c>
    </row>
    <row r="493" spans="1:28" x14ac:dyDescent="0.25">
      <c r="A493" t="s">
        <v>2864</v>
      </c>
      <c r="B493" t="s">
        <v>2864</v>
      </c>
      <c r="C493" t="s">
        <v>2865</v>
      </c>
      <c r="D493" t="s">
        <v>2866</v>
      </c>
      <c r="E493" t="s">
        <v>770</v>
      </c>
      <c r="F493" t="s">
        <v>771</v>
      </c>
      <c r="G493" t="s">
        <v>1854</v>
      </c>
      <c r="J493" t="s">
        <v>783</v>
      </c>
      <c r="K493" t="s">
        <v>2162</v>
      </c>
      <c r="L493" t="s">
        <v>2163</v>
      </c>
      <c r="M493" t="s">
        <v>59</v>
      </c>
      <c r="N493" t="s">
        <v>770</v>
      </c>
      <c r="O493">
        <v>1</v>
      </c>
      <c r="P493" t="s">
        <v>776</v>
      </c>
      <c r="Q493">
        <v>29.9</v>
      </c>
      <c r="R493">
        <v>5.39</v>
      </c>
      <c r="Y493" t="s">
        <v>2867</v>
      </c>
      <c r="Z493" t="s">
        <v>2463</v>
      </c>
      <c r="AA493">
        <v>6126</v>
      </c>
      <c r="AB493" t="s">
        <v>11</v>
      </c>
    </row>
    <row r="494" spans="1:28" x14ac:dyDescent="0.25">
      <c r="A494" t="s">
        <v>2868</v>
      </c>
      <c r="B494" t="s">
        <v>2868</v>
      </c>
      <c r="C494" t="s">
        <v>2869</v>
      </c>
      <c r="D494" t="s">
        <v>2870</v>
      </c>
      <c r="E494" t="s">
        <v>770</v>
      </c>
      <c r="F494" t="s">
        <v>771</v>
      </c>
      <c r="G494" t="s">
        <v>1854</v>
      </c>
      <c r="J494" t="s">
        <v>783</v>
      </c>
      <c r="K494" t="s">
        <v>1855</v>
      </c>
      <c r="L494" t="s">
        <v>1856</v>
      </c>
      <c r="M494" t="s">
        <v>12</v>
      </c>
      <c r="N494" t="s">
        <v>770</v>
      </c>
      <c r="O494">
        <v>1</v>
      </c>
      <c r="P494" t="s">
        <v>776</v>
      </c>
      <c r="Q494">
        <v>19.899999999999999</v>
      </c>
      <c r="R494">
        <v>3.59</v>
      </c>
      <c r="Y494" t="s">
        <v>2871</v>
      </c>
      <c r="Z494" t="s">
        <v>2473</v>
      </c>
      <c r="AA494">
        <v>70056</v>
      </c>
      <c r="AB494" t="s">
        <v>11</v>
      </c>
    </row>
    <row r="495" spans="1:28" x14ac:dyDescent="0.25">
      <c r="A495" t="s">
        <v>2872</v>
      </c>
      <c r="B495" t="s">
        <v>2872</v>
      </c>
      <c r="C495" t="s">
        <v>2873</v>
      </c>
      <c r="D495" t="s">
        <v>2874</v>
      </c>
      <c r="E495" t="s">
        <v>782</v>
      </c>
      <c r="F495" t="s">
        <v>771</v>
      </c>
      <c r="G495" t="s">
        <v>1854</v>
      </c>
      <c r="J495" t="s">
        <v>783</v>
      </c>
      <c r="K495" t="s">
        <v>1930</v>
      </c>
      <c r="L495" t="s">
        <v>775</v>
      </c>
      <c r="M495" t="s">
        <v>65</v>
      </c>
      <c r="N495" t="s">
        <v>782</v>
      </c>
      <c r="O495">
        <v>0</v>
      </c>
      <c r="Y495" t="s">
        <v>2448</v>
      </c>
      <c r="Z495" t="s">
        <v>2449</v>
      </c>
      <c r="AA495">
        <v>18038</v>
      </c>
      <c r="AB495" t="s">
        <v>11</v>
      </c>
    </row>
    <row r="496" spans="1:28" x14ac:dyDescent="0.25">
      <c r="A496" t="s">
        <v>2875</v>
      </c>
      <c r="B496" t="s">
        <v>2875</v>
      </c>
      <c r="C496" t="s">
        <v>2876</v>
      </c>
      <c r="D496" t="s">
        <v>2877</v>
      </c>
      <c r="E496" t="s">
        <v>770</v>
      </c>
      <c r="F496" t="s">
        <v>771</v>
      </c>
      <c r="G496" t="s">
        <v>1854</v>
      </c>
      <c r="J496" t="s">
        <v>783</v>
      </c>
      <c r="K496" t="s">
        <v>1855</v>
      </c>
      <c r="L496" t="s">
        <v>1856</v>
      </c>
      <c r="M496" t="s">
        <v>12</v>
      </c>
      <c r="N496" t="s">
        <v>770</v>
      </c>
      <c r="O496">
        <v>1</v>
      </c>
      <c r="P496" t="s">
        <v>776</v>
      </c>
      <c r="Q496">
        <v>19.899999999999999</v>
      </c>
      <c r="R496">
        <v>3.59</v>
      </c>
      <c r="Y496" t="s">
        <v>1893</v>
      </c>
      <c r="Z496" t="s">
        <v>1893</v>
      </c>
      <c r="AA496">
        <v>10149</v>
      </c>
      <c r="AB496" t="s">
        <v>11</v>
      </c>
    </row>
    <row r="497" spans="1:28" x14ac:dyDescent="0.25">
      <c r="A497" t="s">
        <v>2878</v>
      </c>
      <c r="B497" t="s">
        <v>2878</v>
      </c>
      <c r="C497" t="s">
        <v>2879</v>
      </c>
      <c r="D497" t="s">
        <v>2880</v>
      </c>
      <c r="E497" t="s">
        <v>770</v>
      </c>
      <c r="F497" t="s">
        <v>771</v>
      </c>
      <c r="G497" t="s">
        <v>1854</v>
      </c>
      <c r="J497" t="s">
        <v>783</v>
      </c>
      <c r="K497" t="s">
        <v>1855</v>
      </c>
      <c r="L497" t="s">
        <v>1856</v>
      </c>
      <c r="M497" t="s">
        <v>12</v>
      </c>
      <c r="N497" t="s">
        <v>770</v>
      </c>
      <c r="O497">
        <v>1</v>
      </c>
      <c r="P497" t="s">
        <v>776</v>
      </c>
      <c r="Q497">
        <v>19.899999999999999</v>
      </c>
      <c r="R497">
        <v>3.59</v>
      </c>
      <c r="Y497" t="s">
        <v>2881</v>
      </c>
      <c r="Z497" t="s">
        <v>1869</v>
      </c>
      <c r="AA497">
        <v>10017</v>
      </c>
      <c r="AB497" t="s">
        <v>11</v>
      </c>
    </row>
    <row r="498" spans="1:28" x14ac:dyDescent="0.25">
      <c r="A498" t="s">
        <v>2882</v>
      </c>
      <c r="B498" t="s">
        <v>2882</v>
      </c>
      <c r="C498" t="s">
        <v>2883</v>
      </c>
      <c r="D498" t="s">
        <v>2884</v>
      </c>
      <c r="E498" t="s">
        <v>770</v>
      </c>
      <c r="F498" t="s">
        <v>771</v>
      </c>
      <c r="G498" t="s">
        <v>1854</v>
      </c>
      <c r="J498" t="s">
        <v>783</v>
      </c>
      <c r="K498" t="s">
        <v>1855</v>
      </c>
      <c r="L498" t="s">
        <v>1856</v>
      </c>
      <c r="M498" t="s">
        <v>12</v>
      </c>
      <c r="N498" t="s">
        <v>770</v>
      </c>
      <c r="O498">
        <v>1</v>
      </c>
      <c r="P498" t="s">
        <v>776</v>
      </c>
      <c r="Q498">
        <v>19.899999999999999</v>
      </c>
      <c r="R498">
        <v>3.59</v>
      </c>
      <c r="Y498" t="s">
        <v>2196</v>
      </c>
      <c r="Z498" t="s">
        <v>2885</v>
      </c>
      <c r="AA498">
        <v>84091</v>
      </c>
      <c r="AB498" t="s">
        <v>11</v>
      </c>
    </row>
    <row r="499" spans="1:28" x14ac:dyDescent="0.25">
      <c r="A499" t="s">
        <v>2886</v>
      </c>
      <c r="C499" t="s">
        <v>2887</v>
      </c>
      <c r="D499" t="s">
        <v>2888</v>
      </c>
      <c r="E499" t="s">
        <v>770</v>
      </c>
      <c r="F499" t="s">
        <v>1884</v>
      </c>
      <c r="G499" t="s">
        <v>1854</v>
      </c>
      <c r="H499" t="s">
        <v>1885</v>
      </c>
      <c r="J499" t="s">
        <v>773</v>
      </c>
      <c r="K499" t="s">
        <v>2889</v>
      </c>
      <c r="L499" t="s">
        <v>135</v>
      </c>
      <c r="M499" t="s">
        <v>134</v>
      </c>
      <c r="N499" t="s">
        <v>770</v>
      </c>
      <c r="O499">
        <v>1</v>
      </c>
      <c r="P499" t="s">
        <v>776</v>
      </c>
      <c r="Q499">
        <v>59.9</v>
      </c>
      <c r="R499">
        <v>10.8</v>
      </c>
      <c r="S499">
        <v>3</v>
      </c>
      <c r="T499">
        <v>0.54</v>
      </c>
      <c r="Y499" t="s">
        <v>2602</v>
      </c>
      <c r="Z499" t="s">
        <v>2602</v>
      </c>
      <c r="AA499">
        <v>16121</v>
      </c>
      <c r="AB499" t="s">
        <v>11</v>
      </c>
    </row>
    <row r="500" spans="1:28" x14ac:dyDescent="0.25">
      <c r="A500" t="s">
        <v>2890</v>
      </c>
      <c r="B500" t="s">
        <v>2890</v>
      </c>
      <c r="C500" t="s">
        <v>2891</v>
      </c>
      <c r="D500" t="s">
        <v>2892</v>
      </c>
      <c r="E500" t="s">
        <v>770</v>
      </c>
      <c r="F500" t="s">
        <v>771</v>
      </c>
      <c r="G500" t="s">
        <v>1854</v>
      </c>
      <c r="J500" t="s">
        <v>783</v>
      </c>
      <c r="K500" t="s">
        <v>1855</v>
      </c>
      <c r="L500" t="s">
        <v>1856</v>
      </c>
      <c r="M500" t="s">
        <v>12</v>
      </c>
      <c r="N500" t="s">
        <v>770</v>
      </c>
      <c r="O500">
        <v>1</v>
      </c>
      <c r="P500" t="s">
        <v>776</v>
      </c>
      <c r="Q500">
        <v>19.899999999999999</v>
      </c>
      <c r="R500">
        <v>3.59</v>
      </c>
      <c r="Y500" t="s">
        <v>2893</v>
      </c>
      <c r="Z500" t="s">
        <v>1864</v>
      </c>
      <c r="AA500">
        <v>20098</v>
      </c>
      <c r="AB500" t="s">
        <v>11</v>
      </c>
    </row>
    <row r="501" spans="1:28" x14ac:dyDescent="0.25">
      <c r="A501" t="s">
        <v>2894</v>
      </c>
      <c r="B501" t="s">
        <v>2894</v>
      </c>
      <c r="C501" t="s">
        <v>2895</v>
      </c>
      <c r="D501" t="s">
        <v>2896</v>
      </c>
      <c r="E501" t="s">
        <v>770</v>
      </c>
      <c r="F501" t="s">
        <v>771</v>
      </c>
      <c r="G501" t="s">
        <v>1854</v>
      </c>
      <c r="J501" t="s">
        <v>783</v>
      </c>
      <c r="K501" t="s">
        <v>2055</v>
      </c>
      <c r="L501" t="s">
        <v>806</v>
      </c>
      <c r="M501" t="s">
        <v>202</v>
      </c>
      <c r="N501" t="s">
        <v>770</v>
      </c>
      <c r="O501">
        <v>1</v>
      </c>
      <c r="P501" t="s">
        <v>776</v>
      </c>
      <c r="Q501">
        <v>14.9</v>
      </c>
      <c r="R501">
        <v>2.69</v>
      </c>
      <c r="Y501" t="s">
        <v>2897</v>
      </c>
      <c r="Z501" t="s">
        <v>2025</v>
      </c>
      <c r="AA501">
        <v>80040</v>
      </c>
      <c r="AB501" t="s">
        <v>11</v>
      </c>
    </row>
    <row r="502" spans="1:28" x14ac:dyDescent="0.25">
      <c r="A502" t="s">
        <v>2898</v>
      </c>
      <c r="B502" t="s">
        <v>2898</v>
      </c>
      <c r="C502" t="s">
        <v>2899</v>
      </c>
      <c r="D502" t="s">
        <v>2900</v>
      </c>
      <c r="E502" t="s">
        <v>770</v>
      </c>
      <c r="F502" t="s">
        <v>771</v>
      </c>
      <c r="G502" t="s">
        <v>1854</v>
      </c>
      <c r="J502" t="s">
        <v>783</v>
      </c>
      <c r="K502" t="s">
        <v>1855</v>
      </c>
      <c r="L502" t="s">
        <v>1856</v>
      </c>
      <c r="M502" t="s">
        <v>12</v>
      </c>
      <c r="N502" t="s">
        <v>770</v>
      </c>
      <c r="O502">
        <v>1</v>
      </c>
      <c r="P502" t="s">
        <v>776</v>
      </c>
      <c r="Q502">
        <v>19.899999999999999</v>
      </c>
      <c r="R502">
        <v>3.59</v>
      </c>
      <c r="Y502" t="s">
        <v>2901</v>
      </c>
      <c r="Z502" t="s">
        <v>1893</v>
      </c>
      <c r="AA502">
        <v>10090</v>
      </c>
      <c r="AB502" t="s">
        <v>11</v>
      </c>
    </row>
    <row r="503" spans="1:28" x14ac:dyDescent="0.25">
      <c r="A503" t="s">
        <v>2902</v>
      </c>
      <c r="B503" t="s">
        <v>2902</v>
      </c>
      <c r="C503" t="s">
        <v>2903</v>
      </c>
      <c r="D503" t="s">
        <v>2904</v>
      </c>
      <c r="E503" t="s">
        <v>770</v>
      </c>
      <c r="F503" t="s">
        <v>771</v>
      </c>
      <c r="G503" t="s">
        <v>1854</v>
      </c>
      <c r="J503" t="s">
        <v>783</v>
      </c>
      <c r="K503" t="s">
        <v>1862</v>
      </c>
      <c r="L503" t="s">
        <v>1505</v>
      </c>
      <c r="M503" t="s">
        <v>53</v>
      </c>
      <c r="N503" t="s">
        <v>770</v>
      </c>
      <c r="O503">
        <v>1</v>
      </c>
      <c r="P503" t="s">
        <v>776</v>
      </c>
      <c r="Q503">
        <v>32.9</v>
      </c>
      <c r="R503">
        <v>5.93</v>
      </c>
      <c r="Y503" t="s">
        <v>2905</v>
      </c>
      <c r="Z503" t="s">
        <v>2906</v>
      </c>
      <c r="AA503">
        <v>33084</v>
      </c>
      <c r="AB503" t="s">
        <v>11</v>
      </c>
    </row>
    <row r="504" spans="1:28" x14ac:dyDescent="0.25">
      <c r="A504" t="s">
        <v>2907</v>
      </c>
      <c r="B504" t="s">
        <v>2907</v>
      </c>
      <c r="C504" t="s">
        <v>2908</v>
      </c>
      <c r="D504" t="s">
        <v>2909</v>
      </c>
      <c r="E504" t="s">
        <v>770</v>
      </c>
      <c r="F504" t="s">
        <v>771</v>
      </c>
      <c r="G504" t="s">
        <v>1854</v>
      </c>
      <c r="I504" t="s">
        <v>2692</v>
      </c>
      <c r="J504" t="s">
        <v>783</v>
      </c>
      <c r="K504" t="s">
        <v>2712</v>
      </c>
      <c r="L504" t="s">
        <v>1800</v>
      </c>
      <c r="M504" t="s">
        <v>14</v>
      </c>
      <c r="N504" t="s">
        <v>770</v>
      </c>
      <c r="O504">
        <v>1</v>
      </c>
      <c r="P504" t="s">
        <v>776</v>
      </c>
      <c r="Q504">
        <v>14.9</v>
      </c>
      <c r="R504">
        <v>2.69</v>
      </c>
      <c r="Y504" t="s">
        <v>2693</v>
      </c>
      <c r="Z504" t="s">
        <v>2148</v>
      </c>
      <c r="AA504">
        <v>45020</v>
      </c>
      <c r="AB504" t="s">
        <v>11</v>
      </c>
    </row>
    <row r="505" spans="1:28" x14ac:dyDescent="0.25">
      <c r="A505" t="s">
        <v>2910</v>
      </c>
      <c r="C505" t="s">
        <v>2911</v>
      </c>
      <c r="D505" t="s">
        <v>2912</v>
      </c>
      <c r="E505" t="s">
        <v>770</v>
      </c>
      <c r="F505" t="s">
        <v>1884</v>
      </c>
      <c r="G505" t="s">
        <v>1854</v>
      </c>
      <c r="H505" t="s">
        <v>1885</v>
      </c>
      <c r="J505" t="s">
        <v>773</v>
      </c>
      <c r="K505" t="s">
        <v>2913</v>
      </c>
      <c r="L505" t="s">
        <v>99</v>
      </c>
      <c r="M505" t="s">
        <v>98</v>
      </c>
      <c r="N505" t="s">
        <v>770</v>
      </c>
      <c r="O505">
        <v>1</v>
      </c>
      <c r="P505" t="s">
        <v>776</v>
      </c>
      <c r="Q505">
        <v>29.9</v>
      </c>
      <c r="R505">
        <v>5.39</v>
      </c>
      <c r="S505">
        <v>3</v>
      </c>
      <c r="T505">
        <v>0.54</v>
      </c>
      <c r="Y505" t="s">
        <v>2914</v>
      </c>
      <c r="Z505" t="s">
        <v>2915</v>
      </c>
      <c r="AA505">
        <v>34015</v>
      </c>
      <c r="AB505" t="s">
        <v>11</v>
      </c>
    </row>
    <row r="506" spans="1:28" x14ac:dyDescent="0.25">
      <c r="A506" t="s">
        <v>2916</v>
      </c>
      <c r="B506" t="s">
        <v>2916</v>
      </c>
      <c r="C506" t="s">
        <v>2917</v>
      </c>
      <c r="D506" t="s">
        <v>2918</v>
      </c>
      <c r="E506" t="s">
        <v>770</v>
      </c>
      <c r="F506" t="s">
        <v>771</v>
      </c>
      <c r="G506" t="s">
        <v>1854</v>
      </c>
      <c r="J506" t="s">
        <v>783</v>
      </c>
      <c r="K506" t="s">
        <v>2162</v>
      </c>
      <c r="L506" t="s">
        <v>2163</v>
      </c>
      <c r="M506" t="s">
        <v>59</v>
      </c>
      <c r="N506" t="s">
        <v>770</v>
      </c>
      <c r="O506">
        <v>1</v>
      </c>
      <c r="P506" t="s">
        <v>776</v>
      </c>
      <c r="Q506">
        <v>29.9</v>
      </c>
      <c r="R506">
        <v>5.39</v>
      </c>
      <c r="Y506" t="s">
        <v>2838</v>
      </c>
      <c r="Z506" t="s">
        <v>2919</v>
      </c>
      <c r="AA506">
        <v>5100</v>
      </c>
      <c r="AB506" t="s">
        <v>11</v>
      </c>
    </row>
    <row r="507" spans="1:28" x14ac:dyDescent="0.25">
      <c r="A507" t="s">
        <v>2920</v>
      </c>
      <c r="B507" t="s">
        <v>2920</v>
      </c>
      <c r="C507" t="s">
        <v>2921</v>
      </c>
      <c r="D507" t="s">
        <v>2922</v>
      </c>
      <c r="E507" t="s">
        <v>770</v>
      </c>
      <c r="F507" t="s">
        <v>771</v>
      </c>
      <c r="G507" t="s">
        <v>1854</v>
      </c>
      <c r="J507" t="s">
        <v>783</v>
      </c>
      <c r="K507" t="s">
        <v>1930</v>
      </c>
      <c r="L507" t="s">
        <v>775</v>
      </c>
      <c r="M507" t="s">
        <v>65</v>
      </c>
      <c r="N507" t="s">
        <v>770</v>
      </c>
      <c r="O507">
        <v>1</v>
      </c>
      <c r="P507" t="s">
        <v>776</v>
      </c>
      <c r="Q507">
        <v>29.9</v>
      </c>
      <c r="R507">
        <v>5.39</v>
      </c>
      <c r="Y507" t="s">
        <v>1875</v>
      </c>
      <c r="Z507" t="s">
        <v>1875</v>
      </c>
      <c r="AA507">
        <v>20141</v>
      </c>
      <c r="AB507" t="s">
        <v>11</v>
      </c>
    </row>
    <row r="508" spans="1:28" x14ac:dyDescent="0.25">
      <c r="A508" t="s">
        <v>2923</v>
      </c>
      <c r="B508" t="s">
        <v>2923</v>
      </c>
      <c r="C508" t="s">
        <v>2924</v>
      </c>
      <c r="D508" t="s">
        <v>2925</v>
      </c>
      <c r="E508" t="s">
        <v>770</v>
      </c>
      <c r="F508" t="s">
        <v>771</v>
      </c>
      <c r="G508" t="s">
        <v>1854</v>
      </c>
      <c r="J508" t="s">
        <v>783</v>
      </c>
      <c r="K508" t="s">
        <v>1855</v>
      </c>
      <c r="L508" t="s">
        <v>1856</v>
      </c>
      <c r="M508" t="s">
        <v>12</v>
      </c>
      <c r="N508" t="s">
        <v>770</v>
      </c>
      <c r="O508">
        <v>1</v>
      </c>
      <c r="P508" t="s">
        <v>776</v>
      </c>
      <c r="Q508">
        <v>19.899999999999999</v>
      </c>
      <c r="R508">
        <v>3.59</v>
      </c>
      <c r="Y508" t="s">
        <v>2926</v>
      </c>
      <c r="AA508">
        <v>50058</v>
      </c>
      <c r="AB508" t="s">
        <v>11</v>
      </c>
    </row>
    <row r="509" spans="1:28" x14ac:dyDescent="0.25">
      <c r="A509" t="s">
        <v>2927</v>
      </c>
      <c r="B509" t="s">
        <v>2927</v>
      </c>
      <c r="C509" t="s">
        <v>2928</v>
      </c>
      <c r="D509" t="s">
        <v>2929</v>
      </c>
      <c r="E509" t="s">
        <v>770</v>
      </c>
      <c r="F509" t="s">
        <v>771</v>
      </c>
      <c r="G509" t="s">
        <v>1854</v>
      </c>
      <c r="J509" t="s">
        <v>783</v>
      </c>
      <c r="K509" t="s">
        <v>1855</v>
      </c>
      <c r="L509" t="s">
        <v>1856</v>
      </c>
      <c r="M509" t="s">
        <v>12</v>
      </c>
      <c r="N509" t="s">
        <v>770</v>
      </c>
      <c r="O509">
        <v>1</v>
      </c>
      <c r="P509" t="s">
        <v>776</v>
      </c>
      <c r="Q509">
        <v>19.899999999999999</v>
      </c>
      <c r="R509">
        <v>3.59</v>
      </c>
      <c r="Y509" t="s">
        <v>1903</v>
      </c>
      <c r="Z509" t="s">
        <v>2930</v>
      </c>
      <c r="AA509">
        <v>38060</v>
      </c>
      <c r="AB509" t="s">
        <v>11</v>
      </c>
    </row>
    <row r="510" spans="1:28" x14ac:dyDescent="0.25">
      <c r="A510" t="s">
        <v>2931</v>
      </c>
      <c r="B510" t="s">
        <v>2931</v>
      </c>
      <c r="C510" t="s">
        <v>2932</v>
      </c>
      <c r="D510" t="s">
        <v>2933</v>
      </c>
      <c r="E510" t="s">
        <v>770</v>
      </c>
      <c r="F510" t="s">
        <v>771</v>
      </c>
      <c r="G510" t="s">
        <v>1854</v>
      </c>
      <c r="J510" t="s">
        <v>783</v>
      </c>
      <c r="K510" t="s">
        <v>1855</v>
      </c>
      <c r="L510" t="s">
        <v>1856</v>
      </c>
      <c r="M510" t="s">
        <v>12</v>
      </c>
      <c r="N510" t="s">
        <v>770</v>
      </c>
      <c r="O510">
        <v>1</v>
      </c>
      <c r="P510" t="s">
        <v>776</v>
      </c>
      <c r="Q510">
        <v>19.899999999999999</v>
      </c>
      <c r="R510">
        <v>3.59</v>
      </c>
      <c r="Y510" t="s">
        <v>1913</v>
      </c>
      <c r="AA510">
        <v>176</v>
      </c>
      <c r="AB510" t="s">
        <v>11</v>
      </c>
    </row>
    <row r="511" spans="1:28" x14ac:dyDescent="0.25">
      <c r="A511" t="s">
        <v>2934</v>
      </c>
      <c r="B511" t="s">
        <v>2934</v>
      </c>
      <c r="C511" t="s">
        <v>2935</v>
      </c>
      <c r="D511" t="s">
        <v>2936</v>
      </c>
      <c r="E511" t="s">
        <v>770</v>
      </c>
      <c r="F511" t="s">
        <v>771</v>
      </c>
      <c r="G511" t="s">
        <v>1854</v>
      </c>
      <c r="J511" t="s">
        <v>783</v>
      </c>
      <c r="K511" t="s">
        <v>1855</v>
      </c>
      <c r="L511" t="s">
        <v>1856</v>
      </c>
      <c r="M511" t="s">
        <v>12</v>
      </c>
      <c r="N511" t="s">
        <v>770</v>
      </c>
      <c r="O511">
        <v>1</v>
      </c>
      <c r="P511" t="s">
        <v>776</v>
      </c>
      <c r="Q511">
        <v>19.899999999999999</v>
      </c>
      <c r="R511">
        <v>3.59</v>
      </c>
      <c r="S511">
        <v>4.99</v>
      </c>
      <c r="T511">
        <v>0.9</v>
      </c>
      <c r="Y511" t="s">
        <v>1913</v>
      </c>
      <c r="Z511" t="s">
        <v>1913</v>
      </c>
      <c r="AA511">
        <v>135</v>
      </c>
      <c r="AB511" t="s">
        <v>11</v>
      </c>
    </row>
    <row r="512" spans="1:28" x14ac:dyDescent="0.25">
      <c r="A512" t="s">
        <v>2937</v>
      </c>
      <c r="B512" t="s">
        <v>2937</v>
      </c>
      <c r="C512" t="s">
        <v>2938</v>
      </c>
      <c r="D512" t="s">
        <v>2939</v>
      </c>
      <c r="E512" t="s">
        <v>770</v>
      </c>
      <c r="F512" t="s">
        <v>771</v>
      </c>
      <c r="G512" t="s">
        <v>1854</v>
      </c>
      <c r="J512" t="s">
        <v>783</v>
      </c>
      <c r="K512" t="s">
        <v>1855</v>
      </c>
      <c r="L512" t="s">
        <v>1856</v>
      </c>
      <c r="M512" t="s">
        <v>12</v>
      </c>
      <c r="N512" t="s">
        <v>770</v>
      </c>
      <c r="O512">
        <v>1</v>
      </c>
      <c r="P512" t="s">
        <v>776</v>
      </c>
      <c r="Q512">
        <v>19.899999999999999</v>
      </c>
      <c r="R512">
        <v>3.59</v>
      </c>
      <c r="S512">
        <v>0.66</v>
      </c>
      <c r="X512">
        <v>0.66</v>
      </c>
      <c r="Y512" t="s">
        <v>2940</v>
      </c>
      <c r="Z512" t="s">
        <v>2941</v>
      </c>
      <c r="AA512">
        <v>24010</v>
      </c>
      <c r="AB512" t="s">
        <v>11</v>
      </c>
    </row>
    <row r="513" spans="1:35" x14ac:dyDescent="0.25">
      <c r="A513" t="s">
        <v>2942</v>
      </c>
      <c r="B513" t="s">
        <v>2942</v>
      </c>
      <c r="C513" t="s">
        <v>2943</v>
      </c>
      <c r="D513" t="s">
        <v>2944</v>
      </c>
      <c r="E513" t="s">
        <v>770</v>
      </c>
      <c r="F513" t="s">
        <v>771</v>
      </c>
      <c r="G513" t="s">
        <v>1854</v>
      </c>
      <c r="J513" t="s">
        <v>783</v>
      </c>
      <c r="K513" t="s">
        <v>1855</v>
      </c>
      <c r="L513" t="s">
        <v>1856</v>
      </c>
      <c r="M513" t="s">
        <v>12</v>
      </c>
      <c r="N513" t="s">
        <v>770</v>
      </c>
      <c r="O513">
        <v>1</v>
      </c>
      <c r="P513" t="s">
        <v>776</v>
      </c>
      <c r="Q513">
        <v>19.899999999999999</v>
      </c>
      <c r="R513">
        <v>3.59</v>
      </c>
      <c r="Y513" t="s">
        <v>2945</v>
      </c>
      <c r="Z513" t="s">
        <v>1908</v>
      </c>
      <c r="AA513">
        <v>80056</v>
      </c>
      <c r="AB513" t="s">
        <v>11</v>
      </c>
    </row>
    <row r="514" spans="1:35" x14ac:dyDescent="0.25">
      <c r="A514" t="s">
        <v>2946</v>
      </c>
      <c r="B514" t="s">
        <v>2946</v>
      </c>
      <c r="C514" t="s">
        <v>2947</v>
      </c>
      <c r="D514" t="s">
        <v>2948</v>
      </c>
      <c r="E514" t="s">
        <v>770</v>
      </c>
      <c r="F514" t="s">
        <v>771</v>
      </c>
      <c r="G514" t="s">
        <v>1854</v>
      </c>
      <c r="J514" t="s">
        <v>783</v>
      </c>
      <c r="K514" t="s">
        <v>1855</v>
      </c>
      <c r="L514" t="s">
        <v>1856</v>
      </c>
      <c r="M514" t="s">
        <v>12</v>
      </c>
      <c r="N514" t="s">
        <v>770</v>
      </c>
      <c r="O514">
        <v>1</v>
      </c>
      <c r="P514" t="s">
        <v>776</v>
      </c>
      <c r="Q514">
        <v>19.899999999999999</v>
      </c>
      <c r="R514">
        <v>3.59</v>
      </c>
      <c r="Y514" t="s">
        <v>2949</v>
      </c>
      <c r="Z514" t="s">
        <v>2626</v>
      </c>
      <c r="AA514">
        <v>51016</v>
      </c>
      <c r="AB514" t="s">
        <v>11</v>
      </c>
    </row>
    <row r="515" spans="1:35" x14ac:dyDescent="0.25">
      <c r="A515" t="s">
        <v>2950</v>
      </c>
      <c r="B515" t="s">
        <v>2950</v>
      </c>
      <c r="C515" t="s">
        <v>2951</v>
      </c>
      <c r="D515" t="s">
        <v>2952</v>
      </c>
      <c r="E515" t="s">
        <v>782</v>
      </c>
      <c r="F515" t="s">
        <v>771</v>
      </c>
      <c r="G515" t="s">
        <v>1854</v>
      </c>
      <c r="J515" t="s">
        <v>783</v>
      </c>
      <c r="K515" t="s">
        <v>1855</v>
      </c>
      <c r="L515" t="s">
        <v>1856</v>
      </c>
      <c r="M515" t="s">
        <v>12</v>
      </c>
      <c r="N515" t="s">
        <v>782</v>
      </c>
      <c r="O515">
        <v>0</v>
      </c>
      <c r="Y515" t="s">
        <v>2949</v>
      </c>
      <c r="Z515" t="s">
        <v>2626</v>
      </c>
      <c r="AA515">
        <v>51016</v>
      </c>
      <c r="AB515" t="s">
        <v>11</v>
      </c>
    </row>
    <row r="516" spans="1:35" x14ac:dyDescent="0.25">
      <c r="A516" t="s">
        <v>2953</v>
      </c>
      <c r="B516" t="s">
        <v>2953</v>
      </c>
      <c r="C516" t="s">
        <v>2954</v>
      </c>
      <c r="D516" t="s">
        <v>2955</v>
      </c>
      <c r="E516" t="s">
        <v>770</v>
      </c>
      <c r="F516" t="s">
        <v>771</v>
      </c>
      <c r="G516" t="s">
        <v>1854</v>
      </c>
      <c r="J516" t="s">
        <v>783</v>
      </c>
      <c r="K516" t="s">
        <v>1930</v>
      </c>
      <c r="L516" t="s">
        <v>775</v>
      </c>
      <c r="M516" t="s">
        <v>65</v>
      </c>
      <c r="N516" t="s">
        <v>770</v>
      </c>
      <c r="O516">
        <v>1</v>
      </c>
      <c r="P516" t="s">
        <v>776</v>
      </c>
      <c r="Q516">
        <v>29.9</v>
      </c>
      <c r="R516">
        <v>5.39</v>
      </c>
      <c r="Y516" t="s">
        <v>2956</v>
      </c>
      <c r="Z516" t="s">
        <v>2957</v>
      </c>
      <c r="AA516">
        <v>70010</v>
      </c>
      <c r="AB516" t="s">
        <v>11</v>
      </c>
    </row>
    <row r="517" spans="1:35" x14ac:dyDescent="0.25">
      <c r="A517" t="s">
        <v>2958</v>
      </c>
      <c r="B517" t="s">
        <v>2958</v>
      </c>
      <c r="C517" t="s">
        <v>2959</v>
      </c>
      <c r="D517" t="s">
        <v>2960</v>
      </c>
      <c r="E517" t="s">
        <v>770</v>
      </c>
      <c r="F517" t="s">
        <v>771</v>
      </c>
      <c r="G517" t="s">
        <v>1854</v>
      </c>
      <c r="J517" t="s">
        <v>783</v>
      </c>
      <c r="K517" t="s">
        <v>2712</v>
      </c>
      <c r="L517" t="s">
        <v>1800</v>
      </c>
      <c r="M517" t="s">
        <v>14</v>
      </c>
      <c r="N517" t="s">
        <v>770</v>
      </c>
      <c r="O517">
        <v>1</v>
      </c>
      <c r="P517" t="s">
        <v>776</v>
      </c>
      <c r="Q517">
        <v>14.9</v>
      </c>
      <c r="R517">
        <v>2.69</v>
      </c>
      <c r="Y517" t="s">
        <v>2961</v>
      </c>
      <c r="Z517" t="s">
        <v>2116</v>
      </c>
      <c r="AA517">
        <v>22037</v>
      </c>
      <c r="AB517" t="s">
        <v>11</v>
      </c>
    </row>
    <row r="518" spans="1:35" x14ac:dyDescent="0.25">
      <c r="A518" t="s">
        <v>2962</v>
      </c>
      <c r="B518" t="s">
        <v>2962</v>
      </c>
      <c r="C518" t="s">
        <v>2963</v>
      </c>
      <c r="D518" t="s">
        <v>2964</v>
      </c>
      <c r="E518" t="s">
        <v>770</v>
      </c>
      <c r="F518" t="s">
        <v>771</v>
      </c>
      <c r="G518" t="s">
        <v>1854</v>
      </c>
      <c r="J518" t="s">
        <v>783</v>
      </c>
      <c r="K518" t="s">
        <v>1879</v>
      </c>
      <c r="L518" t="s">
        <v>1056</v>
      </c>
      <c r="M518" t="s">
        <v>212</v>
      </c>
      <c r="N518" t="s">
        <v>770</v>
      </c>
      <c r="O518">
        <v>1</v>
      </c>
      <c r="P518" t="s">
        <v>776</v>
      </c>
      <c r="Q518">
        <v>39.9</v>
      </c>
      <c r="R518">
        <v>7.2</v>
      </c>
      <c r="S518">
        <v>3.27</v>
      </c>
      <c r="X518">
        <v>3.27</v>
      </c>
      <c r="Y518" t="s">
        <v>2965</v>
      </c>
      <c r="Z518" t="s">
        <v>2966</v>
      </c>
      <c r="AA518">
        <v>10063</v>
      </c>
      <c r="AB518" t="s">
        <v>11</v>
      </c>
    </row>
    <row r="519" spans="1:35" x14ac:dyDescent="0.25">
      <c r="A519" t="s">
        <v>2967</v>
      </c>
      <c r="B519" t="s">
        <v>2967</v>
      </c>
      <c r="C519" t="s">
        <v>2968</v>
      </c>
      <c r="D519" t="s">
        <v>2969</v>
      </c>
      <c r="E519" t="s">
        <v>770</v>
      </c>
      <c r="F519" t="s">
        <v>771</v>
      </c>
      <c r="G519" t="s">
        <v>1854</v>
      </c>
      <c r="J519" t="s">
        <v>783</v>
      </c>
      <c r="K519" t="s">
        <v>1873</v>
      </c>
      <c r="L519" t="s">
        <v>840</v>
      </c>
      <c r="M519" t="s">
        <v>26</v>
      </c>
      <c r="N519" t="s">
        <v>770</v>
      </c>
      <c r="O519">
        <v>1</v>
      </c>
      <c r="P519" t="s">
        <v>776</v>
      </c>
      <c r="Q519">
        <v>34.9</v>
      </c>
      <c r="R519">
        <v>6.29</v>
      </c>
      <c r="Y519" t="s">
        <v>2970</v>
      </c>
      <c r="Z519" t="s">
        <v>2971</v>
      </c>
      <c r="AA519">
        <v>26041</v>
      </c>
      <c r="AB519" t="s">
        <v>11</v>
      </c>
    </row>
    <row r="520" spans="1:35" x14ac:dyDescent="0.25">
      <c r="A520" t="s">
        <v>2972</v>
      </c>
      <c r="B520" t="s">
        <v>2972</v>
      </c>
      <c r="C520" t="s">
        <v>2973</v>
      </c>
      <c r="D520" t="s">
        <v>2974</v>
      </c>
      <c r="E520" t="s">
        <v>770</v>
      </c>
      <c r="F520" t="s">
        <v>771</v>
      </c>
      <c r="G520" t="s">
        <v>1854</v>
      </c>
      <c r="J520" t="s">
        <v>783</v>
      </c>
      <c r="K520" t="s">
        <v>1855</v>
      </c>
      <c r="L520" t="s">
        <v>1856</v>
      </c>
      <c r="M520" t="s">
        <v>12</v>
      </c>
      <c r="N520" t="s">
        <v>770</v>
      </c>
      <c r="O520">
        <v>1</v>
      </c>
      <c r="P520" t="s">
        <v>776</v>
      </c>
      <c r="Q520">
        <v>19.899999999999999</v>
      </c>
      <c r="R520">
        <v>3.59</v>
      </c>
      <c r="Y520" t="s">
        <v>2819</v>
      </c>
      <c r="Z520" t="s">
        <v>2975</v>
      </c>
      <c r="AA520">
        <v>74121</v>
      </c>
      <c r="AB520" t="s">
        <v>11</v>
      </c>
    </row>
    <row r="521" spans="1:35" x14ac:dyDescent="0.25">
      <c r="A521" t="s">
        <v>2976</v>
      </c>
      <c r="C521" t="s">
        <v>2977</v>
      </c>
      <c r="D521" t="s">
        <v>2978</v>
      </c>
      <c r="E521" t="s">
        <v>770</v>
      </c>
      <c r="F521" t="s">
        <v>1884</v>
      </c>
      <c r="G521" t="s">
        <v>1854</v>
      </c>
      <c r="H521" t="s">
        <v>1885</v>
      </c>
      <c r="J521" t="s">
        <v>773</v>
      </c>
      <c r="K521" t="s">
        <v>2252</v>
      </c>
      <c r="L521" t="s">
        <v>74</v>
      </c>
      <c r="M521" t="s">
        <v>73</v>
      </c>
      <c r="N521" t="s">
        <v>770</v>
      </c>
      <c r="O521">
        <v>1</v>
      </c>
      <c r="P521" t="s">
        <v>776</v>
      </c>
      <c r="Q521">
        <v>14.9</v>
      </c>
      <c r="R521">
        <v>2.69</v>
      </c>
      <c r="S521">
        <v>3</v>
      </c>
      <c r="T521">
        <v>0.54</v>
      </c>
      <c r="Y521" t="s">
        <v>2979</v>
      </c>
      <c r="Z521" t="s">
        <v>2979</v>
      </c>
      <c r="AA521">
        <v>40132</v>
      </c>
      <c r="AB521" t="s">
        <v>11</v>
      </c>
      <c r="AG521" t="s">
        <v>2980</v>
      </c>
      <c r="AH521" t="s">
        <v>11</v>
      </c>
      <c r="AI521" t="s">
        <v>2459</v>
      </c>
    </row>
    <row r="522" spans="1:35" x14ac:dyDescent="0.25">
      <c r="A522" t="s">
        <v>2981</v>
      </c>
      <c r="B522" t="s">
        <v>2981</v>
      </c>
      <c r="C522" t="s">
        <v>2982</v>
      </c>
      <c r="D522" t="s">
        <v>2983</v>
      </c>
      <c r="E522" t="s">
        <v>770</v>
      </c>
      <c r="F522" t="s">
        <v>771</v>
      </c>
      <c r="G522" t="s">
        <v>1854</v>
      </c>
      <c r="J522" t="s">
        <v>783</v>
      </c>
      <c r="K522" t="s">
        <v>1855</v>
      </c>
      <c r="L522" t="s">
        <v>1856</v>
      </c>
      <c r="M522" t="s">
        <v>12</v>
      </c>
      <c r="N522" t="s">
        <v>770</v>
      </c>
      <c r="O522">
        <v>1</v>
      </c>
      <c r="P522" t="s">
        <v>776</v>
      </c>
      <c r="Q522">
        <v>19.899999999999999</v>
      </c>
      <c r="R522">
        <v>3.59</v>
      </c>
      <c r="Y522" t="s">
        <v>2984</v>
      </c>
      <c r="Z522" t="s">
        <v>1864</v>
      </c>
      <c r="AA522">
        <v>20057</v>
      </c>
      <c r="AB522" t="s">
        <v>11</v>
      </c>
    </row>
    <row r="523" spans="1:35" x14ac:dyDescent="0.25">
      <c r="A523" t="s">
        <v>2985</v>
      </c>
      <c r="B523" t="s">
        <v>2985</v>
      </c>
      <c r="C523" t="s">
        <v>2986</v>
      </c>
      <c r="D523" t="s">
        <v>2987</v>
      </c>
      <c r="E523" t="s">
        <v>782</v>
      </c>
      <c r="F523" t="s">
        <v>771</v>
      </c>
      <c r="G523" t="s">
        <v>1854</v>
      </c>
      <c r="J523" t="s">
        <v>783</v>
      </c>
      <c r="K523" t="s">
        <v>1855</v>
      </c>
      <c r="L523" t="s">
        <v>1856</v>
      </c>
      <c r="M523" t="s">
        <v>12</v>
      </c>
      <c r="N523" t="s">
        <v>782</v>
      </c>
      <c r="O523">
        <v>0</v>
      </c>
      <c r="Y523" t="s">
        <v>2988</v>
      </c>
      <c r="Z523" t="s">
        <v>2165</v>
      </c>
      <c r="AA523">
        <v>55041</v>
      </c>
      <c r="AB523" t="s">
        <v>11</v>
      </c>
    </row>
    <row r="524" spans="1:35" x14ac:dyDescent="0.25">
      <c r="A524" t="s">
        <v>2989</v>
      </c>
      <c r="C524" t="s">
        <v>2990</v>
      </c>
      <c r="D524" t="s">
        <v>2991</v>
      </c>
      <c r="E524" t="s">
        <v>770</v>
      </c>
      <c r="F524" t="s">
        <v>1884</v>
      </c>
      <c r="G524" t="s">
        <v>1854</v>
      </c>
      <c r="H524" t="s">
        <v>1885</v>
      </c>
      <c r="J524" t="s">
        <v>773</v>
      </c>
      <c r="K524" t="s">
        <v>1873</v>
      </c>
      <c r="L524" t="s">
        <v>27</v>
      </c>
      <c r="M524" t="s">
        <v>26</v>
      </c>
      <c r="N524" t="s">
        <v>770</v>
      </c>
      <c r="O524">
        <v>1</v>
      </c>
      <c r="P524" t="s">
        <v>776</v>
      </c>
      <c r="Q524">
        <v>34.9</v>
      </c>
      <c r="R524">
        <v>6.29</v>
      </c>
      <c r="S524">
        <v>3</v>
      </c>
      <c r="T524">
        <v>0.54</v>
      </c>
      <c r="Y524" t="s">
        <v>1913</v>
      </c>
      <c r="Z524" t="s">
        <v>1913</v>
      </c>
      <c r="AA524">
        <v>197</v>
      </c>
      <c r="AB524" t="s">
        <v>11</v>
      </c>
      <c r="AG524">
        <v>4818941215</v>
      </c>
      <c r="AH524" t="s">
        <v>11</v>
      </c>
      <c r="AI524" t="s">
        <v>1258</v>
      </c>
    </row>
    <row r="525" spans="1:35" x14ac:dyDescent="0.25">
      <c r="A525" t="s">
        <v>2992</v>
      </c>
      <c r="C525" t="s">
        <v>2993</v>
      </c>
      <c r="D525" t="s">
        <v>2994</v>
      </c>
      <c r="E525" t="s">
        <v>770</v>
      </c>
      <c r="F525" t="s">
        <v>1884</v>
      </c>
      <c r="G525" t="s">
        <v>1854</v>
      </c>
      <c r="H525" t="s">
        <v>1885</v>
      </c>
      <c r="J525" t="s">
        <v>773</v>
      </c>
      <c r="K525" t="s">
        <v>1886</v>
      </c>
      <c r="L525" t="s">
        <v>18</v>
      </c>
      <c r="M525" t="s">
        <v>17</v>
      </c>
      <c r="N525" t="s">
        <v>770</v>
      </c>
      <c r="O525">
        <v>3</v>
      </c>
      <c r="P525" t="s">
        <v>776</v>
      </c>
      <c r="Q525">
        <v>68.7</v>
      </c>
      <c r="R525">
        <v>12.39</v>
      </c>
      <c r="S525">
        <v>9</v>
      </c>
      <c r="T525">
        <v>1.62</v>
      </c>
      <c r="Y525" t="s">
        <v>1912</v>
      </c>
      <c r="Z525" t="s">
        <v>1913</v>
      </c>
      <c r="AA525">
        <v>10</v>
      </c>
      <c r="AB525" t="s">
        <v>11</v>
      </c>
    </row>
    <row r="526" spans="1:35" x14ac:dyDescent="0.25">
      <c r="A526" t="s">
        <v>2995</v>
      </c>
      <c r="B526" t="s">
        <v>2995</v>
      </c>
      <c r="C526" t="s">
        <v>2996</v>
      </c>
      <c r="D526" t="s">
        <v>2997</v>
      </c>
      <c r="E526" t="s">
        <v>770</v>
      </c>
      <c r="F526" t="s">
        <v>771</v>
      </c>
      <c r="G526" t="s">
        <v>1854</v>
      </c>
      <c r="J526" t="s">
        <v>783</v>
      </c>
      <c r="K526" t="s">
        <v>1873</v>
      </c>
      <c r="L526" t="s">
        <v>840</v>
      </c>
      <c r="M526" t="s">
        <v>26</v>
      </c>
      <c r="N526" t="s">
        <v>770</v>
      </c>
      <c r="O526">
        <v>1</v>
      </c>
      <c r="P526" t="s">
        <v>776</v>
      </c>
      <c r="Q526">
        <v>34.9</v>
      </c>
      <c r="R526">
        <v>6.29</v>
      </c>
      <c r="Y526" t="s">
        <v>2998</v>
      </c>
      <c r="Z526" t="s">
        <v>2999</v>
      </c>
      <c r="AA526">
        <v>76125</v>
      </c>
      <c r="AB526" t="s">
        <v>11</v>
      </c>
    </row>
    <row r="527" spans="1:35" x14ac:dyDescent="0.25">
      <c r="A527" t="s">
        <v>3000</v>
      </c>
      <c r="B527" t="s">
        <v>3000</v>
      </c>
      <c r="C527" t="s">
        <v>3001</v>
      </c>
      <c r="D527" t="s">
        <v>3002</v>
      </c>
      <c r="E527" t="s">
        <v>770</v>
      </c>
      <c r="F527" t="s">
        <v>771</v>
      </c>
      <c r="G527" t="s">
        <v>1854</v>
      </c>
      <c r="J527" t="s">
        <v>783</v>
      </c>
      <c r="K527" t="s">
        <v>1930</v>
      </c>
      <c r="L527" t="s">
        <v>775</v>
      </c>
      <c r="M527" t="s">
        <v>65</v>
      </c>
      <c r="N527" t="s">
        <v>770</v>
      </c>
      <c r="O527">
        <v>1</v>
      </c>
      <c r="P527" t="s">
        <v>776</v>
      </c>
      <c r="Q527">
        <v>29.9</v>
      </c>
      <c r="R527">
        <v>5.39</v>
      </c>
      <c r="Y527" t="s">
        <v>3003</v>
      </c>
      <c r="Z527" t="s">
        <v>1926</v>
      </c>
      <c r="AA527">
        <v>44</v>
      </c>
      <c r="AB527" t="s">
        <v>11</v>
      </c>
    </row>
    <row r="528" spans="1:35" x14ac:dyDescent="0.25">
      <c r="A528" t="s">
        <v>3004</v>
      </c>
      <c r="B528" t="s">
        <v>3004</v>
      </c>
      <c r="C528" t="s">
        <v>3005</v>
      </c>
      <c r="D528" t="s">
        <v>3006</v>
      </c>
      <c r="E528" t="s">
        <v>770</v>
      </c>
      <c r="F528" t="s">
        <v>771</v>
      </c>
      <c r="G528" t="s">
        <v>1854</v>
      </c>
      <c r="J528" t="s">
        <v>783</v>
      </c>
      <c r="K528" t="s">
        <v>1855</v>
      </c>
      <c r="L528" t="s">
        <v>1856</v>
      </c>
      <c r="M528" t="s">
        <v>12</v>
      </c>
      <c r="N528" t="s">
        <v>770</v>
      </c>
      <c r="O528">
        <v>2</v>
      </c>
      <c r="P528" t="s">
        <v>776</v>
      </c>
      <c r="Q528">
        <v>39.799999999999997</v>
      </c>
      <c r="R528">
        <v>7.18</v>
      </c>
      <c r="Y528" t="s">
        <v>3007</v>
      </c>
      <c r="Z528" t="s">
        <v>3008</v>
      </c>
      <c r="AA528">
        <v>47924</v>
      </c>
      <c r="AB528" t="s">
        <v>11</v>
      </c>
    </row>
    <row r="529" spans="1:28" x14ac:dyDescent="0.25">
      <c r="A529" t="s">
        <v>3009</v>
      </c>
      <c r="B529" t="s">
        <v>3009</v>
      </c>
      <c r="C529" t="s">
        <v>3010</v>
      </c>
      <c r="D529" t="s">
        <v>3011</v>
      </c>
      <c r="E529" t="s">
        <v>770</v>
      </c>
      <c r="F529" t="s">
        <v>771</v>
      </c>
      <c r="G529" t="s">
        <v>1854</v>
      </c>
      <c r="J529" t="s">
        <v>783</v>
      </c>
      <c r="K529" t="s">
        <v>1855</v>
      </c>
      <c r="L529" t="s">
        <v>1856</v>
      </c>
      <c r="M529" t="s">
        <v>12</v>
      </c>
      <c r="N529" t="s">
        <v>770</v>
      </c>
      <c r="O529">
        <v>1</v>
      </c>
      <c r="P529" t="s">
        <v>776</v>
      </c>
      <c r="Q529">
        <v>19.899999999999999</v>
      </c>
      <c r="R529">
        <v>3.59</v>
      </c>
      <c r="Y529" t="s">
        <v>3012</v>
      </c>
      <c r="Z529" t="s">
        <v>3013</v>
      </c>
      <c r="AA529">
        <v>12100</v>
      </c>
      <c r="AB529" t="s">
        <v>11</v>
      </c>
    </row>
    <row r="530" spans="1:28" x14ac:dyDescent="0.25">
      <c r="A530" t="s">
        <v>3014</v>
      </c>
      <c r="B530" t="s">
        <v>3014</v>
      </c>
      <c r="C530" t="s">
        <v>3015</v>
      </c>
      <c r="D530" t="s">
        <v>3016</v>
      </c>
      <c r="E530" t="s">
        <v>770</v>
      </c>
      <c r="F530" t="s">
        <v>771</v>
      </c>
      <c r="G530" t="s">
        <v>1854</v>
      </c>
      <c r="J530" t="s">
        <v>783</v>
      </c>
      <c r="K530" t="s">
        <v>1862</v>
      </c>
      <c r="L530" t="s">
        <v>1505</v>
      </c>
      <c r="M530" t="s">
        <v>53</v>
      </c>
      <c r="N530" t="s">
        <v>770</v>
      </c>
      <c r="O530">
        <v>1</v>
      </c>
      <c r="P530" t="s">
        <v>776</v>
      </c>
      <c r="Q530">
        <v>32.9</v>
      </c>
      <c r="R530">
        <v>5.93</v>
      </c>
      <c r="Y530" t="s">
        <v>3017</v>
      </c>
      <c r="Z530" t="s">
        <v>3017</v>
      </c>
      <c r="AA530">
        <v>75100</v>
      </c>
      <c r="AB530" t="s">
        <v>11</v>
      </c>
    </row>
    <row r="531" spans="1:28" x14ac:dyDescent="0.25">
      <c r="A531" t="s">
        <v>3018</v>
      </c>
      <c r="B531" t="s">
        <v>3018</v>
      </c>
      <c r="C531" t="s">
        <v>3019</v>
      </c>
      <c r="D531" t="s">
        <v>3020</v>
      </c>
      <c r="E531" t="s">
        <v>770</v>
      </c>
      <c r="F531" t="s">
        <v>771</v>
      </c>
      <c r="G531" t="s">
        <v>1854</v>
      </c>
      <c r="I531" t="s">
        <v>2692</v>
      </c>
      <c r="J531" t="s">
        <v>783</v>
      </c>
      <c r="K531" t="s">
        <v>2712</v>
      </c>
      <c r="L531" t="s">
        <v>1800</v>
      </c>
      <c r="M531" t="s">
        <v>14</v>
      </c>
      <c r="N531" t="s">
        <v>770</v>
      </c>
      <c r="O531">
        <v>1</v>
      </c>
      <c r="P531" t="s">
        <v>776</v>
      </c>
      <c r="Q531">
        <v>14.9</v>
      </c>
      <c r="R531">
        <v>2.69</v>
      </c>
      <c r="Y531" t="s">
        <v>2693</v>
      </c>
      <c r="Z531" t="s">
        <v>2148</v>
      </c>
      <c r="AA531">
        <v>45020</v>
      </c>
      <c r="AB531" t="s">
        <v>11</v>
      </c>
    </row>
    <row r="532" spans="1:28" x14ac:dyDescent="0.25">
      <c r="A532" t="s">
        <v>3021</v>
      </c>
      <c r="B532" t="s">
        <v>3021</v>
      </c>
      <c r="C532" t="s">
        <v>3022</v>
      </c>
      <c r="D532" t="s">
        <v>3023</v>
      </c>
      <c r="E532" t="s">
        <v>770</v>
      </c>
      <c r="F532" t="s">
        <v>771</v>
      </c>
      <c r="G532" t="s">
        <v>1854</v>
      </c>
      <c r="J532" t="s">
        <v>783</v>
      </c>
      <c r="K532" t="s">
        <v>1855</v>
      </c>
      <c r="L532" t="s">
        <v>1856</v>
      </c>
      <c r="M532" t="s">
        <v>12</v>
      </c>
      <c r="N532" t="s">
        <v>770</v>
      </c>
      <c r="O532">
        <v>1</v>
      </c>
      <c r="P532" t="s">
        <v>776</v>
      </c>
      <c r="Q532">
        <v>19.899999999999999</v>
      </c>
      <c r="R532">
        <v>3.59</v>
      </c>
      <c r="Y532" t="s">
        <v>2602</v>
      </c>
      <c r="Z532" t="s">
        <v>3024</v>
      </c>
      <c r="AA532">
        <v>16127</v>
      </c>
      <c r="AB532" t="s">
        <v>11</v>
      </c>
    </row>
    <row r="533" spans="1:28" x14ac:dyDescent="0.25">
      <c r="A533" t="s">
        <v>3025</v>
      </c>
      <c r="B533" t="s">
        <v>3025</v>
      </c>
      <c r="C533" t="s">
        <v>3026</v>
      </c>
      <c r="D533" t="s">
        <v>3027</v>
      </c>
      <c r="E533" t="s">
        <v>770</v>
      </c>
      <c r="F533" t="s">
        <v>771</v>
      </c>
      <c r="G533" t="s">
        <v>1854</v>
      </c>
      <c r="J533" t="s">
        <v>783</v>
      </c>
      <c r="K533" t="s">
        <v>1855</v>
      </c>
      <c r="L533" t="s">
        <v>1856</v>
      </c>
      <c r="M533" t="s">
        <v>12</v>
      </c>
      <c r="N533" t="s">
        <v>770</v>
      </c>
      <c r="O533">
        <v>1</v>
      </c>
      <c r="P533" t="s">
        <v>776</v>
      </c>
      <c r="Q533">
        <v>19.899999999999999</v>
      </c>
      <c r="R533">
        <v>3.59</v>
      </c>
      <c r="Y533" t="s">
        <v>1875</v>
      </c>
      <c r="Z533" t="s">
        <v>1875</v>
      </c>
      <c r="AA533">
        <v>20151</v>
      </c>
      <c r="AB533" t="s">
        <v>11</v>
      </c>
    </row>
    <row r="534" spans="1:28" x14ac:dyDescent="0.25">
      <c r="A534" t="s">
        <v>3028</v>
      </c>
      <c r="B534" t="s">
        <v>3028</v>
      </c>
      <c r="C534" t="s">
        <v>3029</v>
      </c>
      <c r="D534" t="s">
        <v>3030</v>
      </c>
      <c r="E534" t="s">
        <v>770</v>
      </c>
      <c r="F534" t="s">
        <v>771</v>
      </c>
      <c r="G534" t="s">
        <v>1854</v>
      </c>
      <c r="J534" t="s">
        <v>783</v>
      </c>
      <c r="K534" t="s">
        <v>1855</v>
      </c>
      <c r="L534" t="s">
        <v>1856</v>
      </c>
      <c r="M534" t="s">
        <v>12</v>
      </c>
      <c r="N534" t="s">
        <v>770</v>
      </c>
      <c r="O534">
        <v>1</v>
      </c>
      <c r="P534" t="s">
        <v>776</v>
      </c>
      <c r="Q534">
        <v>19.899999999999999</v>
      </c>
      <c r="R534">
        <v>3.59</v>
      </c>
      <c r="Y534" t="s">
        <v>1875</v>
      </c>
      <c r="Z534" t="s">
        <v>3031</v>
      </c>
      <c r="AA534">
        <v>20139</v>
      </c>
      <c r="AB534" t="s">
        <v>11</v>
      </c>
    </row>
    <row r="535" spans="1:28" x14ac:dyDescent="0.25">
      <c r="A535" t="s">
        <v>3032</v>
      </c>
      <c r="B535" t="s">
        <v>3032</v>
      </c>
      <c r="C535" t="s">
        <v>3033</v>
      </c>
      <c r="D535" t="s">
        <v>3034</v>
      </c>
      <c r="E535" t="s">
        <v>770</v>
      </c>
      <c r="F535" t="s">
        <v>771</v>
      </c>
      <c r="G535" t="s">
        <v>1854</v>
      </c>
      <c r="J535" t="s">
        <v>783</v>
      </c>
      <c r="K535" t="s">
        <v>1873</v>
      </c>
      <c r="L535" t="s">
        <v>840</v>
      </c>
      <c r="M535" t="s">
        <v>26</v>
      </c>
      <c r="N535" t="s">
        <v>770</v>
      </c>
      <c r="O535">
        <v>1</v>
      </c>
      <c r="P535" t="s">
        <v>776</v>
      </c>
      <c r="Q535">
        <v>34.9</v>
      </c>
      <c r="R535">
        <v>6.29</v>
      </c>
      <c r="Y535" t="s">
        <v>1913</v>
      </c>
      <c r="Z535" t="s">
        <v>1926</v>
      </c>
      <c r="AA535">
        <v>161</v>
      </c>
      <c r="AB535" t="s">
        <v>11</v>
      </c>
    </row>
    <row r="536" spans="1:28" x14ac:dyDescent="0.25">
      <c r="A536" t="s">
        <v>3035</v>
      </c>
      <c r="B536" t="s">
        <v>3035</v>
      </c>
      <c r="C536" t="s">
        <v>3036</v>
      </c>
      <c r="D536" t="s">
        <v>3037</v>
      </c>
      <c r="E536" t="s">
        <v>770</v>
      </c>
      <c r="F536" t="s">
        <v>771</v>
      </c>
      <c r="G536" t="s">
        <v>1854</v>
      </c>
      <c r="J536" t="s">
        <v>783</v>
      </c>
      <c r="K536" t="s">
        <v>1855</v>
      </c>
      <c r="L536" t="s">
        <v>1856</v>
      </c>
      <c r="M536" t="s">
        <v>12</v>
      </c>
      <c r="N536" t="s">
        <v>770</v>
      </c>
      <c r="O536">
        <v>1</v>
      </c>
      <c r="P536" t="s">
        <v>776</v>
      </c>
      <c r="Q536">
        <v>19.899999999999999</v>
      </c>
      <c r="R536">
        <v>3.59</v>
      </c>
      <c r="Y536" t="s">
        <v>3038</v>
      </c>
      <c r="Z536" t="s">
        <v>2941</v>
      </c>
      <c r="AA536">
        <v>24021</v>
      </c>
      <c r="AB536" t="s">
        <v>11</v>
      </c>
    </row>
    <row r="537" spans="1:28" x14ac:dyDescent="0.25">
      <c r="A537" t="s">
        <v>3039</v>
      </c>
      <c r="C537" t="s">
        <v>3040</v>
      </c>
      <c r="D537" t="s">
        <v>3041</v>
      </c>
      <c r="E537" t="s">
        <v>770</v>
      </c>
      <c r="F537" t="s">
        <v>1884</v>
      </c>
      <c r="G537" t="s">
        <v>1854</v>
      </c>
      <c r="H537" t="s">
        <v>1885</v>
      </c>
      <c r="J537" t="s">
        <v>773</v>
      </c>
      <c r="K537" t="s">
        <v>3042</v>
      </c>
      <c r="L537" s="2">
        <v>90825</v>
      </c>
      <c r="M537" t="s">
        <v>320</v>
      </c>
      <c r="N537" t="s">
        <v>770</v>
      </c>
      <c r="O537">
        <v>1</v>
      </c>
      <c r="P537" t="s">
        <v>776</v>
      </c>
      <c r="Q537">
        <v>46.9</v>
      </c>
      <c r="R537">
        <v>8.4600000000000009</v>
      </c>
      <c r="S537">
        <v>3</v>
      </c>
      <c r="T537">
        <v>0.54</v>
      </c>
      <c r="Y537" t="s">
        <v>3043</v>
      </c>
      <c r="Z537" t="s">
        <v>2362</v>
      </c>
      <c r="AA537">
        <v>15121</v>
      </c>
      <c r="AB537" t="s">
        <v>11</v>
      </c>
    </row>
    <row r="538" spans="1:28" x14ac:dyDescent="0.25">
      <c r="A538" t="s">
        <v>3044</v>
      </c>
      <c r="B538" t="s">
        <v>3044</v>
      </c>
      <c r="C538" t="s">
        <v>3045</v>
      </c>
      <c r="D538" t="s">
        <v>3046</v>
      </c>
      <c r="E538" t="s">
        <v>770</v>
      </c>
      <c r="F538" t="s">
        <v>771</v>
      </c>
      <c r="G538" t="s">
        <v>1854</v>
      </c>
      <c r="J538" t="s">
        <v>783</v>
      </c>
      <c r="K538" t="s">
        <v>1855</v>
      </c>
      <c r="L538" t="s">
        <v>1856</v>
      </c>
      <c r="M538" t="s">
        <v>12</v>
      </c>
      <c r="N538" t="s">
        <v>770</v>
      </c>
      <c r="O538">
        <v>1</v>
      </c>
      <c r="P538" t="s">
        <v>776</v>
      </c>
      <c r="Q538">
        <v>19.899999999999999</v>
      </c>
      <c r="R538">
        <v>3.59</v>
      </c>
      <c r="Y538" t="s">
        <v>2602</v>
      </c>
      <c r="Z538" t="s">
        <v>2602</v>
      </c>
      <c r="AA538">
        <v>16139</v>
      </c>
      <c r="AB538" t="s">
        <v>11</v>
      </c>
    </row>
    <row r="539" spans="1:28" x14ac:dyDescent="0.25">
      <c r="A539" t="s">
        <v>3047</v>
      </c>
      <c r="B539" t="s">
        <v>3047</v>
      </c>
      <c r="C539" t="s">
        <v>3048</v>
      </c>
      <c r="D539" t="s">
        <v>3049</v>
      </c>
      <c r="E539" t="s">
        <v>770</v>
      </c>
      <c r="F539" t="s">
        <v>771</v>
      </c>
      <c r="G539" t="s">
        <v>1854</v>
      </c>
      <c r="J539" t="s">
        <v>783</v>
      </c>
      <c r="K539" t="s">
        <v>1862</v>
      </c>
      <c r="L539" t="s">
        <v>1505</v>
      </c>
      <c r="M539" t="s">
        <v>53</v>
      </c>
      <c r="N539" t="s">
        <v>770</v>
      </c>
      <c r="O539">
        <v>1</v>
      </c>
      <c r="P539" t="s">
        <v>776</v>
      </c>
      <c r="Q539">
        <v>32.9</v>
      </c>
      <c r="R539">
        <v>5.93</v>
      </c>
      <c r="Y539" t="s">
        <v>3050</v>
      </c>
      <c r="Z539" t="s">
        <v>2088</v>
      </c>
      <c r="AA539">
        <v>98040</v>
      </c>
      <c r="AB539" t="s">
        <v>11</v>
      </c>
    </row>
    <row r="540" spans="1:28" x14ac:dyDescent="0.25">
      <c r="A540" t="s">
        <v>3051</v>
      </c>
      <c r="B540" t="s">
        <v>3051</v>
      </c>
      <c r="C540" t="s">
        <v>3052</v>
      </c>
      <c r="D540" t="s">
        <v>3053</v>
      </c>
      <c r="E540" t="s">
        <v>770</v>
      </c>
      <c r="F540" t="s">
        <v>771</v>
      </c>
      <c r="G540" t="s">
        <v>1854</v>
      </c>
      <c r="J540" t="s">
        <v>783</v>
      </c>
      <c r="K540" t="s">
        <v>1855</v>
      </c>
      <c r="L540" t="s">
        <v>1856</v>
      </c>
      <c r="M540" t="s">
        <v>12</v>
      </c>
      <c r="N540" t="s">
        <v>770</v>
      </c>
      <c r="O540">
        <v>1</v>
      </c>
      <c r="P540" t="s">
        <v>776</v>
      </c>
      <c r="Q540">
        <v>19.899999999999999</v>
      </c>
      <c r="R540">
        <v>3.59</v>
      </c>
      <c r="Y540" t="s">
        <v>1913</v>
      </c>
      <c r="Z540" t="s">
        <v>1913</v>
      </c>
      <c r="AA540">
        <v>162</v>
      </c>
      <c r="AB540" t="s">
        <v>11</v>
      </c>
    </row>
    <row r="541" spans="1:28" x14ac:dyDescent="0.25">
      <c r="A541" t="s">
        <v>3054</v>
      </c>
      <c r="B541" t="s">
        <v>3054</v>
      </c>
      <c r="C541" t="s">
        <v>3055</v>
      </c>
      <c r="D541" t="s">
        <v>3056</v>
      </c>
      <c r="E541" t="s">
        <v>770</v>
      </c>
      <c r="F541" t="s">
        <v>771</v>
      </c>
      <c r="G541" t="s">
        <v>1854</v>
      </c>
      <c r="J541" t="s">
        <v>783</v>
      </c>
      <c r="K541" t="s">
        <v>1855</v>
      </c>
      <c r="L541" t="s">
        <v>1856</v>
      </c>
      <c r="M541" t="s">
        <v>12</v>
      </c>
      <c r="N541" t="s">
        <v>770</v>
      </c>
      <c r="O541">
        <v>1</v>
      </c>
      <c r="P541" t="s">
        <v>776</v>
      </c>
      <c r="Q541">
        <v>19.899999999999999</v>
      </c>
      <c r="R541">
        <v>3.59</v>
      </c>
      <c r="Y541" t="s">
        <v>1875</v>
      </c>
      <c r="Z541" t="s">
        <v>1875</v>
      </c>
      <c r="AA541">
        <v>20123</v>
      </c>
      <c r="AB541" t="s">
        <v>11</v>
      </c>
    </row>
    <row r="542" spans="1:28" x14ac:dyDescent="0.25">
      <c r="A542" t="s">
        <v>3057</v>
      </c>
      <c r="B542" t="s">
        <v>3057</v>
      </c>
      <c r="C542" t="s">
        <v>3058</v>
      </c>
      <c r="D542" t="s">
        <v>3059</v>
      </c>
      <c r="E542" t="s">
        <v>770</v>
      </c>
      <c r="F542" t="s">
        <v>771</v>
      </c>
      <c r="G542" t="s">
        <v>1854</v>
      </c>
      <c r="J542" t="s">
        <v>783</v>
      </c>
      <c r="K542" t="s">
        <v>1855</v>
      </c>
      <c r="L542" t="s">
        <v>1856</v>
      </c>
      <c r="M542" t="s">
        <v>12</v>
      </c>
      <c r="N542" t="s">
        <v>770</v>
      </c>
      <c r="O542">
        <v>1</v>
      </c>
      <c r="P542" t="s">
        <v>776</v>
      </c>
      <c r="Q542">
        <v>19.899999999999999</v>
      </c>
      <c r="R542">
        <v>3.59</v>
      </c>
      <c r="Y542" t="s">
        <v>1913</v>
      </c>
      <c r="Z542" t="s">
        <v>1926</v>
      </c>
      <c r="AA542">
        <v>125</v>
      </c>
      <c r="AB542" t="s">
        <v>11</v>
      </c>
    </row>
    <row r="543" spans="1:28" x14ac:dyDescent="0.25">
      <c r="A543" t="s">
        <v>3060</v>
      </c>
      <c r="B543" t="s">
        <v>3060</v>
      </c>
      <c r="C543" t="s">
        <v>3061</v>
      </c>
      <c r="D543" t="s">
        <v>3062</v>
      </c>
      <c r="E543" t="s">
        <v>770</v>
      </c>
      <c r="F543" t="s">
        <v>771</v>
      </c>
      <c r="G543" t="s">
        <v>1854</v>
      </c>
      <c r="J543" t="s">
        <v>783</v>
      </c>
      <c r="K543" t="s">
        <v>1855</v>
      </c>
      <c r="L543" t="s">
        <v>1856</v>
      </c>
      <c r="M543" t="s">
        <v>12</v>
      </c>
      <c r="N543" t="s">
        <v>770</v>
      </c>
      <c r="O543">
        <v>1</v>
      </c>
      <c r="P543" t="s">
        <v>776</v>
      </c>
      <c r="Q543">
        <v>19.899999999999999</v>
      </c>
      <c r="R543">
        <v>3.59</v>
      </c>
      <c r="Y543" t="s">
        <v>3063</v>
      </c>
      <c r="Z543" t="s">
        <v>2244</v>
      </c>
      <c r="AA543">
        <v>59013</v>
      </c>
      <c r="AB543" t="s">
        <v>11</v>
      </c>
    </row>
    <row r="544" spans="1:28" x14ac:dyDescent="0.25">
      <c r="A544" t="s">
        <v>3064</v>
      </c>
      <c r="B544" t="s">
        <v>3064</v>
      </c>
      <c r="C544" t="s">
        <v>3065</v>
      </c>
      <c r="D544" t="s">
        <v>3066</v>
      </c>
      <c r="E544" t="s">
        <v>782</v>
      </c>
      <c r="F544" t="s">
        <v>771</v>
      </c>
      <c r="G544" t="s">
        <v>1854</v>
      </c>
      <c r="J544" t="s">
        <v>783</v>
      </c>
      <c r="K544" t="s">
        <v>1855</v>
      </c>
      <c r="L544" t="s">
        <v>1856</v>
      </c>
      <c r="M544" t="s">
        <v>12</v>
      </c>
      <c r="N544" t="s">
        <v>782</v>
      </c>
      <c r="O544">
        <v>0</v>
      </c>
      <c r="Y544" t="s">
        <v>1913</v>
      </c>
      <c r="Z544" t="s">
        <v>1926</v>
      </c>
      <c r="AA544">
        <v>125</v>
      </c>
      <c r="AB544" t="s">
        <v>11</v>
      </c>
    </row>
    <row r="545" spans="1:28" x14ac:dyDescent="0.25">
      <c r="A545" t="s">
        <v>3067</v>
      </c>
      <c r="B545" t="s">
        <v>3067</v>
      </c>
      <c r="C545" t="s">
        <v>3068</v>
      </c>
      <c r="D545" t="s">
        <v>3069</v>
      </c>
      <c r="E545" t="s">
        <v>770</v>
      </c>
      <c r="F545" t="s">
        <v>771</v>
      </c>
      <c r="G545" t="s">
        <v>1854</v>
      </c>
      <c r="J545" t="s">
        <v>783</v>
      </c>
      <c r="K545" t="s">
        <v>1862</v>
      </c>
      <c r="L545" t="s">
        <v>1505</v>
      </c>
      <c r="M545" t="s">
        <v>53</v>
      </c>
      <c r="N545" t="s">
        <v>770</v>
      </c>
      <c r="O545">
        <v>1</v>
      </c>
      <c r="P545" t="s">
        <v>776</v>
      </c>
      <c r="Q545">
        <v>32.9</v>
      </c>
      <c r="R545">
        <v>5.93</v>
      </c>
      <c r="Y545" t="s">
        <v>3070</v>
      </c>
      <c r="Z545" t="s">
        <v>3071</v>
      </c>
      <c r="AA545">
        <v>21052</v>
      </c>
      <c r="AB545" t="s">
        <v>11</v>
      </c>
    </row>
    <row r="546" spans="1:28" x14ac:dyDescent="0.25">
      <c r="A546" t="s">
        <v>3072</v>
      </c>
      <c r="B546" t="s">
        <v>3072</v>
      </c>
      <c r="C546" t="s">
        <v>3073</v>
      </c>
      <c r="D546" t="s">
        <v>3074</v>
      </c>
      <c r="E546" t="s">
        <v>770</v>
      </c>
      <c r="F546" t="s">
        <v>771</v>
      </c>
      <c r="G546" t="s">
        <v>1854</v>
      </c>
      <c r="J546" t="s">
        <v>783</v>
      </c>
      <c r="K546" t="s">
        <v>1855</v>
      </c>
      <c r="L546" t="s">
        <v>1856</v>
      </c>
      <c r="M546" t="s">
        <v>12</v>
      </c>
      <c r="N546" t="s">
        <v>770</v>
      </c>
      <c r="O546">
        <v>2</v>
      </c>
      <c r="P546" t="s">
        <v>776</v>
      </c>
      <c r="Q546">
        <v>39.799999999999997</v>
      </c>
      <c r="R546">
        <v>7.18</v>
      </c>
      <c r="Y546" t="s">
        <v>3075</v>
      </c>
      <c r="Z546" t="s">
        <v>2101</v>
      </c>
      <c r="AA546">
        <v>47838</v>
      </c>
      <c r="AB546" t="s">
        <v>11</v>
      </c>
    </row>
    <row r="547" spans="1:28" x14ac:dyDescent="0.25">
      <c r="A547" t="s">
        <v>3076</v>
      </c>
      <c r="B547" t="s">
        <v>3076</v>
      </c>
      <c r="C547" t="s">
        <v>3077</v>
      </c>
      <c r="D547" t="s">
        <v>3078</v>
      </c>
      <c r="E547" t="s">
        <v>770</v>
      </c>
      <c r="F547" t="s">
        <v>771</v>
      </c>
      <c r="G547" t="s">
        <v>1854</v>
      </c>
      <c r="J547" t="s">
        <v>783</v>
      </c>
      <c r="K547" t="s">
        <v>1855</v>
      </c>
      <c r="L547" t="s">
        <v>1856</v>
      </c>
      <c r="M547" t="s">
        <v>12</v>
      </c>
      <c r="N547" t="s">
        <v>770</v>
      </c>
      <c r="O547">
        <v>1</v>
      </c>
      <c r="P547" t="s">
        <v>776</v>
      </c>
      <c r="Q547">
        <v>19.899999999999999</v>
      </c>
      <c r="R547">
        <v>3.59</v>
      </c>
      <c r="Y547" t="s">
        <v>3079</v>
      </c>
      <c r="Z547" t="s">
        <v>3080</v>
      </c>
      <c r="AA547">
        <v>30030</v>
      </c>
      <c r="AB547" t="s">
        <v>11</v>
      </c>
    </row>
    <row r="548" spans="1:28" x14ac:dyDescent="0.25">
      <c r="A548" t="s">
        <v>3081</v>
      </c>
      <c r="B548" t="s">
        <v>3081</v>
      </c>
      <c r="C548" t="s">
        <v>3082</v>
      </c>
      <c r="D548" t="s">
        <v>3083</v>
      </c>
      <c r="E548" t="s">
        <v>782</v>
      </c>
      <c r="F548" t="s">
        <v>771</v>
      </c>
      <c r="G548" t="s">
        <v>1854</v>
      </c>
      <c r="J548" t="s">
        <v>783</v>
      </c>
      <c r="K548" t="s">
        <v>1855</v>
      </c>
      <c r="L548" t="s">
        <v>1856</v>
      </c>
      <c r="M548" t="s">
        <v>12</v>
      </c>
      <c r="N548" t="s">
        <v>782</v>
      </c>
      <c r="O548">
        <v>0</v>
      </c>
      <c r="Y548" t="s">
        <v>3084</v>
      </c>
      <c r="Z548" t="s">
        <v>2143</v>
      </c>
      <c r="AA548">
        <v>3040</v>
      </c>
      <c r="AB548" t="s">
        <v>11</v>
      </c>
    </row>
    <row r="549" spans="1:28" x14ac:dyDescent="0.25">
      <c r="A549" t="s">
        <v>3085</v>
      </c>
      <c r="B549" t="s">
        <v>3085</v>
      </c>
      <c r="C549" t="s">
        <v>3086</v>
      </c>
      <c r="D549" t="s">
        <v>3087</v>
      </c>
      <c r="E549" t="s">
        <v>770</v>
      </c>
      <c r="F549" t="s">
        <v>771</v>
      </c>
      <c r="G549" t="s">
        <v>1854</v>
      </c>
      <c r="J549" t="s">
        <v>783</v>
      </c>
      <c r="K549" t="s">
        <v>1855</v>
      </c>
      <c r="L549" t="s">
        <v>1856</v>
      </c>
      <c r="M549" t="s">
        <v>12</v>
      </c>
      <c r="N549" t="s">
        <v>770</v>
      </c>
      <c r="O549">
        <v>1</v>
      </c>
      <c r="P549" t="s">
        <v>776</v>
      </c>
      <c r="Q549">
        <v>19.899999999999999</v>
      </c>
      <c r="R549">
        <v>3.59</v>
      </c>
      <c r="Y549" t="s">
        <v>3088</v>
      </c>
      <c r="Z549" t="s">
        <v>3089</v>
      </c>
      <c r="AA549">
        <v>25027</v>
      </c>
      <c r="AB549" t="s">
        <v>11</v>
      </c>
    </row>
    <row r="550" spans="1:28" x14ac:dyDescent="0.25">
      <c r="A550" t="s">
        <v>3090</v>
      </c>
      <c r="B550" t="s">
        <v>3090</v>
      </c>
      <c r="C550" t="s">
        <v>3091</v>
      </c>
      <c r="D550" t="s">
        <v>3092</v>
      </c>
      <c r="E550" t="s">
        <v>782</v>
      </c>
      <c r="F550" t="s">
        <v>771</v>
      </c>
      <c r="G550" t="s">
        <v>1854</v>
      </c>
      <c r="J550" t="s">
        <v>783</v>
      </c>
      <c r="K550" t="s">
        <v>1855</v>
      </c>
      <c r="L550" t="s">
        <v>1856</v>
      </c>
      <c r="M550" t="s">
        <v>12</v>
      </c>
      <c r="N550" t="s">
        <v>782</v>
      </c>
      <c r="O550">
        <v>0</v>
      </c>
      <c r="Y550" t="s">
        <v>3093</v>
      </c>
      <c r="Z550" t="s">
        <v>3017</v>
      </c>
      <c r="AA550">
        <v>75025</v>
      </c>
      <c r="AB550" t="s">
        <v>11</v>
      </c>
    </row>
    <row r="551" spans="1:28" x14ac:dyDescent="0.25">
      <c r="A551" t="s">
        <v>3094</v>
      </c>
      <c r="B551" t="s">
        <v>3094</v>
      </c>
      <c r="C551" t="s">
        <v>3095</v>
      </c>
      <c r="D551" t="s">
        <v>3096</v>
      </c>
      <c r="E551" t="s">
        <v>770</v>
      </c>
      <c r="F551" t="s">
        <v>771</v>
      </c>
      <c r="G551" t="s">
        <v>1854</v>
      </c>
      <c r="J551" t="s">
        <v>783</v>
      </c>
      <c r="K551" t="s">
        <v>1862</v>
      </c>
      <c r="L551" t="s">
        <v>1505</v>
      </c>
      <c r="M551" t="s">
        <v>53</v>
      </c>
      <c r="N551" t="s">
        <v>770</v>
      </c>
      <c r="O551">
        <v>1</v>
      </c>
      <c r="P551" t="s">
        <v>776</v>
      </c>
      <c r="Q551">
        <v>32.9</v>
      </c>
      <c r="R551">
        <v>5.93</v>
      </c>
      <c r="Y551" t="s">
        <v>3097</v>
      </c>
      <c r="AA551">
        <v>9045</v>
      </c>
      <c r="AB551" t="s">
        <v>11</v>
      </c>
    </row>
    <row r="552" spans="1:28" x14ac:dyDescent="0.25">
      <c r="A552" t="s">
        <v>3098</v>
      </c>
      <c r="B552" t="s">
        <v>3098</v>
      </c>
      <c r="C552" t="s">
        <v>3099</v>
      </c>
      <c r="D552" t="s">
        <v>3100</v>
      </c>
      <c r="E552" t="s">
        <v>770</v>
      </c>
      <c r="F552" t="s">
        <v>771</v>
      </c>
      <c r="G552" t="s">
        <v>1854</v>
      </c>
      <c r="J552" t="s">
        <v>783</v>
      </c>
      <c r="K552" t="s">
        <v>1862</v>
      </c>
      <c r="L552" t="s">
        <v>1505</v>
      </c>
      <c r="M552" t="s">
        <v>53</v>
      </c>
      <c r="N552" t="s">
        <v>770</v>
      </c>
      <c r="O552">
        <v>1</v>
      </c>
      <c r="P552" t="s">
        <v>776</v>
      </c>
      <c r="Q552">
        <v>32.9</v>
      </c>
      <c r="R552">
        <v>5.93</v>
      </c>
      <c r="Y552" t="s">
        <v>3101</v>
      </c>
      <c r="Z552" t="s">
        <v>1875</v>
      </c>
      <c r="AA552">
        <v>20064</v>
      </c>
      <c r="AB552" t="s">
        <v>11</v>
      </c>
    </row>
    <row r="553" spans="1:28" x14ac:dyDescent="0.25">
      <c r="A553" t="s">
        <v>3102</v>
      </c>
      <c r="B553" t="s">
        <v>3102</v>
      </c>
      <c r="C553" t="s">
        <v>3103</v>
      </c>
      <c r="D553" t="s">
        <v>3104</v>
      </c>
      <c r="E553" t="s">
        <v>770</v>
      </c>
      <c r="F553" t="s">
        <v>771</v>
      </c>
      <c r="G553" t="s">
        <v>1854</v>
      </c>
      <c r="J553" t="s">
        <v>783</v>
      </c>
      <c r="K553" t="s">
        <v>1855</v>
      </c>
      <c r="L553" t="s">
        <v>1856</v>
      </c>
      <c r="M553" t="s">
        <v>12</v>
      </c>
      <c r="N553" t="s">
        <v>770</v>
      </c>
      <c r="O553">
        <v>1</v>
      </c>
      <c r="P553" t="s">
        <v>776</v>
      </c>
      <c r="Q553">
        <v>19.899999999999999</v>
      </c>
      <c r="R553">
        <v>3.59</v>
      </c>
      <c r="Y553" t="s">
        <v>3105</v>
      </c>
      <c r="Z553" t="s">
        <v>1607</v>
      </c>
      <c r="AA553">
        <v>62100</v>
      </c>
      <c r="AB553" t="s">
        <v>11</v>
      </c>
    </row>
    <row r="554" spans="1:28" x14ac:dyDescent="0.25">
      <c r="A554" t="s">
        <v>3106</v>
      </c>
      <c r="B554" t="s">
        <v>3106</v>
      </c>
      <c r="C554" t="s">
        <v>3107</v>
      </c>
      <c r="D554" t="s">
        <v>3108</v>
      </c>
      <c r="E554" t="s">
        <v>770</v>
      </c>
      <c r="F554" t="s">
        <v>771</v>
      </c>
      <c r="G554" t="s">
        <v>1854</v>
      </c>
      <c r="J554" t="s">
        <v>783</v>
      </c>
      <c r="K554" t="s">
        <v>1855</v>
      </c>
      <c r="L554" t="s">
        <v>1856</v>
      </c>
      <c r="M554" t="s">
        <v>12</v>
      </c>
      <c r="N554" t="s">
        <v>770</v>
      </c>
      <c r="O554">
        <v>1</v>
      </c>
      <c r="P554" t="s">
        <v>776</v>
      </c>
      <c r="Q554">
        <v>19.899999999999999</v>
      </c>
      <c r="R554">
        <v>3.59</v>
      </c>
      <c r="Y554" t="s">
        <v>3109</v>
      </c>
      <c r="Z554" t="s">
        <v>2148</v>
      </c>
      <c r="AA554">
        <v>23037</v>
      </c>
      <c r="AB554" t="s">
        <v>11</v>
      </c>
    </row>
    <row r="555" spans="1:28" x14ac:dyDescent="0.25">
      <c r="A555" t="s">
        <v>3110</v>
      </c>
      <c r="B555" t="s">
        <v>3110</v>
      </c>
      <c r="C555" t="s">
        <v>3111</v>
      </c>
      <c r="D555" t="s">
        <v>3112</v>
      </c>
      <c r="E555" t="s">
        <v>770</v>
      </c>
      <c r="F555" t="s">
        <v>771</v>
      </c>
      <c r="G555" t="s">
        <v>1854</v>
      </c>
      <c r="J555" t="s">
        <v>783</v>
      </c>
      <c r="K555" t="s">
        <v>1855</v>
      </c>
      <c r="L555" t="s">
        <v>1856</v>
      </c>
      <c r="M555" t="s">
        <v>12</v>
      </c>
      <c r="N555" t="s">
        <v>770</v>
      </c>
      <c r="O555">
        <v>3</v>
      </c>
      <c r="P555" t="s">
        <v>776</v>
      </c>
      <c r="Q555">
        <v>59.7</v>
      </c>
      <c r="R555">
        <v>10.77</v>
      </c>
      <c r="Y555" t="s">
        <v>1908</v>
      </c>
      <c r="Z555" t="s">
        <v>3113</v>
      </c>
      <c r="AA555">
        <v>80137</v>
      </c>
      <c r="AB555" t="s">
        <v>11</v>
      </c>
    </row>
    <row r="556" spans="1:28" x14ac:dyDescent="0.25">
      <c r="A556" t="s">
        <v>3114</v>
      </c>
      <c r="B556" t="s">
        <v>3114</v>
      </c>
      <c r="C556" t="s">
        <v>3115</v>
      </c>
      <c r="D556" t="s">
        <v>3116</v>
      </c>
      <c r="E556" t="s">
        <v>770</v>
      </c>
      <c r="F556" t="s">
        <v>771</v>
      </c>
      <c r="G556" t="s">
        <v>1854</v>
      </c>
      <c r="J556" t="s">
        <v>783</v>
      </c>
      <c r="K556" t="s">
        <v>1930</v>
      </c>
      <c r="L556" t="s">
        <v>775</v>
      </c>
      <c r="M556" t="s">
        <v>65</v>
      </c>
      <c r="N556" t="s">
        <v>770</v>
      </c>
      <c r="O556">
        <v>1</v>
      </c>
      <c r="P556" t="s">
        <v>776</v>
      </c>
      <c r="Q556">
        <v>29.9</v>
      </c>
      <c r="R556">
        <v>5.39</v>
      </c>
      <c r="Y556" t="s">
        <v>3117</v>
      </c>
      <c r="Z556" t="s">
        <v>2219</v>
      </c>
      <c r="AA556">
        <v>50018</v>
      </c>
      <c r="AB556" t="s">
        <v>11</v>
      </c>
    </row>
    <row r="557" spans="1:28" x14ac:dyDescent="0.25">
      <c r="A557" t="s">
        <v>3118</v>
      </c>
      <c r="B557" t="s">
        <v>3118</v>
      </c>
      <c r="C557" t="s">
        <v>3119</v>
      </c>
      <c r="D557" t="s">
        <v>3120</v>
      </c>
      <c r="E557" t="s">
        <v>770</v>
      </c>
      <c r="F557" t="s">
        <v>771</v>
      </c>
      <c r="G557" t="s">
        <v>1854</v>
      </c>
      <c r="J557" t="s">
        <v>783</v>
      </c>
      <c r="K557" t="s">
        <v>1873</v>
      </c>
      <c r="L557" t="s">
        <v>840</v>
      </c>
      <c r="M557" t="s">
        <v>26</v>
      </c>
      <c r="N557" t="s">
        <v>770</v>
      </c>
      <c r="O557">
        <v>1</v>
      </c>
      <c r="P557" t="s">
        <v>776</v>
      </c>
      <c r="Q557">
        <v>34.9</v>
      </c>
      <c r="R557">
        <v>6.29</v>
      </c>
      <c r="Y557" t="s">
        <v>3121</v>
      </c>
      <c r="Z557" t="s">
        <v>3121</v>
      </c>
      <c r="AA557">
        <v>9170</v>
      </c>
      <c r="AB557" t="s">
        <v>11</v>
      </c>
    </row>
    <row r="558" spans="1:28" x14ac:dyDescent="0.25">
      <c r="A558" t="s">
        <v>3122</v>
      </c>
      <c r="B558" t="s">
        <v>3122</v>
      </c>
      <c r="C558" t="s">
        <v>3123</v>
      </c>
      <c r="D558" t="s">
        <v>3124</v>
      </c>
      <c r="E558" t="s">
        <v>770</v>
      </c>
      <c r="F558" t="s">
        <v>771</v>
      </c>
      <c r="G558" t="s">
        <v>1854</v>
      </c>
      <c r="J558" t="s">
        <v>783</v>
      </c>
      <c r="K558" t="s">
        <v>1862</v>
      </c>
      <c r="L558" t="s">
        <v>1505</v>
      </c>
      <c r="M558" t="s">
        <v>53</v>
      </c>
      <c r="N558" t="s">
        <v>770</v>
      </c>
      <c r="O558">
        <v>1</v>
      </c>
      <c r="P558" t="s">
        <v>776</v>
      </c>
      <c r="Q558">
        <v>32.9</v>
      </c>
      <c r="R558">
        <v>5.93</v>
      </c>
      <c r="Y558" t="s">
        <v>3125</v>
      </c>
      <c r="Z558" t="s">
        <v>3126</v>
      </c>
      <c r="AA558">
        <v>20851</v>
      </c>
      <c r="AB558" t="s">
        <v>11</v>
      </c>
    </row>
    <row r="559" spans="1:28" x14ac:dyDescent="0.25">
      <c r="A559" t="s">
        <v>3127</v>
      </c>
      <c r="B559" t="s">
        <v>3127</v>
      </c>
      <c r="C559" t="s">
        <v>3128</v>
      </c>
      <c r="D559" t="s">
        <v>3129</v>
      </c>
      <c r="E559" t="s">
        <v>770</v>
      </c>
      <c r="F559" t="s">
        <v>771</v>
      </c>
      <c r="G559" t="s">
        <v>1854</v>
      </c>
      <c r="J559" t="s">
        <v>783</v>
      </c>
      <c r="K559" t="s">
        <v>1862</v>
      </c>
      <c r="L559" t="s">
        <v>1505</v>
      </c>
      <c r="M559" t="s">
        <v>53</v>
      </c>
      <c r="N559" t="s">
        <v>770</v>
      </c>
      <c r="O559">
        <v>1</v>
      </c>
      <c r="P559" t="s">
        <v>776</v>
      </c>
      <c r="Q559">
        <v>32.9</v>
      </c>
      <c r="R559">
        <v>5.93</v>
      </c>
      <c r="Y559" t="s">
        <v>3130</v>
      </c>
      <c r="Z559" t="s">
        <v>3131</v>
      </c>
      <c r="AA559">
        <v>7051</v>
      </c>
      <c r="AB559" t="s">
        <v>11</v>
      </c>
    </row>
    <row r="560" spans="1:28" x14ac:dyDescent="0.25">
      <c r="A560" t="s">
        <v>3132</v>
      </c>
      <c r="B560" t="s">
        <v>3132</v>
      </c>
      <c r="C560" t="s">
        <v>3133</v>
      </c>
      <c r="D560" t="s">
        <v>3134</v>
      </c>
      <c r="E560" t="s">
        <v>770</v>
      </c>
      <c r="F560" t="s">
        <v>771</v>
      </c>
      <c r="G560" t="s">
        <v>1854</v>
      </c>
      <c r="I560" t="s">
        <v>2692</v>
      </c>
      <c r="J560" t="s">
        <v>783</v>
      </c>
      <c r="K560" t="s">
        <v>2712</v>
      </c>
      <c r="L560" t="s">
        <v>1800</v>
      </c>
      <c r="M560" t="s">
        <v>14</v>
      </c>
      <c r="N560" t="s">
        <v>770</v>
      </c>
      <c r="O560">
        <v>1</v>
      </c>
      <c r="P560" t="s">
        <v>776</v>
      </c>
      <c r="Q560">
        <v>14.9</v>
      </c>
      <c r="R560">
        <v>2.69</v>
      </c>
      <c r="Y560" t="s">
        <v>2693</v>
      </c>
      <c r="Z560" t="s">
        <v>2148</v>
      </c>
      <c r="AA560">
        <v>45020</v>
      </c>
      <c r="AB560" t="s">
        <v>11</v>
      </c>
    </row>
    <row r="561" spans="1:35" x14ac:dyDescent="0.25">
      <c r="A561" t="s">
        <v>3135</v>
      </c>
      <c r="B561" t="s">
        <v>3135</v>
      </c>
      <c r="C561" t="s">
        <v>3136</v>
      </c>
      <c r="D561" t="s">
        <v>3137</v>
      </c>
      <c r="E561" t="s">
        <v>770</v>
      </c>
      <c r="F561" t="s">
        <v>771</v>
      </c>
      <c r="G561" t="s">
        <v>1854</v>
      </c>
      <c r="J561" t="s">
        <v>783</v>
      </c>
      <c r="K561" t="s">
        <v>1855</v>
      </c>
      <c r="L561" t="s">
        <v>1856</v>
      </c>
      <c r="M561" t="s">
        <v>12</v>
      </c>
      <c r="N561" t="s">
        <v>770</v>
      </c>
      <c r="O561">
        <v>1</v>
      </c>
      <c r="P561" t="s">
        <v>776</v>
      </c>
      <c r="Q561">
        <v>19.899999999999999</v>
      </c>
      <c r="R561">
        <v>3.59</v>
      </c>
      <c r="Y561" t="s">
        <v>3138</v>
      </c>
      <c r="Z561" t="s">
        <v>1922</v>
      </c>
      <c r="AA561">
        <v>31020</v>
      </c>
      <c r="AB561" t="s">
        <v>11</v>
      </c>
    </row>
    <row r="562" spans="1:35" x14ac:dyDescent="0.25">
      <c r="A562" t="s">
        <v>3139</v>
      </c>
      <c r="B562" t="s">
        <v>3139</v>
      </c>
      <c r="C562" t="s">
        <v>3140</v>
      </c>
      <c r="D562" t="s">
        <v>3141</v>
      </c>
      <c r="E562" t="s">
        <v>770</v>
      </c>
      <c r="F562" t="s">
        <v>771</v>
      </c>
      <c r="G562" t="s">
        <v>1854</v>
      </c>
      <c r="J562" t="s">
        <v>783</v>
      </c>
      <c r="K562" t="s">
        <v>1855</v>
      </c>
      <c r="L562" t="s">
        <v>1856</v>
      </c>
      <c r="M562" t="s">
        <v>12</v>
      </c>
      <c r="N562" t="s">
        <v>770</v>
      </c>
      <c r="O562">
        <v>1</v>
      </c>
      <c r="P562" t="s">
        <v>776</v>
      </c>
      <c r="Q562">
        <v>19.899999999999999</v>
      </c>
      <c r="R562">
        <v>3.59</v>
      </c>
      <c r="Y562" t="s">
        <v>3142</v>
      </c>
      <c r="Z562" t="s">
        <v>1989</v>
      </c>
      <c r="AA562">
        <v>36021</v>
      </c>
      <c r="AB562" t="s">
        <v>11</v>
      </c>
    </row>
    <row r="563" spans="1:35" x14ac:dyDescent="0.25">
      <c r="A563" t="s">
        <v>3143</v>
      </c>
      <c r="B563" t="s">
        <v>3143</v>
      </c>
      <c r="C563" t="s">
        <v>3144</v>
      </c>
      <c r="D563" t="s">
        <v>3145</v>
      </c>
      <c r="E563" t="s">
        <v>770</v>
      </c>
      <c r="F563" t="s">
        <v>771</v>
      </c>
      <c r="G563" t="s">
        <v>1854</v>
      </c>
      <c r="J563" t="s">
        <v>783</v>
      </c>
      <c r="K563" t="s">
        <v>2712</v>
      </c>
      <c r="L563" t="s">
        <v>1800</v>
      </c>
      <c r="M563" t="s">
        <v>14</v>
      </c>
      <c r="N563" t="s">
        <v>770</v>
      </c>
      <c r="O563">
        <v>1</v>
      </c>
      <c r="P563" t="s">
        <v>776</v>
      </c>
      <c r="Q563">
        <v>14.9</v>
      </c>
      <c r="R563">
        <v>2.69</v>
      </c>
      <c r="Y563" t="s">
        <v>3146</v>
      </c>
      <c r="Z563" t="s">
        <v>3147</v>
      </c>
      <c r="AA563">
        <v>50012</v>
      </c>
      <c r="AB563" t="s">
        <v>11</v>
      </c>
      <c r="AG563" t="s">
        <v>3148</v>
      </c>
      <c r="AH563" t="s">
        <v>11</v>
      </c>
      <c r="AI563" t="s">
        <v>1258</v>
      </c>
    </row>
    <row r="564" spans="1:35" x14ac:dyDescent="0.25">
      <c r="A564" t="s">
        <v>3149</v>
      </c>
      <c r="B564" t="s">
        <v>3149</v>
      </c>
      <c r="C564" t="s">
        <v>3150</v>
      </c>
      <c r="D564" t="s">
        <v>3151</v>
      </c>
      <c r="E564" t="s">
        <v>782</v>
      </c>
      <c r="F564" t="s">
        <v>771</v>
      </c>
      <c r="G564" t="s">
        <v>1854</v>
      </c>
      <c r="J564" t="s">
        <v>783</v>
      </c>
      <c r="K564" t="s">
        <v>1930</v>
      </c>
      <c r="L564" t="s">
        <v>775</v>
      </c>
      <c r="M564" t="s">
        <v>65</v>
      </c>
      <c r="N564" t="s">
        <v>782</v>
      </c>
      <c r="O564">
        <v>0</v>
      </c>
      <c r="Y564" t="s">
        <v>3152</v>
      </c>
      <c r="Z564" t="s">
        <v>3153</v>
      </c>
      <c r="AA564">
        <v>66023</v>
      </c>
      <c r="AB564" t="s">
        <v>11</v>
      </c>
    </row>
    <row r="565" spans="1:35" x14ac:dyDescent="0.25">
      <c r="A565" t="s">
        <v>3154</v>
      </c>
      <c r="B565" t="s">
        <v>3154</v>
      </c>
      <c r="C565" t="s">
        <v>3155</v>
      </c>
      <c r="D565" t="s">
        <v>3156</v>
      </c>
      <c r="E565" t="s">
        <v>770</v>
      </c>
      <c r="F565" t="s">
        <v>771</v>
      </c>
      <c r="G565" t="s">
        <v>1854</v>
      </c>
      <c r="J565" t="s">
        <v>783</v>
      </c>
      <c r="K565" t="s">
        <v>1855</v>
      </c>
      <c r="L565" t="s">
        <v>1856</v>
      </c>
      <c r="M565" t="s">
        <v>12</v>
      </c>
      <c r="N565" t="s">
        <v>770</v>
      </c>
      <c r="O565">
        <v>1</v>
      </c>
      <c r="P565" t="s">
        <v>776</v>
      </c>
      <c r="Q565">
        <v>19.899999999999999</v>
      </c>
      <c r="R565">
        <v>3.59</v>
      </c>
      <c r="Y565" t="s">
        <v>3157</v>
      </c>
      <c r="Z565" t="s">
        <v>2286</v>
      </c>
      <c r="AA565">
        <v>56035</v>
      </c>
      <c r="AB565" t="s">
        <v>11</v>
      </c>
    </row>
    <row r="566" spans="1:35" x14ac:dyDescent="0.25">
      <c r="A566" t="s">
        <v>3158</v>
      </c>
      <c r="B566" t="s">
        <v>3158</v>
      </c>
      <c r="C566" t="s">
        <v>3159</v>
      </c>
      <c r="D566" t="s">
        <v>3160</v>
      </c>
      <c r="E566" t="s">
        <v>770</v>
      </c>
      <c r="F566" t="s">
        <v>771</v>
      </c>
      <c r="G566" t="s">
        <v>1854</v>
      </c>
      <c r="I566" t="s">
        <v>2692</v>
      </c>
      <c r="J566" t="s">
        <v>783</v>
      </c>
      <c r="K566" t="s">
        <v>2712</v>
      </c>
      <c r="L566" t="s">
        <v>1800</v>
      </c>
      <c r="M566" t="s">
        <v>14</v>
      </c>
      <c r="N566" t="s">
        <v>770</v>
      </c>
      <c r="O566">
        <v>1</v>
      </c>
      <c r="P566" t="s">
        <v>776</v>
      </c>
      <c r="Q566">
        <v>14.9</v>
      </c>
      <c r="R566">
        <v>2.69</v>
      </c>
      <c r="Y566" t="s">
        <v>2693</v>
      </c>
      <c r="Z566" t="s">
        <v>2148</v>
      </c>
      <c r="AA566">
        <v>45020</v>
      </c>
      <c r="AB566" t="s">
        <v>11</v>
      </c>
    </row>
    <row r="567" spans="1:35" x14ac:dyDescent="0.25">
      <c r="A567" t="s">
        <v>3161</v>
      </c>
      <c r="B567" t="s">
        <v>3161</v>
      </c>
      <c r="C567" t="s">
        <v>3162</v>
      </c>
      <c r="D567" t="s">
        <v>3163</v>
      </c>
      <c r="E567" t="s">
        <v>770</v>
      </c>
      <c r="F567" t="s">
        <v>771</v>
      </c>
      <c r="G567" t="s">
        <v>1854</v>
      </c>
      <c r="J567" t="s">
        <v>783</v>
      </c>
      <c r="K567" t="s">
        <v>1855</v>
      </c>
      <c r="L567" t="s">
        <v>1856</v>
      </c>
      <c r="M567" t="s">
        <v>12</v>
      </c>
      <c r="N567" t="s">
        <v>770</v>
      </c>
      <c r="O567">
        <v>1</v>
      </c>
      <c r="P567" t="s">
        <v>776</v>
      </c>
      <c r="Q567">
        <v>19.899999999999999</v>
      </c>
      <c r="R567">
        <v>3.59</v>
      </c>
      <c r="Y567" t="s">
        <v>1997</v>
      </c>
      <c r="Z567" t="s">
        <v>1997</v>
      </c>
      <c r="AA567">
        <v>50131</v>
      </c>
      <c r="AB567" t="s">
        <v>11</v>
      </c>
    </row>
    <row r="568" spans="1:35" x14ac:dyDescent="0.25">
      <c r="A568" t="s">
        <v>3164</v>
      </c>
      <c r="B568" t="s">
        <v>3164</v>
      </c>
      <c r="C568" t="s">
        <v>3165</v>
      </c>
      <c r="D568" t="s">
        <v>3166</v>
      </c>
      <c r="E568" t="s">
        <v>770</v>
      </c>
      <c r="F568" t="s">
        <v>771</v>
      </c>
      <c r="G568" t="s">
        <v>1854</v>
      </c>
      <c r="J568" t="s">
        <v>783</v>
      </c>
      <c r="K568" t="s">
        <v>2396</v>
      </c>
      <c r="L568" t="s">
        <v>1792</v>
      </c>
      <c r="M568" t="s">
        <v>88</v>
      </c>
      <c r="N568" t="s">
        <v>770</v>
      </c>
      <c r="O568">
        <v>1</v>
      </c>
      <c r="P568" t="s">
        <v>776</v>
      </c>
      <c r="Q568">
        <v>59.9</v>
      </c>
      <c r="R568">
        <v>10.8</v>
      </c>
      <c r="Y568" t="s">
        <v>3167</v>
      </c>
      <c r="Z568" t="s">
        <v>2057</v>
      </c>
      <c r="AA568">
        <v>37054</v>
      </c>
      <c r="AB568" t="s">
        <v>11</v>
      </c>
    </row>
    <row r="569" spans="1:35" x14ac:dyDescent="0.25">
      <c r="A569" t="s">
        <v>3168</v>
      </c>
      <c r="B569" t="s">
        <v>3168</v>
      </c>
      <c r="C569" t="s">
        <v>3169</v>
      </c>
      <c r="D569" t="s">
        <v>3170</v>
      </c>
      <c r="E569" t="s">
        <v>770</v>
      </c>
      <c r="F569" t="s">
        <v>771</v>
      </c>
      <c r="G569" t="s">
        <v>1854</v>
      </c>
      <c r="J569" t="s">
        <v>783</v>
      </c>
      <c r="K569" t="s">
        <v>2162</v>
      </c>
      <c r="L569" t="s">
        <v>2163</v>
      </c>
      <c r="M569" t="s">
        <v>59</v>
      </c>
      <c r="N569" t="s">
        <v>770</v>
      </c>
      <c r="O569">
        <v>1</v>
      </c>
      <c r="P569" t="s">
        <v>776</v>
      </c>
      <c r="Q569">
        <v>29.9</v>
      </c>
      <c r="R569">
        <v>5.39</v>
      </c>
      <c r="Y569" t="s">
        <v>3131</v>
      </c>
      <c r="Z569" t="s">
        <v>3131</v>
      </c>
      <c r="AA569">
        <v>7100</v>
      </c>
      <c r="AB569" t="s">
        <v>11</v>
      </c>
    </row>
    <row r="570" spans="1:35" x14ac:dyDescent="0.25">
      <c r="A570" t="s">
        <v>3171</v>
      </c>
      <c r="B570" t="s">
        <v>3171</v>
      </c>
      <c r="C570" t="s">
        <v>3172</v>
      </c>
      <c r="D570" t="s">
        <v>3173</v>
      </c>
      <c r="E570" t="s">
        <v>770</v>
      </c>
      <c r="F570" t="s">
        <v>771</v>
      </c>
      <c r="G570" t="s">
        <v>1854</v>
      </c>
      <c r="J570" t="s">
        <v>783</v>
      </c>
      <c r="K570" t="s">
        <v>1855</v>
      </c>
      <c r="L570" t="s">
        <v>1856</v>
      </c>
      <c r="M570" t="s">
        <v>12</v>
      </c>
      <c r="N570" t="s">
        <v>770</v>
      </c>
      <c r="O570">
        <v>1</v>
      </c>
      <c r="P570" t="s">
        <v>776</v>
      </c>
      <c r="Q570">
        <v>19.899999999999999</v>
      </c>
      <c r="R570">
        <v>3.59</v>
      </c>
      <c r="Y570" t="s">
        <v>3174</v>
      </c>
      <c r="Z570" t="s">
        <v>3175</v>
      </c>
      <c r="AA570">
        <v>55012</v>
      </c>
      <c r="AB570" t="s">
        <v>11</v>
      </c>
    </row>
    <row r="571" spans="1:35" x14ac:dyDescent="0.25">
      <c r="A571" t="s">
        <v>3176</v>
      </c>
      <c r="B571" t="s">
        <v>3176</v>
      </c>
      <c r="C571" t="s">
        <v>3177</v>
      </c>
      <c r="D571" t="s">
        <v>3178</v>
      </c>
      <c r="E571" t="s">
        <v>770</v>
      </c>
      <c r="F571" t="s">
        <v>771</v>
      </c>
      <c r="G571" t="s">
        <v>1854</v>
      </c>
      <c r="J571" t="s">
        <v>783</v>
      </c>
      <c r="K571" t="s">
        <v>2252</v>
      </c>
      <c r="L571" t="s">
        <v>2253</v>
      </c>
      <c r="M571" t="s">
        <v>73</v>
      </c>
      <c r="N571" t="s">
        <v>770</v>
      </c>
      <c r="O571">
        <v>1</v>
      </c>
      <c r="P571" t="s">
        <v>776</v>
      </c>
      <c r="Q571">
        <v>16.899999999999999</v>
      </c>
      <c r="R571">
        <v>3.05</v>
      </c>
      <c r="Y571" t="s">
        <v>3179</v>
      </c>
      <c r="Z571" t="s">
        <v>3180</v>
      </c>
      <c r="AA571">
        <v>96010</v>
      </c>
      <c r="AB571" t="s">
        <v>11</v>
      </c>
    </row>
    <row r="572" spans="1:35" x14ac:dyDescent="0.25">
      <c r="A572" t="s">
        <v>3181</v>
      </c>
      <c r="B572" t="s">
        <v>3181</v>
      </c>
      <c r="C572" t="s">
        <v>3182</v>
      </c>
      <c r="D572" t="s">
        <v>3183</v>
      </c>
      <c r="E572" t="s">
        <v>770</v>
      </c>
      <c r="F572" t="s">
        <v>771</v>
      </c>
      <c r="G572" t="s">
        <v>1854</v>
      </c>
      <c r="J572" t="s">
        <v>783</v>
      </c>
      <c r="K572" t="s">
        <v>1855</v>
      </c>
      <c r="L572" t="s">
        <v>1856</v>
      </c>
      <c r="M572" t="s">
        <v>12</v>
      </c>
      <c r="N572" t="s">
        <v>770</v>
      </c>
      <c r="O572">
        <v>1</v>
      </c>
      <c r="P572" t="s">
        <v>776</v>
      </c>
      <c r="Q572">
        <v>19.899999999999999</v>
      </c>
      <c r="R572">
        <v>3.59</v>
      </c>
      <c r="Y572" t="s">
        <v>3184</v>
      </c>
      <c r="Z572" t="s">
        <v>3185</v>
      </c>
      <c r="AA572">
        <v>33074</v>
      </c>
      <c r="AB572" t="s">
        <v>11</v>
      </c>
    </row>
    <row r="573" spans="1:35" x14ac:dyDescent="0.25">
      <c r="A573" t="s">
        <v>3186</v>
      </c>
      <c r="B573" t="s">
        <v>3186</v>
      </c>
      <c r="C573" t="s">
        <v>3187</v>
      </c>
      <c r="D573" t="s">
        <v>3188</v>
      </c>
      <c r="E573" t="s">
        <v>770</v>
      </c>
      <c r="F573" t="s">
        <v>771</v>
      </c>
      <c r="G573" t="s">
        <v>1854</v>
      </c>
      <c r="J573" t="s">
        <v>783</v>
      </c>
      <c r="K573" t="s">
        <v>1855</v>
      </c>
      <c r="L573" t="s">
        <v>1856</v>
      </c>
      <c r="M573" t="s">
        <v>12</v>
      </c>
      <c r="N573" t="s">
        <v>770</v>
      </c>
      <c r="O573">
        <v>1</v>
      </c>
      <c r="P573" t="s">
        <v>776</v>
      </c>
      <c r="Q573">
        <v>19.899999999999999</v>
      </c>
      <c r="R573">
        <v>3.59</v>
      </c>
      <c r="Y573" t="s">
        <v>3189</v>
      </c>
      <c r="Z573" t="s">
        <v>3190</v>
      </c>
      <c r="AA573">
        <v>31033</v>
      </c>
      <c r="AB573" t="s">
        <v>11</v>
      </c>
    </row>
    <row r="574" spans="1:35" x14ac:dyDescent="0.25">
      <c r="A574" t="s">
        <v>3191</v>
      </c>
      <c r="B574" t="s">
        <v>3191</v>
      </c>
      <c r="C574" t="s">
        <v>3192</v>
      </c>
      <c r="D574" t="s">
        <v>3193</v>
      </c>
      <c r="E574" t="s">
        <v>770</v>
      </c>
      <c r="F574" t="s">
        <v>771</v>
      </c>
      <c r="G574" t="s">
        <v>1854</v>
      </c>
      <c r="J574" t="s">
        <v>783</v>
      </c>
      <c r="K574" t="s">
        <v>1855</v>
      </c>
      <c r="L574" t="s">
        <v>1856</v>
      </c>
      <c r="M574" t="s">
        <v>12</v>
      </c>
      <c r="N574" t="s">
        <v>770</v>
      </c>
      <c r="O574">
        <v>1</v>
      </c>
      <c r="P574" t="s">
        <v>776</v>
      </c>
      <c r="Q574">
        <v>19.899999999999999</v>
      </c>
      <c r="R574">
        <v>3.59</v>
      </c>
      <c r="S574">
        <v>1.99</v>
      </c>
      <c r="T574">
        <v>0.36</v>
      </c>
      <c r="Y574" t="s">
        <v>3194</v>
      </c>
      <c r="Z574" t="s">
        <v>2143</v>
      </c>
      <c r="AA574">
        <v>3100</v>
      </c>
      <c r="AB574" t="s">
        <v>11</v>
      </c>
    </row>
    <row r="575" spans="1:35" x14ac:dyDescent="0.25">
      <c r="A575" t="s">
        <v>3195</v>
      </c>
      <c r="B575" t="s">
        <v>3195</v>
      </c>
      <c r="C575" t="s">
        <v>3196</v>
      </c>
      <c r="D575" t="s">
        <v>3197</v>
      </c>
      <c r="E575" t="s">
        <v>770</v>
      </c>
      <c r="F575" t="s">
        <v>771</v>
      </c>
      <c r="G575" t="s">
        <v>1854</v>
      </c>
      <c r="J575" t="s">
        <v>783</v>
      </c>
      <c r="K575" t="s">
        <v>2055</v>
      </c>
      <c r="L575" t="s">
        <v>806</v>
      </c>
      <c r="M575" t="s">
        <v>202</v>
      </c>
      <c r="N575" t="s">
        <v>770</v>
      </c>
      <c r="O575">
        <v>1</v>
      </c>
      <c r="P575" t="s">
        <v>776</v>
      </c>
      <c r="Q575">
        <v>14.9</v>
      </c>
      <c r="R575">
        <v>2.69</v>
      </c>
      <c r="Y575" t="s">
        <v>2116</v>
      </c>
      <c r="Z575" t="s">
        <v>2116</v>
      </c>
      <c r="AA575">
        <v>22100</v>
      </c>
      <c r="AB575" t="s">
        <v>11</v>
      </c>
    </row>
    <row r="576" spans="1:35" x14ac:dyDescent="0.25">
      <c r="A576" t="s">
        <v>3198</v>
      </c>
      <c r="B576" t="s">
        <v>3198</v>
      </c>
      <c r="C576" t="s">
        <v>3199</v>
      </c>
      <c r="D576" t="s">
        <v>3200</v>
      </c>
      <c r="E576" t="s">
        <v>770</v>
      </c>
      <c r="F576" t="s">
        <v>771</v>
      </c>
      <c r="G576" t="s">
        <v>1854</v>
      </c>
      <c r="J576" t="s">
        <v>783</v>
      </c>
      <c r="K576" t="s">
        <v>1855</v>
      </c>
      <c r="L576" t="s">
        <v>1856</v>
      </c>
      <c r="M576" t="s">
        <v>12</v>
      </c>
      <c r="N576" t="s">
        <v>770</v>
      </c>
      <c r="O576">
        <v>1</v>
      </c>
      <c r="P576" t="s">
        <v>776</v>
      </c>
      <c r="Q576">
        <v>19.899999999999999</v>
      </c>
      <c r="R576">
        <v>3.59</v>
      </c>
      <c r="Y576" t="s">
        <v>3201</v>
      </c>
      <c r="Z576" t="s">
        <v>2675</v>
      </c>
      <c r="AA576">
        <v>20835</v>
      </c>
      <c r="AB576" t="s">
        <v>11</v>
      </c>
    </row>
    <row r="577" spans="1:28" x14ac:dyDescent="0.25">
      <c r="A577" t="s">
        <v>3202</v>
      </c>
      <c r="B577" t="s">
        <v>3202</v>
      </c>
      <c r="C577" t="s">
        <v>3203</v>
      </c>
      <c r="D577" t="s">
        <v>3204</v>
      </c>
      <c r="E577" t="s">
        <v>770</v>
      </c>
      <c r="F577" t="s">
        <v>771</v>
      </c>
      <c r="G577" t="s">
        <v>1854</v>
      </c>
      <c r="J577" t="s">
        <v>783</v>
      </c>
      <c r="K577" t="s">
        <v>1855</v>
      </c>
      <c r="L577" t="s">
        <v>1856</v>
      </c>
      <c r="M577" t="s">
        <v>12</v>
      </c>
      <c r="N577" t="s">
        <v>770</v>
      </c>
      <c r="O577">
        <v>1</v>
      </c>
      <c r="P577" t="s">
        <v>776</v>
      </c>
      <c r="Q577">
        <v>19.899999999999999</v>
      </c>
      <c r="R577">
        <v>3.59</v>
      </c>
      <c r="Y577" t="s">
        <v>1913</v>
      </c>
      <c r="Z577" t="s">
        <v>1926</v>
      </c>
      <c r="AA577">
        <v>133</v>
      </c>
      <c r="AB577" t="s">
        <v>11</v>
      </c>
    </row>
    <row r="578" spans="1:28" x14ac:dyDescent="0.25">
      <c r="A578" t="s">
        <v>3205</v>
      </c>
      <c r="B578" t="s">
        <v>3205</v>
      </c>
      <c r="C578" t="s">
        <v>3206</v>
      </c>
      <c r="D578" t="s">
        <v>3207</v>
      </c>
      <c r="E578" t="s">
        <v>770</v>
      </c>
      <c r="F578" t="s">
        <v>771</v>
      </c>
      <c r="G578" t="s">
        <v>1854</v>
      </c>
      <c r="J578" t="s">
        <v>783</v>
      </c>
      <c r="K578" t="s">
        <v>1855</v>
      </c>
      <c r="L578" t="s">
        <v>1856</v>
      </c>
      <c r="M578" t="s">
        <v>12</v>
      </c>
      <c r="N578" t="s">
        <v>770</v>
      </c>
      <c r="O578">
        <v>1</v>
      </c>
      <c r="P578" t="s">
        <v>776</v>
      </c>
      <c r="Q578">
        <v>19.899999999999999</v>
      </c>
      <c r="R578">
        <v>3.59</v>
      </c>
      <c r="S578">
        <v>0.66</v>
      </c>
      <c r="X578">
        <v>0.66</v>
      </c>
      <c r="Y578" t="s">
        <v>3208</v>
      </c>
      <c r="Z578" t="s">
        <v>2111</v>
      </c>
      <c r="AA578">
        <v>42016</v>
      </c>
      <c r="AB578" t="s">
        <v>11</v>
      </c>
    </row>
    <row r="579" spans="1:28" x14ac:dyDescent="0.25">
      <c r="A579" t="s">
        <v>3209</v>
      </c>
      <c r="B579" t="s">
        <v>3209</v>
      </c>
      <c r="C579" t="s">
        <v>3210</v>
      </c>
      <c r="D579" t="s">
        <v>3211</v>
      </c>
      <c r="E579" t="s">
        <v>770</v>
      </c>
      <c r="F579" t="s">
        <v>771</v>
      </c>
      <c r="G579" t="s">
        <v>1854</v>
      </c>
      <c r="J579" t="s">
        <v>783</v>
      </c>
      <c r="K579" t="s">
        <v>2055</v>
      </c>
      <c r="L579" t="s">
        <v>806</v>
      </c>
      <c r="M579" t="s">
        <v>202</v>
      </c>
      <c r="N579" t="s">
        <v>770</v>
      </c>
      <c r="O579">
        <v>1</v>
      </c>
      <c r="P579" t="s">
        <v>776</v>
      </c>
      <c r="Q579">
        <v>14.9</v>
      </c>
      <c r="R579">
        <v>2.69</v>
      </c>
      <c r="Y579" t="s">
        <v>1956</v>
      </c>
      <c r="Z579" t="s">
        <v>3212</v>
      </c>
      <c r="AA579">
        <v>131</v>
      </c>
      <c r="AB579" t="s">
        <v>11</v>
      </c>
    </row>
    <row r="580" spans="1:28" x14ac:dyDescent="0.25">
      <c r="A580" t="s">
        <v>3213</v>
      </c>
      <c r="B580" t="s">
        <v>3213</v>
      </c>
      <c r="C580" t="s">
        <v>3214</v>
      </c>
      <c r="D580" t="s">
        <v>3215</v>
      </c>
      <c r="E580" t="s">
        <v>770</v>
      </c>
      <c r="F580" t="s">
        <v>771</v>
      </c>
      <c r="G580" t="s">
        <v>1854</v>
      </c>
      <c r="J580" t="s">
        <v>783</v>
      </c>
      <c r="K580" t="s">
        <v>1855</v>
      </c>
      <c r="L580" t="s">
        <v>1856</v>
      </c>
      <c r="M580" t="s">
        <v>12</v>
      </c>
      <c r="N580" t="s">
        <v>770</v>
      </c>
      <c r="O580">
        <v>1</v>
      </c>
      <c r="P580" t="s">
        <v>776</v>
      </c>
      <c r="Q580">
        <v>19.899999999999999</v>
      </c>
      <c r="R580">
        <v>3.59</v>
      </c>
      <c r="Y580" t="s">
        <v>3216</v>
      </c>
      <c r="Z580" t="s">
        <v>1893</v>
      </c>
      <c r="AA580">
        <v>10038</v>
      </c>
      <c r="AB580" t="s">
        <v>11</v>
      </c>
    </row>
    <row r="581" spans="1:28" x14ac:dyDescent="0.25">
      <c r="A581" t="s">
        <v>3217</v>
      </c>
      <c r="B581" t="s">
        <v>3217</v>
      </c>
      <c r="C581" t="s">
        <v>3218</v>
      </c>
      <c r="D581" t="s">
        <v>3219</v>
      </c>
      <c r="E581" t="s">
        <v>770</v>
      </c>
      <c r="F581" t="s">
        <v>771</v>
      </c>
      <c r="G581" t="s">
        <v>1854</v>
      </c>
      <c r="J581" t="s">
        <v>783</v>
      </c>
      <c r="K581" t="s">
        <v>1855</v>
      </c>
      <c r="L581" t="s">
        <v>1856</v>
      </c>
      <c r="M581" t="s">
        <v>12</v>
      </c>
      <c r="N581" t="s">
        <v>770</v>
      </c>
      <c r="O581">
        <v>1</v>
      </c>
      <c r="P581" t="s">
        <v>776</v>
      </c>
      <c r="Q581">
        <v>19.899999999999999</v>
      </c>
      <c r="R581">
        <v>3.59</v>
      </c>
      <c r="Y581" t="s">
        <v>3220</v>
      </c>
      <c r="Z581" t="s">
        <v>1908</v>
      </c>
      <c r="AA581">
        <v>80027</v>
      </c>
      <c r="AB581" t="s">
        <v>11</v>
      </c>
    </row>
    <row r="582" spans="1:28" x14ac:dyDescent="0.25">
      <c r="A582" t="s">
        <v>3221</v>
      </c>
      <c r="B582" t="s">
        <v>3221</v>
      </c>
      <c r="C582" t="s">
        <v>3222</v>
      </c>
      <c r="D582" t="s">
        <v>3223</v>
      </c>
      <c r="E582" t="s">
        <v>770</v>
      </c>
      <c r="F582" t="s">
        <v>771</v>
      </c>
      <c r="G582" t="s">
        <v>1854</v>
      </c>
      <c r="J582" t="s">
        <v>783</v>
      </c>
      <c r="K582" t="s">
        <v>2248</v>
      </c>
      <c r="L582" t="s">
        <v>2772</v>
      </c>
      <c r="M582" t="s">
        <v>172</v>
      </c>
      <c r="N582" t="s">
        <v>770</v>
      </c>
      <c r="O582">
        <v>1</v>
      </c>
      <c r="P582" t="s">
        <v>776</v>
      </c>
      <c r="Q582">
        <v>39.9</v>
      </c>
      <c r="R582">
        <v>7.2</v>
      </c>
      <c r="S582">
        <v>3.27</v>
      </c>
      <c r="X582">
        <v>3.27</v>
      </c>
      <c r="Y582" t="s">
        <v>3224</v>
      </c>
      <c r="Z582" t="s">
        <v>2057</v>
      </c>
      <c r="AA582">
        <v>37013</v>
      </c>
      <c r="AB582" t="s">
        <v>11</v>
      </c>
    </row>
    <row r="583" spans="1:28" x14ac:dyDescent="0.25">
      <c r="A583" t="s">
        <v>3225</v>
      </c>
      <c r="B583" t="s">
        <v>3225</v>
      </c>
      <c r="C583" t="s">
        <v>3226</v>
      </c>
      <c r="D583" t="s">
        <v>3227</v>
      </c>
      <c r="E583" t="s">
        <v>782</v>
      </c>
      <c r="F583" t="s">
        <v>771</v>
      </c>
      <c r="G583" t="s">
        <v>1854</v>
      </c>
      <c r="J583" t="s">
        <v>783</v>
      </c>
      <c r="K583" t="s">
        <v>1930</v>
      </c>
      <c r="L583" t="s">
        <v>775</v>
      </c>
      <c r="M583" t="s">
        <v>65</v>
      </c>
      <c r="N583" t="s">
        <v>782</v>
      </c>
      <c r="O583">
        <v>0</v>
      </c>
      <c r="Y583" t="s">
        <v>2620</v>
      </c>
      <c r="Z583" t="s">
        <v>2621</v>
      </c>
      <c r="AA583">
        <v>21100</v>
      </c>
      <c r="AB583" t="s">
        <v>11</v>
      </c>
    </row>
    <row r="584" spans="1:28" x14ac:dyDescent="0.25">
      <c r="A584" t="s">
        <v>3228</v>
      </c>
      <c r="B584" t="s">
        <v>3228</v>
      </c>
      <c r="C584" t="s">
        <v>3229</v>
      </c>
      <c r="D584" t="s">
        <v>3230</v>
      </c>
      <c r="E584" t="s">
        <v>770</v>
      </c>
      <c r="F584" t="s">
        <v>771</v>
      </c>
      <c r="G584" t="s">
        <v>1854</v>
      </c>
      <c r="J584" t="s">
        <v>783</v>
      </c>
      <c r="K584" t="s">
        <v>1855</v>
      </c>
      <c r="L584" t="s">
        <v>1856</v>
      </c>
      <c r="M584" t="s">
        <v>12</v>
      </c>
      <c r="N584" t="s">
        <v>770</v>
      </c>
      <c r="O584">
        <v>1</v>
      </c>
      <c r="P584" t="s">
        <v>776</v>
      </c>
      <c r="Q584">
        <v>19.899999999999999</v>
      </c>
      <c r="R584">
        <v>3.59</v>
      </c>
      <c r="Y584" t="s">
        <v>3231</v>
      </c>
      <c r="Z584" t="s">
        <v>3012</v>
      </c>
      <c r="AA584">
        <v>12036</v>
      </c>
      <c r="AB584" t="s">
        <v>11</v>
      </c>
    </row>
    <row r="585" spans="1:28" x14ac:dyDescent="0.25">
      <c r="A585" t="s">
        <v>3232</v>
      </c>
      <c r="C585" t="s">
        <v>3233</v>
      </c>
      <c r="D585" t="s">
        <v>3234</v>
      </c>
      <c r="E585" t="s">
        <v>770</v>
      </c>
      <c r="F585" t="s">
        <v>1884</v>
      </c>
      <c r="G585" t="s">
        <v>1854</v>
      </c>
      <c r="H585" t="s">
        <v>1885</v>
      </c>
      <c r="J585" t="s">
        <v>773</v>
      </c>
      <c r="K585" t="s">
        <v>1886</v>
      </c>
      <c r="L585" t="s">
        <v>18</v>
      </c>
      <c r="M585" t="s">
        <v>17</v>
      </c>
      <c r="N585" t="s">
        <v>770</v>
      </c>
      <c r="O585">
        <v>1</v>
      </c>
      <c r="P585" t="s">
        <v>776</v>
      </c>
      <c r="Q585">
        <v>22.9</v>
      </c>
      <c r="R585">
        <v>4.13</v>
      </c>
      <c r="S585">
        <v>3</v>
      </c>
      <c r="T585">
        <v>0.54</v>
      </c>
      <c r="Y585" t="s">
        <v>3235</v>
      </c>
      <c r="Z585" t="s">
        <v>2188</v>
      </c>
      <c r="AA585">
        <v>64025</v>
      </c>
      <c r="AB585" t="s">
        <v>11</v>
      </c>
    </row>
    <row r="586" spans="1:28" x14ac:dyDescent="0.25">
      <c r="A586" t="s">
        <v>3236</v>
      </c>
      <c r="B586" t="s">
        <v>3236</v>
      </c>
      <c r="C586" t="s">
        <v>3237</v>
      </c>
      <c r="D586" t="s">
        <v>3238</v>
      </c>
      <c r="E586" t="s">
        <v>770</v>
      </c>
      <c r="F586" t="s">
        <v>771</v>
      </c>
      <c r="G586" t="s">
        <v>1854</v>
      </c>
      <c r="J586" t="s">
        <v>783</v>
      </c>
      <c r="K586" t="s">
        <v>2162</v>
      </c>
      <c r="L586" t="s">
        <v>2163</v>
      </c>
      <c r="M586" t="s">
        <v>59</v>
      </c>
      <c r="N586" t="s">
        <v>770</v>
      </c>
      <c r="O586">
        <v>1</v>
      </c>
      <c r="P586" t="s">
        <v>776</v>
      </c>
      <c r="Q586">
        <v>29.9</v>
      </c>
      <c r="R586">
        <v>5.39</v>
      </c>
      <c r="Y586" t="s">
        <v>3239</v>
      </c>
      <c r="Z586" t="s">
        <v>2675</v>
      </c>
      <c r="AA586">
        <v>20834</v>
      </c>
      <c r="AB586" t="s">
        <v>11</v>
      </c>
    </row>
    <row r="587" spans="1:28" x14ac:dyDescent="0.25">
      <c r="A587" t="s">
        <v>3240</v>
      </c>
      <c r="B587" t="s">
        <v>3240</v>
      </c>
      <c r="C587" t="s">
        <v>3241</v>
      </c>
      <c r="D587" t="s">
        <v>3242</v>
      </c>
      <c r="E587" t="s">
        <v>770</v>
      </c>
      <c r="F587" t="s">
        <v>771</v>
      </c>
      <c r="G587" t="s">
        <v>1854</v>
      </c>
      <c r="J587" t="s">
        <v>783</v>
      </c>
      <c r="K587" t="s">
        <v>1855</v>
      </c>
      <c r="L587" t="s">
        <v>1856</v>
      </c>
      <c r="M587" t="s">
        <v>12</v>
      </c>
      <c r="N587" t="s">
        <v>770</v>
      </c>
      <c r="O587">
        <v>1</v>
      </c>
      <c r="P587" t="s">
        <v>776</v>
      </c>
      <c r="Q587">
        <v>19.899999999999999</v>
      </c>
      <c r="R587">
        <v>3.59</v>
      </c>
      <c r="Y587" t="s">
        <v>2597</v>
      </c>
      <c r="AA587">
        <v>70123</v>
      </c>
      <c r="AB587" t="s">
        <v>11</v>
      </c>
    </row>
    <row r="588" spans="1:28" x14ac:dyDescent="0.25">
      <c r="A588" t="s">
        <v>3243</v>
      </c>
      <c r="C588" t="s">
        <v>3244</v>
      </c>
      <c r="D588" t="s">
        <v>3245</v>
      </c>
      <c r="E588" t="s">
        <v>770</v>
      </c>
      <c r="F588" t="s">
        <v>1884</v>
      </c>
      <c r="G588" t="s">
        <v>1854</v>
      </c>
      <c r="H588" t="s">
        <v>1885</v>
      </c>
      <c r="J588" t="s">
        <v>773</v>
      </c>
      <c r="K588" t="s">
        <v>1886</v>
      </c>
      <c r="L588" t="s">
        <v>18</v>
      </c>
      <c r="M588" t="s">
        <v>17</v>
      </c>
      <c r="N588" t="s">
        <v>770</v>
      </c>
      <c r="O588">
        <v>1</v>
      </c>
      <c r="P588" t="s">
        <v>776</v>
      </c>
      <c r="Q588">
        <v>22.9</v>
      </c>
      <c r="R588">
        <v>4.13</v>
      </c>
      <c r="S588">
        <v>3</v>
      </c>
      <c r="T588">
        <v>0.54</v>
      </c>
      <c r="Y588" t="s">
        <v>3246</v>
      </c>
      <c r="Z588" t="s">
        <v>3247</v>
      </c>
      <c r="AA588">
        <v>20822</v>
      </c>
      <c r="AB588" t="s">
        <v>11</v>
      </c>
    </row>
    <row r="589" spans="1:28" x14ac:dyDescent="0.25">
      <c r="A589" t="s">
        <v>3248</v>
      </c>
      <c r="B589" t="s">
        <v>3248</v>
      </c>
      <c r="C589" t="s">
        <v>3249</v>
      </c>
      <c r="D589" t="s">
        <v>3250</v>
      </c>
      <c r="E589" t="s">
        <v>770</v>
      </c>
      <c r="F589" t="s">
        <v>771</v>
      </c>
      <c r="G589" t="s">
        <v>1854</v>
      </c>
      <c r="J589" t="s">
        <v>783</v>
      </c>
      <c r="K589" t="s">
        <v>1855</v>
      </c>
      <c r="L589" t="s">
        <v>1856</v>
      </c>
      <c r="M589" t="s">
        <v>12</v>
      </c>
      <c r="N589" t="s">
        <v>770</v>
      </c>
      <c r="O589">
        <v>1</v>
      </c>
      <c r="P589" t="s">
        <v>776</v>
      </c>
      <c r="Q589">
        <v>19.899999999999999</v>
      </c>
      <c r="R589">
        <v>3.59</v>
      </c>
      <c r="Y589" t="s">
        <v>3251</v>
      </c>
      <c r="Z589" t="s">
        <v>3126</v>
      </c>
      <c r="AA589">
        <v>20822</v>
      </c>
      <c r="AB589" t="s">
        <v>11</v>
      </c>
    </row>
    <row r="590" spans="1:28" x14ac:dyDescent="0.25">
      <c r="A590" t="s">
        <v>3252</v>
      </c>
      <c r="B590" t="s">
        <v>3252</v>
      </c>
      <c r="C590" t="s">
        <v>3253</v>
      </c>
      <c r="D590" t="s">
        <v>3254</v>
      </c>
      <c r="E590" t="s">
        <v>770</v>
      </c>
      <c r="F590" t="s">
        <v>771</v>
      </c>
      <c r="G590" t="s">
        <v>1854</v>
      </c>
      <c r="J590" t="s">
        <v>783</v>
      </c>
      <c r="K590" t="s">
        <v>1873</v>
      </c>
      <c r="L590" t="s">
        <v>840</v>
      </c>
      <c r="M590" t="s">
        <v>26</v>
      </c>
      <c r="N590" t="s">
        <v>770</v>
      </c>
      <c r="O590">
        <v>1</v>
      </c>
      <c r="P590" t="s">
        <v>776</v>
      </c>
      <c r="Q590">
        <v>34.9</v>
      </c>
      <c r="R590">
        <v>6.29</v>
      </c>
      <c r="Y590" t="s">
        <v>3255</v>
      </c>
      <c r="Z590" t="s">
        <v>1898</v>
      </c>
      <c r="AA590">
        <v>46044</v>
      </c>
      <c r="AB590" t="s">
        <v>11</v>
      </c>
    </row>
    <row r="591" spans="1:28" x14ac:dyDescent="0.25">
      <c r="A591" t="s">
        <v>3256</v>
      </c>
      <c r="B591" t="s">
        <v>3256</v>
      </c>
      <c r="C591" t="s">
        <v>3257</v>
      </c>
      <c r="D591" t="s">
        <v>3258</v>
      </c>
      <c r="E591" t="s">
        <v>770</v>
      </c>
      <c r="F591" t="s">
        <v>771</v>
      </c>
      <c r="G591" t="s">
        <v>1854</v>
      </c>
      <c r="J591" t="s">
        <v>783</v>
      </c>
      <c r="K591" t="s">
        <v>1855</v>
      </c>
      <c r="L591" t="s">
        <v>1856</v>
      </c>
      <c r="M591" t="s">
        <v>12</v>
      </c>
      <c r="N591" t="s">
        <v>770</v>
      </c>
      <c r="O591">
        <v>1</v>
      </c>
      <c r="P591" t="s">
        <v>776</v>
      </c>
      <c r="Q591">
        <v>19.899999999999999</v>
      </c>
      <c r="R591">
        <v>3.59</v>
      </c>
      <c r="Y591" t="s">
        <v>3259</v>
      </c>
      <c r="Z591">
        <v>25055</v>
      </c>
      <c r="AA591">
        <v>24055</v>
      </c>
      <c r="AB591" t="s">
        <v>11</v>
      </c>
    </row>
    <row r="592" spans="1:28" x14ac:dyDescent="0.25">
      <c r="A592" t="s">
        <v>3260</v>
      </c>
      <c r="B592" t="s">
        <v>3260</v>
      </c>
      <c r="C592" t="s">
        <v>3261</v>
      </c>
      <c r="D592" t="s">
        <v>3262</v>
      </c>
      <c r="E592" t="s">
        <v>770</v>
      </c>
      <c r="F592" t="s">
        <v>771</v>
      </c>
      <c r="G592" t="s">
        <v>1854</v>
      </c>
      <c r="I592" t="s">
        <v>2692</v>
      </c>
      <c r="J592" t="s">
        <v>783</v>
      </c>
      <c r="K592" t="s">
        <v>2712</v>
      </c>
      <c r="L592" t="s">
        <v>1800</v>
      </c>
      <c r="M592" t="s">
        <v>14</v>
      </c>
      <c r="N592" t="s">
        <v>770</v>
      </c>
      <c r="O592">
        <v>1</v>
      </c>
      <c r="P592" t="s">
        <v>776</v>
      </c>
      <c r="Q592">
        <v>14.9</v>
      </c>
      <c r="R592">
        <v>2.69</v>
      </c>
      <c r="Y592" t="s">
        <v>2693</v>
      </c>
      <c r="Z592" t="s">
        <v>2148</v>
      </c>
      <c r="AA592">
        <v>45020</v>
      </c>
      <c r="AB592" t="s">
        <v>11</v>
      </c>
    </row>
    <row r="593" spans="1:28" x14ac:dyDescent="0.25">
      <c r="A593" t="s">
        <v>3263</v>
      </c>
      <c r="B593" t="s">
        <v>3263</v>
      </c>
      <c r="C593" t="s">
        <v>3264</v>
      </c>
      <c r="D593" t="s">
        <v>3265</v>
      </c>
      <c r="E593" t="s">
        <v>770</v>
      </c>
      <c r="F593" t="s">
        <v>771</v>
      </c>
      <c r="G593" t="s">
        <v>1854</v>
      </c>
      <c r="J593" t="s">
        <v>783</v>
      </c>
      <c r="K593" t="s">
        <v>1862</v>
      </c>
      <c r="L593" t="s">
        <v>1505</v>
      </c>
      <c r="M593" t="s">
        <v>53</v>
      </c>
      <c r="N593" t="s">
        <v>770</v>
      </c>
      <c r="O593">
        <v>1</v>
      </c>
      <c r="P593" t="s">
        <v>776</v>
      </c>
      <c r="Q593">
        <v>32.9</v>
      </c>
      <c r="R593">
        <v>5.93</v>
      </c>
      <c r="Y593" t="s">
        <v>3266</v>
      </c>
      <c r="Z593" t="s">
        <v>3267</v>
      </c>
      <c r="AA593">
        <v>25069</v>
      </c>
      <c r="AB593" t="s">
        <v>11</v>
      </c>
    </row>
    <row r="594" spans="1:28" x14ac:dyDescent="0.25">
      <c r="A594" t="s">
        <v>3268</v>
      </c>
      <c r="B594" t="s">
        <v>3268</v>
      </c>
      <c r="C594" t="s">
        <v>3269</v>
      </c>
      <c r="D594" t="s">
        <v>3270</v>
      </c>
      <c r="E594" t="s">
        <v>770</v>
      </c>
      <c r="F594" t="s">
        <v>771</v>
      </c>
      <c r="G594" t="s">
        <v>1854</v>
      </c>
      <c r="J594" t="s">
        <v>783</v>
      </c>
      <c r="K594" t="s">
        <v>1855</v>
      </c>
      <c r="L594" t="s">
        <v>1856</v>
      </c>
      <c r="M594" t="s">
        <v>12</v>
      </c>
      <c r="N594" t="s">
        <v>770</v>
      </c>
      <c r="O594">
        <v>1</v>
      </c>
      <c r="P594" t="s">
        <v>776</v>
      </c>
      <c r="Q594">
        <v>19.899999999999999</v>
      </c>
      <c r="R594">
        <v>3.59</v>
      </c>
      <c r="Y594" t="s">
        <v>3271</v>
      </c>
      <c r="Z594" t="s">
        <v>1875</v>
      </c>
      <c r="AA594">
        <v>20060</v>
      </c>
      <c r="AB594" t="s">
        <v>11</v>
      </c>
    </row>
    <row r="595" spans="1:28" x14ac:dyDescent="0.25">
      <c r="A595" t="s">
        <v>3272</v>
      </c>
      <c r="B595" t="s">
        <v>3272</v>
      </c>
      <c r="C595" t="s">
        <v>3273</v>
      </c>
      <c r="D595" t="s">
        <v>3274</v>
      </c>
      <c r="E595" t="s">
        <v>770</v>
      </c>
      <c r="F595" t="s">
        <v>771</v>
      </c>
      <c r="G595" t="s">
        <v>1854</v>
      </c>
      <c r="J595" t="s">
        <v>783</v>
      </c>
      <c r="K595" t="s">
        <v>2712</v>
      </c>
      <c r="L595" t="s">
        <v>1800</v>
      </c>
      <c r="M595" t="s">
        <v>14</v>
      </c>
      <c r="N595" t="s">
        <v>770</v>
      </c>
      <c r="O595">
        <v>1</v>
      </c>
      <c r="P595" t="s">
        <v>776</v>
      </c>
      <c r="Q595">
        <v>14.9</v>
      </c>
      <c r="R595">
        <v>2.69</v>
      </c>
      <c r="S595">
        <v>0.66</v>
      </c>
      <c r="X595">
        <v>0.66</v>
      </c>
      <c r="Y595" t="s">
        <v>3275</v>
      </c>
      <c r="Z595" t="s">
        <v>2454</v>
      </c>
      <c r="AA595">
        <v>71043</v>
      </c>
      <c r="AB595" t="s">
        <v>11</v>
      </c>
    </row>
    <row r="596" spans="1:28" x14ac:dyDescent="0.25">
      <c r="A596" t="s">
        <v>3276</v>
      </c>
      <c r="B596" t="s">
        <v>3276</v>
      </c>
      <c r="C596" t="s">
        <v>3277</v>
      </c>
      <c r="D596" t="s">
        <v>3278</v>
      </c>
      <c r="E596" t="s">
        <v>770</v>
      </c>
      <c r="F596" t="s">
        <v>771</v>
      </c>
      <c r="G596" t="s">
        <v>1854</v>
      </c>
      <c r="J596" t="s">
        <v>783</v>
      </c>
      <c r="K596" t="s">
        <v>1855</v>
      </c>
      <c r="L596" t="s">
        <v>1856</v>
      </c>
      <c r="M596" t="s">
        <v>12</v>
      </c>
      <c r="N596" t="s">
        <v>770</v>
      </c>
      <c r="O596">
        <v>1</v>
      </c>
      <c r="P596" t="s">
        <v>776</v>
      </c>
      <c r="Q596">
        <v>19.899999999999999</v>
      </c>
      <c r="R596">
        <v>3.59</v>
      </c>
      <c r="Y596" t="s">
        <v>3279</v>
      </c>
      <c r="Z596" t="s">
        <v>1864</v>
      </c>
      <c r="AA596">
        <v>20073</v>
      </c>
      <c r="AB596" t="s">
        <v>11</v>
      </c>
    </row>
    <row r="597" spans="1:28" x14ac:dyDescent="0.25">
      <c r="A597" t="s">
        <v>3280</v>
      </c>
      <c r="B597" t="s">
        <v>3280</v>
      </c>
      <c r="C597" t="s">
        <v>3281</v>
      </c>
      <c r="D597" t="s">
        <v>3282</v>
      </c>
      <c r="E597" t="s">
        <v>770</v>
      </c>
      <c r="F597" t="s">
        <v>771</v>
      </c>
      <c r="G597" t="s">
        <v>1854</v>
      </c>
      <c r="J597" t="s">
        <v>783</v>
      </c>
      <c r="K597" t="s">
        <v>1855</v>
      </c>
      <c r="L597" t="s">
        <v>1856</v>
      </c>
      <c r="M597" t="s">
        <v>12</v>
      </c>
      <c r="N597" t="s">
        <v>770</v>
      </c>
      <c r="O597">
        <v>1</v>
      </c>
      <c r="P597" t="s">
        <v>776</v>
      </c>
      <c r="Q597">
        <v>19.899999999999999</v>
      </c>
      <c r="R597">
        <v>3.59</v>
      </c>
      <c r="Y597" t="s">
        <v>1956</v>
      </c>
      <c r="Z597" t="s">
        <v>1956</v>
      </c>
      <c r="AA597">
        <v>139</v>
      </c>
      <c r="AB597" t="s">
        <v>11</v>
      </c>
    </row>
    <row r="598" spans="1:28" x14ac:dyDescent="0.25">
      <c r="A598" t="s">
        <v>3283</v>
      </c>
      <c r="B598" t="s">
        <v>3283</v>
      </c>
      <c r="C598" t="s">
        <v>3284</v>
      </c>
      <c r="D598" t="s">
        <v>3285</v>
      </c>
      <c r="E598" t="s">
        <v>770</v>
      </c>
      <c r="F598" t="s">
        <v>771</v>
      </c>
      <c r="G598" t="s">
        <v>1854</v>
      </c>
      <c r="J598" t="s">
        <v>783</v>
      </c>
      <c r="K598" t="s">
        <v>1855</v>
      </c>
      <c r="L598" t="s">
        <v>1856</v>
      </c>
      <c r="M598" t="s">
        <v>12</v>
      </c>
      <c r="N598" t="s">
        <v>770</v>
      </c>
      <c r="O598">
        <v>1</v>
      </c>
      <c r="P598" t="s">
        <v>776</v>
      </c>
      <c r="Q598">
        <v>19.899999999999999</v>
      </c>
      <c r="R598">
        <v>3.59</v>
      </c>
      <c r="Y598" t="s">
        <v>3286</v>
      </c>
      <c r="Z598" t="s">
        <v>3287</v>
      </c>
      <c r="AA598">
        <v>23854</v>
      </c>
      <c r="AB598" t="s">
        <v>11</v>
      </c>
    </row>
    <row r="599" spans="1:28" x14ac:dyDescent="0.25">
      <c r="A599" t="s">
        <v>3288</v>
      </c>
      <c r="B599" t="s">
        <v>3288</v>
      </c>
      <c r="C599" t="s">
        <v>3289</v>
      </c>
      <c r="D599" t="s">
        <v>3290</v>
      </c>
      <c r="E599" t="s">
        <v>770</v>
      </c>
      <c r="F599" t="s">
        <v>771</v>
      </c>
      <c r="G599" t="s">
        <v>1854</v>
      </c>
      <c r="J599" t="s">
        <v>783</v>
      </c>
      <c r="K599" t="s">
        <v>1855</v>
      </c>
      <c r="L599" t="s">
        <v>1856</v>
      </c>
      <c r="M599" t="s">
        <v>12</v>
      </c>
      <c r="N599" t="s">
        <v>770</v>
      </c>
      <c r="O599">
        <v>1</v>
      </c>
      <c r="P599" t="s">
        <v>776</v>
      </c>
      <c r="Q599">
        <v>19.899999999999999</v>
      </c>
      <c r="R599">
        <v>3.59</v>
      </c>
      <c r="Y599" t="s">
        <v>3291</v>
      </c>
      <c r="Z599" t="s">
        <v>2158</v>
      </c>
      <c r="AA599">
        <v>24020</v>
      </c>
      <c r="AB599" t="s">
        <v>11</v>
      </c>
    </row>
    <row r="600" spans="1:28" x14ac:dyDescent="0.25">
      <c r="A600" t="s">
        <v>3292</v>
      </c>
      <c r="B600" t="s">
        <v>3292</v>
      </c>
      <c r="C600" t="s">
        <v>3293</v>
      </c>
      <c r="D600" t="s">
        <v>3294</v>
      </c>
      <c r="E600" t="s">
        <v>770</v>
      </c>
      <c r="F600" t="s">
        <v>771</v>
      </c>
      <c r="G600" t="s">
        <v>1854</v>
      </c>
      <c r="J600" t="s">
        <v>783</v>
      </c>
      <c r="K600" t="s">
        <v>1930</v>
      </c>
      <c r="L600" t="s">
        <v>775</v>
      </c>
      <c r="M600" t="s">
        <v>65</v>
      </c>
      <c r="N600" t="s">
        <v>770</v>
      </c>
      <c r="O600">
        <v>1</v>
      </c>
      <c r="P600" t="s">
        <v>776</v>
      </c>
      <c r="Q600">
        <v>29.9</v>
      </c>
      <c r="R600">
        <v>5.39</v>
      </c>
      <c r="Y600" t="s">
        <v>3295</v>
      </c>
      <c r="Z600" t="s">
        <v>1716</v>
      </c>
      <c r="AA600">
        <v>66100</v>
      </c>
      <c r="AB600" t="s">
        <v>11</v>
      </c>
    </row>
    <row r="601" spans="1:28" x14ac:dyDescent="0.25">
      <c r="A601" t="s">
        <v>3296</v>
      </c>
      <c r="B601" t="s">
        <v>3296</v>
      </c>
      <c r="C601" t="s">
        <v>3297</v>
      </c>
      <c r="D601" t="s">
        <v>3298</v>
      </c>
      <c r="E601" t="s">
        <v>770</v>
      </c>
      <c r="F601" t="s">
        <v>771</v>
      </c>
      <c r="G601" t="s">
        <v>1854</v>
      </c>
      <c r="J601" t="s">
        <v>783</v>
      </c>
      <c r="K601" t="s">
        <v>1873</v>
      </c>
      <c r="L601" t="s">
        <v>840</v>
      </c>
      <c r="M601" t="s">
        <v>26</v>
      </c>
      <c r="N601" t="s">
        <v>770</v>
      </c>
      <c r="O601">
        <v>1</v>
      </c>
      <c r="P601" t="s">
        <v>776</v>
      </c>
      <c r="Q601">
        <v>34.9</v>
      </c>
      <c r="R601">
        <v>6.29</v>
      </c>
      <c r="Y601" t="s">
        <v>3299</v>
      </c>
      <c r="Z601" t="s">
        <v>3299</v>
      </c>
      <c r="AA601">
        <v>35129</v>
      </c>
      <c r="AB601" t="s">
        <v>11</v>
      </c>
    </row>
    <row r="602" spans="1:28" x14ac:dyDescent="0.25">
      <c r="A602" t="s">
        <v>3300</v>
      </c>
      <c r="B602" t="s">
        <v>3300</v>
      </c>
      <c r="C602" t="s">
        <v>3301</v>
      </c>
      <c r="D602" t="s">
        <v>3302</v>
      </c>
      <c r="E602" t="s">
        <v>770</v>
      </c>
      <c r="F602" t="s">
        <v>771</v>
      </c>
      <c r="G602" t="s">
        <v>1854</v>
      </c>
      <c r="J602" t="s">
        <v>783</v>
      </c>
      <c r="K602" t="s">
        <v>1855</v>
      </c>
      <c r="L602" t="s">
        <v>1856</v>
      </c>
      <c r="M602" t="s">
        <v>12</v>
      </c>
      <c r="N602" t="s">
        <v>770</v>
      </c>
      <c r="O602">
        <v>1</v>
      </c>
      <c r="P602" t="s">
        <v>776</v>
      </c>
      <c r="Q602">
        <v>19.899999999999999</v>
      </c>
      <c r="R602">
        <v>3.59</v>
      </c>
      <c r="Y602" t="s">
        <v>3303</v>
      </c>
      <c r="Z602" t="s">
        <v>3304</v>
      </c>
      <c r="AA602">
        <v>15079</v>
      </c>
      <c r="AB602" t="s">
        <v>11</v>
      </c>
    </row>
    <row r="603" spans="1:28" x14ac:dyDescent="0.25">
      <c r="A603" t="s">
        <v>3305</v>
      </c>
      <c r="B603" t="s">
        <v>3305</v>
      </c>
      <c r="C603" t="s">
        <v>3306</v>
      </c>
      <c r="D603" t="s">
        <v>3307</v>
      </c>
      <c r="E603" t="s">
        <v>770</v>
      </c>
      <c r="F603" t="s">
        <v>771</v>
      </c>
      <c r="G603" t="s">
        <v>1854</v>
      </c>
      <c r="J603" t="s">
        <v>783</v>
      </c>
      <c r="K603" t="s">
        <v>3308</v>
      </c>
      <c r="L603" t="s">
        <v>3309</v>
      </c>
      <c r="M603" t="s">
        <v>61</v>
      </c>
      <c r="N603" t="s">
        <v>770</v>
      </c>
      <c r="O603">
        <v>1</v>
      </c>
      <c r="P603" t="s">
        <v>776</v>
      </c>
      <c r="Q603">
        <v>44.9</v>
      </c>
      <c r="R603">
        <v>8.1</v>
      </c>
      <c r="Y603" t="s">
        <v>2134</v>
      </c>
      <c r="AA603">
        <v>176</v>
      </c>
      <c r="AB603" t="s">
        <v>11</v>
      </c>
    </row>
    <row r="604" spans="1:28" x14ac:dyDescent="0.25">
      <c r="A604" t="s">
        <v>3310</v>
      </c>
      <c r="B604" t="s">
        <v>3310</v>
      </c>
      <c r="C604" t="s">
        <v>3311</v>
      </c>
      <c r="D604" t="s">
        <v>3312</v>
      </c>
      <c r="E604" t="s">
        <v>770</v>
      </c>
      <c r="F604" t="s">
        <v>771</v>
      </c>
      <c r="G604" t="s">
        <v>1854</v>
      </c>
      <c r="J604" t="s">
        <v>783</v>
      </c>
      <c r="K604" t="s">
        <v>1855</v>
      </c>
      <c r="L604" t="s">
        <v>1856</v>
      </c>
      <c r="M604" t="s">
        <v>12</v>
      </c>
      <c r="N604" t="s">
        <v>770</v>
      </c>
      <c r="O604">
        <v>1</v>
      </c>
      <c r="P604" t="s">
        <v>776</v>
      </c>
      <c r="Q604">
        <v>19.899999999999999</v>
      </c>
      <c r="R604">
        <v>3.59</v>
      </c>
      <c r="Y604" t="s">
        <v>3313</v>
      </c>
      <c r="Z604" t="s">
        <v>2153</v>
      </c>
      <c r="AA604">
        <v>84096</v>
      </c>
      <c r="AB604" t="s">
        <v>11</v>
      </c>
    </row>
    <row r="605" spans="1:28" x14ac:dyDescent="0.25">
      <c r="A605" t="s">
        <v>3314</v>
      </c>
      <c r="B605" t="s">
        <v>3314</v>
      </c>
      <c r="C605" t="s">
        <v>3315</v>
      </c>
      <c r="D605" t="s">
        <v>3316</v>
      </c>
      <c r="E605" t="s">
        <v>770</v>
      </c>
      <c r="F605" t="s">
        <v>771</v>
      </c>
      <c r="G605" t="s">
        <v>1854</v>
      </c>
      <c r="J605" t="s">
        <v>783</v>
      </c>
      <c r="K605" t="s">
        <v>1855</v>
      </c>
      <c r="L605" t="s">
        <v>1856</v>
      </c>
      <c r="M605" t="s">
        <v>12</v>
      </c>
      <c r="N605" t="s">
        <v>770</v>
      </c>
      <c r="O605">
        <v>1</v>
      </c>
      <c r="P605" t="s">
        <v>776</v>
      </c>
      <c r="Q605">
        <v>19.899999999999999</v>
      </c>
      <c r="R605">
        <v>3.59</v>
      </c>
      <c r="Y605" t="s">
        <v>3317</v>
      </c>
      <c r="Z605" t="s">
        <v>1864</v>
      </c>
      <c r="AA605">
        <v>20001</v>
      </c>
      <c r="AB605" t="s">
        <v>11</v>
      </c>
    </row>
    <row r="606" spans="1:28" x14ac:dyDescent="0.25">
      <c r="A606" t="s">
        <v>3318</v>
      </c>
      <c r="B606" t="s">
        <v>3318</v>
      </c>
      <c r="C606" t="s">
        <v>3319</v>
      </c>
      <c r="D606" t="s">
        <v>3320</v>
      </c>
      <c r="E606" t="s">
        <v>770</v>
      </c>
      <c r="F606" t="s">
        <v>771</v>
      </c>
      <c r="G606" t="s">
        <v>1854</v>
      </c>
      <c r="I606" t="s">
        <v>2692</v>
      </c>
      <c r="J606" t="s">
        <v>783</v>
      </c>
      <c r="K606" t="s">
        <v>2712</v>
      </c>
      <c r="L606" t="s">
        <v>1800</v>
      </c>
      <c r="M606" t="s">
        <v>14</v>
      </c>
      <c r="N606" t="s">
        <v>770</v>
      </c>
      <c r="O606">
        <v>1</v>
      </c>
      <c r="P606" t="s">
        <v>776</v>
      </c>
      <c r="Q606">
        <v>14.9</v>
      </c>
      <c r="R606">
        <v>2.69</v>
      </c>
      <c r="Y606" t="s">
        <v>2693</v>
      </c>
      <c r="Z606" t="s">
        <v>2148</v>
      </c>
      <c r="AA606">
        <v>45020</v>
      </c>
      <c r="AB606" t="s">
        <v>11</v>
      </c>
    </row>
    <row r="607" spans="1:28" x14ac:dyDescent="0.25">
      <c r="A607" t="s">
        <v>3321</v>
      </c>
      <c r="B607" t="s">
        <v>3321</v>
      </c>
      <c r="C607" t="s">
        <v>3322</v>
      </c>
      <c r="D607" t="s">
        <v>3323</v>
      </c>
      <c r="E607" t="s">
        <v>770</v>
      </c>
      <c r="F607" t="s">
        <v>771</v>
      </c>
      <c r="G607" t="s">
        <v>1854</v>
      </c>
      <c r="J607" t="s">
        <v>783</v>
      </c>
      <c r="K607" t="s">
        <v>1855</v>
      </c>
      <c r="L607" t="s">
        <v>1856</v>
      </c>
      <c r="M607" t="s">
        <v>12</v>
      </c>
      <c r="N607" t="s">
        <v>770</v>
      </c>
      <c r="O607">
        <v>1</v>
      </c>
      <c r="P607" t="s">
        <v>776</v>
      </c>
      <c r="Q607">
        <v>19.899999999999999</v>
      </c>
      <c r="R607">
        <v>3.59</v>
      </c>
      <c r="Y607" t="s">
        <v>3324</v>
      </c>
      <c r="Z607" t="s">
        <v>1607</v>
      </c>
      <c r="AA607">
        <v>62019</v>
      </c>
      <c r="AB607" t="s">
        <v>11</v>
      </c>
    </row>
    <row r="608" spans="1:28" x14ac:dyDescent="0.25">
      <c r="A608" t="s">
        <v>3325</v>
      </c>
      <c r="B608" t="s">
        <v>3325</v>
      </c>
      <c r="C608" t="s">
        <v>3326</v>
      </c>
      <c r="D608" t="s">
        <v>3327</v>
      </c>
      <c r="E608" t="s">
        <v>770</v>
      </c>
      <c r="F608" t="s">
        <v>771</v>
      </c>
      <c r="G608" t="s">
        <v>1854</v>
      </c>
      <c r="J608" t="s">
        <v>783</v>
      </c>
      <c r="K608" t="s">
        <v>3328</v>
      </c>
      <c r="L608" t="s">
        <v>3329</v>
      </c>
      <c r="M608" t="s">
        <v>35</v>
      </c>
      <c r="N608" t="s">
        <v>770</v>
      </c>
      <c r="O608">
        <v>1</v>
      </c>
      <c r="P608" t="s">
        <v>776</v>
      </c>
      <c r="Q608">
        <v>24.9</v>
      </c>
      <c r="R608">
        <v>4.49</v>
      </c>
      <c r="Y608" t="s">
        <v>2625</v>
      </c>
      <c r="Z608" t="s">
        <v>3330</v>
      </c>
      <c r="AA608">
        <v>51100</v>
      </c>
      <c r="AB608" t="s">
        <v>11</v>
      </c>
    </row>
    <row r="609" spans="1:28" x14ac:dyDescent="0.25">
      <c r="A609" t="s">
        <v>3331</v>
      </c>
      <c r="B609" t="s">
        <v>3331</v>
      </c>
      <c r="C609" t="s">
        <v>3332</v>
      </c>
      <c r="D609" t="s">
        <v>3333</v>
      </c>
      <c r="E609" t="s">
        <v>770</v>
      </c>
      <c r="F609" t="s">
        <v>771</v>
      </c>
      <c r="G609" t="s">
        <v>1854</v>
      </c>
      <c r="J609" t="s">
        <v>783</v>
      </c>
      <c r="K609" t="s">
        <v>1930</v>
      </c>
      <c r="L609" t="s">
        <v>775</v>
      </c>
      <c r="M609" t="s">
        <v>65</v>
      </c>
      <c r="N609" t="s">
        <v>770</v>
      </c>
      <c r="O609">
        <v>1</v>
      </c>
      <c r="P609" t="s">
        <v>776</v>
      </c>
      <c r="Q609">
        <v>29.9</v>
      </c>
      <c r="R609">
        <v>5.39</v>
      </c>
      <c r="Y609" t="s">
        <v>3334</v>
      </c>
      <c r="Z609" t="s">
        <v>1913</v>
      </c>
      <c r="AA609">
        <v>54</v>
      </c>
      <c r="AB609" t="s">
        <v>11</v>
      </c>
    </row>
    <row r="610" spans="1:28" x14ac:dyDescent="0.25">
      <c r="A610" t="s">
        <v>3335</v>
      </c>
      <c r="B610" t="s">
        <v>3335</v>
      </c>
      <c r="C610" t="s">
        <v>3336</v>
      </c>
      <c r="D610" t="s">
        <v>3337</v>
      </c>
      <c r="E610" t="s">
        <v>770</v>
      </c>
      <c r="F610" t="s">
        <v>771</v>
      </c>
      <c r="G610" t="s">
        <v>1854</v>
      </c>
      <c r="J610" t="s">
        <v>783</v>
      </c>
      <c r="K610" t="s">
        <v>1855</v>
      </c>
      <c r="L610" t="s">
        <v>1856</v>
      </c>
      <c r="M610" t="s">
        <v>12</v>
      </c>
      <c r="N610" t="s">
        <v>770</v>
      </c>
      <c r="O610">
        <v>1</v>
      </c>
      <c r="P610" t="s">
        <v>776</v>
      </c>
      <c r="Q610">
        <v>19.899999999999999</v>
      </c>
      <c r="R610">
        <v>3.59</v>
      </c>
      <c r="Y610" t="s">
        <v>3338</v>
      </c>
      <c r="Z610" t="s">
        <v>3339</v>
      </c>
      <c r="AA610">
        <v>9013</v>
      </c>
      <c r="AB610" t="s">
        <v>11</v>
      </c>
    </row>
    <row r="611" spans="1:28" x14ac:dyDescent="0.25">
      <c r="A611" t="s">
        <v>3340</v>
      </c>
      <c r="B611" t="s">
        <v>3340</v>
      </c>
      <c r="C611" t="s">
        <v>3341</v>
      </c>
      <c r="D611" t="s">
        <v>3342</v>
      </c>
      <c r="E611" t="s">
        <v>770</v>
      </c>
      <c r="F611" t="s">
        <v>771</v>
      </c>
      <c r="G611" t="s">
        <v>1854</v>
      </c>
      <c r="J611" t="s">
        <v>783</v>
      </c>
      <c r="K611" t="s">
        <v>1855</v>
      </c>
      <c r="L611" t="s">
        <v>1856</v>
      </c>
      <c r="M611" t="s">
        <v>12</v>
      </c>
      <c r="N611" t="s">
        <v>770</v>
      </c>
      <c r="O611">
        <v>1</v>
      </c>
      <c r="P611" t="s">
        <v>776</v>
      </c>
      <c r="Q611">
        <v>19.899999999999999</v>
      </c>
      <c r="R611">
        <v>3.59</v>
      </c>
      <c r="Y611" t="s">
        <v>3343</v>
      </c>
      <c r="AA611">
        <v>83031</v>
      </c>
      <c r="AB611" t="s">
        <v>11</v>
      </c>
    </row>
    <row r="612" spans="1:28" x14ac:dyDescent="0.25">
      <c r="A612" t="s">
        <v>3344</v>
      </c>
      <c r="B612" t="s">
        <v>3344</v>
      </c>
      <c r="C612" t="s">
        <v>3345</v>
      </c>
      <c r="D612" t="s">
        <v>3346</v>
      </c>
      <c r="E612" t="s">
        <v>770</v>
      </c>
      <c r="F612" t="s">
        <v>771</v>
      </c>
      <c r="G612" t="s">
        <v>1854</v>
      </c>
      <c r="J612" t="s">
        <v>783</v>
      </c>
      <c r="K612" t="s">
        <v>1855</v>
      </c>
      <c r="L612" t="s">
        <v>1856</v>
      </c>
      <c r="M612" t="s">
        <v>12</v>
      </c>
      <c r="N612" t="s">
        <v>770</v>
      </c>
      <c r="O612">
        <v>1</v>
      </c>
      <c r="P612" t="s">
        <v>776</v>
      </c>
      <c r="Q612">
        <v>19.899999999999999</v>
      </c>
      <c r="R612">
        <v>3.59</v>
      </c>
      <c r="Y612" t="s">
        <v>3347</v>
      </c>
      <c r="Z612" t="s">
        <v>3348</v>
      </c>
      <c r="AA612">
        <v>71013</v>
      </c>
      <c r="AB612" t="s">
        <v>11</v>
      </c>
    </row>
    <row r="613" spans="1:28" x14ac:dyDescent="0.25">
      <c r="A613" t="s">
        <v>3349</v>
      </c>
      <c r="B613" t="s">
        <v>3349</v>
      </c>
      <c r="C613" t="s">
        <v>3350</v>
      </c>
      <c r="D613" t="s">
        <v>3351</v>
      </c>
      <c r="E613" t="s">
        <v>770</v>
      </c>
      <c r="F613" t="s">
        <v>771</v>
      </c>
      <c r="G613" t="s">
        <v>1854</v>
      </c>
      <c r="J613" t="s">
        <v>783</v>
      </c>
      <c r="K613" t="s">
        <v>2162</v>
      </c>
      <c r="L613" t="s">
        <v>2163</v>
      </c>
      <c r="M613" t="s">
        <v>59</v>
      </c>
      <c r="N613" t="s">
        <v>770</v>
      </c>
      <c r="O613">
        <v>1</v>
      </c>
      <c r="P613" t="s">
        <v>776</v>
      </c>
      <c r="Q613">
        <v>29.9</v>
      </c>
      <c r="R613">
        <v>5.39</v>
      </c>
      <c r="Y613" t="s">
        <v>3352</v>
      </c>
      <c r="Z613" t="s">
        <v>3153</v>
      </c>
      <c r="AA613">
        <v>66038</v>
      </c>
      <c r="AB613" t="s">
        <v>11</v>
      </c>
    </row>
    <row r="614" spans="1:28" x14ac:dyDescent="0.25">
      <c r="A614" t="s">
        <v>3353</v>
      </c>
      <c r="B614" t="s">
        <v>3353</v>
      </c>
      <c r="C614" t="s">
        <v>3354</v>
      </c>
      <c r="D614" t="s">
        <v>3355</v>
      </c>
      <c r="E614" t="s">
        <v>770</v>
      </c>
      <c r="F614" t="s">
        <v>771</v>
      </c>
      <c r="G614" t="s">
        <v>1854</v>
      </c>
      <c r="I614" t="s">
        <v>2692</v>
      </c>
      <c r="J614" t="s">
        <v>783</v>
      </c>
      <c r="K614" t="s">
        <v>2712</v>
      </c>
      <c r="L614" t="s">
        <v>1800</v>
      </c>
      <c r="M614" t="s">
        <v>14</v>
      </c>
      <c r="N614" t="s">
        <v>770</v>
      </c>
      <c r="O614">
        <v>1</v>
      </c>
      <c r="P614" t="s">
        <v>776</v>
      </c>
      <c r="Q614">
        <v>14.9</v>
      </c>
      <c r="R614">
        <v>2.69</v>
      </c>
      <c r="Y614" t="s">
        <v>2693</v>
      </c>
      <c r="Z614" t="s">
        <v>2148</v>
      </c>
      <c r="AA614">
        <v>45020</v>
      </c>
      <c r="AB614" t="s">
        <v>11</v>
      </c>
    </row>
    <row r="615" spans="1:28" x14ac:dyDescent="0.25">
      <c r="A615" t="s">
        <v>3356</v>
      </c>
      <c r="B615" t="s">
        <v>3356</v>
      </c>
      <c r="C615" t="s">
        <v>3357</v>
      </c>
      <c r="D615" t="s">
        <v>3358</v>
      </c>
      <c r="E615" t="s">
        <v>770</v>
      </c>
      <c r="F615" t="s">
        <v>771</v>
      </c>
      <c r="G615" t="s">
        <v>1854</v>
      </c>
      <c r="J615" t="s">
        <v>783</v>
      </c>
      <c r="K615" t="s">
        <v>1855</v>
      </c>
      <c r="L615" t="s">
        <v>1856</v>
      </c>
      <c r="M615" t="s">
        <v>12</v>
      </c>
      <c r="N615" t="s">
        <v>770</v>
      </c>
      <c r="O615">
        <v>1</v>
      </c>
      <c r="P615" t="s">
        <v>776</v>
      </c>
      <c r="Q615">
        <v>19.899999999999999</v>
      </c>
      <c r="R615">
        <v>3.59</v>
      </c>
      <c r="Y615" t="s">
        <v>3359</v>
      </c>
      <c r="Z615" t="s">
        <v>2420</v>
      </c>
      <c r="AA615">
        <v>80059</v>
      </c>
      <c r="AB615" t="s">
        <v>11</v>
      </c>
    </row>
    <row r="616" spans="1:28" x14ac:dyDescent="0.25">
      <c r="A616" t="s">
        <v>3360</v>
      </c>
      <c r="C616" t="s">
        <v>3361</v>
      </c>
      <c r="D616" t="s">
        <v>3362</v>
      </c>
      <c r="E616" t="s">
        <v>770</v>
      </c>
      <c r="F616" t="s">
        <v>1884</v>
      </c>
      <c r="G616" t="s">
        <v>1854</v>
      </c>
      <c r="H616" t="s">
        <v>1885</v>
      </c>
      <c r="J616" t="s">
        <v>773</v>
      </c>
      <c r="K616" t="s">
        <v>3363</v>
      </c>
      <c r="L616" s="2">
        <v>40490</v>
      </c>
      <c r="M616" t="s">
        <v>71</v>
      </c>
      <c r="N616" t="s">
        <v>770</v>
      </c>
      <c r="O616">
        <v>2</v>
      </c>
      <c r="P616" t="s">
        <v>776</v>
      </c>
      <c r="Q616">
        <v>59.8</v>
      </c>
      <c r="R616">
        <v>10.78</v>
      </c>
      <c r="S616">
        <v>6</v>
      </c>
      <c r="T616">
        <v>1.08</v>
      </c>
      <c r="Y616" t="s">
        <v>3364</v>
      </c>
      <c r="Z616" t="s">
        <v>3364</v>
      </c>
      <c r="AA616">
        <v>88100</v>
      </c>
      <c r="AB616" t="s">
        <v>11</v>
      </c>
    </row>
    <row r="617" spans="1:28" x14ac:dyDescent="0.25">
      <c r="A617" t="s">
        <v>3365</v>
      </c>
      <c r="B617" t="s">
        <v>3365</v>
      </c>
      <c r="C617" t="s">
        <v>3366</v>
      </c>
      <c r="D617" t="s">
        <v>3367</v>
      </c>
      <c r="E617" t="s">
        <v>770</v>
      </c>
      <c r="F617" t="s">
        <v>771</v>
      </c>
      <c r="G617" t="s">
        <v>1854</v>
      </c>
      <c r="J617" t="s">
        <v>783</v>
      </c>
      <c r="K617" t="s">
        <v>2055</v>
      </c>
      <c r="L617" t="s">
        <v>806</v>
      </c>
      <c r="M617" t="s">
        <v>202</v>
      </c>
      <c r="N617" t="s">
        <v>770</v>
      </c>
      <c r="O617">
        <v>1</v>
      </c>
      <c r="P617" t="s">
        <v>776</v>
      </c>
      <c r="Q617">
        <v>14.9</v>
      </c>
      <c r="R617">
        <v>2.69</v>
      </c>
      <c r="Y617" t="s">
        <v>3368</v>
      </c>
      <c r="Z617" t="s">
        <v>3369</v>
      </c>
      <c r="AA617">
        <v>72018</v>
      </c>
      <c r="AB617" t="s">
        <v>11</v>
      </c>
    </row>
    <row r="618" spans="1:28" x14ac:dyDescent="0.25">
      <c r="A618" t="s">
        <v>3370</v>
      </c>
      <c r="B618" t="s">
        <v>3370</v>
      </c>
      <c r="C618" t="s">
        <v>3371</v>
      </c>
      <c r="D618" t="s">
        <v>3372</v>
      </c>
      <c r="E618" t="s">
        <v>770</v>
      </c>
      <c r="F618" t="s">
        <v>771</v>
      </c>
      <c r="G618" t="s">
        <v>1854</v>
      </c>
      <c r="J618" t="s">
        <v>783</v>
      </c>
      <c r="K618" t="s">
        <v>1930</v>
      </c>
      <c r="L618" t="s">
        <v>775</v>
      </c>
      <c r="M618" t="s">
        <v>65</v>
      </c>
      <c r="N618" t="s">
        <v>770</v>
      </c>
      <c r="O618">
        <v>1</v>
      </c>
      <c r="P618" t="s">
        <v>776</v>
      </c>
      <c r="Q618">
        <v>29.9</v>
      </c>
      <c r="R618">
        <v>5.39</v>
      </c>
      <c r="Y618" t="s">
        <v>3373</v>
      </c>
      <c r="Z618" t="s">
        <v>3374</v>
      </c>
      <c r="AA618">
        <v>11016</v>
      </c>
      <c r="AB618" t="s">
        <v>11</v>
      </c>
    </row>
    <row r="619" spans="1:28" x14ac:dyDescent="0.25">
      <c r="A619" t="s">
        <v>3375</v>
      </c>
      <c r="B619" t="s">
        <v>3375</v>
      </c>
      <c r="C619" t="s">
        <v>3376</v>
      </c>
      <c r="D619" t="s">
        <v>3377</v>
      </c>
      <c r="E619" t="s">
        <v>770</v>
      </c>
      <c r="F619" t="s">
        <v>771</v>
      </c>
      <c r="G619" t="s">
        <v>1854</v>
      </c>
      <c r="J619" t="s">
        <v>783</v>
      </c>
      <c r="K619" t="s">
        <v>1873</v>
      </c>
      <c r="L619" t="s">
        <v>840</v>
      </c>
      <c r="M619" t="s">
        <v>26</v>
      </c>
      <c r="N619" t="s">
        <v>770</v>
      </c>
      <c r="O619">
        <v>1</v>
      </c>
      <c r="P619" t="s">
        <v>776</v>
      </c>
      <c r="Q619">
        <v>34.9</v>
      </c>
      <c r="R619">
        <v>6.29</v>
      </c>
      <c r="S619">
        <v>4.99</v>
      </c>
      <c r="T619">
        <v>0.9</v>
      </c>
      <c r="Y619" t="s">
        <v>1875</v>
      </c>
      <c r="AA619">
        <v>20142</v>
      </c>
      <c r="AB619" t="s">
        <v>11</v>
      </c>
    </row>
    <row r="620" spans="1:28" x14ac:dyDescent="0.25">
      <c r="A620" t="s">
        <v>3378</v>
      </c>
      <c r="B620" t="s">
        <v>3378</v>
      </c>
      <c r="C620" t="s">
        <v>3379</v>
      </c>
      <c r="D620" t="s">
        <v>3380</v>
      </c>
      <c r="E620" t="s">
        <v>770</v>
      </c>
      <c r="F620" t="s">
        <v>771</v>
      </c>
      <c r="G620" t="s">
        <v>1854</v>
      </c>
      <c r="J620" t="s">
        <v>783</v>
      </c>
      <c r="K620" t="s">
        <v>1862</v>
      </c>
      <c r="L620" t="s">
        <v>1505</v>
      </c>
      <c r="M620" t="s">
        <v>53</v>
      </c>
      <c r="N620" t="s">
        <v>770</v>
      </c>
      <c r="O620">
        <v>1</v>
      </c>
      <c r="P620" t="s">
        <v>776</v>
      </c>
      <c r="Q620">
        <v>32.9</v>
      </c>
      <c r="R620">
        <v>5.93</v>
      </c>
      <c r="Y620" t="s">
        <v>1893</v>
      </c>
      <c r="Z620" t="s">
        <v>1869</v>
      </c>
      <c r="AA620">
        <v>10151</v>
      </c>
      <c r="AB620" t="s">
        <v>11</v>
      </c>
    </row>
    <row r="621" spans="1:28" x14ac:dyDescent="0.25">
      <c r="A621" t="s">
        <v>3381</v>
      </c>
      <c r="B621" t="s">
        <v>3381</v>
      </c>
      <c r="C621" t="s">
        <v>3382</v>
      </c>
      <c r="D621" t="s">
        <v>3383</v>
      </c>
      <c r="E621" t="s">
        <v>770</v>
      </c>
      <c r="F621" t="s">
        <v>771</v>
      </c>
      <c r="G621" t="s">
        <v>1854</v>
      </c>
      <c r="J621" t="s">
        <v>783</v>
      </c>
      <c r="K621" t="s">
        <v>1930</v>
      </c>
      <c r="L621" t="s">
        <v>775</v>
      </c>
      <c r="M621" t="s">
        <v>65</v>
      </c>
      <c r="N621" t="s">
        <v>770</v>
      </c>
      <c r="O621">
        <v>1</v>
      </c>
      <c r="P621" t="s">
        <v>776</v>
      </c>
      <c r="Q621">
        <v>29.9</v>
      </c>
      <c r="R621">
        <v>5.39</v>
      </c>
      <c r="Y621" t="s">
        <v>3384</v>
      </c>
      <c r="Z621" t="s">
        <v>2621</v>
      </c>
      <c r="AA621">
        <v>21011</v>
      </c>
      <c r="AB621" t="s">
        <v>11</v>
      </c>
    </row>
    <row r="622" spans="1:28" x14ac:dyDescent="0.25">
      <c r="A622" t="s">
        <v>3385</v>
      </c>
      <c r="B622" t="s">
        <v>3385</v>
      </c>
      <c r="C622" t="s">
        <v>3386</v>
      </c>
      <c r="D622" t="s">
        <v>3387</v>
      </c>
      <c r="E622" t="s">
        <v>770</v>
      </c>
      <c r="F622" t="s">
        <v>771</v>
      </c>
      <c r="G622" t="s">
        <v>1854</v>
      </c>
      <c r="J622" t="s">
        <v>783</v>
      </c>
      <c r="K622" t="s">
        <v>2162</v>
      </c>
      <c r="L622" t="s">
        <v>2163</v>
      </c>
      <c r="M622" t="s">
        <v>59</v>
      </c>
      <c r="N622" t="s">
        <v>770</v>
      </c>
      <c r="O622">
        <v>1</v>
      </c>
      <c r="P622" t="s">
        <v>776</v>
      </c>
      <c r="Q622">
        <v>29.9</v>
      </c>
      <c r="R622">
        <v>5.39</v>
      </c>
      <c r="Y622" t="s">
        <v>3388</v>
      </c>
      <c r="Z622" t="s">
        <v>3389</v>
      </c>
      <c r="AA622">
        <v>59100</v>
      </c>
      <c r="AB622" t="s">
        <v>11</v>
      </c>
    </row>
    <row r="623" spans="1:28" x14ac:dyDescent="0.25">
      <c r="A623" t="s">
        <v>3390</v>
      </c>
      <c r="B623" t="s">
        <v>3390</v>
      </c>
      <c r="C623" t="s">
        <v>3391</v>
      </c>
      <c r="D623" t="s">
        <v>3392</v>
      </c>
      <c r="E623" t="s">
        <v>770</v>
      </c>
      <c r="F623" t="s">
        <v>771</v>
      </c>
      <c r="G623" t="s">
        <v>1854</v>
      </c>
      <c r="J623" t="s">
        <v>783</v>
      </c>
      <c r="K623" t="s">
        <v>1855</v>
      </c>
      <c r="L623" t="s">
        <v>1856</v>
      </c>
      <c r="M623" t="s">
        <v>12</v>
      </c>
      <c r="N623" t="s">
        <v>770</v>
      </c>
      <c r="O623">
        <v>1</v>
      </c>
      <c r="P623" t="s">
        <v>776</v>
      </c>
      <c r="Q623">
        <v>19.899999999999999</v>
      </c>
      <c r="R623">
        <v>3.59</v>
      </c>
      <c r="Y623" t="s">
        <v>3393</v>
      </c>
      <c r="AA623">
        <v>65124</v>
      </c>
      <c r="AB623" t="s">
        <v>11</v>
      </c>
    </row>
    <row r="624" spans="1:28" x14ac:dyDescent="0.25">
      <c r="A624" t="s">
        <v>3394</v>
      </c>
      <c r="B624" t="s">
        <v>3394</v>
      </c>
      <c r="C624" t="s">
        <v>3395</v>
      </c>
      <c r="D624" t="s">
        <v>3396</v>
      </c>
      <c r="E624" t="s">
        <v>770</v>
      </c>
      <c r="F624" t="s">
        <v>771</v>
      </c>
      <c r="G624" t="s">
        <v>1854</v>
      </c>
      <c r="I624" t="s">
        <v>2692</v>
      </c>
      <c r="J624" t="s">
        <v>783</v>
      </c>
      <c r="K624" t="s">
        <v>2712</v>
      </c>
      <c r="L624" t="s">
        <v>1800</v>
      </c>
      <c r="M624" t="s">
        <v>14</v>
      </c>
      <c r="N624" t="s">
        <v>770</v>
      </c>
      <c r="O624">
        <v>1</v>
      </c>
      <c r="P624" t="s">
        <v>776</v>
      </c>
      <c r="Q624">
        <v>14.9</v>
      </c>
      <c r="R624">
        <v>2.69</v>
      </c>
      <c r="Y624" t="s">
        <v>2693</v>
      </c>
      <c r="Z624" t="s">
        <v>2148</v>
      </c>
      <c r="AA624">
        <v>45020</v>
      </c>
      <c r="AB624" t="s">
        <v>11</v>
      </c>
    </row>
    <row r="625" spans="1:28" x14ac:dyDescent="0.25">
      <c r="A625" t="s">
        <v>3397</v>
      </c>
      <c r="C625" t="s">
        <v>3398</v>
      </c>
      <c r="D625" t="s">
        <v>3399</v>
      </c>
      <c r="E625" t="s">
        <v>770</v>
      </c>
      <c r="F625" t="s">
        <v>1884</v>
      </c>
      <c r="G625" t="s">
        <v>1854</v>
      </c>
      <c r="H625" t="s">
        <v>1885</v>
      </c>
      <c r="J625" t="s">
        <v>773</v>
      </c>
      <c r="K625" t="s">
        <v>2889</v>
      </c>
      <c r="L625" t="s">
        <v>135</v>
      </c>
      <c r="M625" t="s">
        <v>134</v>
      </c>
      <c r="N625" t="s">
        <v>770</v>
      </c>
      <c r="O625">
        <v>1</v>
      </c>
      <c r="P625" t="s">
        <v>776</v>
      </c>
      <c r="Q625">
        <v>59.9</v>
      </c>
      <c r="R625">
        <v>10.8</v>
      </c>
      <c r="S625">
        <v>3</v>
      </c>
      <c r="T625">
        <v>0.54</v>
      </c>
      <c r="Y625" t="s">
        <v>1913</v>
      </c>
      <c r="Z625" t="s">
        <v>2548</v>
      </c>
      <c r="AA625">
        <v>155</v>
      </c>
      <c r="AB625" t="s">
        <v>11</v>
      </c>
    </row>
    <row r="626" spans="1:28" x14ac:dyDescent="0.25">
      <c r="A626" t="s">
        <v>3400</v>
      </c>
      <c r="B626" t="s">
        <v>3400</v>
      </c>
      <c r="C626" t="s">
        <v>3401</v>
      </c>
      <c r="D626" t="s">
        <v>3402</v>
      </c>
      <c r="E626" t="s">
        <v>770</v>
      </c>
      <c r="F626" t="s">
        <v>771</v>
      </c>
      <c r="G626" t="s">
        <v>1854</v>
      </c>
      <c r="J626" t="s">
        <v>783</v>
      </c>
      <c r="K626" t="s">
        <v>1855</v>
      </c>
      <c r="L626" t="s">
        <v>1856</v>
      </c>
      <c r="M626" t="s">
        <v>12</v>
      </c>
      <c r="N626" t="s">
        <v>770</v>
      </c>
      <c r="O626">
        <v>1</v>
      </c>
      <c r="P626" t="s">
        <v>776</v>
      </c>
      <c r="Q626">
        <v>19.899999999999999</v>
      </c>
      <c r="R626">
        <v>3.59</v>
      </c>
      <c r="S626">
        <v>0.86</v>
      </c>
      <c r="T626">
        <v>0.16</v>
      </c>
      <c r="Y626" t="s">
        <v>3403</v>
      </c>
      <c r="Z626" t="s">
        <v>3404</v>
      </c>
      <c r="AA626">
        <v>83026</v>
      </c>
      <c r="AB626" t="s">
        <v>11</v>
      </c>
    </row>
    <row r="627" spans="1:28" x14ac:dyDescent="0.25">
      <c r="A627" t="s">
        <v>3405</v>
      </c>
      <c r="B627" t="s">
        <v>3405</v>
      </c>
      <c r="C627" t="s">
        <v>3406</v>
      </c>
      <c r="D627" t="s">
        <v>3407</v>
      </c>
      <c r="E627" t="s">
        <v>770</v>
      </c>
      <c r="F627" t="s">
        <v>771</v>
      </c>
      <c r="G627" t="s">
        <v>1854</v>
      </c>
      <c r="J627" t="s">
        <v>783</v>
      </c>
      <c r="K627" t="s">
        <v>1862</v>
      </c>
      <c r="L627" t="s">
        <v>1505</v>
      </c>
      <c r="M627" t="s">
        <v>53</v>
      </c>
      <c r="N627" t="s">
        <v>770</v>
      </c>
      <c r="O627">
        <v>1</v>
      </c>
      <c r="P627" t="s">
        <v>776</v>
      </c>
      <c r="Q627">
        <v>32.9</v>
      </c>
      <c r="R627">
        <v>5.93</v>
      </c>
      <c r="Y627" t="s">
        <v>3408</v>
      </c>
      <c r="Z627" t="s">
        <v>1937</v>
      </c>
      <c r="AA627">
        <v>24030</v>
      </c>
      <c r="AB627" t="s">
        <v>11</v>
      </c>
    </row>
    <row r="628" spans="1:28" x14ac:dyDescent="0.25">
      <c r="A628" t="s">
        <v>3409</v>
      </c>
      <c r="B628" t="s">
        <v>3409</v>
      </c>
      <c r="C628" t="s">
        <v>3410</v>
      </c>
      <c r="D628" t="s">
        <v>3411</v>
      </c>
      <c r="E628" t="s">
        <v>770</v>
      </c>
      <c r="F628" t="s">
        <v>771</v>
      </c>
      <c r="G628" t="s">
        <v>1854</v>
      </c>
      <c r="J628" t="s">
        <v>783</v>
      </c>
      <c r="K628" t="s">
        <v>2248</v>
      </c>
      <c r="L628" t="s">
        <v>2772</v>
      </c>
      <c r="M628" t="s">
        <v>172</v>
      </c>
      <c r="N628" t="s">
        <v>770</v>
      </c>
      <c r="O628">
        <v>1</v>
      </c>
      <c r="P628" t="s">
        <v>776</v>
      </c>
      <c r="Q628">
        <v>39.9</v>
      </c>
      <c r="R628">
        <v>7.2</v>
      </c>
      <c r="Y628" t="s">
        <v>2634</v>
      </c>
      <c r="Z628" t="s">
        <v>2635</v>
      </c>
      <c r="AA628">
        <v>97019</v>
      </c>
      <c r="AB628" t="s">
        <v>11</v>
      </c>
    </row>
    <row r="629" spans="1:28" x14ac:dyDescent="0.25">
      <c r="A629" t="s">
        <v>3412</v>
      </c>
      <c r="B629" t="s">
        <v>3412</v>
      </c>
      <c r="C629" t="s">
        <v>3413</v>
      </c>
      <c r="D629" t="s">
        <v>3414</v>
      </c>
      <c r="E629" t="s">
        <v>782</v>
      </c>
      <c r="F629" t="s">
        <v>771</v>
      </c>
      <c r="G629" t="s">
        <v>1854</v>
      </c>
      <c r="J629" t="s">
        <v>783</v>
      </c>
      <c r="K629" t="s">
        <v>1862</v>
      </c>
      <c r="L629" t="s">
        <v>1505</v>
      </c>
      <c r="M629" t="s">
        <v>53</v>
      </c>
      <c r="N629" t="s">
        <v>782</v>
      </c>
      <c r="O629">
        <v>0</v>
      </c>
      <c r="Y629" t="s">
        <v>3408</v>
      </c>
      <c r="Z629" t="s">
        <v>1937</v>
      </c>
      <c r="AA629">
        <v>24030</v>
      </c>
      <c r="AB629" t="s">
        <v>11</v>
      </c>
    </row>
    <row r="630" spans="1:28" x14ac:dyDescent="0.25">
      <c r="A630" t="s">
        <v>3415</v>
      </c>
      <c r="B630" t="s">
        <v>3415</v>
      </c>
      <c r="C630" t="s">
        <v>3416</v>
      </c>
      <c r="D630" t="s">
        <v>3417</v>
      </c>
      <c r="E630" t="s">
        <v>770</v>
      </c>
      <c r="F630" t="s">
        <v>771</v>
      </c>
      <c r="G630" t="s">
        <v>1854</v>
      </c>
      <c r="J630" t="s">
        <v>783</v>
      </c>
      <c r="K630" t="s">
        <v>1855</v>
      </c>
      <c r="L630" t="s">
        <v>1856</v>
      </c>
      <c r="M630" t="s">
        <v>12</v>
      </c>
      <c r="N630" t="s">
        <v>770</v>
      </c>
      <c r="O630">
        <v>1</v>
      </c>
      <c r="P630" t="s">
        <v>776</v>
      </c>
      <c r="Q630">
        <v>19.899999999999999</v>
      </c>
      <c r="R630">
        <v>3.59</v>
      </c>
      <c r="S630">
        <v>4.99</v>
      </c>
      <c r="T630">
        <v>0.9</v>
      </c>
      <c r="Y630" t="s">
        <v>3418</v>
      </c>
      <c r="Z630" t="s">
        <v>3419</v>
      </c>
      <c r="AA630">
        <v>2047</v>
      </c>
      <c r="AB630" t="s">
        <v>11</v>
      </c>
    </row>
    <row r="631" spans="1:28" x14ac:dyDescent="0.25">
      <c r="A631" t="s">
        <v>3420</v>
      </c>
      <c r="B631" t="s">
        <v>3420</v>
      </c>
      <c r="C631" t="s">
        <v>3421</v>
      </c>
      <c r="D631" t="s">
        <v>3422</v>
      </c>
      <c r="E631" t="s">
        <v>770</v>
      </c>
      <c r="F631" t="s">
        <v>771</v>
      </c>
      <c r="G631" t="s">
        <v>1854</v>
      </c>
      <c r="J631" t="s">
        <v>783</v>
      </c>
      <c r="K631" t="s">
        <v>1862</v>
      </c>
      <c r="L631" t="s">
        <v>1505</v>
      </c>
      <c r="M631" t="s">
        <v>53</v>
      </c>
      <c r="N631" t="s">
        <v>770</v>
      </c>
      <c r="O631">
        <v>1</v>
      </c>
      <c r="P631" t="s">
        <v>776</v>
      </c>
      <c r="Q631">
        <v>32.9</v>
      </c>
      <c r="R631">
        <v>5.93</v>
      </c>
      <c r="Y631" t="s">
        <v>3423</v>
      </c>
      <c r="Z631" t="s">
        <v>2174</v>
      </c>
      <c r="AA631">
        <v>80059</v>
      </c>
      <c r="AB631" t="s">
        <v>11</v>
      </c>
    </row>
    <row r="632" spans="1:28" x14ac:dyDescent="0.25">
      <c r="A632" t="s">
        <v>3424</v>
      </c>
      <c r="B632" t="s">
        <v>3424</v>
      </c>
      <c r="C632" t="s">
        <v>3425</v>
      </c>
      <c r="D632" t="s">
        <v>3426</v>
      </c>
      <c r="E632" t="s">
        <v>770</v>
      </c>
      <c r="F632" t="s">
        <v>771</v>
      </c>
      <c r="G632" t="s">
        <v>1854</v>
      </c>
      <c r="J632" t="s">
        <v>783</v>
      </c>
      <c r="K632" t="s">
        <v>1930</v>
      </c>
      <c r="L632" t="s">
        <v>775</v>
      </c>
      <c r="M632" t="s">
        <v>65</v>
      </c>
      <c r="N632" t="s">
        <v>770</v>
      </c>
      <c r="O632">
        <v>1</v>
      </c>
      <c r="P632" t="s">
        <v>776</v>
      </c>
      <c r="Q632">
        <v>29.9</v>
      </c>
      <c r="R632">
        <v>5.39</v>
      </c>
      <c r="Y632" t="s">
        <v>3427</v>
      </c>
      <c r="Z632" t="s">
        <v>3428</v>
      </c>
      <c r="AA632">
        <v>9050</v>
      </c>
      <c r="AB632" t="s">
        <v>11</v>
      </c>
    </row>
    <row r="633" spans="1:28" x14ac:dyDescent="0.25">
      <c r="A633" t="s">
        <v>3429</v>
      </c>
      <c r="B633" t="s">
        <v>3429</v>
      </c>
      <c r="C633" t="s">
        <v>3430</v>
      </c>
      <c r="D633" t="s">
        <v>3431</v>
      </c>
      <c r="E633" t="s">
        <v>770</v>
      </c>
      <c r="F633" t="s">
        <v>771</v>
      </c>
      <c r="G633" t="s">
        <v>1854</v>
      </c>
      <c r="J633" t="s">
        <v>783</v>
      </c>
      <c r="K633" t="s">
        <v>2294</v>
      </c>
      <c r="L633" t="s">
        <v>2295</v>
      </c>
      <c r="M633" t="s">
        <v>232</v>
      </c>
      <c r="N633" t="s">
        <v>770</v>
      </c>
      <c r="O633">
        <v>1</v>
      </c>
      <c r="P633" t="s">
        <v>776</v>
      </c>
      <c r="Q633">
        <v>49.9</v>
      </c>
      <c r="R633">
        <v>9</v>
      </c>
      <c r="Y633" t="s">
        <v>3432</v>
      </c>
      <c r="Z633" t="s">
        <v>2473</v>
      </c>
      <c r="AA633">
        <v>70027</v>
      </c>
      <c r="AB633" t="s">
        <v>11</v>
      </c>
    </row>
    <row r="634" spans="1:28" x14ac:dyDescent="0.25">
      <c r="A634" t="s">
        <v>3433</v>
      </c>
      <c r="C634" t="s">
        <v>3434</v>
      </c>
      <c r="D634" t="s">
        <v>3435</v>
      </c>
      <c r="E634" t="s">
        <v>770</v>
      </c>
      <c r="F634" t="s">
        <v>1884</v>
      </c>
      <c r="G634" t="s">
        <v>1854</v>
      </c>
      <c r="H634" t="s">
        <v>1885</v>
      </c>
      <c r="J634" t="s">
        <v>773</v>
      </c>
      <c r="K634" t="s">
        <v>2396</v>
      </c>
      <c r="L634" t="s">
        <v>89</v>
      </c>
      <c r="M634" t="s">
        <v>88</v>
      </c>
      <c r="N634" t="s">
        <v>770</v>
      </c>
      <c r="O634">
        <v>1</v>
      </c>
      <c r="P634" t="s">
        <v>776</v>
      </c>
      <c r="Q634">
        <v>59.9</v>
      </c>
      <c r="R634">
        <v>10.8</v>
      </c>
      <c r="S634">
        <v>3</v>
      </c>
      <c r="T634">
        <v>0.54</v>
      </c>
      <c r="Y634" t="s">
        <v>1888</v>
      </c>
      <c r="Z634" t="s">
        <v>1888</v>
      </c>
      <c r="AA634">
        <v>40125</v>
      </c>
      <c r="AB634" t="s">
        <v>11</v>
      </c>
    </row>
    <row r="635" spans="1:28" x14ac:dyDescent="0.25">
      <c r="A635" t="s">
        <v>3436</v>
      </c>
      <c r="B635" t="s">
        <v>3436</v>
      </c>
      <c r="C635" t="s">
        <v>3437</v>
      </c>
      <c r="D635" t="s">
        <v>3438</v>
      </c>
      <c r="E635" t="s">
        <v>770</v>
      </c>
      <c r="F635" t="s">
        <v>771</v>
      </c>
      <c r="G635" t="s">
        <v>1854</v>
      </c>
      <c r="J635" t="s">
        <v>783</v>
      </c>
      <c r="K635" t="s">
        <v>1873</v>
      </c>
      <c r="L635" t="s">
        <v>840</v>
      </c>
      <c r="M635" t="s">
        <v>26</v>
      </c>
      <c r="N635" t="s">
        <v>770</v>
      </c>
      <c r="O635">
        <v>1</v>
      </c>
      <c r="P635" t="s">
        <v>776</v>
      </c>
      <c r="Q635">
        <v>34.9</v>
      </c>
      <c r="R635">
        <v>6.29</v>
      </c>
      <c r="Y635" t="s">
        <v>2040</v>
      </c>
      <c r="Z635" t="s">
        <v>2040</v>
      </c>
      <c r="AA635">
        <v>65122</v>
      </c>
      <c r="AB635" t="s">
        <v>11</v>
      </c>
    </row>
    <row r="636" spans="1:28" x14ac:dyDescent="0.25">
      <c r="A636" t="s">
        <v>3439</v>
      </c>
      <c r="B636" t="s">
        <v>3439</v>
      </c>
      <c r="C636" t="s">
        <v>3440</v>
      </c>
      <c r="D636" t="s">
        <v>3441</v>
      </c>
      <c r="E636" t="s">
        <v>770</v>
      </c>
      <c r="F636" t="s">
        <v>771</v>
      </c>
      <c r="G636" t="s">
        <v>1854</v>
      </c>
      <c r="J636" t="s">
        <v>783</v>
      </c>
      <c r="K636" t="s">
        <v>1873</v>
      </c>
      <c r="L636" t="s">
        <v>840</v>
      </c>
      <c r="M636" t="s">
        <v>26</v>
      </c>
      <c r="N636" t="s">
        <v>770</v>
      </c>
      <c r="O636">
        <v>1</v>
      </c>
      <c r="P636" t="s">
        <v>776</v>
      </c>
      <c r="Q636">
        <v>34.9</v>
      </c>
      <c r="R636">
        <v>6.29</v>
      </c>
      <c r="Y636" t="s">
        <v>3442</v>
      </c>
      <c r="Z636" t="s">
        <v>2158</v>
      </c>
      <c r="AA636">
        <v>24030</v>
      </c>
      <c r="AB636" t="s">
        <v>11</v>
      </c>
    </row>
    <row r="637" spans="1:28" x14ac:dyDescent="0.25">
      <c r="A637" t="s">
        <v>3443</v>
      </c>
      <c r="B637" t="s">
        <v>3443</v>
      </c>
      <c r="C637" t="s">
        <v>3444</v>
      </c>
      <c r="D637" t="s">
        <v>3445</v>
      </c>
      <c r="E637" t="s">
        <v>770</v>
      </c>
      <c r="F637" t="s">
        <v>771</v>
      </c>
      <c r="G637" t="s">
        <v>1854</v>
      </c>
      <c r="J637" t="s">
        <v>783</v>
      </c>
      <c r="K637" t="s">
        <v>1855</v>
      </c>
      <c r="L637" t="s">
        <v>1856</v>
      </c>
      <c r="M637" t="s">
        <v>12</v>
      </c>
      <c r="N637" t="s">
        <v>770</v>
      </c>
      <c r="O637">
        <v>1</v>
      </c>
      <c r="P637" t="s">
        <v>776</v>
      </c>
      <c r="Q637">
        <v>19.899999999999999</v>
      </c>
      <c r="R637">
        <v>3.59</v>
      </c>
      <c r="Y637" t="s">
        <v>2597</v>
      </c>
      <c r="Z637" t="s">
        <v>2597</v>
      </c>
      <c r="AA637">
        <v>70132</v>
      </c>
      <c r="AB637" t="s">
        <v>11</v>
      </c>
    </row>
    <row r="638" spans="1:28" x14ac:dyDescent="0.25">
      <c r="A638" t="s">
        <v>3446</v>
      </c>
      <c r="B638" t="s">
        <v>3446</v>
      </c>
      <c r="C638" t="s">
        <v>3447</v>
      </c>
      <c r="D638" t="s">
        <v>3448</v>
      </c>
      <c r="E638" t="s">
        <v>770</v>
      </c>
      <c r="F638" t="s">
        <v>771</v>
      </c>
      <c r="G638" t="s">
        <v>1854</v>
      </c>
      <c r="J638" t="s">
        <v>783</v>
      </c>
      <c r="K638" t="s">
        <v>1930</v>
      </c>
      <c r="L638" t="s">
        <v>775</v>
      </c>
      <c r="M638" t="s">
        <v>65</v>
      </c>
      <c r="N638" t="s">
        <v>770</v>
      </c>
      <c r="O638">
        <v>1</v>
      </c>
      <c r="P638" t="s">
        <v>776</v>
      </c>
      <c r="Q638">
        <v>29.9</v>
      </c>
      <c r="R638">
        <v>5.39</v>
      </c>
      <c r="Y638" t="s">
        <v>1892</v>
      </c>
      <c r="Z638" t="s">
        <v>1893</v>
      </c>
      <c r="AA638">
        <v>10093</v>
      </c>
      <c r="AB638" t="s">
        <v>11</v>
      </c>
    </row>
    <row r="639" spans="1:28" x14ac:dyDescent="0.25">
      <c r="A639" t="s">
        <v>3449</v>
      </c>
      <c r="B639" t="s">
        <v>3449</v>
      </c>
      <c r="C639" t="s">
        <v>3450</v>
      </c>
      <c r="D639" t="s">
        <v>3451</v>
      </c>
      <c r="E639" t="s">
        <v>770</v>
      </c>
      <c r="F639" t="s">
        <v>771</v>
      </c>
      <c r="G639" t="s">
        <v>1854</v>
      </c>
      <c r="J639" t="s">
        <v>783</v>
      </c>
      <c r="K639" t="s">
        <v>2712</v>
      </c>
      <c r="L639" t="s">
        <v>1800</v>
      </c>
      <c r="M639" t="s">
        <v>14</v>
      </c>
      <c r="N639" t="s">
        <v>770</v>
      </c>
      <c r="O639">
        <v>1</v>
      </c>
      <c r="P639" t="s">
        <v>776</v>
      </c>
      <c r="Q639">
        <v>14.9</v>
      </c>
      <c r="R639">
        <v>2.69</v>
      </c>
      <c r="Y639" t="s">
        <v>3452</v>
      </c>
      <c r="Z639" t="s">
        <v>3453</v>
      </c>
      <c r="AA639">
        <v>33049</v>
      </c>
      <c r="AB639" t="s">
        <v>11</v>
      </c>
    </row>
    <row r="640" spans="1:28" x14ac:dyDescent="0.25">
      <c r="A640" t="s">
        <v>3454</v>
      </c>
      <c r="B640" t="s">
        <v>3454</v>
      </c>
      <c r="C640" t="s">
        <v>3455</v>
      </c>
      <c r="D640" t="s">
        <v>3456</v>
      </c>
      <c r="E640" t="s">
        <v>770</v>
      </c>
      <c r="F640" t="s">
        <v>771</v>
      </c>
      <c r="G640" t="s">
        <v>1854</v>
      </c>
      <c r="J640" t="s">
        <v>783</v>
      </c>
      <c r="K640" t="s">
        <v>1855</v>
      </c>
      <c r="L640" t="s">
        <v>1856</v>
      </c>
      <c r="M640" t="s">
        <v>12</v>
      </c>
      <c r="N640" t="s">
        <v>770</v>
      </c>
      <c r="O640">
        <v>1</v>
      </c>
      <c r="P640" t="s">
        <v>776</v>
      </c>
      <c r="Q640">
        <v>19.899999999999999</v>
      </c>
      <c r="R640">
        <v>3.59</v>
      </c>
      <c r="Y640" t="s">
        <v>3457</v>
      </c>
      <c r="Z640" t="s">
        <v>2051</v>
      </c>
      <c r="AA640">
        <v>95041</v>
      </c>
      <c r="AB640" t="s">
        <v>11</v>
      </c>
    </row>
    <row r="641" spans="1:35" x14ac:dyDescent="0.25">
      <c r="A641" t="s">
        <v>3458</v>
      </c>
      <c r="B641" t="s">
        <v>3458</v>
      </c>
      <c r="C641" t="s">
        <v>3459</v>
      </c>
      <c r="D641" t="s">
        <v>3460</v>
      </c>
      <c r="E641" t="s">
        <v>770</v>
      </c>
      <c r="F641" t="s">
        <v>771</v>
      </c>
      <c r="G641" t="s">
        <v>1854</v>
      </c>
      <c r="J641" t="s">
        <v>783</v>
      </c>
      <c r="K641" t="s">
        <v>1855</v>
      </c>
      <c r="L641" t="s">
        <v>1856</v>
      </c>
      <c r="M641" t="s">
        <v>12</v>
      </c>
      <c r="N641" t="s">
        <v>770</v>
      </c>
      <c r="O641">
        <v>1</v>
      </c>
      <c r="P641" t="s">
        <v>776</v>
      </c>
      <c r="Q641">
        <v>19.899999999999999</v>
      </c>
      <c r="R641">
        <v>3.59</v>
      </c>
      <c r="Y641" t="s">
        <v>3461</v>
      </c>
      <c r="Z641" t="s">
        <v>1893</v>
      </c>
      <c r="AA641">
        <v>10020</v>
      </c>
      <c r="AB641" t="s">
        <v>11</v>
      </c>
    </row>
    <row r="642" spans="1:35" x14ac:dyDescent="0.25">
      <c r="A642" t="s">
        <v>3462</v>
      </c>
      <c r="B642" t="s">
        <v>3462</v>
      </c>
      <c r="C642" t="s">
        <v>3463</v>
      </c>
      <c r="D642" t="s">
        <v>2845</v>
      </c>
      <c r="E642" t="s">
        <v>770</v>
      </c>
      <c r="F642" t="s">
        <v>771</v>
      </c>
      <c r="G642" t="s">
        <v>1854</v>
      </c>
      <c r="J642" t="s">
        <v>783</v>
      </c>
      <c r="K642" t="s">
        <v>1855</v>
      </c>
      <c r="L642" t="s">
        <v>1856</v>
      </c>
      <c r="M642" t="s">
        <v>12</v>
      </c>
      <c r="N642" t="s">
        <v>770</v>
      </c>
      <c r="O642">
        <v>1</v>
      </c>
      <c r="P642" t="s">
        <v>776</v>
      </c>
      <c r="Q642">
        <v>19.899999999999999</v>
      </c>
      <c r="R642">
        <v>3.59</v>
      </c>
      <c r="Y642" t="s">
        <v>3464</v>
      </c>
      <c r="Z642" t="s">
        <v>3465</v>
      </c>
      <c r="AA642">
        <v>13046</v>
      </c>
      <c r="AB642" t="s">
        <v>11</v>
      </c>
    </row>
    <row r="643" spans="1:35" x14ac:dyDescent="0.25">
      <c r="A643" t="s">
        <v>3466</v>
      </c>
      <c r="B643" t="s">
        <v>3466</v>
      </c>
      <c r="C643" t="s">
        <v>3467</v>
      </c>
      <c r="D643" t="s">
        <v>3468</v>
      </c>
      <c r="E643" t="s">
        <v>770</v>
      </c>
      <c r="F643" t="s">
        <v>771</v>
      </c>
      <c r="G643" t="s">
        <v>1854</v>
      </c>
      <c r="J643" t="s">
        <v>783</v>
      </c>
      <c r="K643" t="s">
        <v>1855</v>
      </c>
      <c r="L643" t="s">
        <v>1856</v>
      </c>
      <c r="M643" t="s">
        <v>12</v>
      </c>
      <c r="N643" t="s">
        <v>770</v>
      </c>
      <c r="O643">
        <v>1</v>
      </c>
      <c r="P643" t="s">
        <v>776</v>
      </c>
      <c r="Q643">
        <v>19.899999999999999</v>
      </c>
      <c r="R643">
        <v>3.59</v>
      </c>
      <c r="Y643" t="s">
        <v>3469</v>
      </c>
      <c r="Z643" t="s">
        <v>1875</v>
      </c>
      <c r="AA643">
        <v>20121</v>
      </c>
      <c r="AB643" t="s">
        <v>11</v>
      </c>
    </row>
    <row r="644" spans="1:35" x14ac:dyDescent="0.25">
      <c r="A644" t="s">
        <v>3470</v>
      </c>
      <c r="B644" t="s">
        <v>3470</v>
      </c>
      <c r="C644" t="s">
        <v>3471</v>
      </c>
      <c r="D644" t="s">
        <v>3472</v>
      </c>
      <c r="E644" t="s">
        <v>770</v>
      </c>
      <c r="F644" t="s">
        <v>771</v>
      </c>
      <c r="G644" t="s">
        <v>1854</v>
      </c>
      <c r="J644" t="s">
        <v>783</v>
      </c>
      <c r="K644" t="s">
        <v>1862</v>
      </c>
      <c r="L644" t="s">
        <v>1505</v>
      </c>
      <c r="M644" t="s">
        <v>53</v>
      </c>
      <c r="N644" t="s">
        <v>770</v>
      </c>
      <c r="O644">
        <v>1</v>
      </c>
      <c r="P644" t="s">
        <v>776</v>
      </c>
      <c r="Q644">
        <v>32.9</v>
      </c>
      <c r="R644">
        <v>5.93</v>
      </c>
      <c r="Y644" t="s">
        <v>3473</v>
      </c>
      <c r="Z644" t="s">
        <v>2158</v>
      </c>
      <c r="AA644">
        <v>24030</v>
      </c>
      <c r="AB644" t="s">
        <v>11</v>
      </c>
    </row>
    <row r="645" spans="1:35" x14ac:dyDescent="0.25">
      <c r="A645" t="s">
        <v>3474</v>
      </c>
      <c r="B645" t="s">
        <v>3474</v>
      </c>
      <c r="C645" t="s">
        <v>3475</v>
      </c>
      <c r="D645" t="s">
        <v>3476</v>
      </c>
      <c r="E645" t="s">
        <v>770</v>
      </c>
      <c r="F645" t="s">
        <v>771</v>
      </c>
      <c r="G645" t="s">
        <v>1854</v>
      </c>
      <c r="J645" t="s">
        <v>783</v>
      </c>
      <c r="K645" t="s">
        <v>1862</v>
      </c>
      <c r="L645" t="s">
        <v>1505</v>
      </c>
      <c r="M645" t="s">
        <v>53</v>
      </c>
      <c r="N645" t="s">
        <v>770</v>
      </c>
      <c r="O645">
        <v>1</v>
      </c>
      <c r="P645" t="s">
        <v>776</v>
      </c>
      <c r="Q645">
        <v>32.9</v>
      </c>
      <c r="R645">
        <v>5.93</v>
      </c>
      <c r="Y645" t="s">
        <v>2945</v>
      </c>
      <c r="Z645" t="s">
        <v>2025</v>
      </c>
      <c r="AA645">
        <v>80056</v>
      </c>
      <c r="AB645" t="s">
        <v>11</v>
      </c>
    </row>
    <row r="646" spans="1:35" x14ac:dyDescent="0.25">
      <c r="A646" t="s">
        <v>3477</v>
      </c>
      <c r="C646" t="s">
        <v>3478</v>
      </c>
      <c r="D646" t="s">
        <v>3479</v>
      </c>
      <c r="E646" t="s">
        <v>770</v>
      </c>
      <c r="F646" t="s">
        <v>1884</v>
      </c>
      <c r="G646" t="s">
        <v>1854</v>
      </c>
      <c r="H646" t="s">
        <v>1885</v>
      </c>
      <c r="J646" t="s">
        <v>773</v>
      </c>
      <c r="K646" t="s">
        <v>1886</v>
      </c>
      <c r="L646" t="s">
        <v>18</v>
      </c>
      <c r="M646" t="s">
        <v>17</v>
      </c>
      <c r="N646" t="s">
        <v>770</v>
      </c>
      <c r="O646">
        <v>1</v>
      </c>
      <c r="P646" t="s">
        <v>776</v>
      </c>
      <c r="Q646">
        <v>22.9</v>
      </c>
      <c r="R646">
        <v>4.13</v>
      </c>
      <c r="S646">
        <v>3</v>
      </c>
      <c r="T646">
        <v>0.54</v>
      </c>
      <c r="Y646" t="s">
        <v>3480</v>
      </c>
      <c r="Z646" t="s">
        <v>3481</v>
      </c>
      <c r="AA646">
        <v>29010</v>
      </c>
      <c r="AB646" t="s">
        <v>11</v>
      </c>
    </row>
    <row r="647" spans="1:35" x14ac:dyDescent="0.25">
      <c r="A647" t="s">
        <v>3482</v>
      </c>
      <c r="B647" t="s">
        <v>3482</v>
      </c>
      <c r="C647" t="s">
        <v>3483</v>
      </c>
      <c r="D647" t="s">
        <v>3484</v>
      </c>
      <c r="E647" t="s">
        <v>770</v>
      </c>
      <c r="F647" t="s">
        <v>771</v>
      </c>
      <c r="G647" t="s">
        <v>1854</v>
      </c>
      <c r="I647" t="s">
        <v>2692</v>
      </c>
      <c r="J647" t="s">
        <v>783</v>
      </c>
      <c r="K647" t="s">
        <v>2712</v>
      </c>
      <c r="L647" t="s">
        <v>1800</v>
      </c>
      <c r="M647" t="s">
        <v>14</v>
      </c>
      <c r="N647" t="s">
        <v>770</v>
      </c>
      <c r="O647">
        <v>1</v>
      </c>
      <c r="P647" t="s">
        <v>776</v>
      </c>
      <c r="Q647">
        <v>14.9</v>
      </c>
      <c r="R647">
        <v>2.69</v>
      </c>
      <c r="Y647" t="s">
        <v>2693</v>
      </c>
      <c r="Z647" t="s">
        <v>2148</v>
      </c>
      <c r="AA647">
        <v>45020</v>
      </c>
      <c r="AB647" t="s">
        <v>11</v>
      </c>
    </row>
    <row r="648" spans="1:35" x14ac:dyDescent="0.25">
      <c r="A648" t="s">
        <v>3485</v>
      </c>
      <c r="B648" t="s">
        <v>3485</v>
      </c>
      <c r="C648" t="s">
        <v>3486</v>
      </c>
      <c r="D648" t="s">
        <v>3487</v>
      </c>
      <c r="E648" t="s">
        <v>770</v>
      </c>
      <c r="F648" t="s">
        <v>771</v>
      </c>
      <c r="G648" t="s">
        <v>1854</v>
      </c>
      <c r="J648" t="s">
        <v>783</v>
      </c>
      <c r="K648" t="s">
        <v>2252</v>
      </c>
      <c r="L648" t="s">
        <v>2253</v>
      </c>
      <c r="M648" t="s">
        <v>73</v>
      </c>
      <c r="N648" t="s">
        <v>770</v>
      </c>
      <c r="O648">
        <v>4</v>
      </c>
      <c r="P648" t="s">
        <v>776</v>
      </c>
      <c r="Q648">
        <v>67.599999999999994</v>
      </c>
      <c r="R648">
        <v>12.2</v>
      </c>
      <c r="Y648" t="s">
        <v>1913</v>
      </c>
      <c r="Z648" t="s">
        <v>1913</v>
      </c>
      <c r="AA648">
        <v>198</v>
      </c>
      <c r="AB648" t="s">
        <v>11</v>
      </c>
      <c r="AG648">
        <v>1781930795</v>
      </c>
      <c r="AH648" t="s">
        <v>11</v>
      </c>
      <c r="AI648" t="s">
        <v>1258</v>
      </c>
    </row>
    <row r="649" spans="1:35" x14ac:dyDescent="0.25">
      <c r="A649" t="s">
        <v>3488</v>
      </c>
      <c r="B649" t="s">
        <v>3488</v>
      </c>
      <c r="C649" t="s">
        <v>3489</v>
      </c>
      <c r="D649" t="s">
        <v>3490</v>
      </c>
      <c r="E649" t="s">
        <v>770</v>
      </c>
      <c r="F649" t="s">
        <v>771</v>
      </c>
      <c r="G649" t="s">
        <v>1854</v>
      </c>
      <c r="J649" t="s">
        <v>783</v>
      </c>
      <c r="K649" t="s">
        <v>1855</v>
      </c>
      <c r="L649" t="s">
        <v>1856</v>
      </c>
      <c r="M649" t="s">
        <v>12</v>
      </c>
      <c r="N649" t="s">
        <v>770</v>
      </c>
      <c r="O649">
        <v>1</v>
      </c>
      <c r="P649" t="s">
        <v>776</v>
      </c>
      <c r="Q649">
        <v>19.899999999999999</v>
      </c>
      <c r="R649">
        <v>3.59</v>
      </c>
      <c r="Y649" t="s">
        <v>3491</v>
      </c>
      <c r="Z649" t="s">
        <v>2473</v>
      </c>
      <c r="AA649">
        <v>70017</v>
      </c>
      <c r="AB649" t="s">
        <v>11</v>
      </c>
    </row>
    <row r="650" spans="1:35" x14ac:dyDescent="0.25">
      <c r="A650" t="s">
        <v>3492</v>
      </c>
      <c r="B650" t="s">
        <v>3492</v>
      </c>
      <c r="C650" t="s">
        <v>3493</v>
      </c>
      <c r="D650" t="s">
        <v>3494</v>
      </c>
      <c r="E650" t="s">
        <v>770</v>
      </c>
      <c r="F650" t="s">
        <v>771</v>
      </c>
      <c r="G650" t="s">
        <v>1854</v>
      </c>
      <c r="J650" t="s">
        <v>783</v>
      </c>
      <c r="K650" t="s">
        <v>1855</v>
      </c>
      <c r="L650" t="s">
        <v>1856</v>
      </c>
      <c r="M650" t="s">
        <v>12</v>
      </c>
      <c r="N650" t="s">
        <v>770</v>
      </c>
      <c r="O650">
        <v>1</v>
      </c>
      <c r="P650" t="s">
        <v>776</v>
      </c>
      <c r="Q650">
        <v>19.899999999999999</v>
      </c>
      <c r="R650">
        <v>3.59</v>
      </c>
      <c r="Y650" t="s">
        <v>3495</v>
      </c>
      <c r="Z650" t="s">
        <v>2020</v>
      </c>
      <c r="AA650">
        <v>4100</v>
      </c>
      <c r="AB650" t="s">
        <v>11</v>
      </c>
    </row>
    <row r="651" spans="1:35" x14ac:dyDescent="0.25">
      <c r="A651" t="s">
        <v>3496</v>
      </c>
      <c r="B651" t="s">
        <v>3496</v>
      </c>
      <c r="C651" t="s">
        <v>3497</v>
      </c>
      <c r="D651" t="s">
        <v>3498</v>
      </c>
      <c r="E651" t="s">
        <v>770</v>
      </c>
      <c r="F651" t="s">
        <v>771</v>
      </c>
      <c r="G651" t="s">
        <v>1854</v>
      </c>
      <c r="J651" t="s">
        <v>783</v>
      </c>
      <c r="K651" t="s">
        <v>1862</v>
      </c>
      <c r="L651" t="s">
        <v>1505</v>
      </c>
      <c r="M651" t="s">
        <v>53</v>
      </c>
      <c r="N651" t="s">
        <v>770</v>
      </c>
      <c r="O651">
        <v>1</v>
      </c>
      <c r="P651" t="s">
        <v>776</v>
      </c>
      <c r="Q651">
        <v>32.9</v>
      </c>
      <c r="R651">
        <v>5.93</v>
      </c>
      <c r="Y651" t="s">
        <v>3499</v>
      </c>
      <c r="Z651" t="s">
        <v>3500</v>
      </c>
      <c r="AA651">
        <v>4013</v>
      </c>
      <c r="AB651" t="s">
        <v>11</v>
      </c>
    </row>
    <row r="652" spans="1:35" x14ac:dyDescent="0.25">
      <c r="A652" t="s">
        <v>3501</v>
      </c>
      <c r="B652" t="s">
        <v>3501</v>
      </c>
      <c r="C652" t="s">
        <v>3502</v>
      </c>
      <c r="D652" t="s">
        <v>3503</v>
      </c>
      <c r="E652" t="s">
        <v>770</v>
      </c>
      <c r="F652" t="s">
        <v>771</v>
      </c>
      <c r="G652" t="s">
        <v>1854</v>
      </c>
      <c r="J652" t="s">
        <v>783</v>
      </c>
      <c r="K652" t="s">
        <v>1862</v>
      </c>
      <c r="L652" t="s">
        <v>1505</v>
      </c>
      <c r="M652" t="s">
        <v>53</v>
      </c>
      <c r="N652" t="s">
        <v>770</v>
      </c>
      <c r="O652">
        <v>1</v>
      </c>
      <c r="P652" t="s">
        <v>776</v>
      </c>
      <c r="Q652">
        <v>32.9</v>
      </c>
      <c r="R652">
        <v>5.93</v>
      </c>
      <c r="S652">
        <v>4.99</v>
      </c>
      <c r="T652">
        <v>0.9</v>
      </c>
      <c r="Y652" t="s">
        <v>2585</v>
      </c>
      <c r="Z652" t="s">
        <v>3500</v>
      </c>
      <c r="AA652">
        <v>4011</v>
      </c>
      <c r="AB652" t="s">
        <v>11</v>
      </c>
    </row>
    <row r="653" spans="1:35" x14ac:dyDescent="0.25">
      <c r="A653" t="s">
        <v>3504</v>
      </c>
      <c r="B653" t="s">
        <v>3504</v>
      </c>
      <c r="C653" t="s">
        <v>3505</v>
      </c>
      <c r="D653" t="s">
        <v>3506</v>
      </c>
      <c r="E653" t="s">
        <v>770</v>
      </c>
      <c r="F653" t="s">
        <v>771</v>
      </c>
      <c r="G653" t="s">
        <v>1854</v>
      </c>
      <c r="J653" t="s">
        <v>783</v>
      </c>
      <c r="K653" t="s">
        <v>1855</v>
      </c>
      <c r="L653" t="s">
        <v>1856</v>
      </c>
      <c r="M653" t="s">
        <v>12</v>
      </c>
      <c r="N653" t="s">
        <v>770</v>
      </c>
      <c r="O653">
        <v>1</v>
      </c>
      <c r="P653" t="s">
        <v>776</v>
      </c>
      <c r="Q653">
        <v>19.899999999999999</v>
      </c>
      <c r="R653">
        <v>3.59</v>
      </c>
      <c r="Y653" t="s">
        <v>3507</v>
      </c>
      <c r="Z653" t="s">
        <v>2121</v>
      </c>
      <c r="AA653">
        <v>33028</v>
      </c>
      <c r="AB653" t="s">
        <v>11</v>
      </c>
    </row>
    <row r="654" spans="1:35" x14ac:dyDescent="0.25">
      <c r="A654" t="s">
        <v>3508</v>
      </c>
      <c r="B654" t="s">
        <v>3508</v>
      </c>
      <c r="C654" t="s">
        <v>3509</v>
      </c>
      <c r="D654" t="s">
        <v>3510</v>
      </c>
      <c r="E654" t="s">
        <v>770</v>
      </c>
      <c r="F654" t="s">
        <v>771</v>
      </c>
      <c r="G654" t="s">
        <v>1854</v>
      </c>
      <c r="J654" t="s">
        <v>783</v>
      </c>
      <c r="K654" t="s">
        <v>2319</v>
      </c>
      <c r="L654" t="s">
        <v>1080</v>
      </c>
      <c r="M654" t="s">
        <v>186</v>
      </c>
      <c r="N654" t="s">
        <v>770</v>
      </c>
      <c r="O654">
        <v>1</v>
      </c>
      <c r="P654" t="s">
        <v>776</v>
      </c>
      <c r="Q654">
        <v>39.9</v>
      </c>
      <c r="R654">
        <v>7.2</v>
      </c>
      <c r="Y654" t="s">
        <v>3511</v>
      </c>
      <c r="Z654" t="s">
        <v>3512</v>
      </c>
      <c r="AA654">
        <v>32042</v>
      </c>
      <c r="AB654" t="s">
        <v>11</v>
      </c>
    </row>
    <row r="655" spans="1:35" x14ac:dyDescent="0.25">
      <c r="A655" t="s">
        <v>3513</v>
      </c>
      <c r="B655" t="s">
        <v>3513</v>
      </c>
      <c r="C655" t="s">
        <v>3514</v>
      </c>
      <c r="D655" t="s">
        <v>3515</v>
      </c>
      <c r="E655" t="s">
        <v>770</v>
      </c>
      <c r="F655" t="s">
        <v>771</v>
      </c>
      <c r="G655" t="s">
        <v>1854</v>
      </c>
      <c r="J655" t="s">
        <v>783</v>
      </c>
      <c r="K655" t="s">
        <v>1873</v>
      </c>
      <c r="L655" t="s">
        <v>840</v>
      </c>
      <c r="M655" t="s">
        <v>26</v>
      </c>
      <c r="N655" t="s">
        <v>770</v>
      </c>
      <c r="O655">
        <v>1</v>
      </c>
      <c r="P655" t="s">
        <v>776</v>
      </c>
      <c r="Q655">
        <v>34.9</v>
      </c>
      <c r="R655">
        <v>6.29</v>
      </c>
      <c r="Y655" t="s">
        <v>2051</v>
      </c>
      <c r="Z655" t="s">
        <v>2051</v>
      </c>
      <c r="AA655">
        <v>95129</v>
      </c>
      <c r="AB655" t="s">
        <v>11</v>
      </c>
    </row>
    <row r="656" spans="1:35" x14ac:dyDescent="0.25">
      <c r="A656" t="s">
        <v>3516</v>
      </c>
      <c r="B656" t="s">
        <v>3516</v>
      </c>
      <c r="C656" t="s">
        <v>3517</v>
      </c>
      <c r="D656" t="s">
        <v>3518</v>
      </c>
      <c r="E656" t="s">
        <v>770</v>
      </c>
      <c r="F656" t="s">
        <v>771</v>
      </c>
      <c r="G656" t="s">
        <v>1854</v>
      </c>
      <c r="J656" t="s">
        <v>783</v>
      </c>
      <c r="K656" t="s">
        <v>2712</v>
      </c>
      <c r="L656" t="s">
        <v>1800</v>
      </c>
      <c r="M656" t="s">
        <v>14</v>
      </c>
      <c r="N656" t="s">
        <v>770</v>
      </c>
      <c r="O656">
        <v>1</v>
      </c>
      <c r="P656" t="s">
        <v>776</v>
      </c>
      <c r="Q656">
        <v>14.9</v>
      </c>
      <c r="R656">
        <v>2.69</v>
      </c>
      <c r="Y656" t="s">
        <v>3519</v>
      </c>
      <c r="Z656" t="s">
        <v>1937</v>
      </c>
      <c r="AA656">
        <v>24030</v>
      </c>
      <c r="AB656" t="s">
        <v>11</v>
      </c>
    </row>
    <row r="657" spans="1:35" x14ac:dyDescent="0.25">
      <c r="A657" t="s">
        <v>3520</v>
      </c>
      <c r="B657" t="s">
        <v>3520</v>
      </c>
      <c r="C657" t="s">
        <v>3521</v>
      </c>
      <c r="D657" t="s">
        <v>3522</v>
      </c>
      <c r="E657" t="s">
        <v>770</v>
      </c>
      <c r="F657" t="s">
        <v>771</v>
      </c>
      <c r="G657" t="s">
        <v>1854</v>
      </c>
      <c r="J657" t="s">
        <v>783</v>
      </c>
      <c r="K657" t="s">
        <v>2252</v>
      </c>
      <c r="L657" t="s">
        <v>2253</v>
      </c>
      <c r="M657" t="s">
        <v>73</v>
      </c>
      <c r="N657" t="s">
        <v>770</v>
      </c>
      <c r="O657">
        <v>1</v>
      </c>
      <c r="P657" t="s">
        <v>776</v>
      </c>
      <c r="Q657">
        <v>16.899999999999999</v>
      </c>
      <c r="R657">
        <v>3.05</v>
      </c>
      <c r="Y657" t="s">
        <v>2174</v>
      </c>
      <c r="Z657" t="s">
        <v>2174</v>
      </c>
      <c r="AA657">
        <v>80123</v>
      </c>
      <c r="AB657" t="s">
        <v>11</v>
      </c>
    </row>
    <row r="658" spans="1:35" x14ac:dyDescent="0.25">
      <c r="A658" t="s">
        <v>3523</v>
      </c>
      <c r="B658" t="s">
        <v>3523</v>
      </c>
      <c r="C658" t="s">
        <v>3524</v>
      </c>
      <c r="D658" t="s">
        <v>3525</v>
      </c>
      <c r="E658" t="s">
        <v>770</v>
      </c>
      <c r="F658" t="s">
        <v>771</v>
      </c>
      <c r="G658" t="s">
        <v>1854</v>
      </c>
      <c r="J658" t="s">
        <v>783</v>
      </c>
      <c r="K658" t="s">
        <v>1855</v>
      </c>
      <c r="L658" t="s">
        <v>1856</v>
      </c>
      <c r="M658" t="s">
        <v>12</v>
      </c>
      <c r="N658" t="s">
        <v>770</v>
      </c>
      <c r="O658">
        <v>1</v>
      </c>
      <c r="P658" t="s">
        <v>776</v>
      </c>
      <c r="Q658">
        <v>19.899999999999999</v>
      </c>
      <c r="R658">
        <v>3.59</v>
      </c>
      <c r="Y658" t="s">
        <v>3526</v>
      </c>
      <c r="Z658" t="s">
        <v>3527</v>
      </c>
      <c r="AA658">
        <v>13873</v>
      </c>
      <c r="AB658" t="s">
        <v>11</v>
      </c>
    </row>
    <row r="659" spans="1:35" x14ac:dyDescent="0.25">
      <c r="A659" t="s">
        <v>3528</v>
      </c>
      <c r="B659" t="s">
        <v>3528</v>
      </c>
      <c r="C659" t="s">
        <v>3529</v>
      </c>
      <c r="D659" t="s">
        <v>3530</v>
      </c>
      <c r="E659" t="s">
        <v>770</v>
      </c>
      <c r="F659" t="s">
        <v>771</v>
      </c>
      <c r="G659" t="s">
        <v>1854</v>
      </c>
      <c r="J659" t="s">
        <v>783</v>
      </c>
      <c r="K659" t="s">
        <v>1930</v>
      </c>
      <c r="L659" t="s">
        <v>775</v>
      </c>
      <c r="M659" t="s">
        <v>65</v>
      </c>
      <c r="N659" t="s">
        <v>770</v>
      </c>
      <c r="O659">
        <v>1</v>
      </c>
      <c r="P659" t="s">
        <v>776</v>
      </c>
      <c r="Q659">
        <v>29.9</v>
      </c>
      <c r="R659">
        <v>5.39</v>
      </c>
      <c r="Y659" t="s">
        <v>2437</v>
      </c>
      <c r="Z659" t="s">
        <v>2040</v>
      </c>
      <c r="AA659">
        <v>65019</v>
      </c>
      <c r="AB659" t="s">
        <v>11</v>
      </c>
    </row>
    <row r="660" spans="1:35" x14ac:dyDescent="0.25">
      <c r="A660" t="s">
        <v>3531</v>
      </c>
      <c r="B660" t="s">
        <v>3531</v>
      </c>
      <c r="C660" t="s">
        <v>3532</v>
      </c>
      <c r="D660" t="s">
        <v>3533</v>
      </c>
      <c r="E660" t="s">
        <v>770</v>
      </c>
      <c r="F660" t="s">
        <v>771</v>
      </c>
      <c r="G660" t="s">
        <v>1854</v>
      </c>
      <c r="J660" t="s">
        <v>783</v>
      </c>
      <c r="K660" t="s">
        <v>1855</v>
      </c>
      <c r="L660" t="s">
        <v>1856</v>
      </c>
      <c r="M660" t="s">
        <v>12</v>
      </c>
      <c r="N660" t="s">
        <v>770</v>
      </c>
      <c r="O660">
        <v>1</v>
      </c>
      <c r="P660" t="s">
        <v>776</v>
      </c>
      <c r="Q660">
        <v>19.899999999999999</v>
      </c>
      <c r="R660">
        <v>3.59</v>
      </c>
      <c r="Y660" t="s">
        <v>1917</v>
      </c>
      <c r="Z660" t="s">
        <v>1864</v>
      </c>
      <c r="AA660">
        <v>20122</v>
      </c>
      <c r="AB660" t="s">
        <v>11</v>
      </c>
    </row>
    <row r="661" spans="1:35" x14ac:dyDescent="0.25">
      <c r="A661" t="s">
        <v>3534</v>
      </c>
      <c r="B661" t="s">
        <v>3534</v>
      </c>
      <c r="C661" t="s">
        <v>3535</v>
      </c>
      <c r="D661" t="s">
        <v>3536</v>
      </c>
      <c r="E661" t="s">
        <v>770</v>
      </c>
      <c r="F661" t="s">
        <v>771</v>
      </c>
      <c r="G661" t="s">
        <v>1854</v>
      </c>
      <c r="I661" t="s">
        <v>2692</v>
      </c>
      <c r="J661" t="s">
        <v>783</v>
      </c>
      <c r="K661" t="s">
        <v>2712</v>
      </c>
      <c r="L661" t="s">
        <v>1800</v>
      </c>
      <c r="M661" t="s">
        <v>14</v>
      </c>
      <c r="N661" t="s">
        <v>770</v>
      </c>
      <c r="O661">
        <v>1</v>
      </c>
      <c r="P661" t="s">
        <v>776</v>
      </c>
      <c r="Q661">
        <v>14.9</v>
      </c>
      <c r="R661">
        <v>2.69</v>
      </c>
      <c r="Y661" t="s">
        <v>2693</v>
      </c>
      <c r="Z661" t="s">
        <v>2148</v>
      </c>
      <c r="AA661">
        <v>45020</v>
      </c>
      <c r="AB661" t="s">
        <v>11</v>
      </c>
    </row>
    <row r="662" spans="1:35" x14ac:dyDescent="0.25">
      <c r="A662" t="s">
        <v>3537</v>
      </c>
      <c r="B662" t="s">
        <v>3537</v>
      </c>
      <c r="C662" t="s">
        <v>3538</v>
      </c>
      <c r="D662" t="s">
        <v>3539</v>
      </c>
      <c r="E662" t="s">
        <v>770</v>
      </c>
      <c r="F662" t="s">
        <v>771</v>
      </c>
      <c r="G662" t="s">
        <v>1854</v>
      </c>
      <c r="J662" t="s">
        <v>783</v>
      </c>
      <c r="K662" t="s">
        <v>1873</v>
      </c>
      <c r="L662" t="s">
        <v>840</v>
      </c>
      <c r="M662" t="s">
        <v>26</v>
      </c>
      <c r="N662" t="s">
        <v>770</v>
      </c>
      <c r="O662">
        <v>1</v>
      </c>
      <c r="P662" t="s">
        <v>776</v>
      </c>
      <c r="Q662">
        <v>34.9</v>
      </c>
      <c r="R662">
        <v>6.29</v>
      </c>
      <c r="Y662" t="s">
        <v>3540</v>
      </c>
      <c r="Z662" t="s">
        <v>2333</v>
      </c>
      <c r="AA662">
        <v>60</v>
      </c>
      <c r="AB662" t="s">
        <v>11</v>
      </c>
    </row>
    <row r="663" spans="1:35" x14ac:dyDescent="0.25">
      <c r="A663" t="s">
        <v>3541</v>
      </c>
      <c r="B663" t="s">
        <v>3541</v>
      </c>
      <c r="C663" t="s">
        <v>3542</v>
      </c>
      <c r="D663" t="s">
        <v>3543</v>
      </c>
      <c r="E663" t="s">
        <v>770</v>
      </c>
      <c r="F663" t="s">
        <v>771</v>
      </c>
      <c r="G663" t="s">
        <v>1854</v>
      </c>
      <c r="J663" t="s">
        <v>783</v>
      </c>
      <c r="K663" t="s">
        <v>3308</v>
      </c>
      <c r="L663" t="s">
        <v>3309</v>
      </c>
      <c r="M663" t="s">
        <v>61</v>
      </c>
      <c r="N663" t="s">
        <v>770</v>
      </c>
      <c r="O663">
        <v>1</v>
      </c>
      <c r="P663" t="s">
        <v>776</v>
      </c>
      <c r="Q663">
        <v>44.9</v>
      </c>
      <c r="R663">
        <v>8.1</v>
      </c>
      <c r="Y663" t="s">
        <v>3544</v>
      </c>
      <c r="Z663" t="s">
        <v>1975</v>
      </c>
      <c r="AA663">
        <v>20098</v>
      </c>
      <c r="AB663" t="s">
        <v>11</v>
      </c>
    </row>
    <row r="664" spans="1:35" x14ac:dyDescent="0.25">
      <c r="A664" t="s">
        <v>3545</v>
      </c>
      <c r="B664" t="s">
        <v>3545</v>
      </c>
      <c r="C664" t="s">
        <v>3546</v>
      </c>
      <c r="D664" t="s">
        <v>3547</v>
      </c>
      <c r="E664" t="s">
        <v>770</v>
      </c>
      <c r="F664" t="s">
        <v>771</v>
      </c>
      <c r="G664" t="s">
        <v>1854</v>
      </c>
      <c r="I664" t="s">
        <v>2692</v>
      </c>
      <c r="J664" t="s">
        <v>783</v>
      </c>
      <c r="K664" t="s">
        <v>1862</v>
      </c>
      <c r="L664" t="s">
        <v>1505</v>
      </c>
      <c r="M664" t="s">
        <v>53</v>
      </c>
      <c r="N664" t="s">
        <v>770</v>
      </c>
      <c r="O664">
        <v>1</v>
      </c>
      <c r="P664" t="s">
        <v>776</v>
      </c>
      <c r="Q664">
        <v>32.9</v>
      </c>
      <c r="R664">
        <v>5.93</v>
      </c>
      <c r="Y664" t="s">
        <v>2693</v>
      </c>
      <c r="Z664" t="s">
        <v>2148</v>
      </c>
      <c r="AA664">
        <v>45020</v>
      </c>
      <c r="AB664" t="s">
        <v>11</v>
      </c>
    </row>
    <row r="665" spans="1:35" x14ac:dyDescent="0.25">
      <c r="A665" t="s">
        <v>3548</v>
      </c>
      <c r="B665" t="s">
        <v>3548</v>
      </c>
      <c r="C665" t="s">
        <v>3549</v>
      </c>
      <c r="D665" t="s">
        <v>3550</v>
      </c>
      <c r="E665" t="s">
        <v>770</v>
      </c>
      <c r="F665" t="s">
        <v>771</v>
      </c>
      <c r="G665" t="s">
        <v>1854</v>
      </c>
      <c r="J665" t="s">
        <v>783</v>
      </c>
      <c r="K665" t="s">
        <v>1873</v>
      </c>
      <c r="L665" t="s">
        <v>840</v>
      </c>
      <c r="M665" t="s">
        <v>26</v>
      </c>
      <c r="N665" t="s">
        <v>770</v>
      </c>
      <c r="O665">
        <v>1</v>
      </c>
      <c r="P665" t="s">
        <v>776</v>
      </c>
      <c r="Q665">
        <v>34.9</v>
      </c>
      <c r="R665">
        <v>6.29</v>
      </c>
      <c r="Y665" t="s">
        <v>3551</v>
      </c>
      <c r="Z665" t="s">
        <v>3552</v>
      </c>
      <c r="AA665">
        <v>2040</v>
      </c>
      <c r="AB665" t="s">
        <v>11</v>
      </c>
    </row>
    <row r="666" spans="1:35" x14ac:dyDescent="0.25">
      <c r="A666" t="s">
        <v>3553</v>
      </c>
      <c r="B666" t="s">
        <v>3553</v>
      </c>
      <c r="C666" t="s">
        <v>3554</v>
      </c>
      <c r="D666" t="s">
        <v>3555</v>
      </c>
      <c r="E666" t="s">
        <v>770</v>
      </c>
      <c r="F666" t="s">
        <v>771</v>
      </c>
      <c r="G666" t="s">
        <v>1854</v>
      </c>
      <c r="I666" t="s">
        <v>2692</v>
      </c>
      <c r="J666" t="s">
        <v>773</v>
      </c>
      <c r="K666" t="s">
        <v>1930</v>
      </c>
      <c r="L666" t="s">
        <v>775</v>
      </c>
      <c r="M666" t="s">
        <v>65</v>
      </c>
      <c r="N666" t="s">
        <v>770</v>
      </c>
      <c r="O666">
        <v>1</v>
      </c>
      <c r="P666" t="s">
        <v>776</v>
      </c>
      <c r="Q666">
        <v>29.9</v>
      </c>
      <c r="R666">
        <v>5.39</v>
      </c>
      <c r="Y666" t="s">
        <v>2693</v>
      </c>
      <c r="Z666" t="s">
        <v>2148</v>
      </c>
      <c r="AA666">
        <v>45020</v>
      </c>
      <c r="AB666" t="s">
        <v>11</v>
      </c>
    </row>
    <row r="667" spans="1:35" x14ac:dyDescent="0.25">
      <c r="A667" t="s">
        <v>3556</v>
      </c>
      <c r="B667" t="s">
        <v>3556</v>
      </c>
      <c r="C667" t="s">
        <v>3557</v>
      </c>
      <c r="D667" t="s">
        <v>3558</v>
      </c>
      <c r="E667" t="s">
        <v>770</v>
      </c>
      <c r="F667" t="s">
        <v>771</v>
      </c>
      <c r="G667" t="s">
        <v>1854</v>
      </c>
      <c r="J667" t="s">
        <v>783</v>
      </c>
      <c r="K667" t="s">
        <v>2248</v>
      </c>
      <c r="L667" t="s">
        <v>2772</v>
      </c>
      <c r="M667" t="s">
        <v>172</v>
      </c>
      <c r="N667" t="s">
        <v>770</v>
      </c>
      <c r="O667">
        <v>1</v>
      </c>
      <c r="P667" t="s">
        <v>776</v>
      </c>
      <c r="Q667">
        <v>39.9</v>
      </c>
      <c r="R667">
        <v>7.2</v>
      </c>
      <c r="Y667" t="s">
        <v>2046</v>
      </c>
      <c r="Z667" t="s">
        <v>3559</v>
      </c>
      <c r="AA667">
        <v>89122</v>
      </c>
      <c r="AB667" t="s">
        <v>11</v>
      </c>
    </row>
    <row r="668" spans="1:35" x14ac:dyDescent="0.25">
      <c r="A668" t="s">
        <v>3560</v>
      </c>
      <c r="B668" t="s">
        <v>3560</v>
      </c>
      <c r="C668" t="s">
        <v>3561</v>
      </c>
      <c r="D668" t="s">
        <v>3562</v>
      </c>
      <c r="E668" t="s">
        <v>770</v>
      </c>
      <c r="F668" t="s">
        <v>771</v>
      </c>
      <c r="G668" t="s">
        <v>1854</v>
      </c>
      <c r="J668" t="s">
        <v>783</v>
      </c>
      <c r="K668" t="s">
        <v>2248</v>
      </c>
      <c r="L668" t="s">
        <v>2772</v>
      </c>
      <c r="M668" t="s">
        <v>172</v>
      </c>
      <c r="N668" t="s">
        <v>770</v>
      </c>
      <c r="O668">
        <v>1</v>
      </c>
      <c r="P668" t="s">
        <v>776</v>
      </c>
      <c r="Q668">
        <v>39.9</v>
      </c>
      <c r="R668">
        <v>7.2</v>
      </c>
      <c r="Y668" t="s">
        <v>3563</v>
      </c>
      <c r="Z668" t="s">
        <v>2975</v>
      </c>
      <c r="AA668">
        <v>74020</v>
      </c>
      <c r="AB668" t="s">
        <v>11</v>
      </c>
    </row>
    <row r="669" spans="1:35" x14ac:dyDescent="0.25">
      <c r="A669" t="s">
        <v>3564</v>
      </c>
      <c r="B669" t="s">
        <v>3564</v>
      </c>
      <c r="C669" t="s">
        <v>3565</v>
      </c>
      <c r="D669" t="s">
        <v>3566</v>
      </c>
      <c r="E669" t="s">
        <v>770</v>
      </c>
      <c r="F669" t="s">
        <v>771</v>
      </c>
      <c r="G669" t="s">
        <v>1854</v>
      </c>
      <c r="J669" t="s">
        <v>783</v>
      </c>
      <c r="K669" t="s">
        <v>1855</v>
      </c>
      <c r="L669" t="s">
        <v>1856</v>
      </c>
      <c r="M669" t="s">
        <v>12</v>
      </c>
      <c r="N669" t="s">
        <v>770</v>
      </c>
      <c r="O669">
        <v>1</v>
      </c>
      <c r="P669" t="s">
        <v>776</v>
      </c>
      <c r="Q669">
        <v>19.899999999999999</v>
      </c>
      <c r="R669">
        <v>3.59</v>
      </c>
      <c r="Y669" t="s">
        <v>3567</v>
      </c>
      <c r="Z669" t="s">
        <v>3089</v>
      </c>
      <c r="AA669">
        <v>25088</v>
      </c>
      <c r="AB669" t="s">
        <v>11</v>
      </c>
      <c r="AG669" t="s">
        <v>3568</v>
      </c>
      <c r="AH669" t="s">
        <v>11</v>
      </c>
      <c r="AI669" t="s">
        <v>1258</v>
      </c>
    </row>
    <row r="670" spans="1:35" x14ac:dyDescent="0.25">
      <c r="A670" t="s">
        <v>3569</v>
      </c>
      <c r="B670" t="s">
        <v>3569</v>
      </c>
      <c r="C670" t="s">
        <v>3570</v>
      </c>
      <c r="D670" t="s">
        <v>3571</v>
      </c>
      <c r="E670" t="s">
        <v>770</v>
      </c>
      <c r="F670" t="s">
        <v>771</v>
      </c>
      <c r="G670" t="s">
        <v>1854</v>
      </c>
      <c r="J670" t="s">
        <v>783</v>
      </c>
      <c r="K670" t="s">
        <v>1855</v>
      </c>
      <c r="L670" t="s">
        <v>1856</v>
      </c>
      <c r="M670" t="s">
        <v>12</v>
      </c>
      <c r="N670" t="s">
        <v>770</v>
      </c>
      <c r="O670">
        <v>1</v>
      </c>
      <c r="P670" t="s">
        <v>776</v>
      </c>
      <c r="Q670">
        <v>19.899999999999999</v>
      </c>
      <c r="R670">
        <v>3.59</v>
      </c>
      <c r="Y670" t="s">
        <v>3572</v>
      </c>
      <c r="Z670" t="s">
        <v>1913</v>
      </c>
      <c r="AA670">
        <v>49</v>
      </c>
      <c r="AB670" t="s">
        <v>11</v>
      </c>
    </row>
    <row r="671" spans="1:35" x14ac:dyDescent="0.25">
      <c r="A671" t="s">
        <v>3573</v>
      </c>
      <c r="B671" t="s">
        <v>3573</v>
      </c>
      <c r="C671" t="s">
        <v>3574</v>
      </c>
      <c r="D671" t="s">
        <v>3575</v>
      </c>
      <c r="E671" t="s">
        <v>770</v>
      </c>
      <c r="F671" t="s">
        <v>771</v>
      </c>
      <c r="G671" t="s">
        <v>1854</v>
      </c>
      <c r="J671" t="s">
        <v>783</v>
      </c>
      <c r="K671" t="s">
        <v>1930</v>
      </c>
      <c r="L671" t="s">
        <v>775</v>
      </c>
      <c r="M671" t="s">
        <v>65</v>
      </c>
      <c r="N671" t="s">
        <v>770</v>
      </c>
      <c r="O671">
        <v>1</v>
      </c>
      <c r="P671" t="s">
        <v>776</v>
      </c>
      <c r="Q671">
        <v>29.9</v>
      </c>
      <c r="R671">
        <v>5.39</v>
      </c>
      <c r="Y671" t="s">
        <v>3576</v>
      </c>
      <c r="Z671" t="s">
        <v>3577</v>
      </c>
      <c r="AA671">
        <v>28021</v>
      </c>
      <c r="AB671" t="s">
        <v>11</v>
      </c>
    </row>
    <row r="672" spans="1:35" x14ac:dyDescent="0.25">
      <c r="A672" t="s">
        <v>3578</v>
      </c>
      <c r="B672" t="s">
        <v>3578</v>
      </c>
      <c r="C672" t="s">
        <v>3579</v>
      </c>
      <c r="D672" t="s">
        <v>3580</v>
      </c>
      <c r="E672" t="s">
        <v>770</v>
      </c>
      <c r="F672" t="s">
        <v>771</v>
      </c>
      <c r="G672" t="s">
        <v>1854</v>
      </c>
      <c r="J672" t="s">
        <v>783</v>
      </c>
      <c r="K672" t="s">
        <v>2162</v>
      </c>
      <c r="L672" t="s">
        <v>2163</v>
      </c>
      <c r="M672" t="s">
        <v>59</v>
      </c>
      <c r="N672" t="s">
        <v>770</v>
      </c>
      <c r="O672">
        <v>1</v>
      </c>
      <c r="P672" t="s">
        <v>776</v>
      </c>
      <c r="Q672">
        <v>29.9</v>
      </c>
      <c r="R672">
        <v>5.39</v>
      </c>
      <c r="Y672" t="s">
        <v>2116</v>
      </c>
      <c r="Z672" t="s">
        <v>2116</v>
      </c>
      <c r="AA672">
        <v>22100</v>
      </c>
      <c r="AB672" t="s">
        <v>11</v>
      </c>
    </row>
    <row r="673" spans="1:35" x14ac:dyDescent="0.25">
      <c r="A673" t="s">
        <v>3581</v>
      </c>
      <c r="B673" t="s">
        <v>3581</v>
      </c>
      <c r="C673" t="s">
        <v>3582</v>
      </c>
      <c r="D673" t="s">
        <v>3583</v>
      </c>
      <c r="E673" t="s">
        <v>770</v>
      </c>
      <c r="F673" t="s">
        <v>771</v>
      </c>
      <c r="G673" t="s">
        <v>1854</v>
      </c>
      <c r="J673" t="s">
        <v>783</v>
      </c>
      <c r="K673" t="s">
        <v>1855</v>
      </c>
      <c r="L673" t="s">
        <v>1856</v>
      </c>
      <c r="M673" t="s">
        <v>12</v>
      </c>
      <c r="N673" t="s">
        <v>770</v>
      </c>
      <c r="O673">
        <v>1</v>
      </c>
      <c r="P673" t="s">
        <v>776</v>
      </c>
      <c r="Q673">
        <v>19.899999999999999</v>
      </c>
      <c r="R673">
        <v>3.59</v>
      </c>
      <c r="Y673" t="s">
        <v>3584</v>
      </c>
      <c r="Z673" t="s">
        <v>3585</v>
      </c>
      <c r="AA673">
        <v>74122</v>
      </c>
      <c r="AB673" t="s">
        <v>11</v>
      </c>
    </row>
    <row r="674" spans="1:35" x14ac:dyDescent="0.25">
      <c r="A674" t="s">
        <v>3586</v>
      </c>
      <c r="B674" t="s">
        <v>3586</v>
      </c>
      <c r="C674" t="s">
        <v>3587</v>
      </c>
      <c r="D674" t="s">
        <v>3588</v>
      </c>
      <c r="E674" t="s">
        <v>770</v>
      </c>
      <c r="F674" t="s">
        <v>771</v>
      </c>
      <c r="G674" t="s">
        <v>1854</v>
      </c>
      <c r="J674" t="s">
        <v>783</v>
      </c>
      <c r="K674" t="s">
        <v>1855</v>
      </c>
      <c r="L674" t="s">
        <v>1856</v>
      </c>
      <c r="M674" t="s">
        <v>12</v>
      </c>
      <c r="N674" t="s">
        <v>770</v>
      </c>
      <c r="O674">
        <v>1</v>
      </c>
      <c r="P674" t="s">
        <v>776</v>
      </c>
      <c r="Q674">
        <v>19.899999999999999</v>
      </c>
      <c r="R674">
        <v>3.59</v>
      </c>
      <c r="S674">
        <v>4.99</v>
      </c>
      <c r="T674">
        <v>0.9</v>
      </c>
      <c r="Y674" t="s">
        <v>3589</v>
      </c>
      <c r="Z674" t="s">
        <v>3590</v>
      </c>
      <c r="AA674">
        <v>60024</v>
      </c>
      <c r="AB674" t="s">
        <v>11</v>
      </c>
    </row>
    <row r="675" spans="1:35" x14ac:dyDescent="0.25">
      <c r="A675" t="s">
        <v>3591</v>
      </c>
      <c r="B675" t="s">
        <v>3591</v>
      </c>
      <c r="C675" t="s">
        <v>3592</v>
      </c>
      <c r="D675" t="s">
        <v>3593</v>
      </c>
      <c r="E675" t="s">
        <v>770</v>
      </c>
      <c r="F675" t="s">
        <v>771</v>
      </c>
      <c r="G675" t="s">
        <v>1854</v>
      </c>
      <c r="J675" t="s">
        <v>783</v>
      </c>
      <c r="K675" t="s">
        <v>1873</v>
      </c>
      <c r="L675" t="s">
        <v>840</v>
      </c>
      <c r="M675" t="s">
        <v>26</v>
      </c>
      <c r="N675" t="s">
        <v>770</v>
      </c>
      <c r="O675">
        <v>1</v>
      </c>
      <c r="P675" t="s">
        <v>776</v>
      </c>
      <c r="Q675">
        <v>34.9</v>
      </c>
      <c r="R675">
        <v>6.29</v>
      </c>
      <c r="Y675" t="s">
        <v>2244</v>
      </c>
      <c r="Z675" t="s">
        <v>3594</v>
      </c>
      <c r="AA675">
        <v>59100</v>
      </c>
      <c r="AB675" t="s">
        <v>11</v>
      </c>
    </row>
    <row r="676" spans="1:35" x14ac:dyDescent="0.25">
      <c r="A676" t="s">
        <v>3595</v>
      </c>
      <c r="B676" t="s">
        <v>3595</v>
      </c>
      <c r="C676" t="s">
        <v>3596</v>
      </c>
      <c r="D676" t="s">
        <v>3597</v>
      </c>
      <c r="E676" t="s">
        <v>770</v>
      </c>
      <c r="F676" t="s">
        <v>771</v>
      </c>
      <c r="G676" t="s">
        <v>1854</v>
      </c>
      <c r="J676" t="s">
        <v>783</v>
      </c>
      <c r="K676" t="s">
        <v>1855</v>
      </c>
      <c r="L676" t="s">
        <v>1856</v>
      </c>
      <c r="M676" t="s">
        <v>12</v>
      </c>
      <c r="N676" t="s">
        <v>770</v>
      </c>
      <c r="O676">
        <v>2</v>
      </c>
      <c r="P676" t="s">
        <v>776</v>
      </c>
      <c r="Q676">
        <v>39.799999999999997</v>
      </c>
      <c r="R676">
        <v>7.18</v>
      </c>
      <c r="Y676" t="s">
        <v>3598</v>
      </c>
      <c r="Z676" t="s">
        <v>3369</v>
      </c>
      <c r="AA676">
        <v>72022</v>
      </c>
      <c r="AB676" t="s">
        <v>11</v>
      </c>
    </row>
    <row r="677" spans="1:35" x14ac:dyDescent="0.25">
      <c r="A677" t="s">
        <v>3599</v>
      </c>
      <c r="C677" t="s">
        <v>3600</v>
      </c>
      <c r="D677" t="s">
        <v>3601</v>
      </c>
      <c r="E677" t="s">
        <v>770</v>
      </c>
      <c r="F677" t="s">
        <v>1884</v>
      </c>
      <c r="G677" t="s">
        <v>1854</v>
      </c>
      <c r="H677" t="s">
        <v>1885</v>
      </c>
      <c r="J677" t="s">
        <v>773</v>
      </c>
      <c r="K677" t="s">
        <v>1855</v>
      </c>
      <c r="L677" t="s">
        <v>13</v>
      </c>
      <c r="M677" t="s">
        <v>12</v>
      </c>
      <c r="N677" t="s">
        <v>770</v>
      </c>
      <c r="O677">
        <v>1</v>
      </c>
      <c r="P677" t="s">
        <v>776</v>
      </c>
      <c r="Q677">
        <v>19.899999999999999</v>
      </c>
      <c r="R677">
        <v>3.59</v>
      </c>
      <c r="S677">
        <v>3</v>
      </c>
      <c r="T677">
        <v>0.54</v>
      </c>
      <c r="Y677" t="s">
        <v>3602</v>
      </c>
      <c r="Z677" t="s">
        <v>3603</v>
      </c>
      <c r="AA677">
        <v>24040</v>
      </c>
      <c r="AB677" t="s">
        <v>11</v>
      </c>
    </row>
    <row r="678" spans="1:35" x14ac:dyDescent="0.25">
      <c r="A678" t="s">
        <v>3604</v>
      </c>
      <c r="B678" t="s">
        <v>3604</v>
      </c>
      <c r="C678" t="s">
        <v>3605</v>
      </c>
      <c r="D678" t="s">
        <v>3606</v>
      </c>
      <c r="E678" t="s">
        <v>782</v>
      </c>
      <c r="F678" t="s">
        <v>771</v>
      </c>
      <c r="G678" t="s">
        <v>1854</v>
      </c>
      <c r="J678" t="s">
        <v>783</v>
      </c>
      <c r="K678" t="s">
        <v>1855</v>
      </c>
      <c r="L678" t="s">
        <v>1856</v>
      </c>
      <c r="M678" t="s">
        <v>12</v>
      </c>
      <c r="N678" t="s">
        <v>782</v>
      </c>
      <c r="O678">
        <v>0</v>
      </c>
      <c r="Y678" t="s">
        <v>3607</v>
      </c>
      <c r="Z678" t="s">
        <v>3608</v>
      </c>
      <c r="AA678">
        <v>21026</v>
      </c>
      <c r="AB678" t="s">
        <v>11</v>
      </c>
    </row>
    <row r="679" spans="1:35" x14ac:dyDescent="0.25">
      <c r="A679" t="s">
        <v>3609</v>
      </c>
      <c r="B679" t="s">
        <v>3609</v>
      </c>
      <c r="C679" t="s">
        <v>3610</v>
      </c>
      <c r="D679" t="s">
        <v>3611</v>
      </c>
      <c r="E679" t="s">
        <v>770</v>
      </c>
      <c r="F679" t="s">
        <v>771</v>
      </c>
      <c r="G679" t="s">
        <v>1854</v>
      </c>
      <c r="J679" t="s">
        <v>783</v>
      </c>
      <c r="K679" t="s">
        <v>1855</v>
      </c>
      <c r="L679" t="s">
        <v>1856</v>
      </c>
      <c r="M679" t="s">
        <v>12</v>
      </c>
      <c r="N679" t="s">
        <v>770</v>
      </c>
      <c r="O679">
        <v>1</v>
      </c>
      <c r="P679" t="s">
        <v>776</v>
      </c>
      <c r="Q679">
        <v>19.899999999999999</v>
      </c>
      <c r="R679">
        <v>3.59</v>
      </c>
      <c r="Y679" t="s">
        <v>1913</v>
      </c>
      <c r="Z679" t="s">
        <v>1913</v>
      </c>
      <c r="AA679">
        <v>159</v>
      </c>
      <c r="AB679" t="s">
        <v>11</v>
      </c>
    </row>
    <row r="680" spans="1:35" x14ac:dyDescent="0.25">
      <c r="A680" t="s">
        <v>3612</v>
      </c>
      <c r="B680" t="s">
        <v>3612</v>
      </c>
      <c r="C680" t="s">
        <v>3613</v>
      </c>
      <c r="D680" t="s">
        <v>3614</v>
      </c>
      <c r="E680" t="s">
        <v>770</v>
      </c>
      <c r="F680" t="s">
        <v>771</v>
      </c>
      <c r="G680" t="s">
        <v>1854</v>
      </c>
      <c r="J680" t="s">
        <v>783</v>
      </c>
      <c r="K680" t="s">
        <v>1930</v>
      </c>
      <c r="L680" t="s">
        <v>775</v>
      </c>
      <c r="M680" t="s">
        <v>65</v>
      </c>
      <c r="N680" t="s">
        <v>770</v>
      </c>
      <c r="O680">
        <v>1</v>
      </c>
      <c r="P680" t="s">
        <v>776</v>
      </c>
      <c r="Q680">
        <v>29.9</v>
      </c>
      <c r="R680">
        <v>5.39</v>
      </c>
      <c r="Y680" t="s">
        <v>3615</v>
      </c>
      <c r="Z680" t="s">
        <v>3012</v>
      </c>
      <c r="AA680">
        <v>12061</v>
      </c>
      <c r="AB680" t="s">
        <v>11</v>
      </c>
    </row>
    <row r="681" spans="1:35" x14ac:dyDescent="0.25">
      <c r="A681" t="s">
        <v>3616</v>
      </c>
      <c r="B681" t="s">
        <v>3616</v>
      </c>
      <c r="C681" t="s">
        <v>3617</v>
      </c>
      <c r="D681" t="s">
        <v>3618</v>
      </c>
      <c r="E681" t="s">
        <v>770</v>
      </c>
      <c r="F681" t="s">
        <v>771</v>
      </c>
      <c r="G681" t="s">
        <v>1854</v>
      </c>
      <c r="J681" t="s">
        <v>783</v>
      </c>
      <c r="K681" t="s">
        <v>1855</v>
      </c>
      <c r="L681" t="s">
        <v>1856</v>
      </c>
      <c r="M681" t="s">
        <v>12</v>
      </c>
      <c r="N681" t="s">
        <v>770</v>
      </c>
      <c r="O681">
        <v>1</v>
      </c>
      <c r="P681" t="s">
        <v>776</v>
      </c>
      <c r="Q681">
        <v>19.899999999999999</v>
      </c>
      <c r="R681">
        <v>3.59</v>
      </c>
      <c r="Y681" t="s">
        <v>2367</v>
      </c>
      <c r="Z681" t="s">
        <v>2227</v>
      </c>
      <c r="AA681">
        <v>67100</v>
      </c>
      <c r="AB681" t="s">
        <v>11</v>
      </c>
    </row>
    <row r="682" spans="1:35" x14ac:dyDescent="0.25">
      <c r="A682" t="s">
        <v>3619</v>
      </c>
      <c r="B682" t="s">
        <v>3619</v>
      </c>
      <c r="C682" t="s">
        <v>3620</v>
      </c>
      <c r="D682" t="s">
        <v>3621</v>
      </c>
      <c r="E682" t="s">
        <v>770</v>
      </c>
      <c r="F682" t="s">
        <v>771</v>
      </c>
      <c r="G682" t="s">
        <v>1854</v>
      </c>
      <c r="J682" t="s">
        <v>783</v>
      </c>
      <c r="K682" t="s">
        <v>1855</v>
      </c>
      <c r="L682" t="s">
        <v>1856</v>
      </c>
      <c r="M682" t="s">
        <v>12</v>
      </c>
      <c r="N682" t="s">
        <v>770</v>
      </c>
      <c r="O682">
        <v>1</v>
      </c>
      <c r="P682" t="s">
        <v>776</v>
      </c>
      <c r="Q682">
        <v>19.899999999999999</v>
      </c>
      <c r="R682">
        <v>3.59</v>
      </c>
      <c r="Y682" t="s">
        <v>3622</v>
      </c>
      <c r="Z682" t="s">
        <v>2236</v>
      </c>
      <c r="AA682">
        <v>54100</v>
      </c>
      <c r="AB682" t="s">
        <v>11</v>
      </c>
    </row>
    <row r="683" spans="1:35" x14ac:dyDescent="0.25">
      <c r="A683" t="s">
        <v>3623</v>
      </c>
      <c r="B683" t="s">
        <v>3623</v>
      </c>
      <c r="C683" t="s">
        <v>3624</v>
      </c>
      <c r="D683" t="s">
        <v>3625</v>
      </c>
      <c r="E683" t="s">
        <v>770</v>
      </c>
      <c r="F683" t="s">
        <v>771</v>
      </c>
      <c r="G683" t="s">
        <v>1854</v>
      </c>
      <c r="J683" t="s">
        <v>783</v>
      </c>
      <c r="K683" t="s">
        <v>2162</v>
      </c>
      <c r="L683" t="s">
        <v>2163</v>
      </c>
      <c r="M683" t="s">
        <v>59</v>
      </c>
      <c r="N683" t="s">
        <v>770</v>
      </c>
      <c r="O683">
        <v>1</v>
      </c>
      <c r="P683" t="s">
        <v>776</v>
      </c>
      <c r="Q683">
        <v>29.9</v>
      </c>
      <c r="R683">
        <v>5.39</v>
      </c>
      <c r="Y683" t="s">
        <v>3626</v>
      </c>
      <c r="Z683" t="s">
        <v>1888</v>
      </c>
      <c r="AA683">
        <v>40024</v>
      </c>
      <c r="AB683" t="s">
        <v>11</v>
      </c>
    </row>
    <row r="684" spans="1:35" x14ac:dyDescent="0.25">
      <c r="A684" t="s">
        <v>3627</v>
      </c>
      <c r="C684" t="s">
        <v>3628</v>
      </c>
      <c r="D684" t="s">
        <v>3629</v>
      </c>
      <c r="E684" t="s">
        <v>770</v>
      </c>
      <c r="F684" t="s">
        <v>1884</v>
      </c>
      <c r="G684" t="s">
        <v>1854</v>
      </c>
      <c r="H684" t="s">
        <v>1885</v>
      </c>
      <c r="J684" t="s">
        <v>773</v>
      </c>
      <c r="K684" t="s">
        <v>1886</v>
      </c>
      <c r="L684" t="s">
        <v>18</v>
      </c>
      <c r="M684" t="s">
        <v>17</v>
      </c>
      <c r="N684" t="s">
        <v>770</v>
      </c>
      <c r="O684">
        <v>1</v>
      </c>
      <c r="P684" t="s">
        <v>776</v>
      </c>
      <c r="Q684">
        <v>22.9</v>
      </c>
      <c r="R684">
        <v>4.13</v>
      </c>
      <c r="S684">
        <v>3</v>
      </c>
      <c r="T684">
        <v>0.54</v>
      </c>
      <c r="Y684" t="s">
        <v>3630</v>
      </c>
      <c r="Z684" t="s">
        <v>2286</v>
      </c>
      <c r="AA684">
        <v>56019</v>
      </c>
      <c r="AB684" t="s">
        <v>11</v>
      </c>
    </row>
    <row r="685" spans="1:35" x14ac:dyDescent="0.25">
      <c r="A685" t="s">
        <v>3631</v>
      </c>
      <c r="B685" t="s">
        <v>3631</v>
      </c>
      <c r="C685" t="s">
        <v>3632</v>
      </c>
      <c r="D685" t="s">
        <v>3633</v>
      </c>
      <c r="E685" t="s">
        <v>770</v>
      </c>
      <c r="F685" t="s">
        <v>771</v>
      </c>
      <c r="G685" t="s">
        <v>1854</v>
      </c>
      <c r="J685" t="s">
        <v>783</v>
      </c>
      <c r="K685" t="s">
        <v>1873</v>
      </c>
      <c r="L685" t="s">
        <v>840</v>
      </c>
      <c r="M685" t="s">
        <v>26</v>
      </c>
      <c r="N685" t="s">
        <v>770</v>
      </c>
      <c r="O685">
        <v>1</v>
      </c>
      <c r="P685" t="s">
        <v>776</v>
      </c>
      <c r="Q685">
        <v>34.9</v>
      </c>
      <c r="R685">
        <v>6.29</v>
      </c>
      <c r="Y685" t="s">
        <v>2585</v>
      </c>
      <c r="Z685" t="s">
        <v>2020</v>
      </c>
      <c r="AA685">
        <v>4011</v>
      </c>
      <c r="AB685" t="s">
        <v>11</v>
      </c>
      <c r="AG685" t="s">
        <v>3634</v>
      </c>
      <c r="AH685" t="s">
        <v>11</v>
      </c>
      <c r="AI685" t="s">
        <v>1258</v>
      </c>
    </row>
    <row r="686" spans="1:35" x14ac:dyDescent="0.25">
      <c r="A686" t="s">
        <v>3635</v>
      </c>
      <c r="B686" t="s">
        <v>3635</v>
      </c>
      <c r="C686" t="s">
        <v>3636</v>
      </c>
      <c r="D686" t="s">
        <v>3637</v>
      </c>
      <c r="E686" t="s">
        <v>770</v>
      </c>
      <c r="F686" t="s">
        <v>771</v>
      </c>
      <c r="G686" t="s">
        <v>1854</v>
      </c>
      <c r="J686" t="s">
        <v>783</v>
      </c>
      <c r="K686" t="s">
        <v>1873</v>
      </c>
      <c r="L686" t="s">
        <v>840</v>
      </c>
      <c r="M686" t="s">
        <v>26</v>
      </c>
      <c r="N686" t="s">
        <v>770</v>
      </c>
      <c r="O686">
        <v>1</v>
      </c>
      <c r="P686" t="s">
        <v>776</v>
      </c>
      <c r="Q686">
        <v>34.9</v>
      </c>
      <c r="R686">
        <v>6.29</v>
      </c>
      <c r="Y686" t="s">
        <v>3638</v>
      </c>
      <c r="Z686" t="s">
        <v>2153</v>
      </c>
      <c r="AA686">
        <v>84011</v>
      </c>
      <c r="AB686" t="s">
        <v>11</v>
      </c>
    </row>
    <row r="687" spans="1:35" x14ac:dyDescent="0.25">
      <c r="A687" t="s">
        <v>3639</v>
      </c>
      <c r="B687" t="s">
        <v>3639</v>
      </c>
      <c r="C687" t="s">
        <v>3640</v>
      </c>
      <c r="D687" t="s">
        <v>3641</v>
      </c>
      <c r="E687" t="s">
        <v>770</v>
      </c>
      <c r="F687" t="s">
        <v>771</v>
      </c>
      <c r="G687" t="s">
        <v>1854</v>
      </c>
      <c r="J687" t="s">
        <v>783</v>
      </c>
      <c r="K687" t="s">
        <v>2248</v>
      </c>
      <c r="L687" t="s">
        <v>2772</v>
      </c>
      <c r="M687" t="s">
        <v>172</v>
      </c>
      <c r="N687" t="s">
        <v>770</v>
      </c>
      <c r="O687">
        <v>1</v>
      </c>
      <c r="P687" t="s">
        <v>776</v>
      </c>
      <c r="Q687">
        <v>39.9</v>
      </c>
      <c r="R687">
        <v>7.2</v>
      </c>
      <c r="Y687" t="s">
        <v>1913</v>
      </c>
      <c r="Z687" t="s">
        <v>1913</v>
      </c>
      <c r="AA687">
        <v>125</v>
      </c>
      <c r="AB687" t="s">
        <v>11</v>
      </c>
    </row>
    <row r="688" spans="1:35" x14ac:dyDescent="0.25">
      <c r="A688" t="s">
        <v>3642</v>
      </c>
      <c r="B688" t="s">
        <v>3642</v>
      </c>
      <c r="C688" t="s">
        <v>3643</v>
      </c>
      <c r="D688" t="s">
        <v>3644</v>
      </c>
      <c r="E688" t="s">
        <v>770</v>
      </c>
      <c r="F688" t="s">
        <v>771</v>
      </c>
      <c r="G688" t="s">
        <v>1854</v>
      </c>
      <c r="J688" t="s">
        <v>783</v>
      </c>
      <c r="K688" t="s">
        <v>1855</v>
      </c>
      <c r="L688" t="s">
        <v>1856</v>
      </c>
      <c r="M688" t="s">
        <v>12</v>
      </c>
      <c r="N688" t="s">
        <v>770</v>
      </c>
      <c r="O688">
        <v>1</v>
      </c>
      <c r="P688" t="s">
        <v>776</v>
      </c>
      <c r="Q688">
        <v>19.899999999999999</v>
      </c>
      <c r="R688">
        <v>3.59</v>
      </c>
      <c r="Y688" t="s">
        <v>2533</v>
      </c>
      <c r="Z688" t="s">
        <v>3645</v>
      </c>
      <c r="AA688">
        <v>35020</v>
      </c>
      <c r="AB688" t="s">
        <v>11</v>
      </c>
    </row>
    <row r="689" spans="1:28" x14ac:dyDescent="0.25">
      <c r="A689" t="s">
        <v>3646</v>
      </c>
      <c r="B689" t="s">
        <v>3646</v>
      </c>
      <c r="C689" t="s">
        <v>3647</v>
      </c>
      <c r="D689" t="s">
        <v>3648</v>
      </c>
      <c r="E689" t="s">
        <v>770</v>
      </c>
      <c r="F689" t="s">
        <v>771</v>
      </c>
      <c r="G689" t="s">
        <v>1854</v>
      </c>
      <c r="J689" t="s">
        <v>783</v>
      </c>
      <c r="K689" t="s">
        <v>1930</v>
      </c>
      <c r="L689" t="s">
        <v>775</v>
      </c>
      <c r="M689" t="s">
        <v>65</v>
      </c>
      <c r="N689" t="s">
        <v>770</v>
      </c>
      <c r="O689">
        <v>1</v>
      </c>
      <c r="P689" t="s">
        <v>776</v>
      </c>
      <c r="Q689">
        <v>29.9</v>
      </c>
      <c r="R689">
        <v>5.39</v>
      </c>
      <c r="Y689" t="s">
        <v>3428</v>
      </c>
      <c r="Z689" t="s">
        <v>3649</v>
      </c>
      <c r="AA689">
        <v>9124</v>
      </c>
      <c r="AB689" t="s">
        <v>11</v>
      </c>
    </row>
    <row r="690" spans="1:28" x14ac:dyDescent="0.25">
      <c r="A690" t="s">
        <v>3650</v>
      </c>
      <c r="B690" t="s">
        <v>3650</v>
      </c>
      <c r="C690" t="s">
        <v>3651</v>
      </c>
      <c r="D690" t="s">
        <v>3652</v>
      </c>
      <c r="E690" t="s">
        <v>770</v>
      </c>
      <c r="F690" t="s">
        <v>771</v>
      </c>
      <c r="G690" t="s">
        <v>1854</v>
      </c>
      <c r="J690" t="s">
        <v>783</v>
      </c>
      <c r="K690" t="s">
        <v>1855</v>
      </c>
      <c r="L690" t="s">
        <v>1856</v>
      </c>
      <c r="M690" t="s">
        <v>12</v>
      </c>
      <c r="N690" t="s">
        <v>770</v>
      </c>
      <c r="O690">
        <v>1</v>
      </c>
      <c r="P690" t="s">
        <v>776</v>
      </c>
      <c r="Q690">
        <v>19.899999999999999</v>
      </c>
      <c r="R690">
        <v>3.59</v>
      </c>
      <c r="Y690" t="s">
        <v>2597</v>
      </c>
      <c r="AA690">
        <v>70122</v>
      </c>
      <c r="AB690" t="s">
        <v>11</v>
      </c>
    </row>
    <row r="691" spans="1:28" x14ac:dyDescent="0.25">
      <c r="A691" t="s">
        <v>3653</v>
      </c>
      <c r="B691" t="s">
        <v>3653</v>
      </c>
      <c r="C691" t="s">
        <v>3654</v>
      </c>
      <c r="D691" t="s">
        <v>3655</v>
      </c>
      <c r="E691" t="s">
        <v>770</v>
      </c>
      <c r="F691" t="s">
        <v>771</v>
      </c>
      <c r="G691" t="s">
        <v>1854</v>
      </c>
      <c r="J691" t="s">
        <v>783</v>
      </c>
      <c r="K691" t="s">
        <v>1873</v>
      </c>
      <c r="L691" t="s">
        <v>840</v>
      </c>
      <c r="M691" t="s">
        <v>26</v>
      </c>
      <c r="N691" t="s">
        <v>770</v>
      </c>
      <c r="O691">
        <v>1</v>
      </c>
      <c r="P691" t="s">
        <v>776</v>
      </c>
      <c r="Q691">
        <v>34.9</v>
      </c>
      <c r="R691">
        <v>6.29</v>
      </c>
      <c r="S691">
        <v>1.64</v>
      </c>
      <c r="X691">
        <v>1.64</v>
      </c>
      <c r="Y691" t="s">
        <v>3656</v>
      </c>
      <c r="Z691" t="s">
        <v>2111</v>
      </c>
      <c r="AA691">
        <v>42020</v>
      </c>
      <c r="AB691" t="s">
        <v>11</v>
      </c>
    </row>
    <row r="692" spans="1:28" x14ac:dyDescent="0.25">
      <c r="A692" t="s">
        <v>3657</v>
      </c>
      <c r="B692" t="s">
        <v>3657</v>
      </c>
      <c r="C692" t="s">
        <v>3658</v>
      </c>
      <c r="D692" t="s">
        <v>3659</v>
      </c>
      <c r="E692" t="s">
        <v>770</v>
      </c>
      <c r="F692" t="s">
        <v>771</v>
      </c>
      <c r="G692" t="s">
        <v>1854</v>
      </c>
      <c r="J692" t="s">
        <v>783</v>
      </c>
      <c r="K692" t="s">
        <v>1855</v>
      </c>
      <c r="L692" t="s">
        <v>1856</v>
      </c>
      <c r="M692" t="s">
        <v>12</v>
      </c>
      <c r="N692" t="s">
        <v>770</v>
      </c>
      <c r="O692">
        <v>1</v>
      </c>
      <c r="P692" t="s">
        <v>776</v>
      </c>
      <c r="Q692">
        <v>19.899999999999999</v>
      </c>
      <c r="R692">
        <v>3.59</v>
      </c>
      <c r="Y692" t="s">
        <v>2057</v>
      </c>
      <c r="Z692" t="s">
        <v>2433</v>
      </c>
      <c r="AA692">
        <v>37138</v>
      </c>
      <c r="AB692" t="s">
        <v>11</v>
      </c>
    </row>
    <row r="693" spans="1:28" x14ac:dyDescent="0.25">
      <c r="A693" t="s">
        <v>3660</v>
      </c>
      <c r="B693" t="s">
        <v>3660</v>
      </c>
      <c r="C693" t="s">
        <v>3661</v>
      </c>
      <c r="D693" t="s">
        <v>3662</v>
      </c>
      <c r="E693" t="s">
        <v>770</v>
      </c>
      <c r="F693" t="s">
        <v>771</v>
      </c>
      <c r="G693" t="s">
        <v>1854</v>
      </c>
      <c r="J693" t="s">
        <v>783</v>
      </c>
      <c r="K693" t="s">
        <v>2162</v>
      </c>
      <c r="L693" t="s">
        <v>2163</v>
      </c>
      <c r="M693" t="s">
        <v>59</v>
      </c>
      <c r="N693" t="s">
        <v>770</v>
      </c>
      <c r="O693">
        <v>1</v>
      </c>
      <c r="P693" t="s">
        <v>776</v>
      </c>
      <c r="Q693">
        <v>29.9</v>
      </c>
      <c r="R693">
        <v>5.39</v>
      </c>
      <c r="Y693" t="s">
        <v>3663</v>
      </c>
      <c r="Z693" t="s">
        <v>3664</v>
      </c>
      <c r="AA693">
        <v>66026</v>
      </c>
      <c r="AB693" t="s">
        <v>11</v>
      </c>
    </row>
    <row r="694" spans="1:28" x14ac:dyDescent="0.25">
      <c r="A694" t="s">
        <v>3665</v>
      </c>
      <c r="B694" t="s">
        <v>3665</v>
      </c>
      <c r="C694" t="s">
        <v>3666</v>
      </c>
      <c r="D694" t="s">
        <v>3667</v>
      </c>
      <c r="E694" t="s">
        <v>782</v>
      </c>
      <c r="F694" t="s">
        <v>771</v>
      </c>
      <c r="G694" t="s">
        <v>1854</v>
      </c>
      <c r="J694" t="s">
        <v>783</v>
      </c>
      <c r="K694" t="s">
        <v>1855</v>
      </c>
      <c r="L694" t="s">
        <v>1856</v>
      </c>
      <c r="M694" t="s">
        <v>12</v>
      </c>
      <c r="N694" t="s">
        <v>782</v>
      </c>
      <c r="O694">
        <v>0</v>
      </c>
      <c r="Y694" t="s">
        <v>3668</v>
      </c>
      <c r="Z694" t="s">
        <v>2704</v>
      </c>
      <c r="AA694">
        <v>44042</v>
      </c>
      <c r="AB694" t="s">
        <v>11</v>
      </c>
    </row>
    <row r="695" spans="1:28" x14ac:dyDescent="0.25">
      <c r="A695" t="s">
        <v>3669</v>
      </c>
      <c r="B695" t="s">
        <v>3669</v>
      </c>
      <c r="C695" t="s">
        <v>3670</v>
      </c>
      <c r="D695" t="s">
        <v>3671</v>
      </c>
      <c r="E695" t="s">
        <v>770</v>
      </c>
      <c r="F695" t="s">
        <v>771</v>
      </c>
      <c r="G695" t="s">
        <v>1854</v>
      </c>
      <c r="J695" t="s">
        <v>783</v>
      </c>
      <c r="K695" t="s">
        <v>1862</v>
      </c>
      <c r="L695" t="s">
        <v>1505</v>
      </c>
      <c r="M695" t="s">
        <v>53</v>
      </c>
      <c r="N695" t="s">
        <v>770</v>
      </c>
      <c r="O695">
        <v>1</v>
      </c>
      <c r="P695" t="s">
        <v>776</v>
      </c>
      <c r="Q695">
        <v>32.9</v>
      </c>
      <c r="R695">
        <v>5.93</v>
      </c>
      <c r="S695">
        <v>3.99</v>
      </c>
      <c r="T695">
        <v>0.72</v>
      </c>
      <c r="Y695" t="s">
        <v>3672</v>
      </c>
      <c r="Z695" t="s">
        <v>3089</v>
      </c>
      <c r="AA695">
        <v>25046</v>
      </c>
      <c r="AB695" t="s">
        <v>11</v>
      </c>
    </row>
    <row r="696" spans="1:28" x14ac:dyDescent="0.25">
      <c r="A696" t="s">
        <v>3673</v>
      </c>
      <c r="B696" t="s">
        <v>3673</v>
      </c>
      <c r="C696" t="s">
        <v>3674</v>
      </c>
      <c r="D696" t="s">
        <v>3675</v>
      </c>
      <c r="E696" t="s">
        <v>770</v>
      </c>
      <c r="F696" t="s">
        <v>771</v>
      </c>
      <c r="G696" t="s">
        <v>1854</v>
      </c>
      <c r="J696" t="s">
        <v>783</v>
      </c>
      <c r="K696" t="s">
        <v>1862</v>
      </c>
      <c r="L696" t="s">
        <v>1505</v>
      </c>
      <c r="M696" t="s">
        <v>53</v>
      </c>
      <c r="N696" t="s">
        <v>770</v>
      </c>
      <c r="O696">
        <v>1</v>
      </c>
      <c r="P696" t="s">
        <v>776</v>
      </c>
      <c r="Q696">
        <v>32.9</v>
      </c>
      <c r="R696">
        <v>5.93</v>
      </c>
      <c r="Y696" t="s">
        <v>3676</v>
      </c>
      <c r="Z696" t="s">
        <v>3645</v>
      </c>
      <c r="AA696">
        <v>35028</v>
      </c>
      <c r="AB696" t="s">
        <v>11</v>
      </c>
    </row>
    <row r="697" spans="1:28" x14ac:dyDescent="0.25">
      <c r="A697" t="s">
        <v>3677</v>
      </c>
      <c r="B697" t="s">
        <v>3677</v>
      </c>
      <c r="C697" t="s">
        <v>3678</v>
      </c>
      <c r="D697" t="s">
        <v>3679</v>
      </c>
      <c r="E697" t="s">
        <v>770</v>
      </c>
      <c r="F697" t="s">
        <v>771</v>
      </c>
      <c r="G697" t="s">
        <v>1854</v>
      </c>
      <c r="J697" t="s">
        <v>783</v>
      </c>
      <c r="K697" t="s">
        <v>1855</v>
      </c>
      <c r="L697" t="s">
        <v>1856</v>
      </c>
      <c r="M697" t="s">
        <v>12</v>
      </c>
      <c r="N697" t="s">
        <v>770</v>
      </c>
      <c r="O697">
        <v>1</v>
      </c>
      <c r="P697" t="s">
        <v>776</v>
      </c>
      <c r="Q697">
        <v>19.899999999999999</v>
      </c>
      <c r="R697">
        <v>3.59</v>
      </c>
      <c r="Y697" t="s">
        <v>3680</v>
      </c>
      <c r="Z697" t="s">
        <v>2116</v>
      </c>
      <c r="AA697">
        <v>22035</v>
      </c>
      <c r="AB697" t="s">
        <v>11</v>
      </c>
    </row>
    <row r="698" spans="1:28" x14ac:dyDescent="0.25">
      <c r="A698" t="s">
        <v>3681</v>
      </c>
      <c r="B698" t="s">
        <v>3681</v>
      </c>
      <c r="C698" t="s">
        <v>3682</v>
      </c>
      <c r="D698" t="s">
        <v>3683</v>
      </c>
      <c r="E698" t="s">
        <v>770</v>
      </c>
      <c r="F698" t="s">
        <v>771</v>
      </c>
      <c r="G698" t="s">
        <v>1854</v>
      </c>
      <c r="J698" t="s">
        <v>783</v>
      </c>
      <c r="K698" t="s">
        <v>2396</v>
      </c>
      <c r="L698" t="s">
        <v>1792</v>
      </c>
      <c r="M698" t="s">
        <v>88</v>
      </c>
      <c r="N698" t="s">
        <v>770</v>
      </c>
      <c r="O698">
        <v>1</v>
      </c>
      <c r="P698" t="s">
        <v>776</v>
      </c>
      <c r="Q698">
        <v>59.9</v>
      </c>
      <c r="R698">
        <v>10.8</v>
      </c>
      <c r="Y698" t="s">
        <v>3684</v>
      </c>
      <c r="Z698" t="s">
        <v>3685</v>
      </c>
      <c r="AA698">
        <v>81031</v>
      </c>
      <c r="AB698" t="s">
        <v>11</v>
      </c>
    </row>
    <row r="699" spans="1:28" x14ac:dyDescent="0.25">
      <c r="A699" t="s">
        <v>3686</v>
      </c>
      <c r="B699" t="s">
        <v>3686</v>
      </c>
      <c r="C699" t="s">
        <v>3687</v>
      </c>
      <c r="D699" t="s">
        <v>3688</v>
      </c>
      <c r="E699" t="s">
        <v>770</v>
      </c>
      <c r="F699" t="s">
        <v>771</v>
      </c>
      <c r="G699" t="s">
        <v>1854</v>
      </c>
      <c r="J699" t="s">
        <v>783</v>
      </c>
      <c r="K699" t="s">
        <v>1862</v>
      </c>
      <c r="L699" t="s">
        <v>1505</v>
      </c>
      <c r="M699" t="s">
        <v>53</v>
      </c>
      <c r="N699" t="s">
        <v>770</v>
      </c>
      <c r="O699">
        <v>1</v>
      </c>
      <c r="P699" t="s">
        <v>776</v>
      </c>
      <c r="Q699">
        <v>32.9</v>
      </c>
      <c r="R699">
        <v>5.93</v>
      </c>
      <c r="Y699" t="s">
        <v>3689</v>
      </c>
      <c r="Z699" t="s">
        <v>1893</v>
      </c>
      <c r="AA699">
        <v>10077</v>
      </c>
      <c r="AB699" t="s">
        <v>11</v>
      </c>
    </row>
    <row r="700" spans="1:28" x14ac:dyDescent="0.25">
      <c r="A700" t="s">
        <v>3690</v>
      </c>
      <c r="B700" t="s">
        <v>3690</v>
      </c>
      <c r="C700" t="s">
        <v>3691</v>
      </c>
      <c r="D700" t="s">
        <v>2815</v>
      </c>
      <c r="E700" t="s">
        <v>770</v>
      </c>
      <c r="F700" t="s">
        <v>771</v>
      </c>
      <c r="G700" t="s">
        <v>1854</v>
      </c>
      <c r="J700" t="s">
        <v>783</v>
      </c>
      <c r="K700" t="s">
        <v>1862</v>
      </c>
      <c r="L700" t="s">
        <v>1505</v>
      </c>
      <c r="M700" t="s">
        <v>53</v>
      </c>
      <c r="N700" t="s">
        <v>770</v>
      </c>
      <c r="O700">
        <v>1</v>
      </c>
      <c r="P700" t="s">
        <v>776</v>
      </c>
      <c r="Q700">
        <v>32.9</v>
      </c>
      <c r="R700">
        <v>5.93</v>
      </c>
      <c r="Y700" t="s">
        <v>2420</v>
      </c>
      <c r="AA700">
        <v>80124</v>
      </c>
      <c r="AB700" t="s">
        <v>11</v>
      </c>
    </row>
    <row r="701" spans="1:28" x14ac:dyDescent="0.25">
      <c r="A701" t="s">
        <v>3692</v>
      </c>
      <c r="B701" t="s">
        <v>3692</v>
      </c>
      <c r="C701" t="s">
        <v>3693</v>
      </c>
      <c r="D701" t="s">
        <v>3694</v>
      </c>
      <c r="E701" t="s">
        <v>770</v>
      </c>
      <c r="F701" t="s">
        <v>771</v>
      </c>
      <c r="G701" t="s">
        <v>1854</v>
      </c>
      <c r="J701" t="s">
        <v>783</v>
      </c>
      <c r="K701" t="s">
        <v>1855</v>
      </c>
      <c r="L701" t="s">
        <v>1856</v>
      </c>
      <c r="M701" t="s">
        <v>12</v>
      </c>
      <c r="N701" t="s">
        <v>770</v>
      </c>
      <c r="O701">
        <v>1</v>
      </c>
      <c r="P701" t="s">
        <v>776</v>
      </c>
      <c r="Q701">
        <v>19.899999999999999</v>
      </c>
      <c r="R701">
        <v>3.59</v>
      </c>
      <c r="Y701" t="s">
        <v>3695</v>
      </c>
      <c r="Z701" t="s">
        <v>3696</v>
      </c>
      <c r="AA701">
        <v>41053</v>
      </c>
      <c r="AB701" t="s">
        <v>11</v>
      </c>
    </row>
    <row r="702" spans="1:28" x14ac:dyDescent="0.25">
      <c r="A702" t="s">
        <v>3697</v>
      </c>
      <c r="B702" t="s">
        <v>3697</v>
      </c>
      <c r="C702" t="s">
        <v>3698</v>
      </c>
      <c r="D702" t="s">
        <v>3699</v>
      </c>
      <c r="E702" t="s">
        <v>770</v>
      </c>
      <c r="F702" t="s">
        <v>771</v>
      </c>
      <c r="G702" t="s">
        <v>1854</v>
      </c>
      <c r="J702" t="s">
        <v>783</v>
      </c>
      <c r="K702" t="s">
        <v>1855</v>
      </c>
      <c r="L702" t="s">
        <v>1856</v>
      </c>
      <c r="M702" t="s">
        <v>12</v>
      </c>
      <c r="N702" t="s">
        <v>770</v>
      </c>
      <c r="O702">
        <v>1</v>
      </c>
      <c r="P702" t="s">
        <v>776</v>
      </c>
      <c r="Q702">
        <v>19.899999999999999</v>
      </c>
      <c r="R702">
        <v>3.59</v>
      </c>
      <c r="Y702" t="s">
        <v>3700</v>
      </c>
      <c r="Z702" t="s">
        <v>2850</v>
      </c>
      <c r="AA702">
        <v>84047</v>
      </c>
      <c r="AB702" t="s">
        <v>11</v>
      </c>
    </row>
    <row r="703" spans="1:28" x14ac:dyDescent="0.25">
      <c r="A703" t="s">
        <v>3701</v>
      </c>
      <c r="C703" t="s">
        <v>3702</v>
      </c>
      <c r="D703" t="s">
        <v>3703</v>
      </c>
      <c r="E703" t="s">
        <v>770</v>
      </c>
      <c r="F703" t="s">
        <v>1884</v>
      </c>
      <c r="G703" t="s">
        <v>1854</v>
      </c>
      <c r="H703" t="s">
        <v>1885</v>
      </c>
      <c r="J703" t="s">
        <v>773</v>
      </c>
      <c r="K703" t="s">
        <v>1886</v>
      </c>
      <c r="L703" t="s">
        <v>18</v>
      </c>
      <c r="M703" t="s">
        <v>17</v>
      </c>
      <c r="N703" t="s">
        <v>770</v>
      </c>
      <c r="O703">
        <v>1</v>
      </c>
      <c r="P703" t="s">
        <v>776</v>
      </c>
      <c r="Q703">
        <v>22.9</v>
      </c>
      <c r="R703">
        <v>4.13</v>
      </c>
      <c r="S703">
        <v>3</v>
      </c>
      <c r="T703">
        <v>0.54</v>
      </c>
      <c r="Y703" t="s">
        <v>1913</v>
      </c>
      <c r="AA703">
        <v>139</v>
      </c>
      <c r="AB703" t="s">
        <v>11</v>
      </c>
    </row>
    <row r="704" spans="1:28" x14ac:dyDescent="0.25">
      <c r="A704" t="s">
        <v>3704</v>
      </c>
      <c r="B704" t="s">
        <v>3704</v>
      </c>
      <c r="C704" t="s">
        <v>3705</v>
      </c>
      <c r="D704" t="s">
        <v>3706</v>
      </c>
      <c r="E704" t="s">
        <v>770</v>
      </c>
      <c r="F704" t="s">
        <v>771</v>
      </c>
      <c r="G704" t="s">
        <v>1854</v>
      </c>
      <c r="J704" t="s">
        <v>783</v>
      </c>
      <c r="K704" t="s">
        <v>1862</v>
      </c>
      <c r="L704" t="s">
        <v>1505</v>
      </c>
      <c r="M704" t="s">
        <v>53</v>
      </c>
      <c r="N704" t="s">
        <v>770</v>
      </c>
      <c r="O704">
        <v>1</v>
      </c>
      <c r="P704" t="s">
        <v>776</v>
      </c>
      <c r="Q704">
        <v>32.9</v>
      </c>
      <c r="R704">
        <v>5.93</v>
      </c>
      <c r="Y704" t="s">
        <v>3707</v>
      </c>
      <c r="Z704" t="s">
        <v>2158</v>
      </c>
      <c r="AA704">
        <v>24040</v>
      </c>
      <c r="AB704" t="s">
        <v>11</v>
      </c>
    </row>
    <row r="705" spans="1:28" x14ac:dyDescent="0.25">
      <c r="A705" t="s">
        <v>3708</v>
      </c>
      <c r="B705" t="s">
        <v>3708</v>
      </c>
      <c r="C705" t="s">
        <v>3709</v>
      </c>
      <c r="D705" t="s">
        <v>3710</v>
      </c>
      <c r="E705" t="s">
        <v>782</v>
      </c>
      <c r="F705" t="s">
        <v>771</v>
      </c>
      <c r="G705" t="s">
        <v>1854</v>
      </c>
      <c r="J705" t="s">
        <v>783</v>
      </c>
      <c r="K705" t="s">
        <v>1862</v>
      </c>
      <c r="L705" t="s">
        <v>1505</v>
      </c>
      <c r="M705" t="s">
        <v>53</v>
      </c>
      <c r="N705" t="s">
        <v>782</v>
      </c>
      <c r="O705">
        <v>0</v>
      </c>
      <c r="Y705" t="s">
        <v>2057</v>
      </c>
      <c r="Z705" t="s">
        <v>2433</v>
      </c>
      <c r="AA705">
        <v>37138</v>
      </c>
      <c r="AB705" t="s">
        <v>11</v>
      </c>
    </row>
    <row r="706" spans="1:28" x14ac:dyDescent="0.25">
      <c r="A706" t="s">
        <v>3711</v>
      </c>
      <c r="B706" t="s">
        <v>3711</v>
      </c>
      <c r="C706" t="s">
        <v>3712</v>
      </c>
      <c r="D706" t="s">
        <v>3713</v>
      </c>
      <c r="E706" t="s">
        <v>770</v>
      </c>
      <c r="F706" t="s">
        <v>771</v>
      </c>
      <c r="G706" t="s">
        <v>1854</v>
      </c>
      <c r="J706" t="s">
        <v>783</v>
      </c>
      <c r="K706" t="s">
        <v>2390</v>
      </c>
      <c r="L706" t="s">
        <v>1094</v>
      </c>
      <c r="M706" t="s">
        <v>208</v>
      </c>
      <c r="N706" t="s">
        <v>770</v>
      </c>
      <c r="O706">
        <v>1</v>
      </c>
      <c r="P706" t="s">
        <v>776</v>
      </c>
      <c r="Q706">
        <v>79.900000000000006</v>
      </c>
      <c r="R706">
        <v>14.41</v>
      </c>
      <c r="S706">
        <v>1.63</v>
      </c>
      <c r="X706">
        <v>1.63</v>
      </c>
      <c r="Y706" t="s">
        <v>3714</v>
      </c>
      <c r="Z706" t="s">
        <v>3715</v>
      </c>
      <c r="AA706">
        <v>9035</v>
      </c>
      <c r="AB706" t="s">
        <v>11</v>
      </c>
    </row>
    <row r="707" spans="1:28" x14ac:dyDescent="0.25">
      <c r="A707" t="s">
        <v>3716</v>
      </c>
      <c r="B707" t="s">
        <v>3716</v>
      </c>
      <c r="C707" t="s">
        <v>3717</v>
      </c>
      <c r="D707" t="s">
        <v>3718</v>
      </c>
      <c r="E707" t="s">
        <v>770</v>
      </c>
      <c r="F707" t="s">
        <v>771</v>
      </c>
      <c r="G707" t="s">
        <v>1854</v>
      </c>
      <c r="J707" t="s">
        <v>783</v>
      </c>
      <c r="K707" t="s">
        <v>1855</v>
      </c>
      <c r="L707" t="s">
        <v>1856</v>
      </c>
      <c r="M707" t="s">
        <v>12</v>
      </c>
      <c r="N707" t="s">
        <v>770</v>
      </c>
      <c r="O707">
        <v>1</v>
      </c>
      <c r="P707" t="s">
        <v>776</v>
      </c>
      <c r="Q707">
        <v>19.899999999999999</v>
      </c>
      <c r="R707">
        <v>3.59</v>
      </c>
      <c r="Y707" t="s">
        <v>1913</v>
      </c>
      <c r="Z707" t="s">
        <v>2548</v>
      </c>
      <c r="AA707">
        <v>179</v>
      </c>
      <c r="AB707" t="s">
        <v>11</v>
      </c>
    </row>
    <row r="708" spans="1:28" x14ac:dyDescent="0.25">
      <c r="A708" t="s">
        <v>3719</v>
      </c>
      <c r="B708" t="s">
        <v>3719</v>
      </c>
      <c r="C708" t="s">
        <v>3720</v>
      </c>
      <c r="D708" t="s">
        <v>3721</v>
      </c>
      <c r="E708" t="s">
        <v>770</v>
      </c>
      <c r="F708" t="s">
        <v>771</v>
      </c>
      <c r="G708" t="s">
        <v>1854</v>
      </c>
      <c r="I708" t="s">
        <v>2692</v>
      </c>
      <c r="J708" t="s">
        <v>783</v>
      </c>
      <c r="K708" t="s">
        <v>2712</v>
      </c>
      <c r="L708" t="s">
        <v>1800</v>
      </c>
      <c r="M708" t="s">
        <v>14</v>
      </c>
      <c r="N708" t="s">
        <v>770</v>
      </c>
      <c r="O708">
        <v>1</v>
      </c>
      <c r="P708" t="s">
        <v>776</v>
      </c>
      <c r="Q708">
        <v>14.9</v>
      </c>
      <c r="R708">
        <v>2.69</v>
      </c>
      <c r="Y708" t="s">
        <v>2693</v>
      </c>
      <c r="Z708" t="s">
        <v>2148</v>
      </c>
      <c r="AA708">
        <v>45020</v>
      </c>
      <c r="AB708" t="s">
        <v>11</v>
      </c>
    </row>
    <row r="709" spans="1:28" x14ac:dyDescent="0.25">
      <c r="A709" t="s">
        <v>3722</v>
      </c>
      <c r="B709" t="s">
        <v>3722</v>
      </c>
      <c r="C709" t="s">
        <v>3723</v>
      </c>
      <c r="D709" t="s">
        <v>3724</v>
      </c>
      <c r="E709" t="s">
        <v>770</v>
      </c>
      <c r="F709" t="s">
        <v>771</v>
      </c>
      <c r="G709" t="s">
        <v>1854</v>
      </c>
      <c r="J709" t="s">
        <v>783</v>
      </c>
      <c r="K709" t="s">
        <v>1855</v>
      </c>
      <c r="L709" t="s">
        <v>1856</v>
      </c>
      <c r="M709" t="s">
        <v>12</v>
      </c>
      <c r="N709" t="s">
        <v>770</v>
      </c>
      <c r="O709">
        <v>1</v>
      </c>
      <c r="P709" t="s">
        <v>776</v>
      </c>
      <c r="Q709">
        <v>19.899999999999999</v>
      </c>
      <c r="R709">
        <v>3.59</v>
      </c>
      <c r="Y709" t="s">
        <v>3725</v>
      </c>
      <c r="Z709" t="s">
        <v>2533</v>
      </c>
      <c r="AA709">
        <v>35043</v>
      </c>
      <c r="AB709" t="s">
        <v>11</v>
      </c>
    </row>
    <row r="710" spans="1:28" x14ac:dyDescent="0.25">
      <c r="A710" t="s">
        <v>3726</v>
      </c>
      <c r="B710" t="s">
        <v>3726</v>
      </c>
      <c r="C710" t="s">
        <v>3727</v>
      </c>
      <c r="D710" t="s">
        <v>3728</v>
      </c>
      <c r="E710" t="s">
        <v>770</v>
      </c>
      <c r="F710" t="s">
        <v>771</v>
      </c>
      <c r="G710" t="s">
        <v>1854</v>
      </c>
      <c r="J710" t="s">
        <v>783</v>
      </c>
      <c r="K710" t="s">
        <v>2055</v>
      </c>
      <c r="L710" t="s">
        <v>806</v>
      </c>
      <c r="M710" t="s">
        <v>202</v>
      </c>
      <c r="N710" t="s">
        <v>770</v>
      </c>
      <c r="O710">
        <v>1</v>
      </c>
      <c r="P710" t="s">
        <v>776</v>
      </c>
      <c r="Q710">
        <v>14.9</v>
      </c>
      <c r="R710">
        <v>2.69</v>
      </c>
      <c r="Y710" t="s">
        <v>3167</v>
      </c>
      <c r="Z710" t="s">
        <v>2057</v>
      </c>
      <c r="AA710">
        <v>37054</v>
      </c>
      <c r="AB710" t="s">
        <v>11</v>
      </c>
    </row>
    <row r="711" spans="1:28" x14ac:dyDescent="0.25">
      <c r="A711" t="s">
        <v>3729</v>
      </c>
      <c r="B711" t="s">
        <v>3729</v>
      </c>
      <c r="C711" t="s">
        <v>3730</v>
      </c>
      <c r="D711" t="s">
        <v>3731</v>
      </c>
      <c r="E711" t="s">
        <v>770</v>
      </c>
      <c r="F711" t="s">
        <v>771</v>
      </c>
      <c r="G711" t="s">
        <v>1854</v>
      </c>
      <c r="J711" t="s">
        <v>773</v>
      </c>
      <c r="K711" t="s">
        <v>2319</v>
      </c>
      <c r="L711" t="s">
        <v>1080</v>
      </c>
      <c r="M711" t="s">
        <v>186</v>
      </c>
      <c r="N711" t="s">
        <v>770</v>
      </c>
      <c r="O711">
        <v>1</v>
      </c>
      <c r="P711" t="s">
        <v>776</v>
      </c>
      <c r="Q711">
        <v>32.700000000000003</v>
      </c>
      <c r="S711">
        <v>0.87</v>
      </c>
      <c r="X711">
        <v>0.87</v>
      </c>
      <c r="Y711" t="s">
        <v>3732</v>
      </c>
      <c r="Z711" t="s">
        <v>3733</v>
      </c>
      <c r="AA711">
        <v>6900</v>
      </c>
      <c r="AB711" t="s">
        <v>1716</v>
      </c>
    </row>
    <row r="712" spans="1:28" x14ac:dyDescent="0.25">
      <c r="A712" t="s">
        <v>3734</v>
      </c>
      <c r="B712" t="s">
        <v>3734</v>
      </c>
      <c r="C712" t="s">
        <v>3735</v>
      </c>
      <c r="D712" t="s">
        <v>3736</v>
      </c>
      <c r="E712" t="s">
        <v>770</v>
      </c>
      <c r="F712" t="s">
        <v>771</v>
      </c>
      <c r="G712" t="s">
        <v>1854</v>
      </c>
      <c r="J712" t="s">
        <v>783</v>
      </c>
      <c r="K712" t="s">
        <v>1930</v>
      </c>
      <c r="L712" t="s">
        <v>775</v>
      </c>
      <c r="M712" t="s">
        <v>65</v>
      </c>
      <c r="N712" t="s">
        <v>770</v>
      </c>
      <c r="O712">
        <v>1</v>
      </c>
      <c r="P712" t="s">
        <v>776</v>
      </c>
      <c r="Q712">
        <v>29.9</v>
      </c>
      <c r="R712">
        <v>5.39</v>
      </c>
      <c r="Y712" t="s">
        <v>1888</v>
      </c>
      <c r="Z712" t="s">
        <v>1888</v>
      </c>
      <c r="AA712">
        <v>40129</v>
      </c>
      <c r="AB712" t="s">
        <v>11</v>
      </c>
    </row>
    <row r="713" spans="1:28" x14ac:dyDescent="0.25">
      <c r="A713" t="s">
        <v>3737</v>
      </c>
      <c r="C713" t="s">
        <v>3738</v>
      </c>
      <c r="D713" t="s">
        <v>3739</v>
      </c>
      <c r="E713" t="s">
        <v>770</v>
      </c>
      <c r="F713" t="s">
        <v>1884</v>
      </c>
      <c r="G713" t="s">
        <v>1854</v>
      </c>
      <c r="H713" t="s">
        <v>1885</v>
      </c>
      <c r="J713" t="s">
        <v>773</v>
      </c>
      <c r="K713" t="s">
        <v>2396</v>
      </c>
      <c r="L713" t="s">
        <v>89</v>
      </c>
      <c r="M713" t="s">
        <v>88</v>
      </c>
      <c r="N713" t="s">
        <v>770</v>
      </c>
      <c r="O713">
        <v>1</v>
      </c>
      <c r="P713" t="s">
        <v>776</v>
      </c>
      <c r="Q713">
        <v>59.9</v>
      </c>
      <c r="R713">
        <v>10.8</v>
      </c>
      <c r="S713">
        <v>3</v>
      </c>
      <c r="T713">
        <v>0.54</v>
      </c>
      <c r="Y713" t="s">
        <v>3740</v>
      </c>
      <c r="Z713" t="s">
        <v>3740</v>
      </c>
      <c r="AA713">
        <v>58100</v>
      </c>
      <c r="AB713" t="s">
        <v>11</v>
      </c>
    </row>
    <row r="714" spans="1:28" x14ac:dyDescent="0.25">
      <c r="A714" t="s">
        <v>3741</v>
      </c>
      <c r="B714" t="s">
        <v>3741</v>
      </c>
      <c r="C714" t="s">
        <v>3742</v>
      </c>
      <c r="D714" t="s">
        <v>3743</v>
      </c>
      <c r="E714" t="s">
        <v>770</v>
      </c>
      <c r="F714" t="s">
        <v>771</v>
      </c>
      <c r="G714" t="s">
        <v>1854</v>
      </c>
      <c r="J714" t="s">
        <v>783</v>
      </c>
      <c r="K714" t="s">
        <v>1862</v>
      </c>
      <c r="L714" t="s">
        <v>1505</v>
      </c>
      <c r="M714" t="s">
        <v>53</v>
      </c>
      <c r="N714" t="s">
        <v>770</v>
      </c>
      <c r="O714">
        <v>1</v>
      </c>
      <c r="P714" t="s">
        <v>776</v>
      </c>
      <c r="Q714">
        <v>32.9</v>
      </c>
      <c r="R714">
        <v>5.93</v>
      </c>
      <c r="Y714" t="s">
        <v>3744</v>
      </c>
      <c r="Z714" t="s">
        <v>1875</v>
      </c>
      <c r="AA714">
        <v>20020</v>
      </c>
      <c r="AB714" t="s">
        <v>11</v>
      </c>
    </row>
    <row r="715" spans="1:28" x14ac:dyDescent="0.25">
      <c r="A715" t="s">
        <v>3745</v>
      </c>
      <c r="B715" t="s">
        <v>3745</v>
      </c>
      <c r="C715" t="s">
        <v>3746</v>
      </c>
      <c r="D715" t="s">
        <v>3747</v>
      </c>
      <c r="E715" t="s">
        <v>770</v>
      </c>
      <c r="F715" t="s">
        <v>771</v>
      </c>
      <c r="G715" t="s">
        <v>1854</v>
      </c>
      <c r="J715" t="s">
        <v>783</v>
      </c>
      <c r="K715" t="s">
        <v>1862</v>
      </c>
      <c r="L715" t="s">
        <v>1505</v>
      </c>
      <c r="M715" t="s">
        <v>53</v>
      </c>
      <c r="N715" t="s">
        <v>770</v>
      </c>
      <c r="O715">
        <v>2</v>
      </c>
      <c r="P715" t="s">
        <v>776</v>
      </c>
      <c r="Q715">
        <v>65.8</v>
      </c>
      <c r="R715">
        <v>11.86</v>
      </c>
      <c r="S715">
        <v>4.99</v>
      </c>
      <c r="T715">
        <v>0.9</v>
      </c>
      <c r="Y715" t="s">
        <v>3748</v>
      </c>
      <c r="Z715" t="s">
        <v>1913</v>
      </c>
      <c r="AA715">
        <v>19</v>
      </c>
      <c r="AB715" t="s">
        <v>11</v>
      </c>
    </row>
    <row r="716" spans="1:28" x14ac:dyDescent="0.25">
      <c r="A716" t="s">
        <v>3749</v>
      </c>
      <c r="B716" t="s">
        <v>3749</v>
      </c>
      <c r="C716" t="s">
        <v>3750</v>
      </c>
      <c r="D716" t="s">
        <v>3751</v>
      </c>
      <c r="E716" t="s">
        <v>770</v>
      </c>
      <c r="F716" t="s">
        <v>771</v>
      </c>
      <c r="G716" t="s">
        <v>1854</v>
      </c>
      <c r="J716" t="s">
        <v>783</v>
      </c>
      <c r="K716" t="s">
        <v>1873</v>
      </c>
      <c r="L716" t="s">
        <v>840</v>
      </c>
      <c r="M716" t="s">
        <v>26</v>
      </c>
      <c r="N716" t="s">
        <v>770</v>
      </c>
      <c r="O716">
        <v>1</v>
      </c>
      <c r="P716" t="s">
        <v>776</v>
      </c>
      <c r="Q716">
        <v>34.9</v>
      </c>
      <c r="R716">
        <v>6.29</v>
      </c>
      <c r="Y716" t="s">
        <v>3752</v>
      </c>
      <c r="Z716" t="s">
        <v>2143</v>
      </c>
      <c r="AA716">
        <v>3030</v>
      </c>
      <c r="AB716" t="s">
        <v>11</v>
      </c>
    </row>
    <row r="717" spans="1:28" x14ac:dyDescent="0.25">
      <c r="A717" t="s">
        <v>3753</v>
      </c>
      <c r="B717" t="s">
        <v>3753</v>
      </c>
      <c r="C717" t="s">
        <v>3754</v>
      </c>
      <c r="D717" t="s">
        <v>3755</v>
      </c>
      <c r="E717" t="s">
        <v>770</v>
      </c>
      <c r="F717" t="s">
        <v>771</v>
      </c>
      <c r="G717" t="s">
        <v>1854</v>
      </c>
      <c r="J717" t="s">
        <v>783</v>
      </c>
      <c r="K717" t="s">
        <v>1873</v>
      </c>
      <c r="L717" t="s">
        <v>840</v>
      </c>
      <c r="M717" t="s">
        <v>26</v>
      </c>
      <c r="N717" t="s">
        <v>770</v>
      </c>
      <c r="O717">
        <v>2</v>
      </c>
      <c r="P717" t="s">
        <v>776</v>
      </c>
      <c r="Q717">
        <v>69.8</v>
      </c>
      <c r="R717">
        <v>12.58</v>
      </c>
      <c r="Y717" t="s">
        <v>1913</v>
      </c>
      <c r="Z717" t="s">
        <v>1913</v>
      </c>
      <c r="AA717">
        <v>148</v>
      </c>
      <c r="AB717" t="s">
        <v>11</v>
      </c>
    </row>
    <row r="718" spans="1:28" x14ac:dyDescent="0.25">
      <c r="A718" t="s">
        <v>3756</v>
      </c>
      <c r="B718" t="s">
        <v>3756</v>
      </c>
      <c r="C718" t="s">
        <v>3757</v>
      </c>
      <c r="D718" t="s">
        <v>3758</v>
      </c>
      <c r="E718" t="s">
        <v>770</v>
      </c>
      <c r="F718" t="s">
        <v>771</v>
      </c>
      <c r="G718" t="s">
        <v>1854</v>
      </c>
      <c r="J718" t="s">
        <v>783</v>
      </c>
      <c r="K718" t="s">
        <v>1930</v>
      </c>
      <c r="L718" t="s">
        <v>775</v>
      </c>
      <c r="M718" t="s">
        <v>65</v>
      </c>
      <c r="N718" t="s">
        <v>770</v>
      </c>
      <c r="O718">
        <v>1</v>
      </c>
      <c r="P718" t="s">
        <v>776</v>
      </c>
      <c r="Q718">
        <v>29.9</v>
      </c>
      <c r="R718">
        <v>5.39</v>
      </c>
      <c r="Y718" t="s">
        <v>3759</v>
      </c>
      <c r="Z718" t="s">
        <v>1932</v>
      </c>
      <c r="AA718">
        <v>1012</v>
      </c>
      <c r="AB718" t="s">
        <v>11</v>
      </c>
    </row>
    <row r="719" spans="1:28" x14ac:dyDescent="0.25">
      <c r="A719" t="s">
        <v>3760</v>
      </c>
      <c r="B719" t="s">
        <v>3760</v>
      </c>
      <c r="C719" t="s">
        <v>3761</v>
      </c>
      <c r="D719" t="s">
        <v>3762</v>
      </c>
      <c r="E719" t="s">
        <v>770</v>
      </c>
      <c r="F719" t="s">
        <v>771</v>
      </c>
      <c r="G719" t="s">
        <v>1854</v>
      </c>
      <c r="J719" t="s">
        <v>783</v>
      </c>
      <c r="K719" t="s">
        <v>1855</v>
      </c>
      <c r="L719" t="s">
        <v>1856</v>
      </c>
      <c r="M719" t="s">
        <v>12</v>
      </c>
      <c r="N719" t="s">
        <v>770</v>
      </c>
      <c r="O719">
        <v>1</v>
      </c>
      <c r="P719" t="s">
        <v>776</v>
      </c>
      <c r="Q719">
        <v>19.899999999999999</v>
      </c>
      <c r="R719">
        <v>3.59</v>
      </c>
      <c r="Y719" t="s">
        <v>1913</v>
      </c>
      <c r="Z719" t="s">
        <v>1913</v>
      </c>
      <c r="AA719">
        <v>155</v>
      </c>
      <c r="AB719" t="s">
        <v>11</v>
      </c>
    </row>
    <row r="720" spans="1:28" x14ac:dyDescent="0.25">
      <c r="A720" t="s">
        <v>3763</v>
      </c>
      <c r="B720" t="s">
        <v>3763</v>
      </c>
      <c r="C720" t="s">
        <v>3764</v>
      </c>
      <c r="D720" t="s">
        <v>3765</v>
      </c>
      <c r="E720" t="s">
        <v>770</v>
      </c>
      <c r="F720" t="s">
        <v>771</v>
      </c>
      <c r="G720" t="s">
        <v>1854</v>
      </c>
      <c r="J720" t="s">
        <v>783</v>
      </c>
      <c r="K720" t="s">
        <v>1855</v>
      </c>
      <c r="L720" t="s">
        <v>1856</v>
      </c>
      <c r="M720" t="s">
        <v>12</v>
      </c>
      <c r="N720" t="s">
        <v>770</v>
      </c>
      <c r="O720">
        <v>1</v>
      </c>
      <c r="P720" t="s">
        <v>776</v>
      </c>
      <c r="Q720">
        <v>19.899999999999999</v>
      </c>
      <c r="R720">
        <v>3.59</v>
      </c>
      <c r="S720">
        <v>1.0900000000000001</v>
      </c>
      <c r="X720">
        <v>1.0900000000000001</v>
      </c>
      <c r="Y720" t="s">
        <v>3766</v>
      </c>
      <c r="Z720" t="s">
        <v>2635</v>
      </c>
      <c r="AA720">
        <v>97014</v>
      </c>
      <c r="AB720" t="s">
        <v>11</v>
      </c>
    </row>
    <row r="721" spans="1:28" x14ac:dyDescent="0.25">
      <c r="A721" t="s">
        <v>3767</v>
      </c>
      <c r="B721" t="s">
        <v>3767</v>
      </c>
      <c r="C721" t="s">
        <v>3768</v>
      </c>
      <c r="D721" t="s">
        <v>3769</v>
      </c>
      <c r="E721" t="s">
        <v>770</v>
      </c>
      <c r="F721" t="s">
        <v>771</v>
      </c>
      <c r="G721" t="s">
        <v>1854</v>
      </c>
      <c r="J721" t="s">
        <v>783</v>
      </c>
      <c r="K721" t="s">
        <v>1873</v>
      </c>
      <c r="L721" t="s">
        <v>840</v>
      </c>
      <c r="M721" t="s">
        <v>26</v>
      </c>
      <c r="N721" t="s">
        <v>770</v>
      </c>
      <c r="O721">
        <v>1</v>
      </c>
      <c r="P721" t="s">
        <v>776</v>
      </c>
      <c r="Q721">
        <v>34.9</v>
      </c>
      <c r="R721">
        <v>6.29</v>
      </c>
      <c r="Y721" t="s">
        <v>3770</v>
      </c>
      <c r="Z721" t="s">
        <v>2219</v>
      </c>
      <c r="AA721">
        <v>50019</v>
      </c>
      <c r="AB721" t="s">
        <v>11</v>
      </c>
    </row>
    <row r="722" spans="1:28" x14ac:dyDescent="0.25">
      <c r="A722" t="s">
        <v>3771</v>
      </c>
      <c r="B722" t="s">
        <v>3771</v>
      </c>
      <c r="C722" t="s">
        <v>3772</v>
      </c>
      <c r="D722" t="s">
        <v>3773</v>
      </c>
      <c r="E722" t="s">
        <v>770</v>
      </c>
      <c r="F722" t="s">
        <v>771</v>
      </c>
      <c r="G722" t="s">
        <v>1854</v>
      </c>
      <c r="J722" t="s">
        <v>783</v>
      </c>
      <c r="K722" t="s">
        <v>1862</v>
      </c>
      <c r="L722" t="s">
        <v>1505</v>
      </c>
      <c r="M722" t="s">
        <v>53</v>
      </c>
      <c r="N722" t="s">
        <v>770</v>
      </c>
      <c r="O722">
        <v>1</v>
      </c>
      <c r="P722" t="s">
        <v>776</v>
      </c>
      <c r="Q722">
        <v>32.9</v>
      </c>
      <c r="R722">
        <v>5.93</v>
      </c>
      <c r="Y722" t="s">
        <v>2165</v>
      </c>
      <c r="Z722" t="s">
        <v>2165</v>
      </c>
      <c r="AA722">
        <v>55100</v>
      </c>
      <c r="AB722" t="s">
        <v>11</v>
      </c>
    </row>
    <row r="723" spans="1:28" x14ac:dyDescent="0.25">
      <c r="A723" t="s">
        <v>3774</v>
      </c>
      <c r="B723" t="s">
        <v>3774</v>
      </c>
      <c r="C723" t="s">
        <v>3775</v>
      </c>
      <c r="D723" t="s">
        <v>3776</v>
      </c>
      <c r="E723" t="s">
        <v>770</v>
      </c>
      <c r="F723" t="s">
        <v>771</v>
      </c>
      <c r="G723" t="s">
        <v>1854</v>
      </c>
      <c r="J723" t="s">
        <v>783</v>
      </c>
      <c r="K723" t="s">
        <v>1862</v>
      </c>
      <c r="L723" t="s">
        <v>1505</v>
      </c>
      <c r="M723" t="s">
        <v>53</v>
      </c>
      <c r="N723" t="s">
        <v>770</v>
      </c>
      <c r="O723">
        <v>1</v>
      </c>
      <c r="P723" t="s">
        <v>776</v>
      </c>
      <c r="Q723">
        <v>32.9</v>
      </c>
      <c r="R723">
        <v>5.93</v>
      </c>
      <c r="Y723" t="s">
        <v>3777</v>
      </c>
      <c r="Z723" t="s">
        <v>1893</v>
      </c>
      <c r="AA723">
        <v>10094</v>
      </c>
      <c r="AB723" t="s">
        <v>11</v>
      </c>
    </row>
    <row r="724" spans="1:28" x14ac:dyDescent="0.25">
      <c r="A724" t="s">
        <v>3778</v>
      </c>
      <c r="B724" t="s">
        <v>3778</v>
      </c>
      <c r="C724" t="s">
        <v>3779</v>
      </c>
      <c r="D724" t="s">
        <v>3780</v>
      </c>
      <c r="E724" t="s">
        <v>770</v>
      </c>
      <c r="F724" t="s">
        <v>771</v>
      </c>
      <c r="G724" t="s">
        <v>1854</v>
      </c>
      <c r="J724" t="s">
        <v>783</v>
      </c>
      <c r="K724" t="s">
        <v>1873</v>
      </c>
      <c r="L724" t="s">
        <v>840</v>
      </c>
      <c r="M724" t="s">
        <v>26</v>
      </c>
      <c r="N724" t="s">
        <v>770</v>
      </c>
      <c r="O724">
        <v>1</v>
      </c>
      <c r="P724" t="s">
        <v>776</v>
      </c>
      <c r="Q724">
        <v>34.9</v>
      </c>
      <c r="R724">
        <v>6.29</v>
      </c>
      <c r="Y724" t="s">
        <v>1913</v>
      </c>
      <c r="Z724" t="s">
        <v>2548</v>
      </c>
      <c r="AA724">
        <v>199</v>
      </c>
      <c r="AB724" t="s">
        <v>11</v>
      </c>
    </row>
    <row r="725" spans="1:28" x14ac:dyDescent="0.25">
      <c r="A725" t="s">
        <v>3781</v>
      </c>
      <c r="B725" t="s">
        <v>3781</v>
      </c>
      <c r="C725" t="s">
        <v>3782</v>
      </c>
      <c r="D725" t="s">
        <v>3783</v>
      </c>
      <c r="E725" t="s">
        <v>770</v>
      </c>
      <c r="F725" t="s">
        <v>771</v>
      </c>
      <c r="G725" t="s">
        <v>1854</v>
      </c>
      <c r="J725" t="s">
        <v>783</v>
      </c>
      <c r="K725" t="s">
        <v>3328</v>
      </c>
      <c r="L725" t="s">
        <v>3329</v>
      </c>
      <c r="M725" t="s">
        <v>35</v>
      </c>
      <c r="N725" t="s">
        <v>770</v>
      </c>
      <c r="O725">
        <v>1</v>
      </c>
      <c r="P725" t="s">
        <v>776</v>
      </c>
      <c r="Q725">
        <v>24.9</v>
      </c>
      <c r="R725">
        <v>4.49</v>
      </c>
      <c r="Y725" t="s">
        <v>3784</v>
      </c>
      <c r="Z725" t="s">
        <v>2025</v>
      </c>
      <c r="AA725">
        <v>80012</v>
      </c>
      <c r="AB725" t="s">
        <v>11</v>
      </c>
    </row>
    <row r="726" spans="1:28" x14ac:dyDescent="0.25">
      <c r="A726" t="s">
        <v>3785</v>
      </c>
      <c r="B726" t="s">
        <v>3785</v>
      </c>
      <c r="C726" t="s">
        <v>3786</v>
      </c>
      <c r="D726" t="s">
        <v>3787</v>
      </c>
      <c r="E726" t="s">
        <v>770</v>
      </c>
      <c r="F726" t="s">
        <v>771</v>
      </c>
      <c r="G726" t="s">
        <v>1854</v>
      </c>
      <c r="J726" t="s">
        <v>783</v>
      </c>
      <c r="K726" t="s">
        <v>1855</v>
      </c>
      <c r="L726" t="s">
        <v>1856</v>
      </c>
      <c r="M726" t="s">
        <v>12</v>
      </c>
      <c r="N726" t="s">
        <v>770</v>
      </c>
      <c r="O726">
        <v>1</v>
      </c>
      <c r="P726" t="s">
        <v>776</v>
      </c>
      <c r="Q726">
        <v>19.899999999999999</v>
      </c>
      <c r="R726">
        <v>3.59</v>
      </c>
      <c r="Y726" t="s">
        <v>1875</v>
      </c>
      <c r="Z726" t="s">
        <v>3031</v>
      </c>
      <c r="AA726">
        <v>20146</v>
      </c>
      <c r="AB726" t="s">
        <v>11</v>
      </c>
    </row>
    <row r="727" spans="1:28" x14ac:dyDescent="0.25">
      <c r="A727" t="s">
        <v>3788</v>
      </c>
      <c r="B727" t="s">
        <v>3788</v>
      </c>
      <c r="C727" t="s">
        <v>3789</v>
      </c>
      <c r="D727" t="s">
        <v>3790</v>
      </c>
      <c r="E727" t="s">
        <v>770</v>
      </c>
      <c r="F727" t="s">
        <v>771</v>
      </c>
      <c r="G727" t="s">
        <v>1854</v>
      </c>
      <c r="J727" t="s">
        <v>783</v>
      </c>
      <c r="K727" t="s">
        <v>1855</v>
      </c>
      <c r="L727" t="s">
        <v>1856</v>
      </c>
      <c r="M727" t="s">
        <v>12</v>
      </c>
      <c r="N727" t="s">
        <v>770</v>
      </c>
      <c r="O727">
        <v>2</v>
      </c>
      <c r="P727" t="s">
        <v>776</v>
      </c>
      <c r="Q727">
        <v>39.799999999999997</v>
      </c>
      <c r="R727">
        <v>7.18</v>
      </c>
      <c r="S727">
        <v>2.1800000000000002</v>
      </c>
      <c r="X727">
        <v>2.1800000000000002</v>
      </c>
      <c r="Y727" t="s">
        <v>3791</v>
      </c>
      <c r="Z727" t="s">
        <v>1937</v>
      </c>
      <c r="AA727">
        <v>24050</v>
      </c>
      <c r="AB727" t="s">
        <v>11</v>
      </c>
    </row>
    <row r="728" spans="1:28" x14ac:dyDescent="0.25">
      <c r="A728" t="s">
        <v>3792</v>
      </c>
      <c r="C728" t="s">
        <v>3793</v>
      </c>
      <c r="D728" t="s">
        <v>3794</v>
      </c>
      <c r="E728" t="s">
        <v>770</v>
      </c>
      <c r="F728" t="s">
        <v>1884</v>
      </c>
      <c r="G728" t="s">
        <v>1854</v>
      </c>
      <c r="H728" t="s">
        <v>1885</v>
      </c>
      <c r="J728" t="s">
        <v>773</v>
      </c>
      <c r="K728" t="s">
        <v>2652</v>
      </c>
      <c r="L728" t="s">
        <v>52</v>
      </c>
      <c r="M728" t="s">
        <v>51</v>
      </c>
      <c r="N728" t="s">
        <v>770</v>
      </c>
      <c r="O728">
        <v>1</v>
      </c>
      <c r="P728" t="s">
        <v>776</v>
      </c>
      <c r="Q728">
        <v>24.9</v>
      </c>
      <c r="R728">
        <v>4.49</v>
      </c>
      <c r="S728">
        <v>3</v>
      </c>
      <c r="T728">
        <v>0.54</v>
      </c>
      <c r="Y728" t="s">
        <v>1875</v>
      </c>
      <c r="Z728" t="s">
        <v>1875</v>
      </c>
      <c r="AA728">
        <v>20143</v>
      </c>
      <c r="AB728" t="s">
        <v>11</v>
      </c>
    </row>
    <row r="729" spans="1:28" x14ac:dyDescent="0.25">
      <c r="A729" t="s">
        <v>3795</v>
      </c>
      <c r="B729" t="s">
        <v>3795</v>
      </c>
      <c r="C729" t="s">
        <v>3796</v>
      </c>
      <c r="D729" t="s">
        <v>3797</v>
      </c>
      <c r="E729" t="s">
        <v>770</v>
      </c>
      <c r="F729" t="s">
        <v>771</v>
      </c>
      <c r="G729" t="s">
        <v>1854</v>
      </c>
      <c r="J729" t="s">
        <v>783</v>
      </c>
      <c r="K729" t="s">
        <v>1855</v>
      </c>
      <c r="L729" t="s">
        <v>1856</v>
      </c>
      <c r="M729" t="s">
        <v>12</v>
      </c>
      <c r="N729" t="s">
        <v>770</v>
      </c>
      <c r="O729">
        <v>1</v>
      </c>
      <c r="P729" t="s">
        <v>776</v>
      </c>
      <c r="Q729">
        <v>19.899999999999999</v>
      </c>
      <c r="R729">
        <v>3.59</v>
      </c>
      <c r="Y729" t="s">
        <v>3798</v>
      </c>
      <c r="Z729" t="s">
        <v>2286</v>
      </c>
      <c r="AA729">
        <v>56038</v>
      </c>
      <c r="AB729" t="s">
        <v>11</v>
      </c>
    </row>
    <row r="730" spans="1:28" x14ac:dyDescent="0.25">
      <c r="A730" t="s">
        <v>3799</v>
      </c>
      <c r="C730" t="s">
        <v>3800</v>
      </c>
      <c r="D730" t="s">
        <v>3801</v>
      </c>
      <c r="E730" t="s">
        <v>770</v>
      </c>
      <c r="F730" t="s">
        <v>1884</v>
      </c>
      <c r="G730" t="s">
        <v>1854</v>
      </c>
      <c r="H730" t="s">
        <v>1885</v>
      </c>
      <c r="J730" t="s">
        <v>773</v>
      </c>
      <c r="K730" t="s">
        <v>3363</v>
      </c>
      <c r="L730" s="2">
        <v>40490</v>
      </c>
      <c r="M730" t="s">
        <v>71</v>
      </c>
      <c r="N730" t="s">
        <v>770</v>
      </c>
      <c r="O730">
        <v>1</v>
      </c>
      <c r="P730" t="s">
        <v>776</v>
      </c>
      <c r="Q730">
        <v>29.9</v>
      </c>
      <c r="R730">
        <v>5.39</v>
      </c>
      <c r="S730">
        <v>3</v>
      </c>
      <c r="T730">
        <v>0.54</v>
      </c>
      <c r="Y730" t="s">
        <v>3802</v>
      </c>
      <c r="Z730" t="s">
        <v>2343</v>
      </c>
      <c r="AA730">
        <v>90135</v>
      </c>
      <c r="AB730" t="s">
        <v>11</v>
      </c>
    </row>
    <row r="731" spans="1:28" x14ac:dyDescent="0.25">
      <c r="A731" t="s">
        <v>3803</v>
      </c>
      <c r="B731" t="s">
        <v>3803</v>
      </c>
      <c r="C731" t="s">
        <v>3804</v>
      </c>
      <c r="D731" t="s">
        <v>3805</v>
      </c>
      <c r="E731" t="s">
        <v>770</v>
      </c>
      <c r="F731" t="s">
        <v>771</v>
      </c>
      <c r="G731" t="s">
        <v>1854</v>
      </c>
      <c r="I731" t="s">
        <v>2692</v>
      </c>
      <c r="J731" t="s">
        <v>783</v>
      </c>
      <c r="K731" t="s">
        <v>2396</v>
      </c>
      <c r="L731" t="s">
        <v>1792</v>
      </c>
      <c r="M731" t="s">
        <v>88</v>
      </c>
      <c r="N731" t="s">
        <v>770</v>
      </c>
      <c r="O731">
        <v>1</v>
      </c>
      <c r="P731" t="s">
        <v>776</v>
      </c>
      <c r="Q731">
        <v>59.9</v>
      </c>
      <c r="R731">
        <v>10.8</v>
      </c>
      <c r="Y731" t="s">
        <v>2693</v>
      </c>
      <c r="Z731" t="s">
        <v>2148</v>
      </c>
      <c r="AA731">
        <v>45020</v>
      </c>
      <c r="AB731" t="s">
        <v>11</v>
      </c>
    </row>
    <row r="732" spans="1:28" x14ac:dyDescent="0.25">
      <c r="A732" t="s">
        <v>3806</v>
      </c>
      <c r="B732" t="s">
        <v>3806</v>
      </c>
      <c r="C732" t="s">
        <v>3807</v>
      </c>
      <c r="D732" t="s">
        <v>3808</v>
      </c>
      <c r="E732" t="s">
        <v>782</v>
      </c>
      <c r="F732" t="s">
        <v>771</v>
      </c>
      <c r="G732" t="s">
        <v>1854</v>
      </c>
      <c r="J732" t="s">
        <v>783</v>
      </c>
      <c r="K732" t="s">
        <v>1855</v>
      </c>
      <c r="L732" t="s">
        <v>1856</v>
      </c>
      <c r="M732" t="s">
        <v>12</v>
      </c>
      <c r="N732" t="s">
        <v>782</v>
      </c>
      <c r="O732">
        <v>0</v>
      </c>
      <c r="Y732" t="s">
        <v>3798</v>
      </c>
      <c r="Z732" t="s">
        <v>2286</v>
      </c>
      <c r="AA732">
        <v>56038</v>
      </c>
      <c r="AB732" t="s">
        <v>11</v>
      </c>
    </row>
    <row r="733" spans="1:28" x14ac:dyDescent="0.25">
      <c r="A733" t="s">
        <v>3809</v>
      </c>
      <c r="B733" t="s">
        <v>3809</v>
      </c>
      <c r="C733" t="s">
        <v>3810</v>
      </c>
      <c r="D733" t="s">
        <v>3811</v>
      </c>
      <c r="E733" t="s">
        <v>770</v>
      </c>
      <c r="F733" t="s">
        <v>771</v>
      </c>
      <c r="G733" t="s">
        <v>1854</v>
      </c>
      <c r="J733" t="s">
        <v>783</v>
      </c>
      <c r="K733" t="s">
        <v>1862</v>
      </c>
      <c r="L733" t="s">
        <v>1505</v>
      </c>
      <c r="M733" t="s">
        <v>53</v>
      </c>
      <c r="N733" t="s">
        <v>770</v>
      </c>
      <c r="O733">
        <v>1</v>
      </c>
      <c r="P733" t="s">
        <v>776</v>
      </c>
      <c r="Q733">
        <v>32.9</v>
      </c>
      <c r="R733">
        <v>5.93</v>
      </c>
      <c r="Y733" t="s">
        <v>3812</v>
      </c>
      <c r="Z733" t="s">
        <v>3813</v>
      </c>
      <c r="AA733">
        <v>37059</v>
      </c>
      <c r="AB733" t="s">
        <v>11</v>
      </c>
    </row>
    <row r="734" spans="1:28" x14ac:dyDescent="0.25">
      <c r="A734" t="s">
        <v>3814</v>
      </c>
      <c r="B734" t="s">
        <v>3814</v>
      </c>
      <c r="C734" t="s">
        <v>3815</v>
      </c>
      <c r="D734" t="s">
        <v>3816</v>
      </c>
      <c r="E734" t="s">
        <v>770</v>
      </c>
      <c r="F734" t="s">
        <v>771</v>
      </c>
      <c r="G734" t="s">
        <v>1854</v>
      </c>
      <c r="I734" t="s">
        <v>2692</v>
      </c>
      <c r="J734" t="s">
        <v>783</v>
      </c>
      <c r="K734" t="s">
        <v>2055</v>
      </c>
      <c r="L734" t="s">
        <v>806</v>
      </c>
      <c r="M734" t="s">
        <v>202</v>
      </c>
      <c r="N734" t="s">
        <v>770</v>
      </c>
      <c r="O734">
        <v>1</v>
      </c>
      <c r="P734" t="s">
        <v>776</v>
      </c>
      <c r="Q734">
        <v>14.9</v>
      </c>
      <c r="R734">
        <v>2.69</v>
      </c>
      <c r="Y734" t="s">
        <v>3817</v>
      </c>
      <c r="Z734" t="s">
        <v>3818</v>
      </c>
      <c r="AA734">
        <v>2032</v>
      </c>
      <c r="AB734" t="s">
        <v>11</v>
      </c>
    </row>
    <row r="735" spans="1:28" x14ac:dyDescent="0.25">
      <c r="A735" t="s">
        <v>3819</v>
      </c>
      <c r="B735" t="s">
        <v>3819</v>
      </c>
      <c r="C735" t="s">
        <v>3820</v>
      </c>
      <c r="D735" t="s">
        <v>3821</v>
      </c>
      <c r="E735" t="s">
        <v>770</v>
      </c>
      <c r="F735" t="s">
        <v>771</v>
      </c>
      <c r="G735" t="s">
        <v>1854</v>
      </c>
      <c r="J735" t="s">
        <v>783</v>
      </c>
      <c r="K735" t="s">
        <v>1930</v>
      </c>
      <c r="L735" t="s">
        <v>775</v>
      </c>
      <c r="M735" t="s">
        <v>65</v>
      </c>
      <c r="N735" t="s">
        <v>770</v>
      </c>
      <c r="O735">
        <v>1</v>
      </c>
      <c r="P735" t="s">
        <v>776</v>
      </c>
      <c r="Q735">
        <v>29.9</v>
      </c>
      <c r="R735">
        <v>5.39</v>
      </c>
      <c r="Y735" t="s">
        <v>3822</v>
      </c>
      <c r="Z735" t="s">
        <v>3089</v>
      </c>
      <c r="AA735">
        <v>25039</v>
      </c>
      <c r="AB735" t="s">
        <v>11</v>
      </c>
    </row>
    <row r="736" spans="1:28" x14ac:dyDescent="0.25">
      <c r="A736" t="s">
        <v>3823</v>
      </c>
      <c r="B736" t="s">
        <v>3823</v>
      </c>
      <c r="C736" t="s">
        <v>3824</v>
      </c>
      <c r="D736" t="s">
        <v>3825</v>
      </c>
      <c r="E736" t="s">
        <v>770</v>
      </c>
      <c r="F736" t="s">
        <v>771</v>
      </c>
      <c r="G736" t="s">
        <v>1854</v>
      </c>
      <c r="J736" t="s">
        <v>783</v>
      </c>
      <c r="K736" t="s">
        <v>1862</v>
      </c>
      <c r="L736" t="s">
        <v>1505</v>
      </c>
      <c r="M736" t="s">
        <v>53</v>
      </c>
      <c r="N736" t="s">
        <v>770</v>
      </c>
      <c r="O736">
        <v>1</v>
      </c>
      <c r="P736" t="s">
        <v>776</v>
      </c>
      <c r="Q736">
        <v>32.9</v>
      </c>
      <c r="R736">
        <v>5.93</v>
      </c>
      <c r="Y736" t="s">
        <v>2057</v>
      </c>
      <c r="Z736" t="s">
        <v>2433</v>
      </c>
      <c r="AA736">
        <v>37138</v>
      </c>
      <c r="AB736" t="s">
        <v>11</v>
      </c>
    </row>
    <row r="737" spans="1:28" x14ac:dyDescent="0.25">
      <c r="A737" t="s">
        <v>3826</v>
      </c>
      <c r="B737" t="s">
        <v>3826</v>
      </c>
      <c r="C737" t="s">
        <v>3827</v>
      </c>
      <c r="D737" t="s">
        <v>3828</v>
      </c>
      <c r="E737" t="s">
        <v>770</v>
      </c>
      <c r="F737" t="s">
        <v>771</v>
      </c>
      <c r="G737" t="s">
        <v>1854</v>
      </c>
      <c r="J737" t="s">
        <v>783</v>
      </c>
      <c r="K737" t="s">
        <v>1855</v>
      </c>
      <c r="L737" t="s">
        <v>1856</v>
      </c>
      <c r="M737" t="s">
        <v>12</v>
      </c>
      <c r="N737" t="s">
        <v>770</v>
      </c>
      <c r="O737">
        <v>1</v>
      </c>
      <c r="P737" t="s">
        <v>776</v>
      </c>
      <c r="Q737">
        <v>19.899999999999999</v>
      </c>
      <c r="R737">
        <v>3.59</v>
      </c>
      <c r="S737">
        <v>4.99</v>
      </c>
      <c r="T737">
        <v>0.9</v>
      </c>
      <c r="Y737" t="s">
        <v>3829</v>
      </c>
      <c r="Z737" t="s">
        <v>1893</v>
      </c>
      <c r="AA737">
        <v>10023</v>
      </c>
      <c r="AB737" t="s">
        <v>11</v>
      </c>
    </row>
    <row r="738" spans="1:28" x14ac:dyDescent="0.25">
      <c r="A738" t="s">
        <v>3830</v>
      </c>
      <c r="B738" t="s">
        <v>3830</v>
      </c>
      <c r="C738" t="s">
        <v>3831</v>
      </c>
      <c r="D738" t="s">
        <v>3832</v>
      </c>
      <c r="E738" t="s">
        <v>770</v>
      </c>
      <c r="F738" t="s">
        <v>771</v>
      </c>
      <c r="G738" t="s">
        <v>1854</v>
      </c>
      <c r="I738" t="s">
        <v>2692</v>
      </c>
      <c r="J738" t="s">
        <v>783</v>
      </c>
      <c r="K738" t="s">
        <v>2712</v>
      </c>
      <c r="L738" t="s">
        <v>1800</v>
      </c>
      <c r="M738" t="s">
        <v>14</v>
      </c>
      <c r="N738" t="s">
        <v>770</v>
      </c>
      <c r="O738">
        <v>1</v>
      </c>
      <c r="P738" t="s">
        <v>776</v>
      </c>
      <c r="Q738">
        <v>14.9</v>
      </c>
      <c r="R738">
        <v>2.69</v>
      </c>
      <c r="Y738" t="s">
        <v>2693</v>
      </c>
      <c r="Z738" t="s">
        <v>2148</v>
      </c>
      <c r="AA738">
        <v>45020</v>
      </c>
      <c r="AB738" t="s">
        <v>11</v>
      </c>
    </row>
    <row r="739" spans="1:28" x14ac:dyDescent="0.25">
      <c r="A739" t="s">
        <v>3833</v>
      </c>
      <c r="B739" t="s">
        <v>3833</v>
      </c>
      <c r="C739" t="s">
        <v>3834</v>
      </c>
      <c r="D739" t="s">
        <v>3835</v>
      </c>
      <c r="E739" t="s">
        <v>770</v>
      </c>
      <c r="F739" t="s">
        <v>771</v>
      </c>
      <c r="G739" t="s">
        <v>1854</v>
      </c>
      <c r="J739" t="s">
        <v>783</v>
      </c>
      <c r="K739" t="s">
        <v>1855</v>
      </c>
      <c r="L739" t="s">
        <v>1856</v>
      </c>
      <c r="M739" t="s">
        <v>12</v>
      </c>
      <c r="N739" t="s">
        <v>770</v>
      </c>
      <c r="O739">
        <v>1</v>
      </c>
      <c r="P739" t="s">
        <v>776</v>
      </c>
      <c r="Q739">
        <v>19.899999999999999</v>
      </c>
      <c r="R739">
        <v>3.59</v>
      </c>
      <c r="Y739" t="s">
        <v>3836</v>
      </c>
      <c r="Z739" t="s">
        <v>1875</v>
      </c>
      <c r="AA739">
        <v>20036</v>
      </c>
      <c r="AB739" t="s">
        <v>11</v>
      </c>
    </row>
    <row r="740" spans="1:28" x14ac:dyDescent="0.25">
      <c r="A740" t="s">
        <v>3837</v>
      </c>
      <c r="B740" t="s">
        <v>3837</v>
      </c>
      <c r="C740" t="s">
        <v>3838</v>
      </c>
      <c r="D740" t="s">
        <v>3839</v>
      </c>
      <c r="E740" t="s">
        <v>770</v>
      </c>
      <c r="F740" t="s">
        <v>771</v>
      </c>
      <c r="G740" t="s">
        <v>1854</v>
      </c>
      <c r="I740" t="s">
        <v>2692</v>
      </c>
      <c r="J740" t="s">
        <v>773</v>
      </c>
      <c r="K740" t="s">
        <v>2712</v>
      </c>
      <c r="L740" t="s">
        <v>1800</v>
      </c>
      <c r="M740" t="s">
        <v>14</v>
      </c>
      <c r="N740" t="s">
        <v>770</v>
      </c>
      <c r="O740">
        <v>1</v>
      </c>
      <c r="P740" t="s">
        <v>776</v>
      </c>
      <c r="Q740">
        <v>14.9</v>
      </c>
      <c r="R740">
        <v>2.69</v>
      </c>
      <c r="Y740" t="s">
        <v>2693</v>
      </c>
      <c r="Z740" t="s">
        <v>2148</v>
      </c>
      <c r="AA740">
        <v>45020</v>
      </c>
      <c r="AB740" t="s">
        <v>11</v>
      </c>
    </row>
    <row r="741" spans="1:28" x14ac:dyDescent="0.25">
      <c r="A741" t="s">
        <v>3840</v>
      </c>
      <c r="B741" t="s">
        <v>3840</v>
      </c>
      <c r="C741" t="s">
        <v>3841</v>
      </c>
      <c r="D741" t="s">
        <v>3842</v>
      </c>
      <c r="E741" t="s">
        <v>770</v>
      </c>
      <c r="F741" t="s">
        <v>771</v>
      </c>
      <c r="G741" t="s">
        <v>1854</v>
      </c>
      <c r="J741" t="s">
        <v>783</v>
      </c>
      <c r="K741" t="s">
        <v>1855</v>
      </c>
      <c r="L741" t="s">
        <v>1856</v>
      </c>
      <c r="M741" t="s">
        <v>12</v>
      </c>
      <c r="N741" t="s">
        <v>770</v>
      </c>
      <c r="O741">
        <v>1</v>
      </c>
      <c r="P741" t="s">
        <v>776</v>
      </c>
      <c r="Q741">
        <v>19.899999999999999</v>
      </c>
      <c r="R741">
        <v>3.59</v>
      </c>
      <c r="Y741" t="s">
        <v>3843</v>
      </c>
      <c r="Z741" t="s">
        <v>3287</v>
      </c>
      <c r="AA741">
        <v>23851</v>
      </c>
      <c r="AB741" t="s">
        <v>11</v>
      </c>
    </row>
    <row r="742" spans="1:28" x14ac:dyDescent="0.25">
      <c r="A742" t="s">
        <v>3844</v>
      </c>
      <c r="B742" t="s">
        <v>3844</v>
      </c>
      <c r="C742" t="s">
        <v>3845</v>
      </c>
      <c r="D742" t="s">
        <v>3846</v>
      </c>
      <c r="E742" t="s">
        <v>770</v>
      </c>
      <c r="F742" t="s">
        <v>771</v>
      </c>
      <c r="G742" t="s">
        <v>1854</v>
      </c>
      <c r="J742" t="s">
        <v>783</v>
      </c>
      <c r="K742" t="s">
        <v>1855</v>
      </c>
      <c r="L742" t="s">
        <v>1856</v>
      </c>
      <c r="M742" t="s">
        <v>12</v>
      </c>
      <c r="N742" t="s">
        <v>770</v>
      </c>
      <c r="O742">
        <v>1</v>
      </c>
      <c r="P742" t="s">
        <v>776</v>
      </c>
      <c r="Q742">
        <v>19.899999999999999</v>
      </c>
      <c r="R742">
        <v>3.59</v>
      </c>
      <c r="Y742" t="s">
        <v>2602</v>
      </c>
      <c r="Z742" t="s">
        <v>3024</v>
      </c>
      <c r="AA742">
        <v>16163</v>
      </c>
      <c r="AB742" t="s">
        <v>11</v>
      </c>
    </row>
    <row r="743" spans="1:28" x14ac:dyDescent="0.25">
      <c r="A743" t="s">
        <v>3847</v>
      </c>
      <c r="B743" t="s">
        <v>3847</v>
      </c>
      <c r="C743" t="s">
        <v>3848</v>
      </c>
      <c r="D743" t="s">
        <v>3849</v>
      </c>
      <c r="E743" t="s">
        <v>770</v>
      </c>
      <c r="F743" t="s">
        <v>771</v>
      </c>
      <c r="G743" t="s">
        <v>1854</v>
      </c>
      <c r="J743" t="s">
        <v>783</v>
      </c>
      <c r="K743" t="s">
        <v>2396</v>
      </c>
      <c r="L743" t="s">
        <v>1792</v>
      </c>
      <c r="M743" t="s">
        <v>88</v>
      </c>
      <c r="N743" t="s">
        <v>770</v>
      </c>
      <c r="O743">
        <v>1</v>
      </c>
      <c r="P743" t="s">
        <v>776</v>
      </c>
      <c r="Q743">
        <v>59.9</v>
      </c>
      <c r="R743">
        <v>10.8</v>
      </c>
      <c r="Y743" t="s">
        <v>3850</v>
      </c>
      <c r="Z743" t="s">
        <v>2126</v>
      </c>
      <c r="AA743">
        <v>81030</v>
      </c>
      <c r="AB743" t="s">
        <v>11</v>
      </c>
    </row>
    <row r="744" spans="1:28" x14ac:dyDescent="0.25">
      <c r="A744" t="s">
        <v>3851</v>
      </c>
      <c r="C744" t="s">
        <v>3852</v>
      </c>
      <c r="D744" t="s">
        <v>3853</v>
      </c>
      <c r="E744" t="s">
        <v>770</v>
      </c>
      <c r="F744" t="s">
        <v>1884</v>
      </c>
      <c r="G744" t="s">
        <v>1854</v>
      </c>
      <c r="H744" t="s">
        <v>1885</v>
      </c>
      <c r="J744" t="s">
        <v>773</v>
      </c>
      <c r="K744" t="s">
        <v>1886</v>
      </c>
      <c r="L744" t="s">
        <v>18</v>
      </c>
      <c r="M744" t="s">
        <v>17</v>
      </c>
      <c r="N744" t="s">
        <v>770</v>
      </c>
      <c r="O744">
        <v>1</v>
      </c>
      <c r="P744" t="s">
        <v>776</v>
      </c>
      <c r="Q744">
        <v>22.9</v>
      </c>
      <c r="R744">
        <v>4.13</v>
      </c>
      <c r="S744">
        <v>3</v>
      </c>
      <c r="T744">
        <v>0.54</v>
      </c>
      <c r="Y744" t="s">
        <v>2362</v>
      </c>
      <c r="Z744" t="s">
        <v>3304</v>
      </c>
      <c r="AA744">
        <v>15121</v>
      </c>
      <c r="AB744" t="s">
        <v>11</v>
      </c>
    </row>
    <row r="745" spans="1:28" x14ac:dyDescent="0.25">
      <c r="A745" t="s">
        <v>3854</v>
      </c>
      <c r="B745" t="s">
        <v>3854</v>
      </c>
      <c r="C745" t="s">
        <v>3855</v>
      </c>
      <c r="D745" t="s">
        <v>3856</v>
      </c>
      <c r="E745" t="s">
        <v>770</v>
      </c>
      <c r="F745" t="s">
        <v>771</v>
      </c>
      <c r="G745" t="s">
        <v>1854</v>
      </c>
      <c r="I745" t="s">
        <v>2692</v>
      </c>
      <c r="J745" t="s">
        <v>783</v>
      </c>
      <c r="K745" t="s">
        <v>2712</v>
      </c>
      <c r="L745" t="s">
        <v>1800</v>
      </c>
      <c r="M745" t="s">
        <v>14</v>
      </c>
      <c r="N745" t="s">
        <v>770</v>
      </c>
      <c r="O745">
        <v>1</v>
      </c>
      <c r="P745" t="s">
        <v>776</v>
      </c>
      <c r="Q745">
        <v>14.9</v>
      </c>
      <c r="R745">
        <v>2.69</v>
      </c>
      <c r="Y745" t="s">
        <v>2693</v>
      </c>
      <c r="Z745" t="s">
        <v>2148</v>
      </c>
      <c r="AA745">
        <v>45020</v>
      </c>
      <c r="AB745" t="s">
        <v>11</v>
      </c>
    </row>
    <row r="746" spans="1:28" x14ac:dyDescent="0.25">
      <c r="A746" t="s">
        <v>3857</v>
      </c>
      <c r="B746" t="s">
        <v>3857</v>
      </c>
      <c r="C746" t="s">
        <v>3858</v>
      </c>
      <c r="D746" t="s">
        <v>3859</v>
      </c>
      <c r="E746" t="s">
        <v>770</v>
      </c>
      <c r="F746" t="s">
        <v>771</v>
      </c>
      <c r="G746" t="s">
        <v>1854</v>
      </c>
      <c r="J746" t="s">
        <v>783</v>
      </c>
      <c r="K746" t="s">
        <v>1873</v>
      </c>
      <c r="L746" t="s">
        <v>840</v>
      </c>
      <c r="M746" t="s">
        <v>26</v>
      </c>
      <c r="N746" t="s">
        <v>770</v>
      </c>
      <c r="O746">
        <v>1</v>
      </c>
      <c r="P746" t="s">
        <v>776</v>
      </c>
      <c r="Q746">
        <v>34.9</v>
      </c>
      <c r="R746">
        <v>6.29</v>
      </c>
      <c r="Y746" t="s">
        <v>3860</v>
      </c>
      <c r="Z746" t="s">
        <v>3861</v>
      </c>
      <c r="AA746">
        <v>58015</v>
      </c>
      <c r="AB746" t="s">
        <v>11</v>
      </c>
    </row>
    <row r="747" spans="1:28" x14ac:dyDescent="0.25">
      <c r="A747" t="s">
        <v>3862</v>
      </c>
      <c r="B747" t="s">
        <v>3862</v>
      </c>
      <c r="C747" t="s">
        <v>3863</v>
      </c>
      <c r="D747" t="s">
        <v>3864</v>
      </c>
      <c r="E747" t="s">
        <v>770</v>
      </c>
      <c r="F747" t="s">
        <v>771</v>
      </c>
      <c r="G747" t="s">
        <v>1854</v>
      </c>
      <c r="J747" t="s">
        <v>783</v>
      </c>
      <c r="K747" t="s">
        <v>1873</v>
      </c>
      <c r="L747" t="s">
        <v>840</v>
      </c>
      <c r="M747" t="s">
        <v>26</v>
      </c>
      <c r="N747" t="s">
        <v>770</v>
      </c>
      <c r="O747">
        <v>1</v>
      </c>
      <c r="P747" t="s">
        <v>776</v>
      </c>
      <c r="Q747">
        <v>34.9</v>
      </c>
      <c r="R747">
        <v>6.29</v>
      </c>
      <c r="Y747" t="s">
        <v>3865</v>
      </c>
      <c r="Z747" t="s">
        <v>1893</v>
      </c>
      <c r="AA747">
        <v>10090</v>
      </c>
      <c r="AB747" t="s">
        <v>11</v>
      </c>
    </row>
    <row r="748" spans="1:28" x14ac:dyDescent="0.25">
      <c r="A748" t="s">
        <v>3866</v>
      </c>
      <c r="C748" t="s">
        <v>3867</v>
      </c>
      <c r="D748" t="s">
        <v>3868</v>
      </c>
      <c r="E748" t="s">
        <v>770</v>
      </c>
      <c r="F748" t="s">
        <v>1884</v>
      </c>
      <c r="G748" t="s">
        <v>1854</v>
      </c>
      <c r="H748" t="s">
        <v>1885</v>
      </c>
      <c r="J748" t="s">
        <v>773</v>
      </c>
      <c r="K748" t="s">
        <v>2913</v>
      </c>
      <c r="L748" t="s">
        <v>99</v>
      </c>
      <c r="M748" t="s">
        <v>98</v>
      </c>
      <c r="N748" t="s">
        <v>770</v>
      </c>
      <c r="O748">
        <v>1</v>
      </c>
      <c r="P748" t="s">
        <v>776</v>
      </c>
      <c r="Q748">
        <v>29.9</v>
      </c>
      <c r="R748">
        <v>5.39</v>
      </c>
      <c r="S748">
        <v>3</v>
      </c>
      <c r="T748">
        <v>0.54</v>
      </c>
      <c r="Y748" t="s">
        <v>3869</v>
      </c>
      <c r="Z748" t="s">
        <v>3870</v>
      </c>
      <c r="AA748">
        <v>75017</v>
      </c>
      <c r="AB748" t="s">
        <v>11</v>
      </c>
    </row>
    <row r="749" spans="1:28" x14ac:dyDescent="0.25">
      <c r="A749" t="s">
        <v>3871</v>
      </c>
      <c r="B749" t="s">
        <v>3871</v>
      </c>
      <c r="C749" t="s">
        <v>3872</v>
      </c>
      <c r="D749" t="s">
        <v>3873</v>
      </c>
      <c r="E749" t="s">
        <v>770</v>
      </c>
      <c r="F749" t="s">
        <v>771</v>
      </c>
      <c r="G749" t="s">
        <v>1854</v>
      </c>
      <c r="J749" t="s">
        <v>783</v>
      </c>
      <c r="K749" t="s">
        <v>1930</v>
      </c>
      <c r="L749" t="s">
        <v>775</v>
      </c>
      <c r="M749" t="s">
        <v>65</v>
      </c>
      <c r="N749" t="s">
        <v>770</v>
      </c>
      <c r="O749">
        <v>1</v>
      </c>
      <c r="P749" t="s">
        <v>776</v>
      </c>
      <c r="Q749">
        <v>29.9</v>
      </c>
      <c r="R749">
        <v>5.39</v>
      </c>
      <c r="Y749" t="s">
        <v>2644</v>
      </c>
      <c r="Z749" t="s">
        <v>3874</v>
      </c>
      <c r="AA749">
        <v>57127</v>
      </c>
      <c r="AB749" t="s">
        <v>11</v>
      </c>
    </row>
    <row r="750" spans="1:28" x14ac:dyDescent="0.25">
      <c r="A750" t="s">
        <v>3875</v>
      </c>
      <c r="B750" t="s">
        <v>3875</v>
      </c>
      <c r="C750" t="s">
        <v>3876</v>
      </c>
      <c r="D750" t="s">
        <v>3877</v>
      </c>
      <c r="E750" t="s">
        <v>770</v>
      </c>
      <c r="F750" t="s">
        <v>771</v>
      </c>
      <c r="G750" t="s">
        <v>1854</v>
      </c>
      <c r="J750" t="s">
        <v>783</v>
      </c>
      <c r="K750" t="s">
        <v>1873</v>
      </c>
      <c r="L750" t="s">
        <v>840</v>
      </c>
      <c r="M750" t="s">
        <v>26</v>
      </c>
      <c r="N750" t="s">
        <v>770</v>
      </c>
      <c r="O750">
        <v>1</v>
      </c>
      <c r="P750" t="s">
        <v>776</v>
      </c>
      <c r="Q750">
        <v>34.9</v>
      </c>
      <c r="R750">
        <v>6.29</v>
      </c>
      <c r="Y750" t="s">
        <v>3878</v>
      </c>
      <c r="Z750" t="s">
        <v>2675</v>
      </c>
      <c r="AA750">
        <v>20811</v>
      </c>
      <c r="AB750" t="s">
        <v>11</v>
      </c>
    </row>
    <row r="751" spans="1:28" x14ac:dyDescent="0.25">
      <c r="A751" t="s">
        <v>3879</v>
      </c>
      <c r="B751" t="s">
        <v>3879</v>
      </c>
      <c r="C751" t="s">
        <v>3880</v>
      </c>
      <c r="D751" t="s">
        <v>3881</v>
      </c>
      <c r="E751" t="s">
        <v>770</v>
      </c>
      <c r="F751" t="s">
        <v>771</v>
      </c>
      <c r="G751" t="s">
        <v>1854</v>
      </c>
      <c r="J751" t="s">
        <v>783</v>
      </c>
      <c r="K751" t="s">
        <v>1873</v>
      </c>
      <c r="L751" t="s">
        <v>840</v>
      </c>
      <c r="M751" t="s">
        <v>26</v>
      </c>
      <c r="N751" t="s">
        <v>770</v>
      </c>
      <c r="O751">
        <v>1</v>
      </c>
      <c r="P751" t="s">
        <v>776</v>
      </c>
      <c r="Q751">
        <v>34.9</v>
      </c>
      <c r="R751">
        <v>6.29</v>
      </c>
      <c r="S751">
        <v>1.63</v>
      </c>
      <c r="X751">
        <v>1.63</v>
      </c>
      <c r="Y751" t="s">
        <v>3882</v>
      </c>
      <c r="Z751" t="s">
        <v>2486</v>
      </c>
      <c r="AA751">
        <v>61010</v>
      </c>
      <c r="AB751" t="s">
        <v>11</v>
      </c>
    </row>
    <row r="752" spans="1:28" x14ac:dyDescent="0.25">
      <c r="A752" t="s">
        <v>3883</v>
      </c>
      <c r="B752" t="s">
        <v>3883</v>
      </c>
      <c r="C752" t="s">
        <v>3884</v>
      </c>
      <c r="D752" t="s">
        <v>3885</v>
      </c>
      <c r="E752" t="s">
        <v>770</v>
      </c>
      <c r="F752" t="s">
        <v>771</v>
      </c>
      <c r="G752" t="s">
        <v>1854</v>
      </c>
      <c r="J752" t="s">
        <v>783</v>
      </c>
      <c r="K752" t="s">
        <v>1855</v>
      </c>
      <c r="L752" t="s">
        <v>1856</v>
      </c>
      <c r="M752" t="s">
        <v>12</v>
      </c>
      <c r="N752" t="s">
        <v>770</v>
      </c>
      <c r="O752">
        <v>1</v>
      </c>
      <c r="P752" t="s">
        <v>776</v>
      </c>
      <c r="Q752">
        <v>19.899999999999999</v>
      </c>
      <c r="R752">
        <v>3.59</v>
      </c>
      <c r="S752">
        <v>1.66</v>
      </c>
      <c r="T752">
        <v>0.3</v>
      </c>
      <c r="Y752" t="s">
        <v>2342</v>
      </c>
      <c r="Z752" t="s">
        <v>3886</v>
      </c>
      <c r="AA752">
        <v>90144</v>
      </c>
      <c r="AB752" t="s">
        <v>11</v>
      </c>
    </row>
    <row r="753" spans="1:35" x14ac:dyDescent="0.25">
      <c r="A753" t="s">
        <v>3887</v>
      </c>
      <c r="B753" t="s">
        <v>3887</v>
      </c>
      <c r="C753" t="s">
        <v>3888</v>
      </c>
      <c r="D753" t="s">
        <v>3889</v>
      </c>
      <c r="E753" t="s">
        <v>770</v>
      </c>
      <c r="F753" t="s">
        <v>771</v>
      </c>
      <c r="G753" t="s">
        <v>1854</v>
      </c>
      <c r="J753" t="s">
        <v>783</v>
      </c>
      <c r="K753" t="s">
        <v>1855</v>
      </c>
      <c r="L753" t="s">
        <v>1856</v>
      </c>
      <c r="M753" t="s">
        <v>12</v>
      </c>
      <c r="N753" t="s">
        <v>770</v>
      </c>
      <c r="O753">
        <v>1</v>
      </c>
      <c r="P753" t="s">
        <v>776</v>
      </c>
      <c r="Q753">
        <v>19.899999999999999</v>
      </c>
      <c r="R753">
        <v>3.59</v>
      </c>
      <c r="Y753" t="s">
        <v>2581</v>
      </c>
      <c r="Z753" t="s">
        <v>1997</v>
      </c>
      <c r="AA753">
        <v>50145</v>
      </c>
      <c r="AB753" t="s">
        <v>11</v>
      </c>
    </row>
    <row r="754" spans="1:35" x14ac:dyDescent="0.25">
      <c r="A754" t="s">
        <v>3890</v>
      </c>
      <c r="C754" t="s">
        <v>3891</v>
      </c>
      <c r="D754" t="s">
        <v>3892</v>
      </c>
      <c r="E754" t="s">
        <v>770</v>
      </c>
      <c r="F754" t="s">
        <v>1884</v>
      </c>
      <c r="G754" t="s">
        <v>1854</v>
      </c>
      <c r="H754" t="s">
        <v>1885</v>
      </c>
      <c r="J754" t="s">
        <v>773</v>
      </c>
      <c r="K754" t="s">
        <v>2652</v>
      </c>
      <c r="L754" t="s">
        <v>52</v>
      </c>
      <c r="M754" t="s">
        <v>51</v>
      </c>
      <c r="N754" t="s">
        <v>770</v>
      </c>
      <c r="O754">
        <v>1</v>
      </c>
      <c r="P754" t="s">
        <v>776</v>
      </c>
      <c r="Q754">
        <v>24.9</v>
      </c>
      <c r="R754">
        <v>4.49</v>
      </c>
      <c r="S754">
        <v>3</v>
      </c>
      <c r="T754">
        <v>0.54</v>
      </c>
      <c r="Y754" t="s">
        <v>3893</v>
      </c>
      <c r="Z754" t="s">
        <v>2454</v>
      </c>
      <c r="AA754">
        <v>71019</v>
      </c>
      <c r="AB754" t="s">
        <v>11</v>
      </c>
    </row>
    <row r="755" spans="1:35" x14ac:dyDescent="0.25">
      <c r="A755" t="s">
        <v>3894</v>
      </c>
      <c r="B755" t="s">
        <v>3894</v>
      </c>
      <c r="C755" t="s">
        <v>3895</v>
      </c>
      <c r="D755" t="s">
        <v>3896</v>
      </c>
      <c r="E755" t="s">
        <v>770</v>
      </c>
      <c r="F755" t="s">
        <v>771</v>
      </c>
      <c r="G755" t="s">
        <v>1854</v>
      </c>
      <c r="J755" t="s">
        <v>783</v>
      </c>
      <c r="K755" t="s">
        <v>1855</v>
      </c>
      <c r="L755" t="s">
        <v>1856</v>
      </c>
      <c r="M755" t="s">
        <v>12</v>
      </c>
      <c r="N755" t="s">
        <v>770</v>
      </c>
      <c r="O755">
        <v>1</v>
      </c>
      <c r="P755" t="s">
        <v>776</v>
      </c>
      <c r="Q755">
        <v>19.899999999999999</v>
      </c>
      <c r="R755">
        <v>3.59</v>
      </c>
      <c r="Y755" t="s">
        <v>3897</v>
      </c>
      <c r="Z755" t="s">
        <v>1913</v>
      </c>
      <c r="AA755">
        <v>13</v>
      </c>
      <c r="AB755" t="s">
        <v>11</v>
      </c>
    </row>
    <row r="756" spans="1:35" x14ac:dyDescent="0.25">
      <c r="A756" t="s">
        <v>3898</v>
      </c>
      <c r="B756" t="s">
        <v>3898</v>
      </c>
      <c r="C756" t="s">
        <v>3899</v>
      </c>
      <c r="D756" t="s">
        <v>3900</v>
      </c>
      <c r="E756" t="s">
        <v>770</v>
      </c>
      <c r="F756" t="s">
        <v>771</v>
      </c>
      <c r="G756" t="s">
        <v>1854</v>
      </c>
      <c r="J756" t="s">
        <v>783</v>
      </c>
      <c r="K756" t="s">
        <v>1873</v>
      </c>
      <c r="L756" t="s">
        <v>840</v>
      </c>
      <c r="M756" t="s">
        <v>26</v>
      </c>
      <c r="N756" t="s">
        <v>770</v>
      </c>
      <c r="O756">
        <v>1</v>
      </c>
      <c r="P756" t="s">
        <v>776</v>
      </c>
      <c r="Q756">
        <v>34.9</v>
      </c>
      <c r="R756">
        <v>6.29</v>
      </c>
      <c r="Y756" t="s">
        <v>2503</v>
      </c>
      <c r="Z756" t="s">
        <v>2386</v>
      </c>
      <c r="AA756">
        <v>48121</v>
      </c>
      <c r="AB756" t="s">
        <v>11</v>
      </c>
    </row>
    <row r="757" spans="1:35" x14ac:dyDescent="0.25">
      <c r="A757" t="s">
        <v>3901</v>
      </c>
      <c r="B757" t="s">
        <v>3901</v>
      </c>
      <c r="C757" t="s">
        <v>3902</v>
      </c>
      <c r="D757" t="s">
        <v>3903</v>
      </c>
      <c r="E757" t="s">
        <v>770</v>
      </c>
      <c r="F757" t="s">
        <v>771</v>
      </c>
      <c r="G757" t="s">
        <v>1854</v>
      </c>
      <c r="J757" t="s">
        <v>783</v>
      </c>
      <c r="K757" t="s">
        <v>1855</v>
      </c>
      <c r="L757" t="s">
        <v>1856</v>
      </c>
      <c r="M757" t="s">
        <v>12</v>
      </c>
      <c r="N757" t="s">
        <v>770</v>
      </c>
      <c r="O757">
        <v>1</v>
      </c>
      <c r="P757" t="s">
        <v>776</v>
      </c>
      <c r="Q757">
        <v>19.899999999999999</v>
      </c>
      <c r="R757">
        <v>3.59</v>
      </c>
      <c r="Y757" t="s">
        <v>1936</v>
      </c>
      <c r="Z757" t="s">
        <v>1937</v>
      </c>
      <c r="AA757">
        <v>24044</v>
      </c>
      <c r="AB757" t="s">
        <v>11</v>
      </c>
    </row>
    <row r="758" spans="1:35" x14ac:dyDescent="0.25">
      <c r="A758" t="s">
        <v>3904</v>
      </c>
      <c r="C758" t="s">
        <v>3905</v>
      </c>
      <c r="D758" t="s">
        <v>3906</v>
      </c>
      <c r="E758" t="s">
        <v>770</v>
      </c>
      <c r="F758" t="s">
        <v>1884</v>
      </c>
      <c r="G758" t="s">
        <v>1854</v>
      </c>
      <c r="H758" t="s">
        <v>1885</v>
      </c>
      <c r="J758" t="s">
        <v>773</v>
      </c>
      <c r="K758" t="s">
        <v>2210</v>
      </c>
      <c r="L758" t="s">
        <v>64</v>
      </c>
      <c r="M758" t="s">
        <v>63</v>
      </c>
      <c r="N758" t="s">
        <v>770</v>
      </c>
      <c r="O758">
        <v>1</v>
      </c>
      <c r="P758" t="s">
        <v>776</v>
      </c>
      <c r="Q758">
        <v>70.900000000000006</v>
      </c>
      <c r="R758">
        <v>12.79</v>
      </c>
      <c r="S758">
        <v>3</v>
      </c>
      <c r="T758">
        <v>0.54</v>
      </c>
      <c r="Y758" t="s">
        <v>2143</v>
      </c>
      <c r="Z758" t="s">
        <v>28</v>
      </c>
      <c r="AA758">
        <v>3100</v>
      </c>
      <c r="AB758" t="s">
        <v>11</v>
      </c>
      <c r="AG758" t="s">
        <v>3907</v>
      </c>
      <c r="AH758" t="s">
        <v>11</v>
      </c>
      <c r="AI758" t="s">
        <v>2459</v>
      </c>
    </row>
    <row r="759" spans="1:35" x14ac:dyDescent="0.25">
      <c r="A759" t="s">
        <v>3908</v>
      </c>
      <c r="B759" t="s">
        <v>3908</v>
      </c>
      <c r="C759" t="s">
        <v>3909</v>
      </c>
      <c r="D759" t="s">
        <v>3910</v>
      </c>
      <c r="E759" t="s">
        <v>770</v>
      </c>
      <c r="F759" t="s">
        <v>771</v>
      </c>
      <c r="G759" t="s">
        <v>1854</v>
      </c>
      <c r="J759" t="s">
        <v>783</v>
      </c>
      <c r="K759" t="s">
        <v>1855</v>
      </c>
      <c r="L759" t="s">
        <v>1856</v>
      </c>
      <c r="M759" t="s">
        <v>12</v>
      </c>
      <c r="N759" t="s">
        <v>770</v>
      </c>
      <c r="O759">
        <v>1</v>
      </c>
      <c r="P759" t="s">
        <v>776</v>
      </c>
      <c r="Q759">
        <v>19.899999999999999</v>
      </c>
      <c r="R759">
        <v>3.59</v>
      </c>
      <c r="Y759" t="s">
        <v>3911</v>
      </c>
      <c r="Z759" t="s">
        <v>1997</v>
      </c>
      <c r="AA759">
        <v>50058</v>
      </c>
      <c r="AB759" t="s">
        <v>11</v>
      </c>
    </row>
    <row r="760" spans="1:35" x14ac:dyDescent="0.25">
      <c r="A760" t="s">
        <v>3912</v>
      </c>
      <c r="B760" t="s">
        <v>3912</v>
      </c>
      <c r="C760" t="s">
        <v>3913</v>
      </c>
      <c r="D760" t="s">
        <v>3914</v>
      </c>
      <c r="E760" t="s">
        <v>770</v>
      </c>
      <c r="F760" t="s">
        <v>771</v>
      </c>
      <c r="G760" t="s">
        <v>1854</v>
      </c>
      <c r="J760" t="s">
        <v>783</v>
      </c>
      <c r="K760" t="s">
        <v>1930</v>
      </c>
      <c r="L760" t="s">
        <v>775</v>
      </c>
      <c r="M760" t="s">
        <v>65</v>
      </c>
      <c r="N760" t="s">
        <v>770</v>
      </c>
      <c r="O760">
        <v>1</v>
      </c>
      <c r="P760" t="s">
        <v>776</v>
      </c>
      <c r="Q760">
        <v>29.9</v>
      </c>
      <c r="R760">
        <v>5.39</v>
      </c>
      <c r="Y760" t="s">
        <v>3915</v>
      </c>
      <c r="Z760" t="s">
        <v>3916</v>
      </c>
      <c r="AA760">
        <v>23814</v>
      </c>
      <c r="AB760" t="s">
        <v>11</v>
      </c>
    </row>
    <row r="761" spans="1:35" x14ac:dyDescent="0.25">
      <c r="A761" t="s">
        <v>3917</v>
      </c>
      <c r="C761" t="s">
        <v>3918</v>
      </c>
      <c r="D761" t="s">
        <v>3919</v>
      </c>
      <c r="E761" t="s">
        <v>770</v>
      </c>
      <c r="F761" t="s">
        <v>1884</v>
      </c>
      <c r="G761" t="s">
        <v>1854</v>
      </c>
      <c r="H761" t="s">
        <v>1885</v>
      </c>
      <c r="J761" t="s">
        <v>773</v>
      </c>
      <c r="K761" t="s">
        <v>2210</v>
      </c>
      <c r="L761" t="s">
        <v>64</v>
      </c>
      <c r="M761" t="s">
        <v>63</v>
      </c>
      <c r="N761" t="s">
        <v>770</v>
      </c>
      <c r="O761">
        <v>1</v>
      </c>
      <c r="P761" t="s">
        <v>776</v>
      </c>
      <c r="Q761">
        <v>70.900000000000006</v>
      </c>
      <c r="R761">
        <v>12.79</v>
      </c>
      <c r="S761">
        <v>3</v>
      </c>
      <c r="T761">
        <v>0.54</v>
      </c>
      <c r="Y761" t="s">
        <v>1875</v>
      </c>
      <c r="Z761" t="s">
        <v>1875</v>
      </c>
      <c r="AA761">
        <v>20156</v>
      </c>
      <c r="AB761" t="s">
        <v>11</v>
      </c>
    </row>
    <row r="762" spans="1:35" x14ac:dyDescent="0.25">
      <c r="A762" t="s">
        <v>3920</v>
      </c>
      <c r="B762" t="s">
        <v>3920</v>
      </c>
      <c r="C762" t="s">
        <v>3921</v>
      </c>
      <c r="D762" t="s">
        <v>3922</v>
      </c>
      <c r="E762" t="s">
        <v>770</v>
      </c>
      <c r="F762" t="s">
        <v>771</v>
      </c>
      <c r="G762" t="s">
        <v>1854</v>
      </c>
      <c r="J762" t="s">
        <v>783</v>
      </c>
      <c r="K762" t="s">
        <v>1930</v>
      </c>
      <c r="L762" t="s">
        <v>775</v>
      </c>
      <c r="M762" t="s">
        <v>65</v>
      </c>
      <c r="N762" t="s">
        <v>770</v>
      </c>
      <c r="O762">
        <v>1</v>
      </c>
      <c r="P762" t="s">
        <v>776</v>
      </c>
      <c r="Q762">
        <v>29.9</v>
      </c>
      <c r="R762">
        <v>5.39</v>
      </c>
      <c r="Y762" t="s">
        <v>3923</v>
      </c>
      <c r="Z762" t="s">
        <v>3924</v>
      </c>
      <c r="AA762">
        <v>28073</v>
      </c>
      <c r="AB762" t="s">
        <v>11</v>
      </c>
    </row>
    <row r="763" spans="1:35" x14ac:dyDescent="0.25">
      <c r="A763" t="s">
        <v>3925</v>
      </c>
      <c r="B763" t="s">
        <v>3925</v>
      </c>
      <c r="C763" t="s">
        <v>3926</v>
      </c>
      <c r="D763" t="s">
        <v>3927</v>
      </c>
      <c r="E763" t="s">
        <v>770</v>
      </c>
      <c r="F763" t="s">
        <v>771</v>
      </c>
      <c r="G763" t="s">
        <v>1854</v>
      </c>
      <c r="J763" t="s">
        <v>783</v>
      </c>
      <c r="K763" t="s">
        <v>1855</v>
      </c>
      <c r="L763" t="s">
        <v>1856</v>
      </c>
      <c r="M763" t="s">
        <v>12</v>
      </c>
      <c r="N763" t="s">
        <v>770</v>
      </c>
      <c r="O763">
        <v>1</v>
      </c>
      <c r="P763" t="s">
        <v>776</v>
      </c>
      <c r="Q763">
        <v>19.899999999999999</v>
      </c>
      <c r="R763">
        <v>3.59</v>
      </c>
      <c r="S763">
        <v>1.0900000000000001</v>
      </c>
      <c r="X763">
        <v>1.0900000000000001</v>
      </c>
      <c r="Y763" t="s">
        <v>3928</v>
      </c>
      <c r="Z763" t="s">
        <v>2512</v>
      </c>
      <c r="AA763">
        <v>63811</v>
      </c>
      <c r="AB763" t="s">
        <v>11</v>
      </c>
    </row>
    <row r="764" spans="1:35" x14ac:dyDescent="0.25">
      <c r="A764" t="s">
        <v>3929</v>
      </c>
      <c r="B764" t="s">
        <v>3929</v>
      </c>
      <c r="C764" t="s">
        <v>3930</v>
      </c>
      <c r="D764" t="s">
        <v>3931</v>
      </c>
      <c r="E764" t="s">
        <v>770</v>
      </c>
      <c r="F764" t="s">
        <v>771</v>
      </c>
      <c r="G764" t="s">
        <v>1854</v>
      </c>
      <c r="J764" t="s">
        <v>783</v>
      </c>
      <c r="K764" t="s">
        <v>2162</v>
      </c>
      <c r="L764" t="s">
        <v>2163</v>
      </c>
      <c r="M764" t="s">
        <v>59</v>
      </c>
      <c r="N764" t="s">
        <v>770</v>
      </c>
      <c r="O764">
        <v>1</v>
      </c>
      <c r="P764" t="s">
        <v>776</v>
      </c>
      <c r="Q764">
        <v>29.9</v>
      </c>
      <c r="R764">
        <v>5.39</v>
      </c>
      <c r="Y764" t="s">
        <v>3932</v>
      </c>
      <c r="Z764" t="s">
        <v>2528</v>
      </c>
      <c r="AA764">
        <v>85028</v>
      </c>
      <c r="AB764" t="s">
        <v>11</v>
      </c>
    </row>
    <row r="765" spans="1:35" x14ac:dyDescent="0.25">
      <c r="A765" t="s">
        <v>3933</v>
      </c>
      <c r="C765" t="s">
        <v>3934</v>
      </c>
      <c r="D765" t="s">
        <v>3935</v>
      </c>
      <c r="E765" t="s">
        <v>770</v>
      </c>
      <c r="F765" t="s">
        <v>1884</v>
      </c>
      <c r="G765" t="s">
        <v>1854</v>
      </c>
      <c r="H765" t="s">
        <v>1885</v>
      </c>
      <c r="J765" t="s">
        <v>773</v>
      </c>
      <c r="K765" t="s">
        <v>2252</v>
      </c>
      <c r="L765" t="s">
        <v>74</v>
      </c>
      <c r="M765" t="s">
        <v>73</v>
      </c>
      <c r="N765" t="s">
        <v>770</v>
      </c>
      <c r="O765">
        <v>1</v>
      </c>
      <c r="P765" t="s">
        <v>776</v>
      </c>
      <c r="Q765">
        <v>14.9</v>
      </c>
      <c r="R765">
        <v>2.69</v>
      </c>
      <c r="S765">
        <v>3</v>
      </c>
      <c r="T765">
        <v>0.54</v>
      </c>
      <c r="Y765" t="s">
        <v>3936</v>
      </c>
      <c r="Z765" t="s">
        <v>2051</v>
      </c>
      <c r="AA765">
        <v>95030</v>
      </c>
      <c r="AB765" t="s">
        <v>11</v>
      </c>
      <c r="AG765" t="s">
        <v>3937</v>
      </c>
      <c r="AH765" t="s">
        <v>11</v>
      </c>
      <c r="AI765" t="s">
        <v>1258</v>
      </c>
    </row>
    <row r="766" spans="1:35" x14ac:dyDescent="0.25">
      <c r="A766" t="s">
        <v>3938</v>
      </c>
      <c r="B766" t="s">
        <v>3938</v>
      </c>
      <c r="C766" t="s">
        <v>3934</v>
      </c>
      <c r="D766" t="s">
        <v>3939</v>
      </c>
      <c r="E766" t="s">
        <v>770</v>
      </c>
      <c r="F766" t="s">
        <v>771</v>
      </c>
      <c r="G766" t="s">
        <v>1854</v>
      </c>
      <c r="J766" t="s">
        <v>783</v>
      </c>
      <c r="K766" t="s">
        <v>2248</v>
      </c>
      <c r="L766" t="s">
        <v>2772</v>
      </c>
      <c r="M766" t="s">
        <v>172</v>
      </c>
      <c r="N766" t="s">
        <v>770</v>
      </c>
      <c r="O766">
        <v>1</v>
      </c>
      <c r="P766" t="s">
        <v>776</v>
      </c>
      <c r="Q766">
        <v>39.9</v>
      </c>
      <c r="R766">
        <v>7.2</v>
      </c>
      <c r="Y766" t="s">
        <v>3936</v>
      </c>
      <c r="Z766" t="s">
        <v>2051</v>
      </c>
      <c r="AA766">
        <v>95030</v>
      </c>
      <c r="AB766" t="s">
        <v>11</v>
      </c>
      <c r="AG766" t="s">
        <v>3937</v>
      </c>
      <c r="AH766" t="s">
        <v>11</v>
      </c>
      <c r="AI766" t="s">
        <v>1258</v>
      </c>
    </row>
    <row r="767" spans="1:35" x14ac:dyDescent="0.25">
      <c r="A767" t="s">
        <v>3940</v>
      </c>
      <c r="C767" t="s">
        <v>3941</v>
      </c>
      <c r="D767" t="s">
        <v>3942</v>
      </c>
      <c r="E767" t="s">
        <v>770</v>
      </c>
      <c r="F767" t="s">
        <v>1884</v>
      </c>
      <c r="G767" t="s">
        <v>1854</v>
      </c>
      <c r="H767" t="s">
        <v>1885</v>
      </c>
      <c r="J767" t="s">
        <v>773</v>
      </c>
      <c r="K767" t="s">
        <v>2913</v>
      </c>
      <c r="L767" t="s">
        <v>99</v>
      </c>
      <c r="M767" t="s">
        <v>98</v>
      </c>
      <c r="N767" t="s">
        <v>770</v>
      </c>
      <c r="O767">
        <v>1</v>
      </c>
      <c r="P767" t="s">
        <v>776</v>
      </c>
      <c r="Q767">
        <v>29.9</v>
      </c>
      <c r="R767">
        <v>5.39</v>
      </c>
      <c r="S767">
        <v>3</v>
      </c>
      <c r="T767">
        <v>0.54</v>
      </c>
      <c r="Y767" t="s">
        <v>3943</v>
      </c>
      <c r="Z767" t="s">
        <v>1937</v>
      </c>
      <c r="AA767">
        <v>24041</v>
      </c>
      <c r="AB767" t="s">
        <v>11</v>
      </c>
    </row>
    <row r="768" spans="1:35" x14ac:dyDescent="0.25">
      <c r="A768" t="s">
        <v>3944</v>
      </c>
      <c r="B768" t="s">
        <v>3944</v>
      </c>
      <c r="C768" t="s">
        <v>3945</v>
      </c>
      <c r="D768" t="s">
        <v>3192</v>
      </c>
      <c r="E768" t="s">
        <v>770</v>
      </c>
      <c r="F768" t="s">
        <v>771</v>
      </c>
      <c r="G768" t="s">
        <v>1854</v>
      </c>
      <c r="J768" t="s">
        <v>773</v>
      </c>
      <c r="K768" t="s">
        <v>1960</v>
      </c>
      <c r="L768" t="s">
        <v>1047</v>
      </c>
      <c r="M768" t="s">
        <v>21</v>
      </c>
      <c r="N768" t="s">
        <v>770</v>
      </c>
      <c r="O768">
        <v>1</v>
      </c>
      <c r="P768" t="s">
        <v>776</v>
      </c>
      <c r="Q768">
        <v>24.51</v>
      </c>
      <c r="S768">
        <v>2.33</v>
      </c>
      <c r="X768">
        <v>2.33</v>
      </c>
      <c r="Y768" t="s">
        <v>3946</v>
      </c>
      <c r="Z768" t="s">
        <v>3947</v>
      </c>
      <c r="AA768">
        <v>6802</v>
      </c>
      <c r="AB768" t="s">
        <v>1716</v>
      </c>
    </row>
    <row r="769" spans="1:35" x14ac:dyDescent="0.25">
      <c r="A769" t="s">
        <v>3948</v>
      </c>
      <c r="B769" t="s">
        <v>3948</v>
      </c>
      <c r="C769" t="s">
        <v>3949</v>
      </c>
      <c r="D769" t="s">
        <v>3950</v>
      </c>
      <c r="E769" t="s">
        <v>770</v>
      </c>
      <c r="F769" t="s">
        <v>771</v>
      </c>
      <c r="G769" t="s">
        <v>1854</v>
      </c>
      <c r="J769" t="s">
        <v>783</v>
      </c>
      <c r="K769" t="s">
        <v>2712</v>
      </c>
      <c r="L769" t="s">
        <v>1800</v>
      </c>
      <c r="M769" t="s">
        <v>14</v>
      </c>
      <c r="N769" t="s">
        <v>770</v>
      </c>
      <c r="O769">
        <v>1</v>
      </c>
      <c r="P769" t="s">
        <v>776</v>
      </c>
      <c r="Q769">
        <v>14.9</v>
      </c>
      <c r="R769">
        <v>2.69</v>
      </c>
      <c r="Y769" t="s">
        <v>2057</v>
      </c>
      <c r="Z769" t="s">
        <v>2057</v>
      </c>
      <c r="AA769">
        <v>37134</v>
      </c>
      <c r="AB769" t="s">
        <v>11</v>
      </c>
    </row>
    <row r="770" spans="1:35" x14ac:dyDescent="0.25">
      <c r="A770" t="s">
        <v>3951</v>
      </c>
      <c r="B770" t="s">
        <v>3951</v>
      </c>
      <c r="C770" t="s">
        <v>3952</v>
      </c>
      <c r="D770" t="s">
        <v>3953</v>
      </c>
      <c r="E770" t="s">
        <v>770</v>
      </c>
      <c r="F770" t="s">
        <v>771</v>
      </c>
      <c r="G770" t="s">
        <v>1854</v>
      </c>
      <c r="J770" t="s">
        <v>783</v>
      </c>
      <c r="K770" t="s">
        <v>1960</v>
      </c>
      <c r="L770" t="s">
        <v>1047</v>
      </c>
      <c r="M770" t="s">
        <v>21</v>
      </c>
      <c r="N770" t="s">
        <v>770</v>
      </c>
      <c r="O770">
        <v>1</v>
      </c>
      <c r="P770" t="s">
        <v>776</v>
      </c>
      <c r="Q770">
        <v>29.9</v>
      </c>
      <c r="R770">
        <v>5.39</v>
      </c>
      <c r="Y770" t="s">
        <v>3954</v>
      </c>
      <c r="Z770" t="s">
        <v>3645</v>
      </c>
      <c r="AA770">
        <v>35013</v>
      </c>
      <c r="AB770" t="s">
        <v>11</v>
      </c>
    </row>
    <row r="771" spans="1:35" x14ac:dyDescent="0.25">
      <c r="A771" t="s">
        <v>3955</v>
      </c>
      <c r="C771" t="s">
        <v>3956</v>
      </c>
      <c r="D771" t="s">
        <v>3957</v>
      </c>
      <c r="E771" t="s">
        <v>782</v>
      </c>
      <c r="F771" t="s">
        <v>1884</v>
      </c>
      <c r="G771" t="s">
        <v>1854</v>
      </c>
      <c r="H771" t="s">
        <v>1885</v>
      </c>
      <c r="J771" t="s">
        <v>773</v>
      </c>
      <c r="K771" t="s">
        <v>3958</v>
      </c>
      <c r="L771" t="s">
        <v>97</v>
      </c>
      <c r="M771" t="s">
        <v>96</v>
      </c>
      <c r="O771">
        <v>0</v>
      </c>
      <c r="Y771" t="s">
        <v>3959</v>
      </c>
      <c r="Z771" t="s">
        <v>2281</v>
      </c>
      <c r="AA771">
        <v>73022</v>
      </c>
      <c r="AB771" t="s">
        <v>11</v>
      </c>
    </row>
    <row r="772" spans="1:35" x14ac:dyDescent="0.25">
      <c r="A772" t="s">
        <v>3960</v>
      </c>
      <c r="B772" t="s">
        <v>3960</v>
      </c>
      <c r="C772" t="s">
        <v>3961</v>
      </c>
      <c r="D772" t="s">
        <v>3962</v>
      </c>
      <c r="E772" t="s">
        <v>770</v>
      </c>
      <c r="F772" t="s">
        <v>771</v>
      </c>
      <c r="G772" t="s">
        <v>1854</v>
      </c>
      <c r="J772" t="s">
        <v>783</v>
      </c>
      <c r="K772" t="s">
        <v>1855</v>
      </c>
      <c r="L772" t="s">
        <v>1856</v>
      </c>
      <c r="M772" t="s">
        <v>12</v>
      </c>
      <c r="N772" t="s">
        <v>770</v>
      </c>
      <c r="O772">
        <v>1</v>
      </c>
      <c r="P772" t="s">
        <v>776</v>
      </c>
      <c r="Q772">
        <v>19.899999999999999</v>
      </c>
      <c r="R772">
        <v>3.59</v>
      </c>
      <c r="Y772" t="s">
        <v>3963</v>
      </c>
      <c r="Z772" t="s">
        <v>3964</v>
      </c>
      <c r="AA772">
        <v>28855</v>
      </c>
      <c r="AB772" t="s">
        <v>11</v>
      </c>
    </row>
    <row r="773" spans="1:35" x14ac:dyDescent="0.25">
      <c r="A773" t="s">
        <v>3965</v>
      </c>
      <c r="C773" t="s">
        <v>3966</v>
      </c>
      <c r="D773" t="s">
        <v>3967</v>
      </c>
      <c r="E773" t="s">
        <v>782</v>
      </c>
      <c r="F773" t="s">
        <v>1884</v>
      </c>
      <c r="G773" t="s">
        <v>1854</v>
      </c>
      <c r="H773" t="s">
        <v>1885</v>
      </c>
      <c r="J773" t="s">
        <v>773</v>
      </c>
      <c r="K773" t="s">
        <v>2210</v>
      </c>
      <c r="L773" t="s">
        <v>64</v>
      </c>
      <c r="M773" t="s">
        <v>63</v>
      </c>
      <c r="O773">
        <v>0</v>
      </c>
      <c r="Y773" t="s">
        <v>1875</v>
      </c>
      <c r="Z773" t="s">
        <v>3968</v>
      </c>
      <c r="AA773">
        <v>20156</v>
      </c>
      <c r="AB773" t="s">
        <v>11</v>
      </c>
    </row>
    <row r="774" spans="1:35" x14ac:dyDescent="0.25">
      <c r="A774" t="s">
        <v>3969</v>
      </c>
      <c r="B774" t="s">
        <v>3969</v>
      </c>
      <c r="C774" t="s">
        <v>3970</v>
      </c>
      <c r="D774" t="s">
        <v>3971</v>
      </c>
      <c r="E774" t="s">
        <v>770</v>
      </c>
      <c r="F774" t="s">
        <v>771</v>
      </c>
      <c r="G774" t="s">
        <v>1854</v>
      </c>
      <c r="J774" t="s">
        <v>783</v>
      </c>
      <c r="K774" t="s">
        <v>1855</v>
      </c>
      <c r="L774" t="s">
        <v>1856</v>
      </c>
      <c r="M774" t="s">
        <v>12</v>
      </c>
      <c r="N774" t="s">
        <v>770</v>
      </c>
      <c r="O774">
        <v>1</v>
      </c>
      <c r="P774" t="s">
        <v>776</v>
      </c>
      <c r="Q774">
        <v>19.899999999999999</v>
      </c>
      <c r="R774">
        <v>3.59</v>
      </c>
      <c r="Y774" t="s">
        <v>3972</v>
      </c>
      <c r="Z774" t="s">
        <v>1908</v>
      </c>
      <c r="AA774">
        <v>80054</v>
      </c>
      <c r="AB774" t="s">
        <v>11</v>
      </c>
    </row>
    <row r="775" spans="1:35" x14ac:dyDescent="0.25">
      <c r="A775" t="s">
        <v>3973</v>
      </c>
      <c r="B775" t="s">
        <v>3973</v>
      </c>
      <c r="C775" t="s">
        <v>3974</v>
      </c>
      <c r="D775" t="s">
        <v>3975</v>
      </c>
      <c r="E775" t="s">
        <v>770</v>
      </c>
      <c r="F775" t="s">
        <v>771</v>
      </c>
      <c r="G775" t="s">
        <v>1854</v>
      </c>
      <c r="J775" t="s">
        <v>783</v>
      </c>
      <c r="K775" t="s">
        <v>1855</v>
      </c>
      <c r="L775" t="s">
        <v>1856</v>
      </c>
      <c r="M775" t="s">
        <v>12</v>
      </c>
      <c r="N775" t="s">
        <v>770</v>
      </c>
      <c r="O775">
        <v>1</v>
      </c>
      <c r="P775" t="s">
        <v>776</v>
      </c>
      <c r="Q775">
        <v>19.899999999999999</v>
      </c>
      <c r="R775">
        <v>3.59</v>
      </c>
      <c r="Y775" t="s">
        <v>3976</v>
      </c>
      <c r="Z775" t="s">
        <v>3512</v>
      </c>
      <c r="AA775">
        <v>32028</v>
      </c>
      <c r="AB775" t="s">
        <v>11</v>
      </c>
    </row>
    <row r="776" spans="1:35" x14ac:dyDescent="0.25">
      <c r="A776" t="s">
        <v>3977</v>
      </c>
      <c r="B776" t="s">
        <v>3977</v>
      </c>
      <c r="C776" t="s">
        <v>3978</v>
      </c>
      <c r="D776" t="s">
        <v>3979</v>
      </c>
      <c r="E776" t="s">
        <v>770</v>
      </c>
      <c r="F776" t="s">
        <v>771</v>
      </c>
      <c r="G776" t="s">
        <v>1854</v>
      </c>
      <c r="I776" t="s">
        <v>2692</v>
      </c>
      <c r="J776" t="s">
        <v>783</v>
      </c>
      <c r="K776" t="s">
        <v>2712</v>
      </c>
      <c r="L776" t="s">
        <v>1800</v>
      </c>
      <c r="M776" t="s">
        <v>14</v>
      </c>
      <c r="N776" t="s">
        <v>770</v>
      </c>
      <c r="O776">
        <v>1</v>
      </c>
      <c r="P776" t="s">
        <v>776</v>
      </c>
      <c r="Q776">
        <v>14.9</v>
      </c>
      <c r="R776">
        <v>2.69</v>
      </c>
      <c r="Y776" t="s">
        <v>2693</v>
      </c>
      <c r="Z776" t="s">
        <v>2148</v>
      </c>
      <c r="AA776">
        <v>45020</v>
      </c>
      <c r="AB776" t="s">
        <v>11</v>
      </c>
    </row>
    <row r="777" spans="1:35" x14ac:dyDescent="0.25">
      <c r="A777" t="s">
        <v>3980</v>
      </c>
      <c r="C777" t="s">
        <v>3981</v>
      </c>
      <c r="D777" t="s">
        <v>3982</v>
      </c>
      <c r="E777" t="s">
        <v>770</v>
      </c>
      <c r="F777" t="s">
        <v>1884</v>
      </c>
      <c r="G777" t="s">
        <v>1854</v>
      </c>
      <c r="H777" t="s">
        <v>1885</v>
      </c>
      <c r="J777" t="s">
        <v>773</v>
      </c>
      <c r="K777" t="s">
        <v>2252</v>
      </c>
      <c r="L777" t="s">
        <v>74</v>
      </c>
      <c r="M777" t="s">
        <v>73</v>
      </c>
      <c r="N777" t="s">
        <v>770</v>
      </c>
      <c r="O777">
        <v>1</v>
      </c>
      <c r="P777" t="s">
        <v>776</v>
      </c>
      <c r="Q777">
        <v>14.9</v>
      </c>
      <c r="R777">
        <v>2.69</v>
      </c>
      <c r="S777">
        <v>3</v>
      </c>
      <c r="T777">
        <v>0.54</v>
      </c>
      <c r="Y777" t="s">
        <v>3983</v>
      </c>
      <c r="Z777" t="s">
        <v>2153</v>
      </c>
      <c r="AA777">
        <v>84010</v>
      </c>
      <c r="AB777" t="s">
        <v>11</v>
      </c>
    </row>
    <row r="778" spans="1:35" x14ac:dyDescent="0.25">
      <c r="A778" t="s">
        <v>3984</v>
      </c>
      <c r="B778" t="s">
        <v>3984</v>
      </c>
      <c r="C778" t="s">
        <v>3985</v>
      </c>
      <c r="D778" t="s">
        <v>3986</v>
      </c>
      <c r="E778" t="s">
        <v>770</v>
      </c>
      <c r="F778" t="s">
        <v>771</v>
      </c>
      <c r="G778" t="s">
        <v>1854</v>
      </c>
      <c r="J778" t="s">
        <v>783</v>
      </c>
      <c r="K778" t="s">
        <v>1855</v>
      </c>
      <c r="L778" t="s">
        <v>1856</v>
      </c>
      <c r="M778" t="s">
        <v>12</v>
      </c>
      <c r="N778" t="s">
        <v>770</v>
      </c>
      <c r="O778">
        <v>1</v>
      </c>
      <c r="P778" t="s">
        <v>776</v>
      </c>
      <c r="Q778">
        <v>19.899999999999999</v>
      </c>
      <c r="R778">
        <v>3.59</v>
      </c>
      <c r="Y778" t="s">
        <v>2134</v>
      </c>
      <c r="AA778">
        <v>136</v>
      </c>
      <c r="AB778" t="s">
        <v>11</v>
      </c>
    </row>
    <row r="779" spans="1:35" x14ac:dyDescent="0.25">
      <c r="A779" t="s">
        <v>3987</v>
      </c>
      <c r="B779" t="s">
        <v>3987</v>
      </c>
      <c r="C779" t="s">
        <v>3988</v>
      </c>
      <c r="D779" t="s">
        <v>3989</v>
      </c>
      <c r="E779" t="s">
        <v>770</v>
      </c>
      <c r="F779" t="s">
        <v>771</v>
      </c>
      <c r="G779" t="s">
        <v>1854</v>
      </c>
      <c r="J779" t="s">
        <v>783</v>
      </c>
      <c r="K779" t="s">
        <v>1855</v>
      </c>
      <c r="L779" t="s">
        <v>1856</v>
      </c>
      <c r="M779" t="s">
        <v>12</v>
      </c>
      <c r="N779" t="s">
        <v>770</v>
      </c>
      <c r="O779">
        <v>1</v>
      </c>
      <c r="P779" t="s">
        <v>776</v>
      </c>
      <c r="Q779">
        <v>19.899999999999999</v>
      </c>
      <c r="R779">
        <v>3.59</v>
      </c>
      <c r="Y779" t="s">
        <v>3990</v>
      </c>
      <c r="Z779" t="s">
        <v>2143</v>
      </c>
      <c r="AA779">
        <v>3022</v>
      </c>
      <c r="AB779" t="s">
        <v>11</v>
      </c>
    </row>
    <row r="780" spans="1:35" x14ac:dyDescent="0.25">
      <c r="A780" t="s">
        <v>3991</v>
      </c>
      <c r="B780" t="s">
        <v>3991</v>
      </c>
      <c r="C780" t="s">
        <v>3992</v>
      </c>
      <c r="D780" t="s">
        <v>3993</v>
      </c>
      <c r="E780" t="s">
        <v>770</v>
      </c>
      <c r="F780" t="s">
        <v>771</v>
      </c>
      <c r="G780" t="s">
        <v>1854</v>
      </c>
      <c r="J780" t="s">
        <v>783</v>
      </c>
      <c r="K780" t="s">
        <v>2252</v>
      </c>
      <c r="L780" t="s">
        <v>2253</v>
      </c>
      <c r="M780" t="s">
        <v>73</v>
      </c>
      <c r="N780" t="s">
        <v>770</v>
      </c>
      <c r="O780">
        <v>1</v>
      </c>
      <c r="P780" t="s">
        <v>776</v>
      </c>
      <c r="Q780">
        <v>16.899999999999999</v>
      </c>
      <c r="R780">
        <v>3.05</v>
      </c>
      <c r="Y780" t="s">
        <v>3994</v>
      </c>
      <c r="Z780" t="s">
        <v>2827</v>
      </c>
      <c r="AA780">
        <v>25019</v>
      </c>
      <c r="AB780" t="s">
        <v>11</v>
      </c>
      <c r="AG780" t="s">
        <v>3995</v>
      </c>
      <c r="AH780" t="s">
        <v>11</v>
      </c>
      <c r="AI780" t="s">
        <v>2459</v>
      </c>
    </row>
    <row r="781" spans="1:35" x14ac:dyDescent="0.25">
      <c r="A781" t="s">
        <v>3996</v>
      </c>
      <c r="B781" t="s">
        <v>3996</v>
      </c>
      <c r="C781" t="s">
        <v>3997</v>
      </c>
      <c r="D781" t="s">
        <v>3998</v>
      </c>
      <c r="E781" t="s">
        <v>770</v>
      </c>
      <c r="F781" t="s">
        <v>771</v>
      </c>
      <c r="G781" t="s">
        <v>1854</v>
      </c>
      <c r="J781" t="s">
        <v>783</v>
      </c>
      <c r="K781" t="s">
        <v>2055</v>
      </c>
      <c r="L781" t="s">
        <v>806</v>
      </c>
      <c r="M781" t="s">
        <v>202</v>
      </c>
      <c r="N781" t="s">
        <v>770</v>
      </c>
      <c r="O781">
        <v>1</v>
      </c>
      <c r="P781" t="s">
        <v>776</v>
      </c>
      <c r="Q781">
        <v>14.9</v>
      </c>
      <c r="R781">
        <v>2.69</v>
      </c>
      <c r="Y781" t="s">
        <v>3999</v>
      </c>
      <c r="Z781" t="s">
        <v>1908</v>
      </c>
      <c r="AA781">
        <v>80021</v>
      </c>
      <c r="AB781" t="s">
        <v>11</v>
      </c>
    </row>
    <row r="782" spans="1:35" x14ac:dyDescent="0.25">
      <c r="A782" t="s">
        <v>4000</v>
      </c>
      <c r="B782" t="s">
        <v>4000</v>
      </c>
      <c r="C782" t="s">
        <v>4001</v>
      </c>
      <c r="D782" t="s">
        <v>4002</v>
      </c>
      <c r="E782" t="s">
        <v>770</v>
      </c>
      <c r="F782" t="s">
        <v>771</v>
      </c>
      <c r="G782" t="s">
        <v>1854</v>
      </c>
      <c r="J782" t="s">
        <v>783</v>
      </c>
      <c r="K782" t="s">
        <v>1855</v>
      </c>
      <c r="L782" t="s">
        <v>1856</v>
      </c>
      <c r="M782" t="s">
        <v>12</v>
      </c>
      <c r="N782" t="s">
        <v>770</v>
      </c>
      <c r="O782">
        <v>1</v>
      </c>
      <c r="P782" t="s">
        <v>776</v>
      </c>
      <c r="Q782">
        <v>19.899999999999999</v>
      </c>
      <c r="R782">
        <v>3.59</v>
      </c>
      <c r="Y782" t="s">
        <v>4003</v>
      </c>
      <c r="Z782" t="s">
        <v>2051</v>
      </c>
      <c r="AA782">
        <v>95024</v>
      </c>
      <c r="AB782" t="s">
        <v>11</v>
      </c>
    </row>
    <row r="783" spans="1:35" x14ac:dyDescent="0.25">
      <c r="A783" t="s">
        <v>4004</v>
      </c>
      <c r="B783" t="s">
        <v>4004</v>
      </c>
      <c r="C783" t="s">
        <v>4005</v>
      </c>
      <c r="D783" t="s">
        <v>4006</v>
      </c>
      <c r="E783" t="s">
        <v>770</v>
      </c>
      <c r="F783" t="s">
        <v>771</v>
      </c>
      <c r="G783" t="s">
        <v>1854</v>
      </c>
      <c r="J783" t="s">
        <v>783</v>
      </c>
      <c r="K783" t="s">
        <v>1862</v>
      </c>
      <c r="L783" t="s">
        <v>1505</v>
      </c>
      <c r="M783" t="s">
        <v>53</v>
      </c>
      <c r="N783" t="s">
        <v>770</v>
      </c>
      <c r="O783">
        <v>1</v>
      </c>
      <c r="P783" t="s">
        <v>776</v>
      </c>
      <c r="Q783">
        <v>32.9</v>
      </c>
      <c r="R783">
        <v>5.93</v>
      </c>
      <c r="Y783" t="s">
        <v>4007</v>
      </c>
      <c r="AA783">
        <v>88841</v>
      </c>
      <c r="AB783" t="s">
        <v>11</v>
      </c>
    </row>
    <row r="784" spans="1:35" x14ac:dyDescent="0.25">
      <c r="A784" t="s">
        <v>4008</v>
      </c>
      <c r="B784" t="s">
        <v>4008</v>
      </c>
      <c r="C784" t="s">
        <v>4009</v>
      </c>
      <c r="D784" t="s">
        <v>4010</v>
      </c>
      <c r="E784" t="s">
        <v>770</v>
      </c>
      <c r="F784" t="s">
        <v>771</v>
      </c>
      <c r="G784" t="s">
        <v>1854</v>
      </c>
      <c r="J784" t="s">
        <v>783</v>
      </c>
      <c r="K784" t="s">
        <v>1862</v>
      </c>
      <c r="L784" t="s">
        <v>1505</v>
      </c>
      <c r="M784" t="s">
        <v>53</v>
      </c>
      <c r="N784" t="s">
        <v>770</v>
      </c>
      <c r="O784">
        <v>1</v>
      </c>
      <c r="P784" t="s">
        <v>776</v>
      </c>
      <c r="Q784">
        <v>32.9</v>
      </c>
      <c r="R784">
        <v>5.93</v>
      </c>
      <c r="Y784" t="s">
        <v>4011</v>
      </c>
      <c r="Z784" t="s">
        <v>3715</v>
      </c>
      <c r="AA784">
        <v>9030</v>
      </c>
      <c r="AB784" t="s">
        <v>11</v>
      </c>
    </row>
    <row r="785" spans="1:28" x14ac:dyDescent="0.25">
      <c r="A785" t="s">
        <v>4012</v>
      </c>
      <c r="B785" t="s">
        <v>4012</v>
      </c>
      <c r="C785" t="s">
        <v>4013</v>
      </c>
      <c r="D785" t="s">
        <v>4014</v>
      </c>
      <c r="E785" t="s">
        <v>770</v>
      </c>
      <c r="F785" t="s">
        <v>771</v>
      </c>
      <c r="G785" t="s">
        <v>1854</v>
      </c>
      <c r="I785" t="s">
        <v>2692</v>
      </c>
      <c r="J785" t="s">
        <v>773</v>
      </c>
      <c r="K785" t="s">
        <v>1930</v>
      </c>
      <c r="L785" t="s">
        <v>775</v>
      </c>
      <c r="M785" t="s">
        <v>65</v>
      </c>
      <c r="N785" t="s">
        <v>770</v>
      </c>
      <c r="O785">
        <v>1</v>
      </c>
      <c r="P785" t="s">
        <v>776</v>
      </c>
      <c r="Q785">
        <v>29.9</v>
      </c>
      <c r="R785">
        <v>5.39</v>
      </c>
      <c r="Y785" t="s">
        <v>2693</v>
      </c>
      <c r="Z785" t="s">
        <v>2148</v>
      </c>
      <c r="AA785">
        <v>45020</v>
      </c>
      <c r="AB785" t="s">
        <v>11</v>
      </c>
    </row>
    <row r="786" spans="1:28" x14ac:dyDescent="0.25">
      <c r="A786" t="s">
        <v>4015</v>
      </c>
      <c r="B786" t="s">
        <v>4015</v>
      </c>
      <c r="C786" t="s">
        <v>4016</v>
      </c>
      <c r="D786" t="s">
        <v>4017</v>
      </c>
      <c r="E786" t="s">
        <v>770</v>
      </c>
      <c r="F786" t="s">
        <v>771</v>
      </c>
      <c r="G786" t="s">
        <v>1854</v>
      </c>
      <c r="J786" t="s">
        <v>783</v>
      </c>
      <c r="K786" t="s">
        <v>1855</v>
      </c>
      <c r="L786" t="s">
        <v>1856</v>
      </c>
      <c r="M786" t="s">
        <v>12</v>
      </c>
      <c r="N786" t="s">
        <v>770</v>
      </c>
      <c r="O786">
        <v>1</v>
      </c>
      <c r="P786" t="s">
        <v>776</v>
      </c>
      <c r="Q786">
        <v>19.899999999999999</v>
      </c>
      <c r="R786">
        <v>3.59</v>
      </c>
      <c r="Y786" t="s">
        <v>4018</v>
      </c>
      <c r="Z786" t="s">
        <v>3339</v>
      </c>
      <c r="AA786">
        <v>9038</v>
      </c>
      <c r="AB786" t="s">
        <v>11</v>
      </c>
    </row>
    <row r="787" spans="1:28" x14ac:dyDescent="0.25">
      <c r="A787" t="s">
        <v>4019</v>
      </c>
      <c r="B787" t="s">
        <v>4019</v>
      </c>
      <c r="C787" t="s">
        <v>4020</v>
      </c>
      <c r="D787" t="s">
        <v>4021</v>
      </c>
      <c r="E787" t="s">
        <v>770</v>
      </c>
      <c r="F787" t="s">
        <v>771</v>
      </c>
      <c r="G787" t="s">
        <v>1854</v>
      </c>
      <c r="J787" t="s">
        <v>783</v>
      </c>
      <c r="K787" t="s">
        <v>1862</v>
      </c>
      <c r="L787" t="s">
        <v>1505</v>
      </c>
      <c r="M787" t="s">
        <v>53</v>
      </c>
      <c r="N787" t="s">
        <v>770</v>
      </c>
      <c r="O787">
        <v>1</v>
      </c>
      <c r="P787" t="s">
        <v>776</v>
      </c>
      <c r="Q787">
        <v>32.9</v>
      </c>
      <c r="R787">
        <v>5.93</v>
      </c>
      <c r="Y787" t="s">
        <v>1913</v>
      </c>
      <c r="Z787" t="s">
        <v>1913</v>
      </c>
      <c r="AA787">
        <v>139</v>
      </c>
      <c r="AB787" t="s">
        <v>11</v>
      </c>
    </row>
    <row r="788" spans="1:28" x14ac:dyDescent="0.25">
      <c r="A788" t="s">
        <v>4022</v>
      </c>
      <c r="B788" t="s">
        <v>4022</v>
      </c>
      <c r="C788" t="s">
        <v>4023</v>
      </c>
      <c r="D788" t="s">
        <v>4024</v>
      </c>
      <c r="E788" t="s">
        <v>770</v>
      </c>
      <c r="F788" t="s">
        <v>771</v>
      </c>
      <c r="G788" t="s">
        <v>1854</v>
      </c>
      <c r="J788" t="s">
        <v>783</v>
      </c>
      <c r="K788" t="s">
        <v>1930</v>
      </c>
      <c r="L788" t="s">
        <v>775</v>
      </c>
      <c r="M788" t="s">
        <v>65</v>
      </c>
      <c r="N788" t="s">
        <v>770</v>
      </c>
      <c r="O788">
        <v>1</v>
      </c>
      <c r="P788" t="s">
        <v>776</v>
      </c>
      <c r="Q788">
        <v>29.9</v>
      </c>
      <c r="R788">
        <v>5.39</v>
      </c>
      <c r="Y788" t="s">
        <v>4025</v>
      </c>
      <c r="Z788" t="s">
        <v>1880</v>
      </c>
      <c r="AA788">
        <v>41057</v>
      </c>
      <c r="AB788" t="s">
        <v>11</v>
      </c>
    </row>
    <row r="789" spans="1:28" x14ac:dyDescent="0.25">
      <c r="A789" t="s">
        <v>4026</v>
      </c>
      <c r="B789" t="s">
        <v>4026</v>
      </c>
      <c r="C789" t="s">
        <v>4027</v>
      </c>
      <c r="D789" t="s">
        <v>4028</v>
      </c>
      <c r="E789" t="s">
        <v>782</v>
      </c>
      <c r="F789" t="s">
        <v>771</v>
      </c>
      <c r="G789" t="s">
        <v>1854</v>
      </c>
      <c r="J789" t="s">
        <v>783</v>
      </c>
      <c r="K789" t="s">
        <v>1930</v>
      </c>
      <c r="L789" t="s">
        <v>775</v>
      </c>
      <c r="M789" t="s">
        <v>65</v>
      </c>
      <c r="N789" t="s">
        <v>782</v>
      </c>
      <c r="O789">
        <v>0</v>
      </c>
      <c r="Y789" t="s">
        <v>1937</v>
      </c>
      <c r="Z789" t="s">
        <v>1937</v>
      </c>
      <c r="AA789">
        <v>24127</v>
      </c>
      <c r="AB789" t="s">
        <v>11</v>
      </c>
    </row>
    <row r="790" spans="1:28" x14ac:dyDescent="0.25">
      <c r="A790" t="s">
        <v>4029</v>
      </c>
      <c r="B790" t="s">
        <v>4029</v>
      </c>
      <c r="C790" t="s">
        <v>4030</v>
      </c>
      <c r="D790" t="s">
        <v>4031</v>
      </c>
      <c r="E790" t="s">
        <v>770</v>
      </c>
      <c r="F790" t="s">
        <v>771</v>
      </c>
      <c r="G790" t="s">
        <v>1854</v>
      </c>
      <c r="J790" t="s">
        <v>783</v>
      </c>
      <c r="K790" t="s">
        <v>1855</v>
      </c>
      <c r="L790" t="s">
        <v>1856</v>
      </c>
      <c r="M790" t="s">
        <v>12</v>
      </c>
      <c r="N790" t="s">
        <v>770</v>
      </c>
      <c r="O790">
        <v>1</v>
      </c>
      <c r="P790" t="s">
        <v>776</v>
      </c>
      <c r="Q790">
        <v>19.899999999999999</v>
      </c>
      <c r="R790">
        <v>3.59</v>
      </c>
      <c r="Y790" t="s">
        <v>2988</v>
      </c>
      <c r="Z790" t="s">
        <v>2165</v>
      </c>
      <c r="AA790">
        <v>55041</v>
      </c>
      <c r="AB790" t="s">
        <v>11</v>
      </c>
    </row>
    <row r="791" spans="1:28" x14ac:dyDescent="0.25">
      <c r="A791" t="s">
        <v>4032</v>
      </c>
      <c r="B791" t="s">
        <v>4032</v>
      </c>
      <c r="C791" t="s">
        <v>4033</v>
      </c>
      <c r="D791" t="s">
        <v>4034</v>
      </c>
      <c r="E791" t="s">
        <v>770</v>
      </c>
      <c r="F791" t="s">
        <v>771</v>
      </c>
      <c r="G791" t="s">
        <v>1854</v>
      </c>
      <c r="J791" t="s">
        <v>783</v>
      </c>
      <c r="K791" t="s">
        <v>1873</v>
      </c>
      <c r="L791" t="s">
        <v>840</v>
      </c>
      <c r="M791" t="s">
        <v>26</v>
      </c>
      <c r="N791" t="s">
        <v>770</v>
      </c>
      <c r="O791">
        <v>1</v>
      </c>
      <c r="P791" t="s">
        <v>776</v>
      </c>
      <c r="Q791">
        <v>34.9</v>
      </c>
      <c r="R791">
        <v>6.29</v>
      </c>
      <c r="Y791" t="s">
        <v>1913</v>
      </c>
      <c r="Z791" t="s">
        <v>1913</v>
      </c>
      <c r="AA791">
        <v>133</v>
      </c>
      <c r="AB791" t="s">
        <v>11</v>
      </c>
    </row>
    <row r="792" spans="1:28" x14ac:dyDescent="0.25">
      <c r="A792" t="s">
        <v>4035</v>
      </c>
      <c r="B792" t="s">
        <v>4035</v>
      </c>
      <c r="C792" t="s">
        <v>4036</v>
      </c>
      <c r="D792" t="s">
        <v>4037</v>
      </c>
      <c r="E792" t="s">
        <v>770</v>
      </c>
      <c r="F792" t="s">
        <v>771</v>
      </c>
      <c r="G792" t="s">
        <v>1854</v>
      </c>
      <c r="J792" t="s">
        <v>783</v>
      </c>
      <c r="K792" t="s">
        <v>1873</v>
      </c>
      <c r="L792" t="s">
        <v>840</v>
      </c>
      <c r="M792" t="s">
        <v>26</v>
      </c>
      <c r="N792" t="s">
        <v>770</v>
      </c>
      <c r="O792">
        <v>1</v>
      </c>
      <c r="P792" t="s">
        <v>776</v>
      </c>
      <c r="Q792">
        <v>34.9</v>
      </c>
      <c r="R792">
        <v>6.29</v>
      </c>
      <c r="Y792" t="s">
        <v>1913</v>
      </c>
      <c r="Z792" t="s">
        <v>1913</v>
      </c>
      <c r="AA792">
        <v>137</v>
      </c>
      <c r="AB792" t="s">
        <v>11</v>
      </c>
    </row>
    <row r="793" spans="1:28" x14ac:dyDescent="0.25">
      <c r="A793" t="s">
        <v>4038</v>
      </c>
      <c r="B793" t="s">
        <v>4038</v>
      </c>
      <c r="C793" t="s">
        <v>4039</v>
      </c>
      <c r="D793" t="s">
        <v>4040</v>
      </c>
      <c r="E793" t="s">
        <v>770</v>
      </c>
      <c r="F793" t="s">
        <v>771</v>
      </c>
      <c r="G793" t="s">
        <v>1854</v>
      </c>
      <c r="J793" t="s">
        <v>783</v>
      </c>
      <c r="K793" t="s">
        <v>1930</v>
      </c>
      <c r="L793" t="s">
        <v>775</v>
      </c>
      <c r="M793" t="s">
        <v>65</v>
      </c>
      <c r="N793" t="s">
        <v>770</v>
      </c>
      <c r="O793">
        <v>1</v>
      </c>
      <c r="P793" t="s">
        <v>776</v>
      </c>
      <c r="Q793">
        <v>29.9</v>
      </c>
      <c r="R793">
        <v>5.39</v>
      </c>
      <c r="Y793" t="s">
        <v>4041</v>
      </c>
      <c r="Z793" t="s">
        <v>2827</v>
      </c>
      <c r="AA793">
        <v>25030</v>
      </c>
      <c r="AB793" t="s">
        <v>11</v>
      </c>
    </row>
    <row r="794" spans="1:28" x14ac:dyDescent="0.25">
      <c r="A794" t="s">
        <v>4042</v>
      </c>
      <c r="B794" t="s">
        <v>4042</v>
      </c>
      <c r="C794" t="s">
        <v>4043</v>
      </c>
      <c r="D794" t="s">
        <v>4044</v>
      </c>
      <c r="E794" t="s">
        <v>770</v>
      </c>
      <c r="F794" t="s">
        <v>771</v>
      </c>
      <c r="G794" t="s">
        <v>1854</v>
      </c>
      <c r="J794" t="s">
        <v>783</v>
      </c>
      <c r="K794" t="s">
        <v>1855</v>
      </c>
      <c r="L794" t="s">
        <v>1856</v>
      </c>
      <c r="M794" t="s">
        <v>12</v>
      </c>
      <c r="N794" t="s">
        <v>770</v>
      </c>
      <c r="O794">
        <v>1</v>
      </c>
      <c r="P794" t="s">
        <v>776</v>
      </c>
      <c r="Q794">
        <v>19.899999999999999</v>
      </c>
      <c r="R794">
        <v>3.59</v>
      </c>
      <c r="Y794" t="s">
        <v>4045</v>
      </c>
      <c r="Z794" t="s">
        <v>4046</v>
      </c>
      <c r="AA794">
        <v>82030</v>
      </c>
      <c r="AB794" t="s">
        <v>11</v>
      </c>
    </row>
    <row r="795" spans="1:28" x14ac:dyDescent="0.25">
      <c r="A795" t="s">
        <v>4047</v>
      </c>
      <c r="B795" t="s">
        <v>4047</v>
      </c>
      <c r="C795" t="s">
        <v>4048</v>
      </c>
      <c r="D795" t="s">
        <v>4049</v>
      </c>
      <c r="E795" t="s">
        <v>770</v>
      </c>
      <c r="F795" t="s">
        <v>771</v>
      </c>
      <c r="G795" t="s">
        <v>1854</v>
      </c>
      <c r="I795" t="s">
        <v>2692</v>
      </c>
      <c r="J795" t="s">
        <v>783</v>
      </c>
      <c r="K795" t="s">
        <v>2712</v>
      </c>
      <c r="L795" t="s">
        <v>1800</v>
      </c>
      <c r="M795" t="s">
        <v>14</v>
      </c>
      <c r="N795" t="s">
        <v>770</v>
      </c>
      <c r="O795">
        <v>1</v>
      </c>
      <c r="P795" t="s">
        <v>776</v>
      </c>
      <c r="Q795">
        <v>14.9</v>
      </c>
      <c r="R795">
        <v>2.69</v>
      </c>
      <c r="Y795" t="s">
        <v>2693</v>
      </c>
      <c r="Z795" t="s">
        <v>2148</v>
      </c>
      <c r="AA795">
        <v>45020</v>
      </c>
      <c r="AB795" t="s">
        <v>11</v>
      </c>
    </row>
    <row r="796" spans="1:28" x14ac:dyDescent="0.25">
      <c r="A796" t="s">
        <v>4050</v>
      </c>
      <c r="B796" t="s">
        <v>4050</v>
      </c>
      <c r="C796" t="s">
        <v>4051</v>
      </c>
      <c r="D796" t="s">
        <v>4052</v>
      </c>
      <c r="E796" t="s">
        <v>782</v>
      </c>
      <c r="F796" t="s">
        <v>771</v>
      </c>
      <c r="G796" t="s">
        <v>1854</v>
      </c>
      <c r="J796" t="s">
        <v>783</v>
      </c>
      <c r="K796" t="s">
        <v>1855</v>
      </c>
      <c r="L796" t="s">
        <v>1856</v>
      </c>
      <c r="M796" t="s">
        <v>12</v>
      </c>
      <c r="N796" t="s">
        <v>782</v>
      </c>
      <c r="O796">
        <v>0</v>
      </c>
      <c r="Y796" t="s">
        <v>4053</v>
      </c>
      <c r="Z796" t="s">
        <v>4054</v>
      </c>
      <c r="AA796">
        <v>63822</v>
      </c>
      <c r="AB796" t="s">
        <v>11</v>
      </c>
    </row>
    <row r="797" spans="1:28" x14ac:dyDescent="0.25">
      <c r="A797" t="s">
        <v>4055</v>
      </c>
      <c r="B797" t="s">
        <v>4055</v>
      </c>
      <c r="C797" t="s">
        <v>4056</v>
      </c>
      <c r="D797" t="s">
        <v>4057</v>
      </c>
      <c r="E797" t="s">
        <v>770</v>
      </c>
      <c r="F797" t="s">
        <v>771</v>
      </c>
      <c r="G797" t="s">
        <v>1854</v>
      </c>
      <c r="I797" t="s">
        <v>2692</v>
      </c>
      <c r="J797" t="s">
        <v>783</v>
      </c>
      <c r="K797" t="s">
        <v>2712</v>
      </c>
      <c r="L797" t="s">
        <v>1800</v>
      </c>
      <c r="M797" t="s">
        <v>14</v>
      </c>
      <c r="N797" t="s">
        <v>770</v>
      </c>
      <c r="O797">
        <v>1</v>
      </c>
      <c r="P797" t="s">
        <v>776</v>
      </c>
      <c r="Q797">
        <v>14.9</v>
      </c>
      <c r="R797">
        <v>2.69</v>
      </c>
      <c r="Y797" t="s">
        <v>2693</v>
      </c>
      <c r="Z797" t="s">
        <v>2148</v>
      </c>
      <c r="AA797">
        <v>45020</v>
      </c>
      <c r="AB797" t="s">
        <v>11</v>
      </c>
    </row>
    <row r="798" spans="1:28" x14ac:dyDescent="0.25">
      <c r="A798" t="s">
        <v>4058</v>
      </c>
      <c r="B798" t="s">
        <v>4058</v>
      </c>
      <c r="C798" t="s">
        <v>4059</v>
      </c>
      <c r="D798" t="s">
        <v>4060</v>
      </c>
      <c r="E798" t="s">
        <v>770</v>
      </c>
      <c r="F798" t="s">
        <v>771</v>
      </c>
      <c r="G798" t="s">
        <v>1854</v>
      </c>
      <c r="J798" t="s">
        <v>783</v>
      </c>
      <c r="K798" t="s">
        <v>1873</v>
      </c>
      <c r="L798" t="s">
        <v>840</v>
      </c>
      <c r="M798" t="s">
        <v>26</v>
      </c>
      <c r="N798" t="s">
        <v>770</v>
      </c>
      <c r="O798">
        <v>1</v>
      </c>
      <c r="P798" t="s">
        <v>776</v>
      </c>
      <c r="Q798">
        <v>34.9</v>
      </c>
      <c r="R798">
        <v>6.29</v>
      </c>
      <c r="Y798" t="s">
        <v>4061</v>
      </c>
      <c r="Z798" t="s">
        <v>1913</v>
      </c>
      <c r="AA798">
        <v>43</v>
      </c>
      <c r="AB798" t="s">
        <v>11</v>
      </c>
    </row>
    <row r="799" spans="1:28" x14ac:dyDescent="0.25">
      <c r="A799" t="s">
        <v>4062</v>
      </c>
      <c r="B799" t="s">
        <v>4062</v>
      </c>
      <c r="C799" t="s">
        <v>4063</v>
      </c>
      <c r="D799" t="s">
        <v>4064</v>
      </c>
      <c r="E799" t="s">
        <v>770</v>
      </c>
      <c r="F799" t="s">
        <v>771</v>
      </c>
      <c r="G799" t="s">
        <v>1854</v>
      </c>
      <c r="J799" t="s">
        <v>783</v>
      </c>
      <c r="K799" t="s">
        <v>1855</v>
      </c>
      <c r="L799" t="s">
        <v>1856</v>
      </c>
      <c r="M799" t="s">
        <v>12</v>
      </c>
      <c r="N799" t="s">
        <v>770</v>
      </c>
      <c r="O799">
        <v>1</v>
      </c>
      <c r="P799" t="s">
        <v>776</v>
      </c>
      <c r="Q799">
        <v>19.899999999999999</v>
      </c>
      <c r="R799">
        <v>3.59</v>
      </c>
      <c r="Y799" t="s">
        <v>4065</v>
      </c>
      <c r="Z799" t="s">
        <v>4066</v>
      </c>
      <c r="AA799">
        <v>52022</v>
      </c>
      <c r="AB799" t="s">
        <v>11</v>
      </c>
    </row>
    <row r="800" spans="1:28" x14ac:dyDescent="0.25">
      <c r="A800" t="s">
        <v>4067</v>
      </c>
      <c r="B800" t="s">
        <v>4067</v>
      </c>
      <c r="C800" t="s">
        <v>4068</v>
      </c>
      <c r="D800" t="s">
        <v>4069</v>
      </c>
      <c r="E800" t="s">
        <v>770</v>
      </c>
      <c r="F800" t="s">
        <v>771</v>
      </c>
      <c r="G800" t="s">
        <v>1854</v>
      </c>
      <c r="J800" t="s">
        <v>783</v>
      </c>
      <c r="K800" t="s">
        <v>1855</v>
      </c>
      <c r="L800" t="s">
        <v>1856</v>
      </c>
      <c r="M800" t="s">
        <v>12</v>
      </c>
      <c r="N800" t="s">
        <v>770</v>
      </c>
      <c r="O800">
        <v>1</v>
      </c>
      <c r="P800" t="s">
        <v>776</v>
      </c>
      <c r="Q800">
        <v>19.899999999999999</v>
      </c>
      <c r="R800">
        <v>3.59</v>
      </c>
      <c r="Y800" t="s">
        <v>4070</v>
      </c>
      <c r="Z800" t="s">
        <v>3664</v>
      </c>
      <c r="AA800">
        <v>66020</v>
      </c>
      <c r="AB800" t="s">
        <v>11</v>
      </c>
    </row>
    <row r="801" spans="1:35" x14ac:dyDescent="0.25">
      <c r="A801" t="s">
        <v>4071</v>
      </c>
      <c r="C801" t="s">
        <v>4072</v>
      </c>
      <c r="D801" t="s">
        <v>4073</v>
      </c>
      <c r="E801" t="s">
        <v>770</v>
      </c>
      <c r="F801" t="s">
        <v>1884</v>
      </c>
      <c r="G801" t="s">
        <v>1854</v>
      </c>
      <c r="H801" t="s">
        <v>1885</v>
      </c>
      <c r="J801" t="s">
        <v>773</v>
      </c>
      <c r="K801" t="s">
        <v>1902</v>
      </c>
      <c r="L801" t="s">
        <v>15</v>
      </c>
      <c r="M801" t="s">
        <v>14</v>
      </c>
      <c r="N801" t="s">
        <v>770</v>
      </c>
      <c r="O801">
        <v>1</v>
      </c>
      <c r="P801" t="s">
        <v>776</v>
      </c>
      <c r="Q801">
        <v>14.9</v>
      </c>
      <c r="R801">
        <v>2.69</v>
      </c>
      <c r="S801">
        <v>3</v>
      </c>
      <c r="T801">
        <v>0.54</v>
      </c>
      <c r="Y801" t="s">
        <v>4074</v>
      </c>
      <c r="Z801" t="s">
        <v>1888</v>
      </c>
      <c r="AA801">
        <v>40057</v>
      </c>
      <c r="AB801" t="s">
        <v>11</v>
      </c>
    </row>
    <row r="802" spans="1:35" x14ac:dyDescent="0.25">
      <c r="A802" t="s">
        <v>4075</v>
      </c>
      <c r="B802" t="s">
        <v>4075</v>
      </c>
      <c r="C802" t="s">
        <v>4076</v>
      </c>
      <c r="D802" t="s">
        <v>4077</v>
      </c>
      <c r="E802" t="s">
        <v>770</v>
      </c>
      <c r="F802" t="s">
        <v>771</v>
      </c>
      <c r="G802" t="s">
        <v>1854</v>
      </c>
      <c r="J802" t="s">
        <v>783</v>
      </c>
      <c r="K802" t="s">
        <v>2248</v>
      </c>
      <c r="L802" t="s">
        <v>2772</v>
      </c>
      <c r="M802" t="s">
        <v>172</v>
      </c>
      <c r="N802" t="s">
        <v>770</v>
      </c>
      <c r="O802">
        <v>1</v>
      </c>
      <c r="P802" t="s">
        <v>776</v>
      </c>
      <c r="Q802">
        <v>39.9</v>
      </c>
      <c r="R802">
        <v>7.2</v>
      </c>
      <c r="Y802" t="s">
        <v>4078</v>
      </c>
      <c r="Z802" t="s">
        <v>2143</v>
      </c>
      <c r="AA802">
        <v>3043</v>
      </c>
      <c r="AB802" t="s">
        <v>11</v>
      </c>
    </row>
    <row r="803" spans="1:35" x14ac:dyDescent="0.25">
      <c r="A803" t="s">
        <v>4079</v>
      </c>
      <c r="B803" t="s">
        <v>4079</v>
      </c>
      <c r="C803" t="s">
        <v>4080</v>
      </c>
      <c r="D803" t="s">
        <v>4081</v>
      </c>
      <c r="E803" t="s">
        <v>770</v>
      </c>
      <c r="F803" t="s">
        <v>771</v>
      </c>
      <c r="G803" t="s">
        <v>1854</v>
      </c>
      <c r="J803" t="s">
        <v>783</v>
      </c>
      <c r="K803" t="s">
        <v>1855</v>
      </c>
      <c r="L803" t="s">
        <v>1856</v>
      </c>
      <c r="M803" t="s">
        <v>12</v>
      </c>
      <c r="N803" t="s">
        <v>770</v>
      </c>
      <c r="O803">
        <v>1</v>
      </c>
      <c r="P803" t="s">
        <v>776</v>
      </c>
      <c r="Q803">
        <v>19.899999999999999</v>
      </c>
      <c r="R803">
        <v>3.59</v>
      </c>
      <c r="Y803" t="s">
        <v>4082</v>
      </c>
      <c r="Z803" t="s">
        <v>4083</v>
      </c>
      <c r="AA803">
        <v>10149</v>
      </c>
      <c r="AB803" t="s">
        <v>11</v>
      </c>
    </row>
    <row r="804" spans="1:35" x14ac:dyDescent="0.25">
      <c r="A804" t="s">
        <v>4084</v>
      </c>
      <c r="B804" t="s">
        <v>4084</v>
      </c>
      <c r="C804" t="s">
        <v>4085</v>
      </c>
      <c r="D804" t="s">
        <v>4086</v>
      </c>
      <c r="E804" t="s">
        <v>770</v>
      </c>
      <c r="F804" t="s">
        <v>771</v>
      </c>
      <c r="G804" t="s">
        <v>1854</v>
      </c>
      <c r="J804" t="s">
        <v>783</v>
      </c>
      <c r="K804" t="s">
        <v>2055</v>
      </c>
      <c r="L804" t="s">
        <v>806</v>
      </c>
      <c r="M804" t="s">
        <v>202</v>
      </c>
      <c r="N804" t="s">
        <v>770</v>
      </c>
      <c r="O804">
        <v>1</v>
      </c>
      <c r="P804" t="s">
        <v>776</v>
      </c>
      <c r="Q804">
        <v>14.9</v>
      </c>
      <c r="R804">
        <v>2.69</v>
      </c>
      <c r="Y804" t="s">
        <v>3469</v>
      </c>
      <c r="Z804" t="s">
        <v>1875</v>
      </c>
      <c r="AA804">
        <v>20090</v>
      </c>
      <c r="AB804" t="s">
        <v>11</v>
      </c>
    </row>
    <row r="805" spans="1:35" x14ac:dyDescent="0.25">
      <c r="A805" t="s">
        <v>4087</v>
      </c>
      <c r="B805" t="s">
        <v>4087</v>
      </c>
      <c r="C805" t="s">
        <v>4088</v>
      </c>
      <c r="D805" t="s">
        <v>4089</v>
      </c>
      <c r="E805" t="s">
        <v>770</v>
      </c>
      <c r="F805" t="s">
        <v>771</v>
      </c>
      <c r="G805" t="s">
        <v>1854</v>
      </c>
      <c r="J805" t="s">
        <v>783</v>
      </c>
      <c r="K805" t="s">
        <v>1855</v>
      </c>
      <c r="L805" t="s">
        <v>1856</v>
      </c>
      <c r="M805" t="s">
        <v>12</v>
      </c>
      <c r="N805" t="s">
        <v>770</v>
      </c>
      <c r="O805">
        <v>1</v>
      </c>
      <c r="P805" t="s">
        <v>776</v>
      </c>
      <c r="Q805">
        <v>19.899999999999999</v>
      </c>
      <c r="R805">
        <v>3.59</v>
      </c>
      <c r="Y805" t="s">
        <v>1893</v>
      </c>
      <c r="Z805" t="s">
        <v>1869</v>
      </c>
      <c r="AA805">
        <v>10152</v>
      </c>
      <c r="AB805" t="s">
        <v>11</v>
      </c>
    </row>
    <row r="806" spans="1:35" x14ac:dyDescent="0.25">
      <c r="A806" t="s">
        <v>4090</v>
      </c>
      <c r="B806" t="s">
        <v>4090</v>
      </c>
      <c r="C806" t="s">
        <v>4091</v>
      </c>
      <c r="D806" t="s">
        <v>4092</v>
      </c>
      <c r="E806" t="s">
        <v>770</v>
      </c>
      <c r="F806" t="s">
        <v>771</v>
      </c>
      <c r="G806" t="s">
        <v>1854</v>
      </c>
      <c r="J806" t="s">
        <v>783</v>
      </c>
      <c r="K806" t="s">
        <v>1855</v>
      </c>
      <c r="L806" t="s">
        <v>1856</v>
      </c>
      <c r="M806" t="s">
        <v>12</v>
      </c>
      <c r="N806" t="s">
        <v>770</v>
      </c>
      <c r="O806">
        <v>1</v>
      </c>
      <c r="P806" t="s">
        <v>776</v>
      </c>
      <c r="Q806">
        <v>19.899999999999999</v>
      </c>
      <c r="R806">
        <v>3.59</v>
      </c>
      <c r="Y806" t="s">
        <v>4093</v>
      </c>
      <c r="Z806" t="s">
        <v>2449</v>
      </c>
      <c r="AA806">
        <v>18010</v>
      </c>
      <c r="AB806" t="s">
        <v>11</v>
      </c>
    </row>
    <row r="807" spans="1:35" x14ac:dyDescent="0.25">
      <c r="A807" t="s">
        <v>4094</v>
      </c>
      <c r="B807" t="s">
        <v>4094</v>
      </c>
      <c r="C807" t="s">
        <v>4095</v>
      </c>
      <c r="D807" t="s">
        <v>4096</v>
      </c>
      <c r="E807" t="s">
        <v>770</v>
      </c>
      <c r="F807" t="s">
        <v>771</v>
      </c>
      <c r="G807" t="s">
        <v>1854</v>
      </c>
      <c r="J807" t="s">
        <v>783</v>
      </c>
      <c r="K807" t="s">
        <v>2055</v>
      </c>
      <c r="L807" t="s">
        <v>806</v>
      </c>
      <c r="M807" t="s">
        <v>202</v>
      </c>
      <c r="N807" t="s">
        <v>770</v>
      </c>
      <c r="O807">
        <v>1</v>
      </c>
      <c r="P807" t="s">
        <v>776</v>
      </c>
      <c r="Q807">
        <v>14.9</v>
      </c>
      <c r="R807">
        <v>2.69</v>
      </c>
      <c r="Y807" t="s">
        <v>4097</v>
      </c>
      <c r="Z807" t="s">
        <v>1893</v>
      </c>
      <c r="AA807">
        <v>10040</v>
      </c>
      <c r="AB807" t="s">
        <v>11</v>
      </c>
    </row>
    <row r="808" spans="1:35" x14ac:dyDescent="0.25">
      <c r="A808" t="s">
        <v>4098</v>
      </c>
      <c r="C808" t="s">
        <v>4099</v>
      </c>
      <c r="D808" t="s">
        <v>4100</v>
      </c>
      <c r="E808" t="s">
        <v>770</v>
      </c>
      <c r="F808" t="s">
        <v>1884</v>
      </c>
      <c r="G808" t="s">
        <v>1854</v>
      </c>
      <c r="H808" t="s">
        <v>1885</v>
      </c>
      <c r="J808" t="s">
        <v>773</v>
      </c>
      <c r="K808" t="s">
        <v>3363</v>
      </c>
      <c r="L808" s="2">
        <v>40490</v>
      </c>
      <c r="M808" t="s">
        <v>71</v>
      </c>
      <c r="N808" t="s">
        <v>770</v>
      </c>
      <c r="O808">
        <v>1</v>
      </c>
      <c r="P808" t="s">
        <v>776</v>
      </c>
      <c r="Q808">
        <v>29.9</v>
      </c>
      <c r="R808">
        <v>5.39</v>
      </c>
      <c r="S808">
        <v>3</v>
      </c>
      <c r="T808">
        <v>0.54</v>
      </c>
      <c r="Y808" t="s">
        <v>4101</v>
      </c>
      <c r="Z808" t="s">
        <v>4102</v>
      </c>
      <c r="AA808">
        <v>47833</v>
      </c>
      <c r="AB808" t="s">
        <v>11</v>
      </c>
    </row>
    <row r="809" spans="1:35" x14ac:dyDescent="0.25">
      <c r="A809" t="s">
        <v>4103</v>
      </c>
      <c r="B809" t="s">
        <v>4103</v>
      </c>
      <c r="C809" t="s">
        <v>4104</v>
      </c>
      <c r="D809" t="s">
        <v>4105</v>
      </c>
      <c r="E809" t="s">
        <v>770</v>
      </c>
      <c r="F809" t="s">
        <v>771</v>
      </c>
      <c r="G809" t="s">
        <v>1854</v>
      </c>
      <c r="J809" t="s">
        <v>783</v>
      </c>
      <c r="K809" t="s">
        <v>1855</v>
      </c>
      <c r="L809" t="s">
        <v>1856</v>
      </c>
      <c r="M809" t="s">
        <v>12</v>
      </c>
      <c r="N809" t="s">
        <v>770</v>
      </c>
      <c r="O809">
        <v>1</v>
      </c>
      <c r="P809" t="s">
        <v>776</v>
      </c>
      <c r="Q809">
        <v>19.899999999999999</v>
      </c>
      <c r="R809">
        <v>3.59</v>
      </c>
      <c r="Y809" t="s">
        <v>1893</v>
      </c>
      <c r="Z809" t="s">
        <v>1869</v>
      </c>
      <c r="AA809">
        <v>10151</v>
      </c>
      <c r="AB809" t="s">
        <v>11</v>
      </c>
    </row>
    <row r="810" spans="1:35" x14ac:dyDescent="0.25">
      <c r="A810" t="s">
        <v>4106</v>
      </c>
      <c r="C810" t="s">
        <v>4107</v>
      </c>
      <c r="D810" t="s">
        <v>4108</v>
      </c>
      <c r="E810" t="s">
        <v>770</v>
      </c>
      <c r="F810" t="s">
        <v>1884</v>
      </c>
      <c r="G810" t="s">
        <v>1854</v>
      </c>
      <c r="H810" t="s">
        <v>1885</v>
      </c>
      <c r="J810" t="s">
        <v>773</v>
      </c>
      <c r="K810" t="s">
        <v>2210</v>
      </c>
      <c r="L810" t="s">
        <v>64</v>
      </c>
      <c r="M810" t="s">
        <v>63</v>
      </c>
      <c r="N810" t="s">
        <v>770</v>
      </c>
      <c r="O810">
        <v>3</v>
      </c>
      <c r="P810" t="s">
        <v>776</v>
      </c>
      <c r="Q810">
        <v>212.7</v>
      </c>
      <c r="R810">
        <v>38.369999999999997</v>
      </c>
      <c r="S810">
        <v>9</v>
      </c>
      <c r="T810">
        <v>1.62</v>
      </c>
      <c r="Y810" t="s">
        <v>2057</v>
      </c>
      <c r="Z810" t="s">
        <v>2433</v>
      </c>
      <c r="AA810">
        <v>37138</v>
      </c>
      <c r="AB810" t="s">
        <v>11</v>
      </c>
      <c r="AG810" t="s">
        <v>4109</v>
      </c>
      <c r="AH810" t="s">
        <v>11</v>
      </c>
      <c r="AI810" t="s">
        <v>1258</v>
      </c>
    </row>
    <row r="811" spans="1:35" x14ac:dyDescent="0.25">
      <c r="A811" t="s">
        <v>4110</v>
      </c>
      <c r="B811" t="s">
        <v>4110</v>
      </c>
      <c r="C811" t="s">
        <v>4111</v>
      </c>
      <c r="D811" t="s">
        <v>4112</v>
      </c>
      <c r="E811" t="s">
        <v>770</v>
      </c>
      <c r="F811" t="s">
        <v>771</v>
      </c>
      <c r="G811" t="s">
        <v>1854</v>
      </c>
      <c r="J811" t="s">
        <v>783</v>
      </c>
      <c r="K811" t="s">
        <v>1930</v>
      </c>
      <c r="L811" t="s">
        <v>775</v>
      </c>
      <c r="M811" t="s">
        <v>65</v>
      </c>
      <c r="N811" t="s">
        <v>770</v>
      </c>
      <c r="O811">
        <v>1</v>
      </c>
      <c r="P811" t="s">
        <v>776</v>
      </c>
      <c r="Q811">
        <v>29.9</v>
      </c>
      <c r="R811">
        <v>5.39</v>
      </c>
      <c r="Y811" t="s">
        <v>4113</v>
      </c>
      <c r="Z811" t="s">
        <v>1898</v>
      </c>
      <c r="AA811">
        <v>46049</v>
      </c>
      <c r="AB811" t="s">
        <v>11</v>
      </c>
    </row>
    <row r="812" spans="1:35" x14ac:dyDescent="0.25">
      <c r="A812" t="s">
        <v>4114</v>
      </c>
      <c r="B812" t="s">
        <v>4114</v>
      </c>
      <c r="C812" t="s">
        <v>4115</v>
      </c>
      <c r="D812" t="s">
        <v>4116</v>
      </c>
      <c r="E812" t="s">
        <v>770</v>
      </c>
      <c r="F812" t="s">
        <v>771</v>
      </c>
      <c r="G812" t="s">
        <v>1854</v>
      </c>
      <c r="J812" t="s">
        <v>783</v>
      </c>
      <c r="K812" t="s">
        <v>1855</v>
      </c>
      <c r="L812" t="s">
        <v>1856</v>
      </c>
      <c r="M812" t="s">
        <v>12</v>
      </c>
      <c r="N812" t="s">
        <v>770</v>
      </c>
      <c r="O812">
        <v>1</v>
      </c>
      <c r="P812" t="s">
        <v>776</v>
      </c>
      <c r="Q812">
        <v>19.899999999999999</v>
      </c>
      <c r="R812">
        <v>3.59</v>
      </c>
      <c r="Y812" t="s">
        <v>1908</v>
      </c>
      <c r="Z812" t="s">
        <v>1908</v>
      </c>
      <c r="AA812">
        <v>80142</v>
      </c>
      <c r="AB812" t="s">
        <v>11</v>
      </c>
    </row>
    <row r="813" spans="1:35" x14ac:dyDescent="0.25">
      <c r="A813" t="s">
        <v>4117</v>
      </c>
      <c r="B813" t="s">
        <v>4117</v>
      </c>
      <c r="C813" t="s">
        <v>4118</v>
      </c>
      <c r="D813" t="s">
        <v>4119</v>
      </c>
      <c r="E813" t="s">
        <v>770</v>
      </c>
      <c r="F813" t="s">
        <v>771</v>
      </c>
      <c r="G813" t="s">
        <v>1854</v>
      </c>
      <c r="J813" t="s">
        <v>783</v>
      </c>
      <c r="K813" t="s">
        <v>1855</v>
      </c>
      <c r="L813" t="s">
        <v>1856</v>
      </c>
      <c r="M813" t="s">
        <v>12</v>
      </c>
      <c r="N813" t="s">
        <v>770</v>
      </c>
      <c r="O813">
        <v>1</v>
      </c>
      <c r="P813" t="s">
        <v>776</v>
      </c>
      <c r="Q813">
        <v>19.899999999999999</v>
      </c>
      <c r="R813">
        <v>3.59</v>
      </c>
      <c r="Y813" t="s">
        <v>1917</v>
      </c>
      <c r="Z813" t="s">
        <v>1864</v>
      </c>
      <c r="AA813">
        <v>20138</v>
      </c>
      <c r="AB813" t="s">
        <v>11</v>
      </c>
    </row>
    <row r="814" spans="1:35" x14ac:dyDescent="0.25">
      <c r="A814" t="s">
        <v>4120</v>
      </c>
      <c r="C814" t="s">
        <v>4121</v>
      </c>
      <c r="D814" t="s">
        <v>4122</v>
      </c>
      <c r="E814" t="s">
        <v>770</v>
      </c>
      <c r="F814" t="s">
        <v>1884</v>
      </c>
      <c r="G814" t="s">
        <v>1854</v>
      </c>
      <c r="H814" t="s">
        <v>1885</v>
      </c>
      <c r="J814" t="s">
        <v>773</v>
      </c>
      <c r="K814" t="s">
        <v>1886</v>
      </c>
      <c r="L814" t="s">
        <v>18</v>
      </c>
      <c r="M814" t="s">
        <v>17</v>
      </c>
      <c r="N814" t="s">
        <v>770</v>
      </c>
      <c r="O814">
        <v>1</v>
      </c>
      <c r="P814" t="s">
        <v>776</v>
      </c>
      <c r="Q814">
        <v>22.9</v>
      </c>
      <c r="R814">
        <v>4.13</v>
      </c>
      <c r="S814">
        <v>3</v>
      </c>
      <c r="T814">
        <v>0.54</v>
      </c>
      <c r="Y814" t="s">
        <v>4123</v>
      </c>
      <c r="Z814" t="s">
        <v>2057</v>
      </c>
      <c r="AA814">
        <v>37030</v>
      </c>
      <c r="AB814" t="s">
        <v>11</v>
      </c>
    </row>
    <row r="815" spans="1:35" x14ac:dyDescent="0.25">
      <c r="A815" t="s">
        <v>4124</v>
      </c>
      <c r="B815" t="s">
        <v>4124</v>
      </c>
      <c r="C815" t="s">
        <v>4125</v>
      </c>
      <c r="D815" t="s">
        <v>4126</v>
      </c>
      <c r="E815" t="s">
        <v>770</v>
      </c>
      <c r="F815" t="s">
        <v>771</v>
      </c>
      <c r="G815" t="s">
        <v>1854</v>
      </c>
      <c r="J815" t="s">
        <v>783</v>
      </c>
      <c r="K815" t="s">
        <v>1855</v>
      </c>
      <c r="L815" t="s">
        <v>1856</v>
      </c>
      <c r="M815" t="s">
        <v>12</v>
      </c>
      <c r="N815" t="s">
        <v>770</v>
      </c>
      <c r="O815">
        <v>1</v>
      </c>
      <c r="P815" t="s">
        <v>776</v>
      </c>
      <c r="Q815">
        <v>19.899999999999999</v>
      </c>
      <c r="R815">
        <v>3.59</v>
      </c>
      <c r="Y815" t="s">
        <v>2597</v>
      </c>
      <c r="Z815" t="s">
        <v>2473</v>
      </c>
      <c r="AA815">
        <v>70124</v>
      </c>
      <c r="AB815" t="s">
        <v>11</v>
      </c>
    </row>
    <row r="816" spans="1:35" x14ac:dyDescent="0.25">
      <c r="A816" t="s">
        <v>4127</v>
      </c>
      <c r="B816" t="s">
        <v>4127</v>
      </c>
      <c r="C816" t="s">
        <v>4128</v>
      </c>
      <c r="D816" t="s">
        <v>4129</v>
      </c>
      <c r="E816" t="s">
        <v>770</v>
      </c>
      <c r="F816" t="s">
        <v>771</v>
      </c>
      <c r="G816" t="s">
        <v>1854</v>
      </c>
      <c r="J816" t="s">
        <v>783</v>
      </c>
      <c r="K816" t="s">
        <v>1862</v>
      </c>
      <c r="L816" t="s">
        <v>1505</v>
      </c>
      <c r="M816" t="s">
        <v>53</v>
      </c>
      <c r="N816" t="s">
        <v>770</v>
      </c>
      <c r="O816">
        <v>1</v>
      </c>
      <c r="P816" t="s">
        <v>776</v>
      </c>
      <c r="Q816">
        <v>32.9</v>
      </c>
      <c r="R816">
        <v>5.93</v>
      </c>
      <c r="Y816" t="s">
        <v>4130</v>
      </c>
      <c r="Z816" t="s">
        <v>1875</v>
      </c>
      <c r="AA816">
        <v>20090</v>
      </c>
      <c r="AB816" t="s">
        <v>11</v>
      </c>
    </row>
    <row r="817" spans="1:35" x14ac:dyDescent="0.25">
      <c r="A817" t="s">
        <v>4131</v>
      </c>
      <c r="C817" t="s">
        <v>4132</v>
      </c>
      <c r="D817" t="s">
        <v>4133</v>
      </c>
      <c r="E817" t="s">
        <v>770</v>
      </c>
      <c r="F817" t="s">
        <v>1884</v>
      </c>
      <c r="G817" t="s">
        <v>1854</v>
      </c>
      <c r="H817" t="s">
        <v>1885</v>
      </c>
      <c r="J817" t="s">
        <v>773</v>
      </c>
      <c r="K817" t="s">
        <v>1886</v>
      </c>
      <c r="L817" t="s">
        <v>18</v>
      </c>
      <c r="M817" t="s">
        <v>17</v>
      </c>
      <c r="N817" t="s">
        <v>770</v>
      </c>
      <c r="O817">
        <v>1</v>
      </c>
      <c r="P817" t="s">
        <v>776</v>
      </c>
      <c r="Q817">
        <v>22.9</v>
      </c>
      <c r="R817">
        <v>4.13</v>
      </c>
      <c r="S817">
        <v>3</v>
      </c>
      <c r="T817">
        <v>0.54</v>
      </c>
      <c r="Y817" t="s">
        <v>2533</v>
      </c>
      <c r="Z817" t="s">
        <v>2533</v>
      </c>
      <c r="AA817">
        <v>35126</v>
      </c>
      <c r="AB817" t="s">
        <v>11</v>
      </c>
    </row>
    <row r="818" spans="1:35" x14ac:dyDescent="0.25">
      <c r="A818" t="s">
        <v>4134</v>
      </c>
      <c r="B818" t="s">
        <v>4134</v>
      </c>
      <c r="C818" t="s">
        <v>4135</v>
      </c>
      <c r="D818" t="s">
        <v>4136</v>
      </c>
      <c r="E818" t="s">
        <v>770</v>
      </c>
      <c r="F818" t="s">
        <v>771</v>
      </c>
      <c r="G818" t="s">
        <v>1854</v>
      </c>
      <c r="J818" t="s">
        <v>783</v>
      </c>
      <c r="K818" t="s">
        <v>1855</v>
      </c>
      <c r="L818" t="s">
        <v>1856</v>
      </c>
      <c r="M818" t="s">
        <v>12</v>
      </c>
      <c r="N818" t="s">
        <v>770</v>
      </c>
      <c r="O818">
        <v>1</v>
      </c>
      <c r="P818" t="s">
        <v>776</v>
      </c>
      <c r="Q818">
        <v>19.899999999999999</v>
      </c>
      <c r="R818">
        <v>3.59</v>
      </c>
      <c r="Y818" t="s">
        <v>4137</v>
      </c>
      <c r="Z818" t="s">
        <v>2663</v>
      </c>
      <c r="AA818">
        <v>47122</v>
      </c>
      <c r="AB818" t="s">
        <v>11</v>
      </c>
    </row>
    <row r="819" spans="1:35" x14ac:dyDescent="0.25">
      <c r="A819" t="s">
        <v>4138</v>
      </c>
      <c r="B819" t="s">
        <v>4138</v>
      </c>
      <c r="C819" t="s">
        <v>4139</v>
      </c>
      <c r="D819" t="s">
        <v>4140</v>
      </c>
      <c r="E819" t="s">
        <v>770</v>
      </c>
      <c r="F819" t="s">
        <v>771</v>
      </c>
      <c r="G819" t="s">
        <v>1854</v>
      </c>
      <c r="J819" t="s">
        <v>783</v>
      </c>
      <c r="K819" t="s">
        <v>1862</v>
      </c>
      <c r="L819" t="s">
        <v>1505</v>
      </c>
      <c r="M819" t="s">
        <v>53</v>
      </c>
      <c r="N819" t="s">
        <v>770</v>
      </c>
      <c r="O819">
        <v>1</v>
      </c>
      <c r="P819" t="s">
        <v>776</v>
      </c>
      <c r="Q819">
        <v>32.9</v>
      </c>
      <c r="R819">
        <v>5.93</v>
      </c>
      <c r="S819">
        <v>4.99</v>
      </c>
      <c r="T819">
        <v>0.9</v>
      </c>
      <c r="Y819" t="s">
        <v>4141</v>
      </c>
      <c r="Z819" t="s">
        <v>1913</v>
      </c>
      <c r="AA819">
        <v>54</v>
      </c>
      <c r="AB819" t="s">
        <v>11</v>
      </c>
    </row>
    <row r="820" spans="1:35" x14ac:dyDescent="0.25">
      <c r="A820" t="s">
        <v>4142</v>
      </c>
      <c r="C820" t="s">
        <v>4143</v>
      </c>
      <c r="D820" t="s">
        <v>1013</v>
      </c>
      <c r="E820" t="s">
        <v>770</v>
      </c>
      <c r="F820" t="s">
        <v>1884</v>
      </c>
      <c r="G820" t="s">
        <v>1854</v>
      </c>
      <c r="H820" t="s">
        <v>1885</v>
      </c>
      <c r="J820" t="s">
        <v>773</v>
      </c>
      <c r="K820" t="s">
        <v>1886</v>
      </c>
      <c r="L820" t="s">
        <v>18</v>
      </c>
      <c r="M820" t="s">
        <v>17</v>
      </c>
      <c r="N820" t="s">
        <v>770</v>
      </c>
      <c r="O820">
        <v>1</v>
      </c>
      <c r="P820" t="s">
        <v>776</v>
      </c>
      <c r="Q820">
        <v>22.9</v>
      </c>
      <c r="R820">
        <v>4.13</v>
      </c>
      <c r="S820">
        <v>3</v>
      </c>
      <c r="T820">
        <v>0.54</v>
      </c>
      <c r="Y820" t="s">
        <v>2602</v>
      </c>
      <c r="Z820" t="s">
        <v>3024</v>
      </c>
      <c r="AA820">
        <v>16145</v>
      </c>
      <c r="AB820" t="s">
        <v>11</v>
      </c>
    </row>
    <row r="821" spans="1:35" x14ac:dyDescent="0.25">
      <c r="A821" t="s">
        <v>4144</v>
      </c>
      <c r="B821" t="s">
        <v>4144</v>
      </c>
      <c r="C821" t="s">
        <v>4145</v>
      </c>
      <c r="D821" t="s">
        <v>4146</v>
      </c>
      <c r="E821" t="s">
        <v>770</v>
      </c>
      <c r="F821" t="s">
        <v>771</v>
      </c>
      <c r="G821" t="s">
        <v>1854</v>
      </c>
      <c r="J821" t="s">
        <v>783</v>
      </c>
      <c r="K821" t="s">
        <v>1862</v>
      </c>
      <c r="L821" t="s">
        <v>1505</v>
      </c>
      <c r="M821" t="s">
        <v>53</v>
      </c>
      <c r="N821" t="s">
        <v>770</v>
      </c>
      <c r="O821">
        <v>1</v>
      </c>
      <c r="P821" t="s">
        <v>776</v>
      </c>
      <c r="Q821">
        <v>32.9</v>
      </c>
      <c r="R821">
        <v>5.93</v>
      </c>
      <c r="Y821" t="s">
        <v>1888</v>
      </c>
      <c r="Z821" t="s">
        <v>1888</v>
      </c>
      <c r="AA821">
        <v>40124</v>
      </c>
      <c r="AB821" t="s">
        <v>11</v>
      </c>
    </row>
    <row r="822" spans="1:35" x14ac:dyDescent="0.25">
      <c r="A822" t="s">
        <v>4147</v>
      </c>
      <c r="B822" t="s">
        <v>4147</v>
      </c>
      <c r="C822" t="s">
        <v>4148</v>
      </c>
      <c r="D822" t="s">
        <v>4149</v>
      </c>
      <c r="E822" t="s">
        <v>782</v>
      </c>
      <c r="F822" t="s">
        <v>771</v>
      </c>
      <c r="G822" t="s">
        <v>1854</v>
      </c>
      <c r="J822" t="s">
        <v>783</v>
      </c>
      <c r="K822" t="s">
        <v>1930</v>
      </c>
      <c r="L822" t="s">
        <v>775</v>
      </c>
      <c r="M822" t="s">
        <v>65</v>
      </c>
      <c r="N822" t="s">
        <v>782</v>
      </c>
      <c r="O822">
        <v>0</v>
      </c>
      <c r="Y822" t="s">
        <v>2533</v>
      </c>
      <c r="Z822" t="s">
        <v>1975</v>
      </c>
      <c r="AA822">
        <v>35010</v>
      </c>
      <c r="AB822" t="s">
        <v>11</v>
      </c>
    </row>
    <row r="823" spans="1:35" x14ac:dyDescent="0.25">
      <c r="A823" t="s">
        <v>4150</v>
      </c>
      <c r="B823" t="s">
        <v>4150</v>
      </c>
      <c r="C823" t="s">
        <v>4151</v>
      </c>
      <c r="D823" t="s">
        <v>4152</v>
      </c>
      <c r="E823" t="s">
        <v>770</v>
      </c>
      <c r="F823" t="s">
        <v>771</v>
      </c>
      <c r="G823" t="s">
        <v>1854</v>
      </c>
      <c r="J823" t="s">
        <v>783</v>
      </c>
      <c r="K823" t="s">
        <v>1873</v>
      </c>
      <c r="L823" t="s">
        <v>840</v>
      </c>
      <c r="M823" t="s">
        <v>26</v>
      </c>
      <c r="N823" t="s">
        <v>770</v>
      </c>
      <c r="O823">
        <v>1</v>
      </c>
      <c r="P823" t="s">
        <v>776</v>
      </c>
      <c r="Q823">
        <v>34.9</v>
      </c>
      <c r="R823">
        <v>6.29</v>
      </c>
      <c r="Y823" t="s">
        <v>4153</v>
      </c>
      <c r="Z823" t="s">
        <v>3512</v>
      </c>
      <c r="AA823">
        <v>32032</v>
      </c>
      <c r="AB823" t="s">
        <v>11</v>
      </c>
    </row>
    <row r="824" spans="1:35" x14ac:dyDescent="0.25">
      <c r="A824" t="s">
        <v>4154</v>
      </c>
      <c r="B824" t="s">
        <v>4154</v>
      </c>
      <c r="C824" t="s">
        <v>4155</v>
      </c>
      <c r="D824" t="s">
        <v>4156</v>
      </c>
      <c r="E824" t="s">
        <v>770</v>
      </c>
      <c r="F824" t="s">
        <v>771</v>
      </c>
      <c r="G824" t="s">
        <v>1854</v>
      </c>
      <c r="J824" t="s">
        <v>783</v>
      </c>
      <c r="K824" t="s">
        <v>2162</v>
      </c>
      <c r="L824" t="s">
        <v>2163</v>
      </c>
      <c r="M824" t="s">
        <v>59</v>
      </c>
      <c r="N824" t="s">
        <v>770</v>
      </c>
      <c r="O824">
        <v>1</v>
      </c>
      <c r="P824" t="s">
        <v>776</v>
      </c>
      <c r="Q824">
        <v>29.9</v>
      </c>
      <c r="R824">
        <v>5.39</v>
      </c>
      <c r="Y824" t="s">
        <v>4157</v>
      </c>
      <c r="Z824" t="s">
        <v>1908</v>
      </c>
      <c r="AA824">
        <v>80014</v>
      </c>
      <c r="AB824" t="s">
        <v>11</v>
      </c>
    </row>
    <row r="825" spans="1:35" x14ac:dyDescent="0.25">
      <c r="A825" t="s">
        <v>4158</v>
      </c>
      <c r="B825" t="s">
        <v>4158</v>
      </c>
      <c r="C825" t="s">
        <v>4159</v>
      </c>
      <c r="D825" t="s">
        <v>4160</v>
      </c>
      <c r="E825" t="s">
        <v>770</v>
      </c>
      <c r="F825" t="s">
        <v>771</v>
      </c>
      <c r="G825" t="s">
        <v>1854</v>
      </c>
      <c r="J825" t="s">
        <v>783</v>
      </c>
      <c r="K825" t="s">
        <v>2055</v>
      </c>
      <c r="L825" t="s">
        <v>806</v>
      </c>
      <c r="M825" t="s">
        <v>202</v>
      </c>
      <c r="N825" t="s">
        <v>770</v>
      </c>
      <c r="O825">
        <v>1</v>
      </c>
      <c r="P825" t="s">
        <v>776</v>
      </c>
      <c r="Q825">
        <v>14.9</v>
      </c>
      <c r="R825">
        <v>2.69</v>
      </c>
      <c r="Y825" t="s">
        <v>4161</v>
      </c>
      <c r="Z825" t="s">
        <v>2971</v>
      </c>
      <c r="AA825">
        <v>26013</v>
      </c>
      <c r="AB825" t="s">
        <v>11</v>
      </c>
    </row>
    <row r="826" spans="1:35" x14ac:dyDescent="0.25">
      <c r="A826" t="s">
        <v>4162</v>
      </c>
      <c r="B826" t="s">
        <v>4162</v>
      </c>
      <c r="C826" t="s">
        <v>4163</v>
      </c>
      <c r="D826" t="s">
        <v>4164</v>
      </c>
      <c r="E826" t="s">
        <v>770</v>
      </c>
      <c r="F826" t="s">
        <v>771</v>
      </c>
      <c r="G826" t="s">
        <v>1854</v>
      </c>
      <c r="J826" t="s">
        <v>783</v>
      </c>
      <c r="K826" t="s">
        <v>1862</v>
      </c>
      <c r="L826" t="s">
        <v>1505</v>
      </c>
      <c r="M826" t="s">
        <v>53</v>
      </c>
      <c r="N826" t="s">
        <v>770</v>
      </c>
      <c r="O826">
        <v>1</v>
      </c>
      <c r="P826" t="s">
        <v>776</v>
      </c>
      <c r="Q826">
        <v>32.9</v>
      </c>
      <c r="R826">
        <v>5.93</v>
      </c>
      <c r="Y826" t="s">
        <v>3089</v>
      </c>
      <c r="Z826" t="s">
        <v>4165</v>
      </c>
      <c r="AA826">
        <v>25125</v>
      </c>
      <c r="AB826" t="s">
        <v>11</v>
      </c>
    </row>
    <row r="827" spans="1:35" x14ac:dyDescent="0.25">
      <c r="A827" t="s">
        <v>4166</v>
      </c>
      <c r="B827" t="s">
        <v>4166</v>
      </c>
      <c r="C827" t="s">
        <v>4167</v>
      </c>
      <c r="D827" t="s">
        <v>4168</v>
      </c>
      <c r="E827" t="s">
        <v>770</v>
      </c>
      <c r="F827" t="s">
        <v>771</v>
      </c>
      <c r="G827" t="s">
        <v>1854</v>
      </c>
      <c r="J827" t="s">
        <v>783</v>
      </c>
      <c r="K827" t="s">
        <v>2162</v>
      </c>
      <c r="L827" t="s">
        <v>2163</v>
      </c>
      <c r="M827" t="s">
        <v>59</v>
      </c>
      <c r="N827" t="s">
        <v>770</v>
      </c>
      <c r="O827">
        <v>1</v>
      </c>
      <c r="P827" t="s">
        <v>776</v>
      </c>
      <c r="Q827">
        <v>29.9</v>
      </c>
      <c r="R827">
        <v>5.39</v>
      </c>
      <c r="Y827" t="s">
        <v>1903</v>
      </c>
      <c r="Z827" t="s">
        <v>2148</v>
      </c>
      <c r="AA827">
        <v>39100</v>
      </c>
      <c r="AB827" t="s">
        <v>11</v>
      </c>
    </row>
    <row r="828" spans="1:35" x14ac:dyDescent="0.25">
      <c r="A828" t="s">
        <v>4169</v>
      </c>
      <c r="B828" t="s">
        <v>4169</v>
      </c>
      <c r="C828" t="s">
        <v>4170</v>
      </c>
      <c r="D828" t="s">
        <v>4171</v>
      </c>
      <c r="E828" t="s">
        <v>770</v>
      </c>
      <c r="F828" t="s">
        <v>771</v>
      </c>
      <c r="G828" t="s">
        <v>1854</v>
      </c>
      <c r="J828" t="s">
        <v>783</v>
      </c>
      <c r="K828" t="s">
        <v>1855</v>
      </c>
      <c r="L828" t="s">
        <v>1856</v>
      </c>
      <c r="M828" t="s">
        <v>12</v>
      </c>
      <c r="N828" t="s">
        <v>770</v>
      </c>
      <c r="O828">
        <v>1</v>
      </c>
      <c r="P828" t="s">
        <v>776</v>
      </c>
      <c r="Q828">
        <v>19.899999999999999</v>
      </c>
      <c r="R828">
        <v>3.59</v>
      </c>
      <c r="Y828" t="s">
        <v>4172</v>
      </c>
      <c r="Z828" t="s">
        <v>4172</v>
      </c>
      <c r="AA828">
        <v>43123</v>
      </c>
      <c r="AB828" t="s">
        <v>11</v>
      </c>
    </row>
    <row r="829" spans="1:35" x14ac:dyDescent="0.25">
      <c r="A829" t="s">
        <v>4173</v>
      </c>
      <c r="B829" t="s">
        <v>4173</v>
      </c>
      <c r="C829" t="s">
        <v>4174</v>
      </c>
      <c r="D829" t="s">
        <v>4175</v>
      </c>
      <c r="E829" t="s">
        <v>770</v>
      </c>
      <c r="F829" t="s">
        <v>771</v>
      </c>
      <c r="G829" t="s">
        <v>1854</v>
      </c>
      <c r="J829" t="s">
        <v>783</v>
      </c>
      <c r="K829" t="s">
        <v>1873</v>
      </c>
      <c r="L829" t="s">
        <v>840</v>
      </c>
      <c r="M829" t="s">
        <v>26</v>
      </c>
      <c r="N829" t="s">
        <v>770</v>
      </c>
      <c r="O829">
        <v>1</v>
      </c>
      <c r="P829" t="s">
        <v>776</v>
      </c>
      <c r="Q829">
        <v>34.9</v>
      </c>
      <c r="R829">
        <v>6.29</v>
      </c>
      <c r="Y829" t="s">
        <v>3818</v>
      </c>
      <c r="Z829" t="s">
        <v>4176</v>
      </c>
      <c r="AA829">
        <v>2100</v>
      </c>
      <c r="AB829" t="s">
        <v>11</v>
      </c>
      <c r="AG829">
        <v>1128070578</v>
      </c>
      <c r="AH829" t="s">
        <v>11</v>
      </c>
      <c r="AI829" t="s">
        <v>1258</v>
      </c>
    </row>
    <row r="830" spans="1:35" x14ac:dyDescent="0.25">
      <c r="A830" t="s">
        <v>4177</v>
      </c>
      <c r="B830" t="s">
        <v>4177</v>
      </c>
      <c r="C830" t="s">
        <v>4178</v>
      </c>
      <c r="D830" t="s">
        <v>4179</v>
      </c>
      <c r="E830" t="s">
        <v>770</v>
      </c>
      <c r="F830" t="s">
        <v>771</v>
      </c>
      <c r="G830" t="s">
        <v>1854</v>
      </c>
      <c r="J830" t="s">
        <v>783</v>
      </c>
      <c r="K830" t="s">
        <v>1873</v>
      </c>
      <c r="L830" t="s">
        <v>840</v>
      </c>
      <c r="M830" t="s">
        <v>26</v>
      </c>
      <c r="N830" t="s">
        <v>770</v>
      </c>
      <c r="O830">
        <v>1</v>
      </c>
      <c r="P830" t="s">
        <v>776</v>
      </c>
      <c r="Q830">
        <v>34.9</v>
      </c>
      <c r="R830">
        <v>6.29</v>
      </c>
      <c r="Y830" t="s">
        <v>4180</v>
      </c>
      <c r="Z830" t="s">
        <v>4181</v>
      </c>
      <c r="AA830">
        <v>36010</v>
      </c>
      <c r="AB830" t="s">
        <v>11</v>
      </c>
    </row>
    <row r="831" spans="1:35" x14ac:dyDescent="0.25">
      <c r="A831" t="s">
        <v>4182</v>
      </c>
      <c r="B831" t="s">
        <v>4182</v>
      </c>
      <c r="C831" t="s">
        <v>4183</v>
      </c>
      <c r="D831" t="s">
        <v>4184</v>
      </c>
      <c r="E831" t="s">
        <v>770</v>
      </c>
      <c r="F831" t="s">
        <v>771</v>
      </c>
      <c r="G831" t="s">
        <v>1854</v>
      </c>
      <c r="J831" t="s">
        <v>783</v>
      </c>
      <c r="K831" t="s">
        <v>1862</v>
      </c>
      <c r="L831" t="s">
        <v>1505</v>
      </c>
      <c r="M831" t="s">
        <v>53</v>
      </c>
      <c r="N831" t="s">
        <v>770</v>
      </c>
      <c r="O831">
        <v>1</v>
      </c>
      <c r="P831" t="s">
        <v>776</v>
      </c>
      <c r="Q831">
        <v>32.9</v>
      </c>
      <c r="R831">
        <v>5.93</v>
      </c>
      <c r="Y831" t="s">
        <v>4185</v>
      </c>
      <c r="Z831" t="s">
        <v>1880</v>
      </c>
      <c r="AA831">
        <v>41035</v>
      </c>
      <c r="AB831" t="s">
        <v>11</v>
      </c>
    </row>
    <row r="832" spans="1:35" x14ac:dyDescent="0.25">
      <c r="A832" t="s">
        <v>4186</v>
      </c>
      <c r="B832" t="s">
        <v>4186</v>
      </c>
      <c r="C832" t="s">
        <v>4187</v>
      </c>
      <c r="D832" t="s">
        <v>4188</v>
      </c>
      <c r="E832" t="s">
        <v>770</v>
      </c>
      <c r="F832" t="s">
        <v>771</v>
      </c>
      <c r="G832" t="s">
        <v>1854</v>
      </c>
      <c r="J832" t="s">
        <v>783</v>
      </c>
      <c r="K832" t="s">
        <v>1862</v>
      </c>
      <c r="L832" t="s">
        <v>1505</v>
      </c>
      <c r="M832" t="s">
        <v>53</v>
      </c>
      <c r="N832" t="s">
        <v>770</v>
      </c>
      <c r="O832">
        <v>1</v>
      </c>
      <c r="P832" t="s">
        <v>776</v>
      </c>
      <c r="Q832">
        <v>32.9</v>
      </c>
      <c r="R832">
        <v>5.93</v>
      </c>
      <c r="Y832" t="s">
        <v>4189</v>
      </c>
      <c r="Z832" t="s">
        <v>4190</v>
      </c>
      <c r="AA832">
        <v>30033</v>
      </c>
      <c r="AB832" t="s">
        <v>11</v>
      </c>
    </row>
    <row r="833" spans="1:28" x14ac:dyDescent="0.25">
      <c r="A833" t="s">
        <v>4191</v>
      </c>
      <c r="B833" t="s">
        <v>4191</v>
      </c>
      <c r="C833" t="s">
        <v>4192</v>
      </c>
      <c r="D833" t="s">
        <v>4193</v>
      </c>
      <c r="E833" t="s">
        <v>770</v>
      </c>
      <c r="F833" t="s">
        <v>771</v>
      </c>
      <c r="G833" t="s">
        <v>1854</v>
      </c>
      <c r="J833" t="s">
        <v>783</v>
      </c>
      <c r="K833" t="s">
        <v>1930</v>
      </c>
      <c r="L833" t="s">
        <v>775</v>
      </c>
      <c r="M833" t="s">
        <v>65</v>
      </c>
      <c r="N833" t="s">
        <v>770</v>
      </c>
      <c r="O833">
        <v>1</v>
      </c>
      <c r="P833" t="s">
        <v>776</v>
      </c>
      <c r="Q833">
        <v>29.9</v>
      </c>
      <c r="R833">
        <v>5.39</v>
      </c>
      <c r="Y833" t="s">
        <v>4194</v>
      </c>
      <c r="Z833" t="s">
        <v>3153</v>
      </c>
      <c r="AA833">
        <v>66023</v>
      </c>
      <c r="AB833" t="s">
        <v>11</v>
      </c>
    </row>
    <row r="834" spans="1:28" x14ac:dyDescent="0.25">
      <c r="A834" t="s">
        <v>4195</v>
      </c>
      <c r="B834" t="s">
        <v>4195</v>
      </c>
      <c r="C834" t="s">
        <v>4196</v>
      </c>
      <c r="D834" t="s">
        <v>4197</v>
      </c>
      <c r="E834" t="s">
        <v>770</v>
      </c>
      <c r="F834" t="s">
        <v>771</v>
      </c>
      <c r="G834" t="s">
        <v>1854</v>
      </c>
      <c r="J834" t="s">
        <v>783</v>
      </c>
      <c r="K834" t="s">
        <v>1930</v>
      </c>
      <c r="L834" t="s">
        <v>775</v>
      </c>
      <c r="M834" t="s">
        <v>65</v>
      </c>
      <c r="N834" t="s">
        <v>770</v>
      </c>
      <c r="O834">
        <v>1</v>
      </c>
      <c r="P834" t="s">
        <v>776</v>
      </c>
      <c r="Q834">
        <v>29.9</v>
      </c>
      <c r="R834">
        <v>5.39</v>
      </c>
      <c r="Y834" t="s">
        <v>4198</v>
      </c>
      <c r="Z834" t="s">
        <v>1913</v>
      </c>
      <c r="AA834">
        <v>10</v>
      </c>
      <c r="AB834" t="s">
        <v>11</v>
      </c>
    </row>
    <row r="835" spans="1:28" x14ac:dyDescent="0.25">
      <c r="A835" t="s">
        <v>4199</v>
      </c>
      <c r="B835" t="s">
        <v>4199</v>
      </c>
      <c r="C835" t="s">
        <v>4200</v>
      </c>
      <c r="D835" t="s">
        <v>4201</v>
      </c>
      <c r="E835" t="s">
        <v>770</v>
      </c>
      <c r="F835" t="s">
        <v>771</v>
      </c>
      <c r="G835" t="s">
        <v>1854</v>
      </c>
      <c r="J835" t="s">
        <v>783</v>
      </c>
      <c r="K835" t="s">
        <v>2055</v>
      </c>
      <c r="L835" t="s">
        <v>806</v>
      </c>
      <c r="M835" t="s">
        <v>202</v>
      </c>
      <c r="N835" t="s">
        <v>770</v>
      </c>
      <c r="O835">
        <v>1</v>
      </c>
      <c r="P835" t="s">
        <v>776</v>
      </c>
      <c r="Q835">
        <v>14.9</v>
      </c>
      <c r="R835">
        <v>2.69</v>
      </c>
      <c r="Y835" t="s">
        <v>3075</v>
      </c>
      <c r="Z835" t="s">
        <v>2101</v>
      </c>
      <c r="AA835">
        <v>47838</v>
      </c>
      <c r="AB835" t="s">
        <v>11</v>
      </c>
    </row>
    <row r="836" spans="1:28" x14ac:dyDescent="0.25">
      <c r="A836" t="s">
        <v>4202</v>
      </c>
      <c r="B836" t="s">
        <v>4202</v>
      </c>
      <c r="C836" t="s">
        <v>4203</v>
      </c>
      <c r="D836" t="s">
        <v>4204</v>
      </c>
      <c r="E836" t="s">
        <v>770</v>
      </c>
      <c r="F836" t="s">
        <v>771</v>
      </c>
      <c r="G836" t="s">
        <v>1854</v>
      </c>
      <c r="J836" t="s">
        <v>783</v>
      </c>
      <c r="K836" t="s">
        <v>1855</v>
      </c>
      <c r="L836" t="s">
        <v>1856</v>
      </c>
      <c r="M836" t="s">
        <v>12</v>
      </c>
      <c r="N836" t="s">
        <v>770</v>
      </c>
      <c r="O836">
        <v>1</v>
      </c>
      <c r="P836" t="s">
        <v>776</v>
      </c>
      <c r="Q836">
        <v>19.899999999999999</v>
      </c>
      <c r="R836">
        <v>3.59</v>
      </c>
      <c r="Y836" t="s">
        <v>4205</v>
      </c>
      <c r="Z836" t="s">
        <v>4206</v>
      </c>
      <c r="AA836">
        <v>28050</v>
      </c>
      <c r="AB836" t="s">
        <v>11</v>
      </c>
    </row>
    <row r="837" spans="1:28" x14ac:dyDescent="0.25">
      <c r="A837" t="s">
        <v>4207</v>
      </c>
      <c r="B837" t="s">
        <v>4207</v>
      </c>
      <c r="C837" t="s">
        <v>4208</v>
      </c>
      <c r="D837" t="s">
        <v>4209</v>
      </c>
      <c r="E837" t="s">
        <v>770</v>
      </c>
      <c r="F837" t="s">
        <v>771</v>
      </c>
      <c r="G837" t="s">
        <v>1854</v>
      </c>
      <c r="I837" t="s">
        <v>2692</v>
      </c>
      <c r="J837" t="s">
        <v>783</v>
      </c>
      <c r="K837" t="s">
        <v>2712</v>
      </c>
      <c r="L837" t="s">
        <v>1800</v>
      </c>
      <c r="M837" t="s">
        <v>14</v>
      </c>
      <c r="N837" t="s">
        <v>770</v>
      </c>
      <c r="O837">
        <v>1</v>
      </c>
      <c r="P837" t="s">
        <v>776</v>
      </c>
      <c r="Q837">
        <v>14.9</v>
      </c>
      <c r="R837">
        <v>2.69</v>
      </c>
      <c r="Y837" t="s">
        <v>2693</v>
      </c>
      <c r="Z837" t="s">
        <v>2148</v>
      </c>
      <c r="AA837">
        <v>45020</v>
      </c>
      <c r="AB837" t="s">
        <v>11</v>
      </c>
    </row>
    <row r="838" spans="1:28" x14ac:dyDescent="0.25">
      <c r="A838" t="s">
        <v>4210</v>
      </c>
      <c r="B838" t="s">
        <v>4210</v>
      </c>
      <c r="C838" t="s">
        <v>4211</v>
      </c>
      <c r="D838" t="s">
        <v>4212</v>
      </c>
      <c r="E838" t="s">
        <v>770</v>
      </c>
      <c r="F838" t="s">
        <v>771</v>
      </c>
      <c r="G838" t="s">
        <v>1854</v>
      </c>
      <c r="J838" t="s">
        <v>783</v>
      </c>
      <c r="K838" t="s">
        <v>1862</v>
      </c>
      <c r="L838" t="s">
        <v>1505</v>
      </c>
      <c r="M838" t="s">
        <v>53</v>
      </c>
      <c r="N838" t="s">
        <v>770</v>
      </c>
      <c r="O838">
        <v>1</v>
      </c>
      <c r="P838" t="s">
        <v>776</v>
      </c>
      <c r="Q838">
        <v>32.9</v>
      </c>
      <c r="R838">
        <v>5.93</v>
      </c>
      <c r="S838">
        <v>3.99</v>
      </c>
      <c r="T838">
        <v>0.72</v>
      </c>
      <c r="Y838" t="s">
        <v>4213</v>
      </c>
      <c r="Z838" t="s">
        <v>2025</v>
      </c>
      <c r="AA838">
        <v>80017</v>
      </c>
      <c r="AB838" t="s">
        <v>11</v>
      </c>
    </row>
    <row r="839" spans="1:28" x14ac:dyDescent="0.25">
      <c r="A839" t="s">
        <v>4214</v>
      </c>
      <c r="B839" t="s">
        <v>4214</v>
      </c>
      <c r="C839" t="s">
        <v>4215</v>
      </c>
      <c r="D839" t="s">
        <v>4216</v>
      </c>
      <c r="E839" t="s">
        <v>770</v>
      </c>
      <c r="F839" t="s">
        <v>771</v>
      </c>
      <c r="G839" t="s">
        <v>1854</v>
      </c>
      <c r="J839" t="s">
        <v>783</v>
      </c>
      <c r="K839" t="s">
        <v>1930</v>
      </c>
      <c r="L839" t="s">
        <v>775</v>
      </c>
      <c r="M839" t="s">
        <v>65</v>
      </c>
      <c r="N839" t="s">
        <v>770</v>
      </c>
      <c r="O839">
        <v>1</v>
      </c>
      <c r="P839" t="s">
        <v>776</v>
      </c>
      <c r="Q839">
        <v>29.9</v>
      </c>
      <c r="R839">
        <v>5.39</v>
      </c>
      <c r="Y839" t="s">
        <v>4217</v>
      </c>
      <c r="Z839" t="s">
        <v>4218</v>
      </c>
      <c r="AA839">
        <v>9039</v>
      </c>
      <c r="AB839" t="s">
        <v>11</v>
      </c>
    </row>
    <row r="840" spans="1:28" x14ac:dyDescent="0.25">
      <c r="A840" t="s">
        <v>4219</v>
      </c>
      <c r="C840" t="s">
        <v>4220</v>
      </c>
      <c r="D840" t="s">
        <v>1223</v>
      </c>
      <c r="E840" t="s">
        <v>770</v>
      </c>
      <c r="F840" t="s">
        <v>1884</v>
      </c>
      <c r="G840" t="s">
        <v>1854</v>
      </c>
      <c r="H840" t="s">
        <v>1885</v>
      </c>
      <c r="J840" t="s">
        <v>773</v>
      </c>
      <c r="K840" t="s">
        <v>1855</v>
      </c>
      <c r="L840" t="s">
        <v>13</v>
      </c>
      <c r="M840" t="s">
        <v>12</v>
      </c>
      <c r="N840" t="s">
        <v>770</v>
      </c>
      <c r="O840">
        <v>1</v>
      </c>
      <c r="P840" t="s">
        <v>776</v>
      </c>
      <c r="Q840">
        <v>19.899999999999999</v>
      </c>
      <c r="R840">
        <v>3.59</v>
      </c>
      <c r="S840">
        <v>3</v>
      </c>
      <c r="T840">
        <v>0.54</v>
      </c>
      <c r="Y840" t="s">
        <v>2039</v>
      </c>
      <c r="Z840" t="s">
        <v>2040</v>
      </c>
      <c r="AA840">
        <v>65010</v>
      </c>
      <c r="AB840" t="s">
        <v>11</v>
      </c>
    </row>
    <row r="841" spans="1:28" x14ac:dyDescent="0.25">
      <c r="A841" t="s">
        <v>4221</v>
      </c>
      <c r="B841" t="s">
        <v>4221</v>
      </c>
      <c r="C841" t="s">
        <v>4222</v>
      </c>
      <c r="D841" t="s">
        <v>4223</v>
      </c>
      <c r="E841" t="s">
        <v>770</v>
      </c>
      <c r="F841" t="s">
        <v>771</v>
      </c>
      <c r="G841" t="s">
        <v>1854</v>
      </c>
      <c r="J841" t="s">
        <v>783</v>
      </c>
      <c r="K841" t="s">
        <v>2248</v>
      </c>
      <c r="L841" t="s">
        <v>2772</v>
      </c>
      <c r="M841" t="s">
        <v>172</v>
      </c>
      <c r="N841" t="s">
        <v>770</v>
      </c>
      <c r="O841">
        <v>1</v>
      </c>
      <c r="P841" t="s">
        <v>776</v>
      </c>
      <c r="Q841">
        <v>39.9</v>
      </c>
      <c r="R841">
        <v>7.2</v>
      </c>
      <c r="Y841" t="s">
        <v>2005</v>
      </c>
      <c r="Z841" t="s">
        <v>1908</v>
      </c>
      <c r="AA841">
        <v>80011</v>
      </c>
      <c r="AB841" t="s">
        <v>11</v>
      </c>
    </row>
    <row r="842" spans="1:28" x14ac:dyDescent="0.25">
      <c r="A842" t="s">
        <v>4224</v>
      </c>
      <c r="B842" t="s">
        <v>4224</v>
      </c>
      <c r="C842" t="s">
        <v>4225</v>
      </c>
      <c r="D842" t="s">
        <v>4226</v>
      </c>
      <c r="E842" t="s">
        <v>770</v>
      </c>
      <c r="F842" t="s">
        <v>771</v>
      </c>
      <c r="G842" t="s">
        <v>1854</v>
      </c>
      <c r="J842" t="s">
        <v>783</v>
      </c>
      <c r="K842" t="s">
        <v>2055</v>
      </c>
      <c r="L842" t="s">
        <v>806</v>
      </c>
      <c r="M842" t="s">
        <v>202</v>
      </c>
      <c r="N842" t="s">
        <v>770</v>
      </c>
      <c r="O842">
        <v>1</v>
      </c>
      <c r="P842" t="s">
        <v>776</v>
      </c>
      <c r="Q842">
        <v>14.9</v>
      </c>
      <c r="R842">
        <v>2.69</v>
      </c>
      <c r="Y842" t="s">
        <v>1908</v>
      </c>
      <c r="Z842" t="s">
        <v>3113</v>
      </c>
      <c r="AA842">
        <v>80126</v>
      </c>
      <c r="AB842" t="s">
        <v>11</v>
      </c>
    </row>
    <row r="843" spans="1:28" x14ac:dyDescent="0.25">
      <c r="A843" t="s">
        <v>4227</v>
      </c>
      <c r="B843" t="s">
        <v>4227</v>
      </c>
      <c r="C843" t="s">
        <v>4228</v>
      </c>
      <c r="D843" t="s">
        <v>4229</v>
      </c>
      <c r="E843" t="s">
        <v>770</v>
      </c>
      <c r="F843" t="s">
        <v>771</v>
      </c>
      <c r="G843" t="s">
        <v>1854</v>
      </c>
      <c r="I843" t="s">
        <v>2692</v>
      </c>
      <c r="J843" t="s">
        <v>783</v>
      </c>
      <c r="K843" t="s">
        <v>2712</v>
      </c>
      <c r="L843" t="s">
        <v>1800</v>
      </c>
      <c r="M843" t="s">
        <v>14</v>
      </c>
      <c r="N843" t="s">
        <v>770</v>
      </c>
      <c r="O843">
        <v>1</v>
      </c>
      <c r="P843" t="s">
        <v>776</v>
      </c>
      <c r="Q843">
        <v>14.9</v>
      </c>
      <c r="R843">
        <v>2.69</v>
      </c>
      <c r="Y843" t="s">
        <v>2693</v>
      </c>
      <c r="Z843" t="s">
        <v>2148</v>
      </c>
      <c r="AA843">
        <v>45020</v>
      </c>
      <c r="AB843" t="s">
        <v>11</v>
      </c>
    </row>
    <row r="844" spans="1:28" x14ac:dyDescent="0.25">
      <c r="A844" t="s">
        <v>4230</v>
      </c>
      <c r="B844" t="s">
        <v>4230</v>
      </c>
      <c r="C844" t="s">
        <v>4231</v>
      </c>
      <c r="D844" t="s">
        <v>4232</v>
      </c>
      <c r="E844" t="s">
        <v>770</v>
      </c>
      <c r="F844" t="s">
        <v>771</v>
      </c>
      <c r="G844" t="s">
        <v>1854</v>
      </c>
      <c r="J844" t="s">
        <v>783</v>
      </c>
      <c r="K844" t="s">
        <v>1855</v>
      </c>
      <c r="L844" t="s">
        <v>1856</v>
      </c>
      <c r="M844" t="s">
        <v>12</v>
      </c>
      <c r="N844" t="s">
        <v>770</v>
      </c>
      <c r="O844">
        <v>1</v>
      </c>
      <c r="P844" t="s">
        <v>776</v>
      </c>
      <c r="Q844">
        <v>19.899999999999999</v>
      </c>
      <c r="R844">
        <v>3.59</v>
      </c>
      <c r="Y844" t="s">
        <v>4233</v>
      </c>
      <c r="Z844" t="s">
        <v>4234</v>
      </c>
      <c r="AA844">
        <v>98122</v>
      </c>
      <c r="AB844" t="s">
        <v>11</v>
      </c>
    </row>
    <row r="845" spans="1:28" x14ac:dyDescent="0.25">
      <c r="A845" t="s">
        <v>4235</v>
      </c>
      <c r="B845" t="s">
        <v>4235</v>
      </c>
      <c r="C845" t="s">
        <v>4236</v>
      </c>
      <c r="D845" t="s">
        <v>4237</v>
      </c>
      <c r="E845" t="s">
        <v>770</v>
      </c>
      <c r="F845" t="s">
        <v>771</v>
      </c>
      <c r="G845" t="s">
        <v>1854</v>
      </c>
      <c r="J845" t="s">
        <v>783</v>
      </c>
      <c r="K845" t="s">
        <v>2712</v>
      </c>
      <c r="L845" t="s">
        <v>1800</v>
      </c>
      <c r="M845" t="s">
        <v>14</v>
      </c>
      <c r="N845" t="s">
        <v>770</v>
      </c>
      <c r="O845">
        <v>1</v>
      </c>
      <c r="P845" t="s">
        <v>776</v>
      </c>
      <c r="Q845">
        <v>14.9</v>
      </c>
      <c r="R845">
        <v>2.69</v>
      </c>
      <c r="Y845" t="s">
        <v>4238</v>
      </c>
      <c r="Z845" t="s">
        <v>2827</v>
      </c>
      <c r="AA845">
        <v>25015</v>
      </c>
      <c r="AB845" t="s">
        <v>11</v>
      </c>
    </row>
    <row r="846" spans="1:28" x14ac:dyDescent="0.25">
      <c r="A846" t="s">
        <v>4239</v>
      </c>
      <c r="B846" t="s">
        <v>4239</v>
      </c>
      <c r="C846" t="s">
        <v>4240</v>
      </c>
      <c r="D846" t="s">
        <v>4241</v>
      </c>
      <c r="E846" t="s">
        <v>770</v>
      </c>
      <c r="F846" t="s">
        <v>771</v>
      </c>
      <c r="G846" t="s">
        <v>1854</v>
      </c>
      <c r="J846" t="s">
        <v>783</v>
      </c>
      <c r="K846" t="s">
        <v>2712</v>
      </c>
      <c r="L846" t="s">
        <v>1800</v>
      </c>
      <c r="M846" t="s">
        <v>14</v>
      </c>
      <c r="N846" t="s">
        <v>770</v>
      </c>
      <c r="O846">
        <v>1</v>
      </c>
      <c r="P846" t="s">
        <v>776</v>
      </c>
      <c r="Q846">
        <v>14.9</v>
      </c>
      <c r="R846">
        <v>2.69</v>
      </c>
      <c r="Y846" t="s">
        <v>3668</v>
      </c>
      <c r="Z846" t="s">
        <v>2015</v>
      </c>
      <c r="AA846">
        <v>44042</v>
      </c>
      <c r="AB846" t="s">
        <v>11</v>
      </c>
    </row>
    <row r="847" spans="1:28" x14ac:dyDescent="0.25">
      <c r="A847" t="s">
        <v>4242</v>
      </c>
      <c r="C847" t="s">
        <v>4243</v>
      </c>
      <c r="D847" t="s">
        <v>4244</v>
      </c>
      <c r="E847" t="s">
        <v>782</v>
      </c>
      <c r="F847" t="s">
        <v>1884</v>
      </c>
      <c r="G847" t="s">
        <v>1854</v>
      </c>
      <c r="H847" t="s">
        <v>1885</v>
      </c>
      <c r="J847" t="s">
        <v>773</v>
      </c>
      <c r="K847" t="s">
        <v>3042</v>
      </c>
      <c r="L847" s="2">
        <v>90825</v>
      </c>
      <c r="M847" t="s">
        <v>320</v>
      </c>
      <c r="O847">
        <v>0</v>
      </c>
      <c r="Y847" t="s">
        <v>3043</v>
      </c>
      <c r="Z847" t="s">
        <v>2362</v>
      </c>
      <c r="AA847">
        <v>15121</v>
      </c>
      <c r="AB847" t="s">
        <v>11</v>
      </c>
    </row>
    <row r="848" spans="1:28" x14ac:dyDescent="0.25">
      <c r="A848" t="s">
        <v>4245</v>
      </c>
      <c r="B848" t="s">
        <v>4245</v>
      </c>
      <c r="C848" t="s">
        <v>4246</v>
      </c>
      <c r="D848" t="s">
        <v>4247</v>
      </c>
      <c r="E848" t="s">
        <v>770</v>
      </c>
      <c r="F848" t="s">
        <v>771</v>
      </c>
      <c r="G848" t="s">
        <v>1854</v>
      </c>
      <c r="J848" t="s">
        <v>783</v>
      </c>
      <c r="K848" t="s">
        <v>1873</v>
      </c>
      <c r="L848" t="s">
        <v>840</v>
      </c>
      <c r="M848" t="s">
        <v>26</v>
      </c>
      <c r="N848" t="s">
        <v>770</v>
      </c>
      <c r="O848">
        <v>1</v>
      </c>
      <c r="P848" t="s">
        <v>776</v>
      </c>
      <c r="Q848">
        <v>34.9</v>
      </c>
      <c r="R848">
        <v>6.29</v>
      </c>
      <c r="Y848" t="s">
        <v>2597</v>
      </c>
      <c r="Z848" t="s">
        <v>2473</v>
      </c>
      <c r="AA848">
        <v>70121</v>
      </c>
      <c r="AB848" t="s">
        <v>11</v>
      </c>
    </row>
    <row r="849" spans="1:28" x14ac:dyDescent="0.25">
      <c r="A849" t="s">
        <v>4248</v>
      </c>
      <c r="B849" t="s">
        <v>4248</v>
      </c>
      <c r="C849" t="s">
        <v>4249</v>
      </c>
      <c r="D849" t="s">
        <v>4250</v>
      </c>
      <c r="E849" t="s">
        <v>770</v>
      </c>
      <c r="F849" t="s">
        <v>771</v>
      </c>
      <c r="G849" t="s">
        <v>1854</v>
      </c>
      <c r="J849" t="s">
        <v>783</v>
      </c>
      <c r="K849" t="s">
        <v>2712</v>
      </c>
      <c r="L849" t="s">
        <v>1800</v>
      </c>
      <c r="M849" t="s">
        <v>14</v>
      </c>
      <c r="N849" t="s">
        <v>770</v>
      </c>
      <c r="O849">
        <v>1</v>
      </c>
      <c r="P849" t="s">
        <v>776</v>
      </c>
      <c r="Q849">
        <v>14.9</v>
      </c>
      <c r="R849">
        <v>2.69</v>
      </c>
      <c r="Y849" t="s">
        <v>1913</v>
      </c>
      <c r="Z849" t="s">
        <v>1926</v>
      </c>
      <c r="AA849">
        <v>197</v>
      </c>
      <c r="AB849" t="s">
        <v>11</v>
      </c>
    </row>
    <row r="850" spans="1:28" x14ac:dyDescent="0.25">
      <c r="A850" t="s">
        <v>4251</v>
      </c>
      <c r="B850" t="s">
        <v>4251</v>
      </c>
      <c r="C850" t="s">
        <v>4252</v>
      </c>
      <c r="D850" t="s">
        <v>4253</v>
      </c>
      <c r="E850" t="s">
        <v>770</v>
      </c>
      <c r="F850" t="s">
        <v>771</v>
      </c>
      <c r="G850" t="s">
        <v>1854</v>
      </c>
      <c r="J850" t="s">
        <v>783</v>
      </c>
      <c r="K850" t="s">
        <v>1930</v>
      </c>
      <c r="L850" t="s">
        <v>775</v>
      </c>
      <c r="M850" t="s">
        <v>65</v>
      </c>
      <c r="N850" t="s">
        <v>770</v>
      </c>
      <c r="O850">
        <v>1</v>
      </c>
      <c r="P850" t="s">
        <v>776</v>
      </c>
      <c r="Q850">
        <v>29.9</v>
      </c>
      <c r="R850">
        <v>5.39</v>
      </c>
      <c r="Y850" t="s">
        <v>4254</v>
      </c>
      <c r="Z850" t="s">
        <v>2030</v>
      </c>
      <c r="AA850">
        <v>38015</v>
      </c>
      <c r="AB850" t="s">
        <v>11</v>
      </c>
    </row>
    <row r="851" spans="1:28" x14ac:dyDescent="0.25">
      <c r="A851" t="s">
        <v>4255</v>
      </c>
      <c r="B851" t="s">
        <v>4255</v>
      </c>
      <c r="C851" t="s">
        <v>4256</v>
      </c>
      <c r="D851" t="s">
        <v>4257</v>
      </c>
      <c r="E851" t="s">
        <v>770</v>
      </c>
      <c r="F851" t="s">
        <v>771</v>
      </c>
      <c r="G851" t="s">
        <v>1854</v>
      </c>
      <c r="J851" t="s">
        <v>783</v>
      </c>
      <c r="K851" t="s">
        <v>1855</v>
      </c>
      <c r="L851" t="s">
        <v>1856</v>
      </c>
      <c r="M851" t="s">
        <v>12</v>
      </c>
      <c r="N851" t="s">
        <v>770</v>
      </c>
      <c r="O851">
        <v>1</v>
      </c>
      <c r="P851" t="s">
        <v>776</v>
      </c>
      <c r="Q851">
        <v>19.899999999999999</v>
      </c>
      <c r="R851">
        <v>3.59</v>
      </c>
      <c r="Y851" t="s">
        <v>4258</v>
      </c>
      <c r="Z851" t="s">
        <v>2025</v>
      </c>
      <c r="AA851">
        <v>80025</v>
      </c>
      <c r="AB851" t="s">
        <v>11</v>
      </c>
    </row>
    <row r="852" spans="1:28" x14ac:dyDescent="0.25">
      <c r="A852" t="s">
        <v>4259</v>
      </c>
      <c r="B852" t="s">
        <v>4259</v>
      </c>
      <c r="C852" t="s">
        <v>4260</v>
      </c>
      <c r="D852" t="s">
        <v>4261</v>
      </c>
      <c r="E852" t="s">
        <v>770</v>
      </c>
      <c r="F852" t="s">
        <v>771</v>
      </c>
      <c r="G852" t="s">
        <v>1854</v>
      </c>
      <c r="J852" t="s">
        <v>783</v>
      </c>
      <c r="K852" t="s">
        <v>1873</v>
      </c>
      <c r="L852" t="s">
        <v>840</v>
      </c>
      <c r="M852" t="s">
        <v>26</v>
      </c>
      <c r="N852" t="s">
        <v>770</v>
      </c>
      <c r="O852">
        <v>1</v>
      </c>
      <c r="P852" t="s">
        <v>776</v>
      </c>
      <c r="Q852">
        <v>34.9</v>
      </c>
      <c r="R852">
        <v>6.29</v>
      </c>
      <c r="Y852" t="s">
        <v>4262</v>
      </c>
      <c r="Z852" t="s">
        <v>4263</v>
      </c>
      <c r="AA852">
        <v>32036</v>
      </c>
      <c r="AB852" t="s">
        <v>11</v>
      </c>
    </row>
    <row r="853" spans="1:28" x14ac:dyDescent="0.25">
      <c r="A853" t="s">
        <v>4264</v>
      </c>
      <c r="B853" t="s">
        <v>4264</v>
      </c>
      <c r="C853" t="s">
        <v>4265</v>
      </c>
      <c r="D853" t="s">
        <v>4266</v>
      </c>
      <c r="E853" t="s">
        <v>782</v>
      </c>
      <c r="F853" t="s">
        <v>771</v>
      </c>
      <c r="G853" t="s">
        <v>1854</v>
      </c>
      <c r="J853" t="s">
        <v>783</v>
      </c>
      <c r="K853" t="s">
        <v>1862</v>
      </c>
      <c r="L853" t="s">
        <v>1505</v>
      </c>
      <c r="M853" t="s">
        <v>53</v>
      </c>
      <c r="N853" t="s">
        <v>782</v>
      </c>
      <c r="O853">
        <v>0</v>
      </c>
      <c r="Y853" t="s">
        <v>3744</v>
      </c>
      <c r="Z853" t="s">
        <v>1875</v>
      </c>
      <c r="AA853">
        <v>20020</v>
      </c>
      <c r="AB853" t="s">
        <v>11</v>
      </c>
    </row>
    <row r="854" spans="1:28" x14ac:dyDescent="0.25">
      <c r="A854" t="s">
        <v>4267</v>
      </c>
      <c r="B854" t="s">
        <v>4267</v>
      </c>
      <c r="C854" t="s">
        <v>4268</v>
      </c>
      <c r="D854" t="s">
        <v>4269</v>
      </c>
      <c r="E854" t="s">
        <v>782</v>
      </c>
      <c r="F854" t="s">
        <v>771</v>
      </c>
      <c r="G854" t="s">
        <v>1854</v>
      </c>
      <c r="J854" t="s">
        <v>783</v>
      </c>
      <c r="K854" t="s">
        <v>2248</v>
      </c>
      <c r="L854" t="s">
        <v>2772</v>
      </c>
      <c r="M854" t="s">
        <v>172</v>
      </c>
      <c r="N854" t="s">
        <v>782</v>
      </c>
      <c r="O854">
        <v>0</v>
      </c>
      <c r="Y854" t="s">
        <v>1908</v>
      </c>
      <c r="Z854" t="s">
        <v>2025</v>
      </c>
      <c r="AA854">
        <v>80126</v>
      </c>
      <c r="AB854" t="s">
        <v>11</v>
      </c>
    </row>
    <row r="855" spans="1:28" x14ac:dyDescent="0.25">
      <c r="A855" t="s">
        <v>4270</v>
      </c>
      <c r="B855" t="s">
        <v>4270</v>
      </c>
      <c r="C855" t="s">
        <v>4271</v>
      </c>
      <c r="D855" t="s">
        <v>4272</v>
      </c>
      <c r="E855" t="s">
        <v>770</v>
      </c>
      <c r="F855" t="s">
        <v>771</v>
      </c>
      <c r="G855" t="s">
        <v>1854</v>
      </c>
      <c r="J855" t="s">
        <v>783</v>
      </c>
      <c r="K855" t="s">
        <v>1930</v>
      </c>
      <c r="L855" t="s">
        <v>775</v>
      </c>
      <c r="M855" t="s">
        <v>65</v>
      </c>
      <c r="N855" t="s">
        <v>770</v>
      </c>
      <c r="O855">
        <v>1</v>
      </c>
      <c r="P855" t="s">
        <v>776</v>
      </c>
      <c r="Q855">
        <v>29.9</v>
      </c>
      <c r="R855">
        <v>5.39</v>
      </c>
      <c r="Y855" t="s">
        <v>1913</v>
      </c>
      <c r="Z855" t="s">
        <v>2548</v>
      </c>
      <c r="AA855">
        <v>137</v>
      </c>
      <c r="AB855" t="s">
        <v>11</v>
      </c>
    </row>
    <row r="856" spans="1:28" x14ac:dyDescent="0.25">
      <c r="A856" t="s">
        <v>4273</v>
      </c>
      <c r="B856" t="s">
        <v>4273</v>
      </c>
      <c r="C856" t="s">
        <v>4274</v>
      </c>
      <c r="D856" t="s">
        <v>4275</v>
      </c>
      <c r="E856" t="s">
        <v>770</v>
      </c>
      <c r="F856" t="s">
        <v>771</v>
      </c>
      <c r="G856" t="s">
        <v>1854</v>
      </c>
      <c r="J856" t="s">
        <v>783</v>
      </c>
      <c r="K856" t="s">
        <v>1930</v>
      </c>
      <c r="L856" t="s">
        <v>775</v>
      </c>
      <c r="M856" t="s">
        <v>65</v>
      </c>
      <c r="N856" t="s">
        <v>770</v>
      </c>
      <c r="O856">
        <v>1</v>
      </c>
      <c r="P856" t="s">
        <v>776</v>
      </c>
      <c r="Q856">
        <v>29.9</v>
      </c>
      <c r="R856">
        <v>5.39</v>
      </c>
      <c r="Y856" t="s">
        <v>4276</v>
      </c>
      <c r="Z856" t="s">
        <v>3153</v>
      </c>
      <c r="AA856">
        <v>66023</v>
      </c>
      <c r="AB856" t="s">
        <v>11</v>
      </c>
    </row>
    <row r="857" spans="1:28" x14ac:dyDescent="0.25">
      <c r="A857" t="s">
        <v>4277</v>
      </c>
      <c r="B857" t="s">
        <v>4277</v>
      </c>
      <c r="C857" t="s">
        <v>4278</v>
      </c>
      <c r="D857" t="s">
        <v>4279</v>
      </c>
      <c r="E857" t="s">
        <v>770</v>
      </c>
      <c r="F857" t="s">
        <v>771</v>
      </c>
      <c r="G857" t="s">
        <v>1854</v>
      </c>
      <c r="J857" t="s">
        <v>783</v>
      </c>
      <c r="K857" t="s">
        <v>1855</v>
      </c>
      <c r="L857" t="s">
        <v>1856</v>
      </c>
      <c r="M857" t="s">
        <v>12</v>
      </c>
      <c r="N857" t="s">
        <v>770</v>
      </c>
      <c r="O857">
        <v>1</v>
      </c>
      <c r="P857" t="s">
        <v>776</v>
      </c>
      <c r="Q857">
        <v>19.899999999999999</v>
      </c>
      <c r="R857">
        <v>3.59</v>
      </c>
      <c r="Y857" t="s">
        <v>4280</v>
      </c>
      <c r="Z857" t="s">
        <v>3696</v>
      </c>
      <c r="AA857">
        <v>41012</v>
      </c>
      <c r="AB857" t="s">
        <v>11</v>
      </c>
    </row>
    <row r="858" spans="1:28" x14ac:dyDescent="0.25">
      <c r="A858" t="s">
        <v>4281</v>
      </c>
      <c r="B858" t="s">
        <v>4281</v>
      </c>
      <c r="C858" t="s">
        <v>4282</v>
      </c>
      <c r="D858" t="s">
        <v>4283</v>
      </c>
      <c r="E858" t="s">
        <v>770</v>
      </c>
      <c r="F858" t="s">
        <v>771</v>
      </c>
      <c r="G858" t="s">
        <v>1854</v>
      </c>
      <c r="J858" t="s">
        <v>783</v>
      </c>
      <c r="K858" t="s">
        <v>1855</v>
      </c>
      <c r="L858" t="s">
        <v>1856</v>
      </c>
      <c r="M858" t="s">
        <v>12</v>
      </c>
      <c r="N858" t="s">
        <v>770</v>
      </c>
      <c r="O858">
        <v>1</v>
      </c>
      <c r="P858" t="s">
        <v>776</v>
      </c>
      <c r="Q858">
        <v>19.899999999999999</v>
      </c>
      <c r="R858">
        <v>3.59</v>
      </c>
      <c r="Y858" t="s">
        <v>1913</v>
      </c>
      <c r="Z858" t="s">
        <v>1913</v>
      </c>
      <c r="AA858">
        <v>143</v>
      </c>
      <c r="AB858" t="s">
        <v>11</v>
      </c>
    </row>
    <row r="859" spans="1:28" x14ac:dyDescent="0.25">
      <c r="A859" t="s">
        <v>4284</v>
      </c>
      <c r="B859" t="s">
        <v>4284</v>
      </c>
      <c r="C859" t="s">
        <v>4285</v>
      </c>
      <c r="D859" t="s">
        <v>4286</v>
      </c>
      <c r="E859" t="s">
        <v>770</v>
      </c>
      <c r="F859" t="s">
        <v>771</v>
      </c>
      <c r="G859" t="s">
        <v>1854</v>
      </c>
      <c r="J859" t="s">
        <v>783</v>
      </c>
      <c r="K859" t="s">
        <v>2252</v>
      </c>
      <c r="L859" t="s">
        <v>2253</v>
      </c>
      <c r="M859" t="s">
        <v>73</v>
      </c>
      <c r="N859" t="s">
        <v>770</v>
      </c>
      <c r="O859">
        <v>2</v>
      </c>
      <c r="P859" t="s">
        <v>776</v>
      </c>
      <c r="Q859">
        <v>33.799999999999997</v>
      </c>
      <c r="R859">
        <v>6.1</v>
      </c>
      <c r="Y859" t="s">
        <v>4287</v>
      </c>
      <c r="Z859" t="s">
        <v>2533</v>
      </c>
      <c r="AA859">
        <v>35030</v>
      </c>
      <c r="AB859" t="s">
        <v>11</v>
      </c>
    </row>
    <row r="860" spans="1:28" x14ac:dyDescent="0.25">
      <c r="A860" t="s">
        <v>4288</v>
      </c>
      <c r="B860" t="s">
        <v>4288</v>
      </c>
      <c r="C860" t="s">
        <v>4289</v>
      </c>
      <c r="D860" t="s">
        <v>4290</v>
      </c>
      <c r="E860" t="s">
        <v>770</v>
      </c>
      <c r="F860" t="s">
        <v>771</v>
      </c>
      <c r="G860" t="s">
        <v>1854</v>
      </c>
      <c r="J860" t="s">
        <v>783</v>
      </c>
      <c r="K860" t="s">
        <v>1930</v>
      </c>
      <c r="L860" t="s">
        <v>775</v>
      </c>
      <c r="M860" t="s">
        <v>65</v>
      </c>
      <c r="N860" t="s">
        <v>770</v>
      </c>
      <c r="O860">
        <v>1</v>
      </c>
      <c r="P860" t="s">
        <v>776</v>
      </c>
      <c r="Q860">
        <v>29.9</v>
      </c>
      <c r="R860">
        <v>5.39</v>
      </c>
      <c r="Y860" t="s">
        <v>2101</v>
      </c>
      <c r="Z860" t="s">
        <v>2101</v>
      </c>
      <c r="AA860">
        <v>47924</v>
      </c>
      <c r="AB860" t="s">
        <v>11</v>
      </c>
    </row>
    <row r="861" spans="1:28" x14ac:dyDescent="0.25">
      <c r="A861" t="s">
        <v>4291</v>
      </c>
      <c r="B861" t="s">
        <v>4291</v>
      </c>
      <c r="C861" t="s">
        <v>4292</v>
      </c>
      <c r="D861" t="s">
        <v>4293</v>
      </c>
      <c r="E861" t="s">
        <v>782</v>
      </c>
      <c r="F861" t="s">
        <v>771</v>
      </c>
      <c r="G861" t="s">
        <v>1854</v>
      </c>
      <c r="J861" t="s">
        <v>783</v>
      </c>
      <c r="K861" t="s">
        <v>1930</v>
      </c>
      <c r="L861" t="s">
        <v>775</v>
      </c>
      <c r="M861" t="s">
        <v>65</v>
      </c>
      <c r="N861" t="s">
        <v>782</v>
      </c>
      <c r="O861">
        <v>0</v>
      </c>
      <c r="Y861" t="s">
        <v>2101</v>
      </c>
      <c r="Z861" t="s">
        <v>2101</v>
      </c>
      <c r="AA861">
        <v>47924</v>
      </c>
      <c r="AB861" t="s">
        <v>11</v>
      </c>
    </row>
    <row r="862" spans="1:28" x14ac:dyDescent="0.25">
      <c r="A862" t="s">
        <v>4294</v>
      </c>
      <c r="B862" t="s">
        <v>4294</v>
      </c>
      <c r="C862" t="s">
        <v>4295</v>
      </c>
      <c r="D862" t="s">
        <v>4296</v>
      </c>
      <c r="E862" t="s">
        <v>770</v>
      </c>
      <c r="F862" t="s">
        <v>771</v>
      </c>
      <c r="G862" t="s">
        <v>1854</v>
      </c>
      <c r="J862" t="s">
        <v>783</v>
      </c>
      <c r="K862" t="s">
        <v>1862</v>
      </c>
      <c r="L862" t="s">
        <v>1505</v>
      </c>
      <c r="M862" t="s">
        <v>53</v>
      </c>
      <c r="N862" t="s">
        <v>770</v>
      </c>
      <c r="O862">
        <v>1</v>
      </c>
      <c r="P862" t="s">
        <v>776</v>
      </c>
      <c r="Q862">
        <v>32.9</v>
      </c>
      <c r="R862">
        <v>5.93</v>
      </c>
      <c r="Y862" t="s">
        <v>1946</v>
      </c>
      <c r="Z862" t="s">
        <v>1946</v>
      </c>
      <c r="AA862">
        <v>86170</v>
      </c>
      <c r="AB862" t="s">
        <v>11</v>
      </c>
    </row>
    <row r="863" spans="1:28" x14ac:dyDescent="0.25">
      <c r="A863" t="s">
        <v>4297</v>
      </c>
      <c r="B863" t="s">
        <v>4297</v>
      </c>
      <c r="C863" t="s">
        <v>4298</v>
      </c>
      <c r="D863" t="s">
        <v>1175</v>
      </c>
      <c r="E863" t="s">
        <v>770</v>
      </c>
      <c r="F863" t="s">
        <v>771</v>
      </c>
      <c r="G863" t="s">
        <v>1854</v>
      </c>
      <c r="J863" t="s">
        <v>783</v>
      </c>
      <c r="K863" t="s">
        <v>1855</v>
      </c>
      <c r="L863" t="s">
        <v>1856</v>
      </c>
      <c r="M863" t="s">
        <v>12</v>
      </c>
      <c r="N863" t="s">
        <v>770</v>
      </c>
      <c r="O863">
        <v>1</v>
      </c>
      <c r="P863" t="s">
        <v>776</v>
      </c>
      <c r="Q863">
        <v>19.899999999999999</v>
      </c>
      <c r="R863">
        <v>3.59</v>
      </c>
      <c r="Y863" t="s">
        <v>4299</v>
      </c>
      <c r="Z863" t="s">
        <v>2392</v>
      </c>
      <c r="AA863">
        <v>9010</v>
      </c>
      <c r="AB863" t="s">
        <v>11</v>
      </c>
    </row>
    <row r="864" spans="1:28" x14ac:dyDescent="0.25">
      <c r="A864" t="s">
        <v>4300</v>
      </c>
      <c r="B864" t="s">
        <v>4300</v>
      </c>
      <c r="C864" t="s">
        <v>4301</v>
      </c>
      <c r="D864" t="s">
        <v>4302</v>
      </c>
      <c r="E864" t="s">
        <v>770</v>
      </c>
      <c r="F864" t="s">
        <v>771</v>
      </c>
      <c r="G864" t="s">
        <v>1854</v>
      </c>
      <c r="J864" t="s">
        <v>783</v>
      </c>
      <c r="K864" t="s">
        <v>1930</v>
      </c>
      <c r="L864" t="s">
        <v>775</v>
      </c>
      <c r="M864" t="s">
        <v>65</v>
      </c>
      <c r="N864" t="s">
        <v>770</v>
      </c>
      <c r="O864">
        <v>1</v>
      </c>
      <c r="P864" t="s">
        <v>776</v>
      </c>
      <c r="Q864">
        <v>29.9</v>
      </c>
      <c r="R864">
        <v>5.39</v>
      </c>
      <c r="Y864" t="s">
        <v>1875</v>
      </c>
      <c r="Z864" t="s">
        <v>1875</v>
      </c>
      <c r="AA864">
        <v>20142</v>
      </c>
      <c r="AB864" t="s">
        <v>11</v>
      </c>
    </row>
    <row r="865" spans="1:35" x14ac:dyDescent="0.25">
      <c r="A865" t="s">
        <v>4303</v>
      </c>
      <c r="B865" t="s">
        <v>4303</v>
      </c>
      <c r="C865" t="s">
        <v>4304</v>
      </c>
      <c r="D865" t="s">
        <v>4305</v>
      </c>
      <c r="E865" t="s">
        <v>770</v>
      </c>
      <c r="F865" t="s">
        <v>771</v>
      </c>
      <c r="G865" t="s">
        <v>1854</v>
      </c>
      <c r="J865" t="s">
        <v>783</v>
      </c>
      <c r="K865" t="s">
        <v>1862</v>
      </c>
      <c r="L865" t="s">
        <v>1505</v>
      </c>
      <c r="M865" t="s">
        <v>53</v>
      </c>
      <c r="N865" t="s">
        <v>770</v>
      </c>
      <c r="O865">
        <v>1</v>
      </c>
      <c r="P865" t="s">
        <v>776</v>
      </c>
      <c r="Q865">
        <v>32.9</v>
      </c>
      <c r="R865">
        <v>5.93</v>
      </c>
      <c r="S865">
        <v>3.99</v>
      </c>
      <c r="T865">
        <v>0.72</v>
      </c>
      <c r="Y865" t="s">
        <v>4306</v>
      </c>
      <c r="Z865" t="s">
        <v>2046</v>
      </c>
      <c r="AA865">
        <v>89058</v>
      </c>
      <c r="AB865" t="s">
        <v>11</v>
      </c>
    </row>
    <row r="866" spans="1:35" x14ac:dyDescent="0.25">
      <c r="A866" t="s">
        <v>4307</v>
      </c>
      <c r="B866" t="s">
        <v>4307</v>
      </c>
      <c r="C866" t="s">
        <v>4308</v>
      </c>
      <c r="D866" t="s">
        <v>4309</v>
      </c>
      <c r="E866" t="s">
        <v>782</v>
      </c>
      <c r="F866" t="s">
        <v>771</v>
      </c>
      <c r="G866" t="s">
        <v>1854</v>
      </c>
      <c r="J866" t="s">
        <v>783</v>
      </c>
      <c r="K866" t="s">
        <v>1855</v>
      </c>
      <c r="L866" t="s">
        <v>1856</v>
      </c>
      <c r="M866" t="s">
        <v>12</v>
      </c>
      <c r="N866" t="s">
        <v>782</v>
      </c>
      <c r="O866">
        <v>0</v>
      </c>
      <c r="Y866" t="s">
        <v>4310</v>
      </c>
      <c r="Z866" t="s">
        <v>2111</v>
      </c>
      <c r="AA866">
        <v>42040</v>
      </c>
      <c r="AB866" t="s">
        <v>11</v>
      </c>
    </row>
    <row r="867" spans="1:35" x14ac:dyDescent="0.25">
      <c r="A867" t="s">
        <v>4311</v>
      </c>
      <c r="B867" t="s">
        <v>4311</v>
      </c>
      <c r="C867" t="s">
        <v>4312</v>
      </c>
      <c r="D867" t="s">
        <v>4313</v>
      </c>
      <c r="E867" t="s">
        <v>770</v>
      </c>
      <c r="F867" t="s">
        <v>771</v>
      </c>
      <c r="G867" t="s">
        <v>1854</v>
      </c>
      <c r="J867" t="s">
        <v>783</v>
      </c>
      <c r="K867" t="s">
        <v>2396</v>
      </c>
      <c r="L867" t="s">
        <v>1792</v>
      </c>
      <c r="M867" t="s">
        <v>88</v>
      </c>
      <c r="N867" t="s">
        <v>770</v>
      </c>
      <c r="O867">
        <v>1</v>
      </c>
      <c r="P867" t="s">
        <v>776</v>
      </c>
      <c r="Q867">
        <v>59.9</v>
      </c>
      <c r="R867">
        <v>10.8</v>
      </c>
      <c r="Y867" t="s">
        <v>1913</v>
      </c>
      <c r="Z867" t="s">
        <v>1926</v>
      </c>
      <c r="AA867">
        <v>159</v>
      </c>
      <c r="AB867" t="s">
        <v>11</v>
      </c>
    </row>
    <row r="868" spans="1:35" x14ac:dyDescent="0.25">
      <c r="A868" t="s">
        <v>4314</v>
      </c>
      <c r="B868" t="s">
        <v>4314</v>
      </c>
      <c r="C868" t="s">
        <v>4315</v>
      </c>
      <c r="D868" t="s">
        <v>4316</v>
      </c>
      <c r="E868" t="s">
        <v>770</v>
      </c>
      <c r="F868" t="s">
        <v>771</v>
      </c>
      <c r="G868" t="s">
        <v>1854</v>
      </c>
      <c r="J868" t="s">
        <v>783</v>
      </c>
      <c r="K868" t="s">
        <v>2055</v>
      </c>
      <c r="L868" t="s">
        <v>806</v>
      </c>
      <c r="M868" t="s">
        <v>202</v>
      </c>
      <c r="N868" t="s">
        <v>770</v>
      </c>
      <c r="O868">
        <v>1</v>
      </c>
      <c r="P868" t="s">
        <v>776</v>
      </c>
      <c r="Q868">
        <v>14.9</v>
      </c>
      <c r="R868">
        <v>2.69</v>
      </c>
      <c r="Y868" t="s">
        <v>1875</v>
      </c>
      <c r="Z868" t="s">
        <v>2148</v>
      </c>
      <c r="AA868">
        <v>20128</v>
      </c>
      <c r="AB868" t="s">
        <v>11</v>
      </c>
    </row>
    <row r="869" spans="1:35" x14ac:dyDescent="0.25">
      <c r="A869" t="s">
        <v>4317</v>
      </c>
      <c r="C869" t="s">
        <v>4318</v>
      </c>
      <c r="D869" t="s">
        <v>4319</v>
      </c>
      <c r="E869" t="s">
        <v>770</v>
      </c>
      <c r="F869" t="s">
        <v>1884</v>
      </c>
      <c r="G869" t="s">
        <v>1854</v>
      </c>
      <c r="H869" t="s">
        <v>1885</v>
      </c>
      <c r="J869" t="s">
        <v>773</v>
      </c>
      <c r="K869" t="s">
        <v>2210</v>
      </c>
      <c r="L869" t="s">
        <v>64</v>
      </c>
      <c r="M869" t="s">
        <v>63</v>
      </c>
      <c r="N869" t="s">
        <v>770</v>
      </c>
      <c r="O869">
        <v>1</v>
      </c>
      <c r="P869" t="s">
        <v>776</v>
      </c>
      <c r="Q869">
        <v>70.900000000000006</v>
      </c>
      <c r="R869">
        <v>12.79</v>
      </c>
      <c r="S869">
        <v>3</v>
      </c>
      <c r="T869">
        <v>0.54</v>
      </c>
      <c r="Y869" t="s">
        <v>4320</v>
      </c>
      <c r="Z869" t="s">
        <v>2930</v>
      </c>
      <c r="AA869">
        <v>39048</v>
      </c>
      <c r="AB869" t="s">
        <v>11</v>
      </c>
    </row>
    <row r="870" spans="1:35" x14ac:dyDescent="0.25">
      <c r="A870" t="s">
        <v>4321</v>
      </c>
      <c r="B870" t="s">
        <v>4321</v>
      </c>
      <c r="C870" t="s">
        <v>4322</v>
      </c>
      <c r="D870" t="s">
        <v>4323</v>
      </c>
      <c r="E870" t="s">
        <v>770</v>
      </c>
      <c r="F870" t="s">
        <v>771</v>
      </c>
      <c r="G870" t="s">
        <v>1854</v>
      </c>
      <c r="J870" t="s">
        <v>783</v>
      </c>
      <c r="K870" t="s">
        <v>1930</v>
      </c>
      <c r="L870" t="s">
        <v>775</v>
      </c>
      <c r="M870" t="s">
        <v>65</v>
      </c>
      <c r="N870" t="s">
        <v>770</v>
      </c>
      <c r="O870">
        <v>1</v>
      </c>
      <c r="P870" t="s">
        <v>776</v>
      </c>
      <c r="Q870">
        <v>29.9</v>
      </c>
      <c r="R870">
        <v>5.39</v>
      </c>
      <c r="Y870" t="s">
        <v>3125</v>
      </c>
      <c r="Z870" t="s">
        <v>2675</v>
      </c>
      <c r="AA870">
        <v>20851</v>
      </c>
      <c r="AB870" t="s">
        <v>11</v>
      </c>
    </row>
    <row r="871" spans="1:35" x14ac:dyDescent="0.25">
      <c r="A871" t="s">
        <v>4324</v>
      </c>
      <c r="B871" t="s">
        <v>4324</v>
      </c>
      <c r="C871" t="s">
        <v>4325</v>
      </c>
      <c r="D871" t="s">
        <v>4326</v>
      </c>
      <c r="E871" t="s">
        <v>770</v>
      </c>
      <c r="F871" t="s">
        <v>771</v>
      </c>
      <c r="G871" t="s">
        <v>1854</v>
      </c>
      <c r="J871" t="s">
        <v>783</v>
      </c>
      <c r="K871" t="s">
        <v>1855</v>
      </c>
      <c r="L871" t="s">
        <v>1856</v>
      </c>
      <c r="M871" t="s">
        <v>12</v>
      </c>
      <c r="N871" t="s">
        <v>770</v>
      </c>
      <c r="O871">
        <v>1</v>
      </c>
      <c r="P871" t="s">
        <v>776</v>
      </c>
      <c r="Q871">
        <v>19.899999999999999</v>
      </c>
      <c r="R871">
        <v>3.59</v>
      </c>
      <c r="Y871" t="s">
        <v>4327</v>
      </c>
      <c r="Z871" t="s">
        <v>1869</v>
      </c>
      <c r="AA871">
        <v>10044</v>
      </c>
      <c r="AB871" t="s">
        <v>11</v>
      </c>
    </row>
    <row r="872" spans="1:35" x14ac:dyDescent="0.25">
      <c r="A872" t="s">
        <v>4328</v>
      </c>
      <c r="B872" t="s">
        <v>4328</v>
      </c>
      <c r="C872" t="s">
        <v>4329</v>
      </c>
      <c r="D872" t="s">
        <v>4330</v>
      </c>
      <c r="E872" t="s">
        <v>770</v>
      </c>
      <c r="F872" t="s">
        <v>771</v>
      </c>
      <c r="G872" t="s">
        <v>1854</v>
      </c>
      <c r="J872" t="s">
        <v>783</v>
      </c>
      <c r="K872" t="s">
        <v>1930</v>
      </c>
      <c r="L872" t="s">
        <v>775</v>
      </c>
      <c r="M872" t="s">
        <v>65</v>
      </c>
      <c r="N872" t="s">
        <v>770</v>
      </c>
      <c r="O872">
        <v>1</v>
      </c>
      <c r="P872" t="s">
        <v>776</v>
      </c>
      <c r="Q872">
        <v>29.9</v>
      </c>
      <c r="R872">
        <v>5.39</v>
      </c>
      <c r="Y872" t="s">
        <v>4331</v>
      </c>
      <c r="Z872" t="s">
        <v>1875</v>
      </c>
      <c r="AA872">
        <v>20066</v>
      </c>
      <c r="AB872" t="s">
        <v>11</v>
      </c>
    </row>
    <row r="873" spans="1:35" x14ac:dyDescent="0.25">
      <c r="A873" t="s">
        <v>4332</v>
      </c>
      <c r="B873" t="s">
        <v>4332</v>
      </c>
      <c r="C873" t="s">
        <v>4333</v>
      </c>
      <c r="D873" t="s">
        <v>4334</v>
      </c>
      <c r="E873" t="s">
        <v>770</v>
      </c>
      <c r="F873" t="s">
        <v>771</v>
      </c>
      <c r="G873" t="s">
        <v>1854</v>
      </c>
      <c r="J873" t="s">
        <v>783</v>
      </c>
      <c r="K873" t="s">
        <v>1855</v>
      </c>
      <c r="L873" t="s">
        <v>1856</v>
      </c>
      <c r="M873" t="s">
        <v>12</v>
      </c>
      <c r="N873" t="s">
        <v>770</v>
      </c>
      <c r="O873">
        <v>1</v>
      </c>
      <c r="P873" t="s">
        <v>776</v>
      </c>
      <c r="Q873">
        <v>19.899999999999999</v>
      </c>
      <c r="R873">
        <v>3.59</v>
      </c>
      <c r="Y873" t="s">
        <v>3577</v>
      </c>
      <c r="Z873" t="s">
        <v>3577</v>
      </c>
      <c r="AA873">
        <v>28100</v>
      </c>
      <c r="AB873" t="s">
        <v>11</v>
      </c>
    </row>
    <row r="874" spans="1:35" x14ac:dyDescent="0.25">
      <c r="A874" t="s">
        <v>4335</v>
      </c>
      <c r="B874" t="s">
        <v>4335</v>
      </c>
      <c r="C874" t="s">
        <v>4336</v>
      </c>
      <c r="D874" t="s">
        <v>4337</v>
      </c>
      <c r="E874" t="s">
        <v>770</v>
      </c>
      <c r="F874" t="s">
        <v>771</v>
      </c>
      <c r="G874" t="s">
        <v>1854</v>
      </c>
      <c r="J874" t="s">
        <v>783</v>
      </c>
      <c r="K874" t="s">
        <v>1862</v>
      </c>
      <c r="L874" t="s">
        <v>1505</v>
      </c>
      <c r="M874" t="s">
        <v>53</v>
      </c>
      <c r="N874" t="s">
        <v>770</v>
      </c>
      <c r="O874">
        <v>1</v>
      </c>
      <c r="P874" t="s">
        <v>776</v>
      </c>
      <c r="Q874">
        <v>32.9</v>
      </c>
      <c r="R874">
        <v>5.93</v>
      </c>
      <c r="Y874" t="s">
        <v>1913</v>
      </c>
      <c r="Z874" t="s">
        <v>2548</v>
      </c>
      <c r="AA874">
        <v>183</v>
      </c>
      <c r="AB874" t="s">
        <v>11</v>
      </c>
    </row>
    <row r="875" spans="1:35" x14ac:dyDescent="0.25">
      <c r="A875" t="s">
        <v>4338</v>
      </c>
      <c r="B875" t="s">
        <v>4338</v>
      </c>
      <c r="C875" t="s">
        <v>4339</v>
      </c>
      <c r="D875" t="s">
        <v>4340</v>
      </c>
      <c r="E875" t="s">
        <v>770</v>
      </c>
      <c r="F875" t="s">
        <v>771</v>
      </c>
      <c r="G875" t="s">
        <v>1854</v>
      </c>
      <c r="J875" t="s">
        <v>783</v>
      </c>
      <c r="K875" t="s">
        <v>2396</v>
      </c>
      <c r="L875" t="s">
        <v>1792</v>
      </c>
      <c r="M875" t="s">
        <v>88</v>
      </c>
      <c r="N875" t="s">
        <v>770</v>
      </c>
      <c r="O875">
        <v>1</v>
      </c>
      <c r="P875" t="s">
        <v>776</v>
      </c>
      <c r="Q875">
        <v>59.9</v>
      </c>
      <c r="R875">
        <v>10.8</v>
      </c>
      <c r="Y875" t="s">
        <v>4341</v>
      </c>
      <c r="Z875" t="s">
        <v>1908</v>
      </c>
      <c r="AA875">
        <v>80078</v>
      </c>
      <c r="AB875" t="s">
        <v>11</v>
      </c>
      <c r="AG875">
        <v>4944341215</v>
      </c>
      <c r="AH875" t="s">
        <v>11</v>
      </c>
      <c r="AI875" t="s">
        <v>1258</v>
      </c>
    </row>
    <row r="876" spans="1:35" x14ac:dyDescent="0.25">
      <c r="A876" t="s">
        <v>4342</v>
      </c>
      <c r="B876" t="s">
        <v>4342</v>
      </c>
      <c r="C876" t="s">
        <v>4343</v>
      </c>
      <c r="D876" t="s">
        <v>4344</v>
      </c>
      <c r="E876" t="s">
        <v>770</v>
      </c>
      <c r="F876" t="s">
        <v>771</v>
      </c>
      <c r="G876" t="s">
        <v>1854</v>
      </c>
      <c r="I876" t="s">
        <v>2692</v>
      </c>
      <c r="J876" t="s">
        <v>783</v>
      </c>
      <c r="K876" t="s">
        <v>2712</v>
      </c>
      <c r="L876" t="s">
        <v>1800</v>
      </c>
      <c r="M876" t="s">
        <v>14</v>
      </c>
      <c r="N876" t="s">
        <v>770</v>
      </c>
      <c r="O876">
        <v>1</v>
      </c>
      <c r="P876" t="s">
        <v>776</v>
      </c>
      <c r="Q876">
        <v>14.9</v>
      </c>
      <c r="R876">
        <v>2.69</v>
      </c>
      <c r="Y876" t="s">
        <v>2693</v>
      </c>
      <c r="Z876" t="s">
        <v>2148</v>
      </c>
      <c r="AA876">
        <v>45020</v>
      </c>
      <c r="AB876" t="s">
        <v>11</v>
      </c>
    </row>
    <row r="877" spans="1:35" x14ac:dyDescent="0.25">
      <c r="A877" t="s">
        <v>4345</v>
      </c>
      <c r="B877" t="s">
        <v>4345</v>
      </c>
      <c r="C877" t="s">
        <v>4346</v>
      </c>
      <c r="D877" t="s">
        <v>4347</v>
      </c>
      <c r="E877" t="s">
        <v>770</v>
      </c>
      <c r="F877" t="s">
        <v>771</v>
      </c>
      <c r="G877" t="s">
        <v>1854</v>
      </c>
      <c r="J877" t="s">
        <v>783</v>
      </c>
      <c r="K877" t="s">
        <v>1873</v>
      </c>
      <c r="L877" t="s">
        <v>840</v>
      </c>
      <c r="M877" t="s">
        <v>26</v>
      </c>
      <c r="N877" t="s">
        <v>770</v>
      </c>
      <c r="O877">
        <v>1</v>
      </c>
      <c r="P877" t="s">
        <v>776</v>
      </c>
      <c r="Q877">
        <v>34.9</v>
      </c>
      <c r="R877">
        <v>6.29</v>
      </c>
      <c r="Y877" t="s">
        <v>2281</v>
      </c>
      <c r="Z877" t="s">
        <v>2281</v>
      </c>
      <c r="AA877">
        <v>73100</v>
      </c>
      <c r="AB877" t="s">
        <v>11</v>
      </c>
    </row>
    <row r="878" spans="1:35" x14ac:dyDescent="0.25">
      <c r="A878" t="s">
        <v>4348</v>
      </c>
      <c r="B878" t="s">
        <v>4348</v>
      </c>
      <c r="C878" t="s">
        <v>4349</v>
      </c>
      <c r="D878" t="s">
        <v>4350</v>
      </c>
      <c r="E878" t="s">
        <v>782</v>
      </c>
      <c r="F878" t="s">
        <v>771</v>
      </c>
      <c r="G878" t="s">
        <v>1854</v>
      </c>
      <c r="J878" t="s">
        <v>783</v>
      </c>
      <c r="K878" t="s">
        <v>1862</v>
      </c>
      <c r="L878" t="s">
        <v>1505</v>
      </c>
      <c r="M878" t="s">
        <v>53</v>
      </c>
      <c r="N878" t="s">
        <v>782</v>
      </c>
      <c r="O878">
        <v>0</v>
      </c>
      <c r="Y878" t="s">
        <v>1913</v>
      </c>
      <c r="Z878" t="s">
        <v>2548</v>
      </c>
      <c r="AA878">
        <v>183</v>
      </c>
      <c r="AB878" t="s">
        <v>11</v>
      </c>
    </row>
    <row r="879" spans="1:35" x14ac:dyDescent="0.25">
      <c r="A879" t="s">
        <v>4351</v>
      </c>
      <c r="B879" t="s">
        <v>4351</v>
      </c>
      <c r="C879" t="s">
        <v>4352</v>
      </c>
      <c r="D879" t="s">
        <v>4353</v>
      </c>
      <c r="E879" t="s">
        <v>770</v>
      </c>
      <c r="F879" t="s">
        <v>771</v>
      </c>
      <c r="G879" t="s">
        <v>1854</v>
      </c>
      <c r="J879" t="s">
        <v>783</v>
      </c>
      <c r="K879" t="s">
        <v>1855</v>
      </c>
      <c r="L879" t="s">
        <v>1856</v>
      </c>
      <c r="M879" t="s">
        <v>12</v>
      </c>
      <c r="N879" t="s">
        <v>770</v>
      </c>
      <c r="O879">
        <v>1</v>
      </c>
      <c r="P879" t="s">
        <v>776</v>
      </c>
      <c r="Q879">
        <v>19.899999999999999</v>
      </c>
      <c r="R879">
        <v>3.59</v>
      </c>
      <c r="Y879" t="s">
        <v>4354</v>
      </c>
      <c r="Z879" t="s">
        <v>2025</v>
      </c>
      <c r="AA879">
        <v>80026</v>
      </c>
      <c r="AB879" t="s">
        <v>11</v>
      </c>
    </row>
    <row r="880" spans="1:35" x14ac:dyDescent="0.25">
      <c r="A880" t="s">
        <v>4355</v>
      </c>
      <c r="B880" t="s">
        <v>4355</v>
      </c>
      <c r="C880" t="s">
        <v>4356</v>
      </c>
      <c r="D880" t="s">
        <v>4357</v>
      </c>
      <c r="E880" t="s">
        <v>770</v>
      </c>
      <c r="F880" t="s">
        <v>771</v>
      </c>
      <c r="G880" t="s">
        <v>1854</v>
      </c>
      <c r="J880" t="s">
        <v>783</v>
      </c>
      <c r="K880" t="s">
        <v>1873</v>
      </c>
      <c r="L880" t="s">
        <v>840</v>
      </c>
      <c r="M880" t="s">
        <v>26</v>
      </c>
      <c r="N880" t="s">
        <v>770</v>
      </c>
      <c r="O880">
        <v>1</v>
      </c>
      <c r="P880" t="s">
        <v>776</v>
      </c>
      <c r="Q880">
        <v>34.9</v>
      </c>
      <c r="R880">
        <v>6.29</v>
      </c>
      <c r="Y880" t="s">
        <v>1898</v>
      </c>
      <c r="Z880" t="s">
        <v>4358</v>
      </c>
      <c r="AA880">
        <v>46100</v>
      </c>
      <c r="AB880" t="s">
        <v>11</v>
      </c>
    </row>
    <row r="881" spans="1:28" x14ac:dyDescent="0.25">
      <c r="A881" t="s">
        <v>4359</v>
      </c>
      <c r="C881" t="s">
        <v>4360</v>
      </c>
      <c r="D881" t="s">
        <v>4361</v>
      </c>
      <c r="E881" t="s">
        <v>782</v>
      </c>
      <c r="F881" t="s">
        <v>1884</v>
      </c>
      <c r="G881" t="s">
        <v>1854</v>
      </c>
      <c r="H881" t="s">
        <v>1885</v>
      </c>
      <c r="J881" t="s">
        <v>773</v>
      </c>
      <c r="K881" t="s">
        <v>4362</v>
      </c>
      <c r="L881" s="2">
        <v>40500</v>
      </c>
      <c r="M881" t="s">
        <v>53</v>
      </c>
      <c r="O881">
        <v>0</v>
      </c>
      <c r="Y881" t="s">
        <v>4363</v>
      </c>
      <c r="Z881" t="s">
        <v>2675</v>
      </c>
      <c r="AA881">
        <v>20872</v>
      </c>
      <c r="AB881" t="s">
        <v>11</v>
      </c>
    </row>
    <row r="882" spans="1:28" x14ac:dyDescent="0.25">
      <c r="A882" t="s">
        <v>4364</v>
      </c>
      <c r="B882" t="s">
        <v>4364</v>
      </c>
      <c r="C882" t="s">
        <v>4360</v>
      </c>
      <c r="D882" t="s">
        <v>4365</v>
      </c>
      <c r="E882" t="s">
        <v>782</v>
      </c>
      <c r="F882" t="s">
        <v>771</v>
      </c>
      <c r="G882" t="s">
        <v>1854</v>
      </c>
      <c r="J882" t="s">
        <v>783</v>
      </c>
      <c r="K882" t="s">
        <v>1862</v>
      </c>
      <c r="L882" t="s">
        <v>1505</v>
      </c>
      <c r="M882" t="s">
        <v>53</v>
      </c>
      <c r="N882" t="s">
        <v>782</v>
      </c>
      <c r="O882">
        <v>0</v>
      </c>
      <c r="Y882" t="s">
        <v>4363</v>
      </c>
      <c r="Z882" t="s">
        <v>2675</v>
      </c>
      <c r="AA882">
        <v>20872</v>
      </c>
      <c r="AB882" t="s">
        <v>11</v>
      </c>
    </row>
    <row r="883" spans="1:28" x14ac:dyDescent="0.25">
      <c r="A883" t="s">
        <v>4366</v>
      </c>
      <c r="B883" t="s">
        <v>4366</v>
      </c>
      <c r="C883" t="s">
        <v>4367</v>
      </c>
      <c r="D883" t="s">
        <v>4368</v>
      </c>
      <c r="E883" t="s">
        <v>770</v>
      </c>
      <c r="F883" t="s">
        <v>771</v>
      </c>
      <c r="G883" t="s">
        <v>1854</v>
      </c>
      <c r="J883" t="s">
        <v>783</v>
      </c>
      <c r="K883" t="s">
        <v>1873</v>
      </c>
      <c r="L883" t="s">
        <v>840</v>
      </c>
      <c r="M883" t="s">
        <v>26</v>
      </c>
      <c r="N883" t="s">
        <v>770</v>
      </c>
      <c r="O883">
        <v>1</v>
      </c>
      <c r="P883" t="s">
        <v>776</v>
      </c>
      <c r="Q883">
        <v>34.9</v>
      </c>
      <c r="R883">
        <v>6.29</v>
      </c>
      <c r="Y883" t="s">
        <v>4369</v>
      </c>
      <c r="Z883" t="s">
        <v>4172</v>
      </c>
      <c r="AA883">
        <v>43044</v>
      </c>
      <c r="AB883" t="s">
        <v>11</v>
      </c>
    </row>
    <row r="884" spans="1:28" x14ac:dyDescent="0.25">
      <c r="A884" t="s">
        <v>4370</v>
      </c>
      <c r="B884" t="s">
        <v>4370</v>
      </c>
      <c r="C884" t="s">
        <v>4371</v>
      </c>
      <c r="D884" t="s">
        <v>4372</v>
      </c>
      <c r="E884" t="s">
        <v>770</v>
      </c>
      <c r="F884" t="s">
        <v>771</v>
      </c>
      <c r="G884" t="s">
        <v>1854</v>
      </c>
      <c r="J884" t="s">
        <v>783</v>
      </c>
      <c r="K884" t="s">
        <v>2055</v>
      </c>
      <c r="L884" t="s">
        <v>806</v>
      </c>
      <c r="M884" t="s">
        <v>202</v>
      </c>
      <c r="N884" t="s">
        <v>770</v>
      </c>
      <c r="O884">
        <v>1</v>
      </c>
      <c r="P884" t="s">
        <v>776</v>
      </c>
      <c r="Q884">
        <v>14.9</v>
      </c>
      <c r="R884">
        <v>2.69</v>
      </c>
      <c r="Y884" t="s">
        <v>4373</v>
      </c>
      <c r="Z884" t="s">
        <v>1880</v>
      </c>
      <c r="AA884">
        <v>41037</v>
      </c>
      <c r="AB884" t="s">
        <v>11</v>
      </c>
    </row>
    <row r="885" spans="1:28" x14ac:dyDescent="0.25">
      <c r="A885" t="s">
        <v>4374</v>
      </c>
      <c r="B885" t="s">
        <v>4374</v>
      </c>
      <c r="C885" t="s">
        <v>4375</v>
      </c>
      <c r="D885" t="s">
        <v>4376</v>
      </c>
      <c r="E885" t="s">
        <v>782</v>
      </c>
      <c r="F885" t="s">
        <v>771</v>
      </c>
      <c r="G885" t="s">
        <v>1854</v>
      </c>
      <c r="J885" t="s">
        <v>783</v>
      </c>
      <c r="K885" t="s">
        <v>1855</v>
      </c>
      <c r="L885" t="s">
        <v>1856</v>
      </c>
      <c r="M885" t="s">
        <v>12</v>
      </c>
      <c r="N885" t="s">
        <v>782</v>
      </c>
      <c r="O885">
        <v>0</v>
      </c>
      <c r="Y885" t="s">
        <v>4377</v>
      </c>
      <c r="Z885" t="s">
        <v>3818</v>
      </c>
      <c r="AA885">
        <v>2100</v>
      </c>
      <c r="AB885" t="s">
        <v>11</v>
      </c>
    </row>
    <row r="886" spans="1:28" x14ac:dyDescent="0.25">
      <c r="A886" t="s">
        <v>4378</v>
      </c>
      <c r="B886" t="s">
        <v>4378</v>
      </c>
      <c r="C886" t="s">
        <v>4379</v>
      </c>
      <c r="D886" t="s">
        <v>4380</v>
      </c>
      <c r="E886" t="s">
        <v>770</v>
      </c>
      <c r="F886" t="s">
        <v>771</v>
      </c>
      <c r="G886" t="s">
        <v>1854</v>
      </c>
      <c r="J886" t="s">
        <v>783</v>
      </c>
      <c r="K886" t="s">
        <v>1873</v>
      </c>
      <c r="L886" t="s">
        <v>840</v>
      </c>
      <c r="M886" t="s">
        <v>26</v>
      </c>
      <c r="N886" t="s">
        <v>770</v>
      </c>
      <c r="O886">
        <v>1</v>
      </c>
      <c r="P886" t="s">
        <v>776</v>
      </c>
      <c r="Q886">
        <v>34.9</v>
      </c>
      <c r="R886">
        <v>6.29</v>
      </c>
      <c r="Y886" t="s">
        <v>4381</v>
      </c>
      <c r="Z886" t="s">
        <v>2860</v>
      </c>
      <c r="AA886">
        <v>36015</v>
      </c>
      <c r="AB886" t="s">
        <v>11</v>
      </c>
    </row>
    <row r="887" spans="1:28" x14ac:dyDescent="0.25">
      <c r="A887" t="s">
        <v>4382</v>
      </c>
      <c r="B887" t="s">
        <v>4382</v>
      </c>
      <c r="C887" t="s">
        <v>4383</v>
      </c>
      <c r="D887" t="s">
        <v>3688</v>
      </c>
      <c r="E887" t="s">
        <v>770</v>
      </c>
      <c r="F887" t="s">
        <v>771</v>
      </c>
      <c r="G887" t="s">
        <v>1854</v>
      </c>
      <c r="J887" t="s">
        <v>783</v>
      </c>
      <c r="K887" t="s">
        <v>1862</v>
      </c>
      <c r="L887" t="s">
        <v>1505</v>
      </c>
      <c r="M887" t="s">
        <v>53</v>
      </c>
      <c r="N887" t="s">
        <v>770</v>
      </c>
      <c r="O887">
        <v>1</v>
      </c>
      <c r="P887" t="s">
        <v>776</v>
      </c>
      <c r="Q887">
        <v>32.9</v>
      </c>
      <c r="R887">
        <v>5.93</v>
      </c>
      <c r="Y887" t="s">
        <v>3012</v>
      </c>
      <c r="Z887" t="s">
        <v>3012</v>
      </c>
      <c r="AA887">
        <v>12100</v>
      </c>
      <c r="AB887" t="s">
        <v>11</v>
      </c>
    </row>
    <row r="888" spans="1:28" x14ac:dyDescent="0.25">
      <c r="A888" t="s">
        <v>4384</v>
      </c>
      <c r="B888" t="s">
        <v>4384</v>
      </c>
      <c r="C888" t="s">
        <v>4385</v>
      </c>
      <c r="D888" t="s">
        <v>4386</v>
      </c>
      <c r="E888" t="s">
        <v>782</v>
      </c>
      <c r="F888" t="s">
        <v>771</v>
      </c>
      <c r="G888" t="s">
        <v>1854</v>
      </c>
      <c r="J888" t="s">
        <v>783</v>
      </c>
      <c r="K888" t="s">
        <v>1862</v>
      </c>
      <c r="L888" t="s">
        <v>1505</v>
      </c>
      <c r="M888" t="s">
        <v>53</v>
      </c>
      <c r="N888" t="s">
        <v>782</v>
      </c>
      <c r="O888">
        <v>0</v>
      </c>
      <c r="Y888" t="s">
        <v>1997</v>
      </c>
      <c r="Z888" t="s">
        <v>1997</v>
      </c>
      <c r="AA888">
        <v>50129</v>
      </c>
      <c r="AB888" t="s">
        <v>11</v>
      </c>
    </row>
    <row r="889" spans="1:28" x14ac:dyDescent="0.25">
      <c r="A889" t="s">
        <v>4387</v>
      </c>
      <c r="B889" t="s">
        <v>4387</v>
      </c>
      <c r="C889" t="s">
        <v>4388</v>
      </c>
      <c r="D889" t="s">
        <v>4389</v>
      </c>
      <c r="E889" t="s">
        <v>770</v>
      </c>
      <c r="F889" t="s">
        <v>771</v>
      </c>
      <c r="G889" t="s">
        <v>1854</v>
      </c>
      <c r="J889" t="s">
        <v>783</v>
      </c>
      <c r="K889" t="s">
        <v>1855</v>
      </c>
      <c r="L889" t="s">
        <v>1856</v>
      </c>
      <c r="M889" t="s">
        <v>12</v>
      </c>
      <c r="N889" t="s">
        <v>770</v>
      </c>
      <c r="O889">
        <v>1</v>
      </c>
      <c r="P889" t="s">
        <v>776</v>
      </c>
      <c r="Q889">
        <v>19.899999999999999</v>
      </c>
      <c r="R889">
        <v>3.59</v>
      </c>
      <c r="Y889" t="s">
        <v>2528</v>
      </c>
      <c r="Z889" t="s">
        <v>2528</v>
      </c>
      <c r="AA889">
        <v>85100</v>
      </c>
      <c r="AB889" t="s">
        <v>11</v>
      </c>
    </row>
    <row r="890" spans="1:28" x14ac:dyDescent="0.25">
      <c r="A890" t="s">
        <v>4390</v>
      </c>
      <c r="B890" t="s">
        <v>4390</v>
      </c>
      <c r="C890" t="s">
        <v>4391</v>
      </c>
      <c r="D890" t="s">
        <v>4392</v>
      </c>
      <c r="E890" t="s">
        <v>770</v>
      </c>
      <c r="F890" t="s">
        <v>771</v>
      </c>
      <c r="G890" t="s">
        <v>1854</v>
      </c>
      <c r="J890" t="s">
        <v>783</v>
      </c>
      <c r="K890" t="s">
        <v>1855</v>
      </c>
      <c r="L890" t="s">
        <v>1856</v>
      </c>
      <c r="M890" t="s">
        <v>12</v>
      </c>
      <c r="N890" t="s">
        <v>770</v>
      </c>
      <c r="O890">
        <v>1</v>
      </c>
      <c r="P890" t="s">
        <v>776</v>
      </c>
      <c r="Q890">
        <v>19.899999999999999</v>
      </c>
      <c r="R890">
        <v>3.59</v>
      </c>
      <c r="Y890" t="s">
        <v>2051</v>
      </c>
      <c r="Z890" t="s">
        <v>4393</v>
      </c>
      <c r="AA890">
        <v>95127</v>
      </c>
      <c r="AB890" t="s">
        <v>11</v>
      </c>
    </row>
    <row r="891" spans="1:28" x14ac:dyDescent="0.25">
      <c r="A891" t="s">
        <v>4394</v>
      </c>
      <c r="B891" t="s">
        <v>4394</v>
      </c>
      <c r="C891" t="s">
        <v>4395</v>
      </c>
      <c r="D891" t="s">
        <v>4396</v>
      </c>
      <c r="E891" t="s">
        <v>770</v>
      </c>
      <c r="F891" t="s">
        <v>771</v>
      </c>
      <c r="G891" t="s">
        <v>1854</v>
      </c>
      <c r="J891" t="s">
        <v>783</v>
      </c>
      <c r="K891" t="s">
        <v>1855</v>
      </c>
      <c r="L891" t="s">
        <v>1856</v>
      </c>
      <c r="M891" t="s">
        <v>12</v>
      </c>
      <c r="N891" t="s">
        <v>770</v>
      </c>
      <c r="O891">
        <v>1</v>
      </c>
      <c r="P891" t="s">
        <v>776</v>
      </c>
      <c r="Q891">
        <v>19.899999999999999</v>
      </c>
      <c r="R891">
        <v>3.59</v>
      </c>
      <c r="Y891" t="s">
        <v>4397</v>
      </c>
      <c r="Z891" t="s">
        <v>4046</v>
      </c>
      <c r="AA891">
        <v>82030</v>
      </c>
      <c r="AB891" t="s">
        <v>11</v>
      </c>
    </row>
    <row r="892" spans="1:28" x14ac:dyDescent="0.25">
      <c r="A892" t="s">
        <v>4398</v>
      </c>
      <c r="B892" t="s">
        <v>4398</v>
      </c>
      <c r="C892" t="s">
        <v>4399</v>
      </c>
      <c r="D892" t="s">
        <v>4400</v>
      </c>
      <c r="E892" t="s">
        <v>770</v>
      </c>
      <c r="F892" t="s">
        <v>771</v>
      </c>
      <c r="G892" t="s">
        <v>1854</v>
      </c>
      <c r="J892" t="s">
        <v>783</v>
      </c>
      <c r="K892" t="s">
        <v>2396</v>
      </c>
      <c r="L892" t="s">
        <v>1792</v>
      </c>
      <c r="M892" t="s">
        <v>88</v>
      </c>
      <c r="N892" t="s">
        <v>770</v>
      </c>
      <c r="O892">
        <v>1</v>
      </c>
      <c r="P892" t="s">
        <v>776</v>
      </c>
      <c r="Q892">
        <v>59.9</v>
      </c>
      <c r="R892">
        <v>10.8</v>
      </c>
      <c r="Y892" t="s">
        <v>4401</v>
      </c>
      <c r="Z892" t="s">
        <v>1898</v>
      </c>
      <c r="AA892">
        <v>46026</v>
      </c>
      <c r="AB892" t="s">
        <v>11</v>
      </c>
    </row>
    <row r="893" spans="1:28" x14ac:dyDescent="0.25">
      <c r="A893" t="s">
        <v>4402</v>
      </c>
      <c r="B893" t="s">
        <v>4402</v>
      </c>
      <c r="C893" t="s">
        <v>4403</v>
      </c>
      <c r="D893" t="s">
        <v>4389</v>
      </c>
      <c r="E893" t="s">
        <v>770</v>
      </c>
      <c r="F893" t="s">
        <v>771</v>
      </c>
      <c r="G893" t="s">
        <v>1854</v>
      </c>
      <c r="J893" t="s">
        <v>783</v>
      </c>
      <c r="K893" t="s">
        <v>1862</v>
      </c>
      <c r="L893" t="s">
        <v>1505</v>
      </c>
      <c r="M893" t="s">
        <v>53</v>
      </c>
      <c r="N893" t="s">
        <v>770</v>
      </c>
      <c r="O893">
        <v>1</v>
      </c>
      <c r="P893" t="s">
        <v>776</v>
      </c>
      <c r="Q893">
        <v>32.9</v>
      </c>
      <c r="R893">
        <v>5.93</v>
      </c>
      <c r="S893">
        <v>4.99</v>
      </c>
      <c r="T893">
        <v>0.9</v>
      </c>
      <c r="Y893" t="s">
        <v>4404</v>
      </c>
      <c r="Z893" t="s">
        <v>3404</v>
      </c>
      <c r="AA893">
        <v>83030</v>
      </c>
      <c r="AB893" t="s">
        <v>11</v>
      </c>
    </row>
    <row r="894" spans="1:28" x14ac:dyDescent="0.25">
      <c r="A894" t="s">
        <v>4405</v>
      </c>
      <c r="B894" t="s">
        <v>4405</v>
      </c>
      <c r="C894" t="s">
        <v>4406</v>
      </c>
      <c r="D894" t="s">
        <v>4407</v>
      </c>
      <c r="E894" t="s">
        <v>770</v>
      </c>
      <c r="F894" t="s">
        <v>771</v>
      </c>
      <c r="G894" t="s">
        <v>1854</v>
      </c>
      <c r="J894" t="s">
        <v>783</v>
      </c>
      <c r="K894" t="s">
        <v>1930</v>
      </c>
      <c r="L894" t="s">
        <v>775</v>
      </c>
      <c r="M894" t="s">
        <v>65</v>
      </c>
      <c r="N894" t="s">
        <v>770</v>
      </c>
      <c r="O894">
        <v>1</v>
      </c>
      <c r="P894" t="s">
        <v>776</v>
      </c>
      <c r="Q894">
        <v>29.9</v>
      </c>
      <c r="R894">
        <v>5.39</v>
      </c>
      <c r="Y894" t="s">
        <v>4408</v>
      </c>
      <c r="Z894" t="s">
        <v>1961</v>
      </c>
      <c r="AA894">
        <v>20028</v>
      </c>
      <c r="AB894" t="s">
        <v>11</v>
      </c>
    </row>
    <row r="895" spans="1:28" x14ac:dyDescent="0.25">
      <c r="A895" t="s">
        <v>4409</v>
      </c>
      <c r="B895" t="s">
        <v>4409</v>
      </c>
      <c r="C895" t="s">
        <v>4410</v>
      </c>
      <c r="D895" t="s">
        <v>4411</v>
      </c>
      <c r="E895" t="s">
        <v>770</v>
      </c>
      <c r="F895" t="s">
        <v>771</v>
      </c>
      <c r="G895" t="s">
        <v>1854</v>
      </c>
      <c r="J895" t="s">
        <v>783</v>
      </c>
      <c r="K895" t="s">
        <v>1855</v>
      </c>
      <c r="L895" t="s">
        <v>1856</v>
      </c>
      <c r="M895" t="s">
        <v>12</v>
      </c>
      <c r="N895" t="s">
        <v>770</v>
      </c>
      <c r="O895">
        <v>1</v>
      </c>
      <c r="P895" t="s">
        <v>776</v>
      </c>
      <c r="Q895">
        <v>19.899999999999999</v>
      </c>
      <c r="R895">
        <v>3.59</v>
      </c>
      <c r="Y895" t="s">
        <v>4412</v>
      </c>
      <c r="Z895" t="s">
        <v>3404</v>
      </c>
      <c r="AA895">
        <v>83020</v>
      </c>
      <c r="AB895" t="s">
        <v>11</v>
      </c>
    </row>
    <row r="896" spans="1:28" x14ac:dyDescent="0.25">
      <c r="A896" t="s">
        <v>4413</v>
      </c>
      <c r="B896" t="s">
        <v>4413</v>
      </c>
      <c r="C896" t="s">
        <v>4414</v>
      </c>
      <c r="D896" t="s">
        <v>4415</v>
      </c>
      <c r="E896" t="s">
        <v>770</v>
      </c>
      <c r="F896" t="s">
        <v>771</v>
      </c>
      <c r="G896" t="s">
        <v>1854</v>
      </c>
      <c r="J896" t="s">
        <v>783</v>
      </c>
      <c r="K896" t="s">
        <v>1855</v>
      </c>
      <c r="L896" t="s">
        <v>1856</v>
      </c>
      <c r="M896" t="s">
        <v>12</v>
      </c>
      <c r="N896" t="s">
        <v>770</v>
      </c>
      <c r="O896">
        <v>1</v>
      </c>
      <c r="P896" t="s">
        <v>776</v>
      </c>
      <c r="Q896">
        <v>19.899999999999999</v>
      </c>
      <c r="R896">
        <v>3.59</v>
      </c>
      <c r="Y896" t="s">
        <v>1997</v>
      </c>
      <c r="Z896" t="s">
        <v>1997</v>
      </c>
      <c r="AA896">
        <v>50121</v>
      </c>
      <c r="AB896" t="s">
        <v>11</v>
      </c>
    </row>
    <row r="897" spans="1:35" x14ac:dyDescent="0.25">
      <c r="A897" t="s">
        <v>4416</v>
      </c>
      <c r="B897" t="s">
        <v>4416</v>
      </c>
      <c r="C897" t="s">
        <v>4417</v>
      </c>
      <c r="D897" t="s">
        <v>4418</v>
      </c>
      <c r="E897" t="s">
        <v>770</v>
      </c>
      <c r="F897" t="s">
        <v>771</v>
      </c>
      <c r="G897" t="s">
        <v>1854</v>
      </c>
      <c r="J897" t="s">
        <v>783</v>
      </c>
      <c r="K897" t="s">
        <v>1873</v>
      </c>
      <c r="L897" t="s">
        <v>840</v>
      </c>
      <c r="M897" t="s">
        <v>26</v>
      </c>
      <c r="N897" t="s">
        <v>770</v>
      </c>
      <c r="O897">
        <v>1</v>
      </c>
      <c r="P897" t="s">
        <v>776</v>
      </c>
      <c r="Q897">
        <v>34.9</v>
      </c>
      <c r="R897">
        <v>6.29</v>
      </c>
      <c r="Y897" t="s">
        <v>4419</v>
      </c>
      <c r="Z897" t="s">
        <v>4420</v>
      </c>
      <c r="AA897">
        <v>34170</v>
      </c>
      <c r="AB897" t="s">
        <v>11</v>
      </c>
    </row>
    <row r="898" spans="1:35" x14ac:dyDescent="0.25">
      <c r="A898" t="s">
        <v>4421</v>
      </c>
      <c r="B898" t="s">
        <v>4421</v>
      </c>
      <c r="C898" t="s">
        <v>4422</v>
      </c>
      <c r="D898" t="s">
        <v>4423</v>
      </c>
      <c r="E898" t="s">
        <v>770</v>
      </c>
      <c r="F898" t="s">
        <v>771</v>
      </c>
      <c r="G898" t="s">
        <v>1854</v>
      </c>
      <c r="J898" t="s">
        <v>783</v>
      </c>
      <c r="K898" t="s">
        <v>1873</v>
      </c>
      <c r="L898" t="s">
        <v>840</v>
      </c>
      <c r="M898" t="s">
        <v>26</v>
      </c>
      <c r="N898" t="s">
        <v>770</v>
      </c>
      <c r="O898">
        <v>1</v>
      </c>
      <c r="P898" t="s">
        <v>776</v>
      </c>
      <c r="Q898">
        <v>34.9</v>
      </c>
      <c r="R898">
        <v>6.29</v>
      </c>
      <c r="Y898" t="s">
        <v>4424</v>
      </c>
      <c r="Z898" t="s">
        <v>4425</v>
      </c>
      <c r="AA898">
        <v>6073</v>
      </c>
      <c r="AB898" t="s">
        <v>11</v>
      </c>
    </row>
    <row r="899" spans="1:35" x14ac:dyDescent="0.25">
      <c r="A899" t="s">
        <v>4426</v>
      </c>
      <c r="B899" t="s">
        <v>4426</v>
      </c>
      <c r="C899" t="s">
        <v>4427</v>
      </c>
      <c r="D899" t="s">
        <v>4428</v>
      </c>
      <c r="E899" t="s">
        <v>770</v>
      </c>
      <c r="F899" t="s">
        <v>771</v>
      </c>
      <c r="G899" t="s">
        <v>1854</v>
      </c>
      <c r="J899" t="s">
        <v>783</v>
      </c>
      <c r="K899" t="s">
        <v>1855</v>
      </c>
      <c r="L899" t="s">
        <v>1856</v>
      </c>
      <c r="M899" t="s">
        <v>12</v>
      </c>
      <c r="N899" t="s">
        <v>770</v>
      </c>
      <c r="O899">
        <v>1</v>
      </c>
      <c r="P899" t="s">
        <v>776</v>
      </c>
      <c r="Q899">
        <v>19.899999999999999</v>
      </c>
      <c r="R899">
        <v>3.59</v>
      </c>
      <c r="Y899" t="s">
        <v>4429</v>
      </c>
      <c r="Z899" t="s">
        <v>1888</v>
      </c>
      <c r="AA899">
        <v>40024</v>
      </c>
      <c r="AB899" t="s">
        <v>11</v>
      </c>
    </row>
    <row r="900" spans="1:35" x14ac:dyDescent="0.25">
      <c r="A900" t="s">
        <v>4430</v>
      </c>
      <c r="B900" t="s">
        <v>4430</v>
      </c>
      <c r="C900" t="s">
        <v>4431</v>
      </c>
      <c r="D900" t="s">
        <v>4432</v>
      </c>
      <c r="E900" t="s">
        <v>770</v>
      </c>
      <c r="F900" t="s">
        <v>771</v>
      </c>
      <c r="G900" t="s">
        <v>1854</v>
      </c>
      <c r="J900" t="s">
        <v>783</v>
      </c>
      <c r="K900" t="s">
        <v>1873</v>
      </c>
      <c r="L900" t="s">
        <v>840</v>
      </c>
      <c r="M900" t="s">
        <v>26</v>
      </c>
      <c r="N900" t="s">
        <v>770</v>
      </c>
      <c r="O900">
        <v>1</v>
      </c>
      <c r="P900" t="s">
        <v>776</v>
      </c>
      <c r="Q900">
        <v>34.9</v>
      </c>
      <c r="R900">
        <v>6.29</v>
      </c>
      <c r="Y900" t="s">
        <v>4433</v>
      </c>
      <c r="Z900" t="s">
        <v>2101</v>
      </c>
      <c r="AA900">
        <v>47822</v>
      </c>
      <c r="AB900" t="s">
        <v>11</v>
      </c>
    </row>
    <row r="901" spans="1:35" x14ac:dyDescent="0.25">
      <c r="A901" t="s">
        <v>4434</v>
      </c>
      <c r="B901" t="s">
        <v>4434</v>
      </c>
      <c r="C901" t="s">
        <v>4435</v>
      </c>
      <c r="D901" t="s">
        <v>4436</v>
      </c>
      <c r="E901" t="s">
        <v>770</v>
      </c>
      <c r="F901" t="s">
        <v>771</v>
      </c>
      <c r="G901" t="s">
        <v>1854</v>
      </c>
      <c r="J901" t="s">
        <v>783</v>
      </c>
      <c r="K901" t="s">
        <v>1862</v>
      </c>
      <c r="L901" t="s">
        <v>1505</v>
      </c>
      <c r="M901" t="s">
        <v>53</v>
      </c>
      <c r="N901" t="s">
        <v>770</v>
      </c>
      <c r="O901">
        <v>1</v>
      </c>
      <c r="P901" t="s">
        <v>776</v>
      </c>
      <c r="Q901">
        <v>32.9</v>
      </c>
      <c r="R901">
        <v>5.93</v>
      </c>
      <c r="Y901" t="s">
        <v>2420</v>
      </c>
      <c r="Z901" t="s">
        <v>2850</v>
      </c>
      <c r="AA901">
        <v>80125</v>
      </c>
      <c r="AB901" t="s">
        <v>11</v>
      </c>
      <c r="AG901">
        <v>7021311217</v>
      </c>
      <c r="AH901" t="s">
        <v>11</v>
      </c>
      <c r="AI901" t="s">
        <v>1258</v>
      </c>
    </row>
    <row r="902" spans="1:35" x14ac:dyDescent="0.25">
      <c r="A902" t="s">
        <v>4437</v>
      </c>
      <c r="B902" t="s">
        <v>4437</v>
      </c>
      <c r="C902" t="s">
        <v>4438</v>
      </c>
      <c r="D902" t="s">
        <v>4439</v>
      </c>
      <c r="E902" t="s">
        <v>770</v>
      </c>
      <c r="F902" t="s">
        <v>771</v>
      </c>
      <c r="G902" t="s">
        <v>1854</v>
      </c>
      <c r="J902" t="s">
        <v>783</v>
      </c>
      <c r="K902" t="s">
        <v>1873</v>
      </c>
      <c r="L902" t="s">
        <v>840</v>
      </c>
      <c r="M902" t="s">
        <v>26</v>
      </c>
      <c r="N902" t="s">
        <v>770</v>
      </c>
      <c r="O902">
        <v>1</v>
      </c>
      <c r="P902" t="s">
        <v>776</v>
      </c>
      <c r="Q902">
        <v>34.9</v>
      </c>
      <c r="R902">
        <v>6.29</v>
      </c>
      <c r="S902">
        <v>0.47</v>
      </c>
      <c r="X902">
        <v>0.47</v>
      </c>
      <c r="Y902" t="s">
        <v>4440</v>
      </c>
      <c r="Z902" t="s">
        <v>2197</v>
      </c>
      <c r="AA902">
        <v>84068</v>
      </c>
      <c r="AB902" t="s">
        <v>11</v>
      </c>
    </row>
    <row r="903" spans="1:35" x14ac:dyDescent="0.25">
      <c r="A903" t="s">
        <v>4441</v>
      </c>
      <c r="B903" t="s">
        <v>4441</v>
      </c>
      <c r="C903" t="s">
        <v>4442</v>
      </c>
      <c r="D903" t="s">
        <v>4443</v>
      </c>
      <c r="E903" t="s">
        <v>770</v>
      </c>
      <c r="F903" t="s">
        <v>771</v>
      </c>
      <c r="G903" t="s">
        <v>1854</v>
      </c>
      <c r="J903" t="s">
        <v>783</v>
      </c>
      <c r="K903" t="s">
        <v>1855</v>
      </c>
      <c r="L903" t="s">
        <v>1856</v>
      </c>
      <c r="M903" t="s">
        <v>12</v>
      </c>
      <c r="N903" t="s">
        <v>770</v>
      </c>
      <c r="O903">
        <v>1</v>
      </c>
      <c r="P903" t="s">
        <v>776</v>
      </c>
      <c r="Q903">
        <v>19.899999999999999</v>
      </c>
      <c r="R903">
        <v>3.59</v>
      </c>
      <c r="Y903" t="s">
        <v>4444</v>
      </c>
      <c r="Z903" t="s">
        <v>1926</v>
      </c>
      <c r="AA903">
        <v>47</v>
      </c>
      <c r="AB903" t="s">
        <v>11</v>
      </c>
    </row>
    <row r="904" spans="1:35" x14ac:dyDescent="0.25">
      <c r="A904" t="s">
        <v>4445</v>
      </c>
      <c r="B904" t="s">
        <v>4445</v>
      </c>
      <c r="C904" t="s">
        <v>4446</v>
      </c>
      <c r="D904" t="s">
        <v>4447</v>
      </c>
      <c r="E904" t="s">
        <v>770</v>
      </c>
      <c r="F904" t="s">
        <v>771</v>
      </c>
      <c r="G904" t="s">
        <v>1854</v>
      </c>
      <c r="J904" t="s">
        <v>783</v>
      </c>
      <c r="K904" t="s">
        <v>1855</v>
      </c>
      <c r="L904" t="s">
        <v>1856</v>
      </c>
      <c r="M904" t="s">
        <v>12</v>
      </c>
      <c r="N904" t="s">
        <v>770</v>
      </c>
      <c r="O904">
        <v>1</v>
      </c>
      <c r="P904" t="s">
        <v>776</v>
      </c>
      <c r="Q904">
        <v>19.899999999999999</v>
      </c>
      <c r="R904">
        <v>3.59</v>
      </c>
      <c r="Y904" t="s">
        <v>4448</v>
      </c>
      <c r="Z904" t="s">
        <v>3500</v>
      </c>
      <c r="AA904">
        <v>4012</v>
      </c>
      <c r="AB904" t="s">
        <v>11</v>
      </c>
    </row>
    <row r="905" spans="1:35" x14ac:dyDescent="0.25">
      <c r="A905" t="s">
        <v>4449</v>
      </c>
      <c r="B905" t="s">
        <v>4449</v>
      </c>
      <c r="C905" t="s">
        <v>4450</v>
      </c>
      <c r="D905" t="s">
        <v>4451</v>
      </c>
      <c r="E905" t="s">
        <v>770</v>
      </c>
      <c r="F905" t="s">
        <v>771</v>
      </c>
      <c r="G905" t="s">
        <v>1854</v>
      </c>
      <c r="J905" t="s">
        <v>783</v>
      </c>
      <c r="K905" t="s">
        <v>1855</v>
      </c>
      <c r="L905" t="s">
        <v>1856</v>
      </c>
      <c r="M905" t="s">
        <v>12</v>
      </c>
      <c r="N905" t="s">
        <v>770</v>
      </c>
      <c r="O905">
        <v>1</v>
      </c>
      <c r="P905" t="s">
        <v>776</v>
      </c>
      <c r="Q905">
        <v>19.899999999999999</v>
      </c>
      <c r="R905">
        <v>3.59</v>
      </c>
      <c r="S905">
        <v>0.89</v>
      </c>
      <c r="X905">
        <v>0.89</v>
      </c>
      <c r="Y905" t="s">
        <v>4452</v>
      </c>
      <c r="Z905" t="s">
        <v>1893</v>
      </c>
      <c r="AA905">
        <v>10091</v>
      </c>
      <c r="AB905" t="s">
        <v>11</v>
      </c>
    </row>
    <row r="906" spans="1:35" x14ac:dyDescent="0.25">
      <c r="A906" t="s">
        <v>4453</v>
      </c>
      <c r="B906" t="s">
        <v>4453</v>
      </c>
      <c r="C906" t="s">
        <v>4454</v>
      </c>
      <c r="D906" t="s">
        <v>4455</v>
      </c>
      <c r="E906" t="s">
        <v>770</v>
      </c>
      <c r="F906" t="s">
        <v>771</v>
      </c>
      <c r="G906" t="s">
        <v>1854</v>
      </c>
      <c r="J906" t="s">
        <v>783</v>
      </c>
      <c r="K906" t="s">
        <v>1862</v>
      </c>
      <c r="L906" t="s">
        <v>1505</v>
      </c>
      <c r="M906" t="s">
        <v>53</v>
      </c>
      <c r="N906" t="s">
        <v>770</v>
      </c>
      <c r="O906">
        <v>1</v>
      </c>
      <c r="P906" t="s">
        <v>776</v>
      </c>
      <c r="Q906">
        <v>32.9</v>
      </c>
      <c r="R906">
        <v>5.93</v>
      </c>
      <c r="Y906" t="s">
        <v>4456</v>
      </c>
      <c r="Z906" t="s">
        <v>4457</v>
      </c>
      <c r="AA906">
        <v>33084</v>
      </c>
      <c r="AB906" t="s">
        <v>11</v>
      </c>
    </row>
    <row r="907" spans="1:35" x14ac:dyDescent="0.25">
      <c r="A907" t="s">
        <v>4458</v>
      </c>
      <c r="C907" t="s">
        <v>4459</v>
      </c>
      <c r="D907" t="s">
        <v>4460</v>
      </c>
      <c r="E907" t="s">
        <v>770</v>
      </c>
      <c r="F907" t="s">
        <v>1884</v>
      </c>
      <c r="G907" t="s">
        <v>1854</v>
      </c>
      <c r="H907" t="s">
        <v>1885</v>
      </c>
      <c r="J907" t="s">
        <v>773</v>
      </c>
      <c r="K907" t="s">
        <v>4461</v>
      </c>
      <c r="L907" t="s">
        <v>4462</v>
      </c>
      <c r="M907" t="s">
        <v>572</v>
      </c>
      <c r="N907" t="s">
        <v>770</v>
      </c>
      <c r="O907">
        <v>1</v>
      </c>
      <c r="P907" t="s">
        <v>776</v>
      </c>
      <c r="Q907">
        <v>15.9</v>
      </c>
      <c r="R907">
        <v>2.87</v>
      </c>
      <c r="S907">
        <v>3</v>
      </c>
      <c r="T907">
        <v>0.54</v>
      </c>
      <c r="Y907" t="s">
        <v>4412</v>
      </c>
      <c r="Z907" t="s">
        <v>3404</v>
      </c>
      <c r="AA907">
        <v>83020</v>
      </c>
      <c r="AB907" t="s">
        <v>11</v>
      </c>
    </row>
    <row r="908" spans="1:35" x14ac:dyDescent="0.25">
      <c r="A908" t="s">
        <v>4463</v>
      </c>
      <c r="B908" t="s">
        <v>4463</v>
      </c>
      <c r="C908" t="s">
        <v>4464</v>
      </c>
      <c r="D908" t="s">
        <v>4465</v>
      </c>
      <c r="E908" t="s">
        <v>770</v>
      </c>
      <c r="F908" t="s">
        <v>771</v>
      </c>
      <c r="G908" t="s">
        <v>1854</v>
      </c>
      <c r="J908" t="s">
        <v>783</v>
      </c>
      <c r="K908" t="s">
        <v>1930</v>
      </c>
      <c r="L908" t="s">
        <v>775</v>
      </c>
      <c r="M908" t="s">
        <v>65</v>
      </c>
      <c r="N908" t="s">
        <v>770</v>
      </c>
      <c r="O908">
        <v>1</v>
      </c>
      <c r="P908" t="s">
        <v>776</v>
      </c>
      <c r="Q908">
        <v>29.9</v>
      </c>
      <c r="R908">
        <v>5.39</v>
      </c>
      <c r="Y908" t="s">
        <v>4466</v>
      </c>
      <c r="Z908" t="s">
        <v>1864</v>
      </c>
      <c r="AA908">
        <v>20025</v>
      </c>
      <c r="AB908" t="s">
        <v>11</v>
      </c>
    </row>
    <row r="909" spans="1:35" x14ac:dyDescent="0.25">
      <c r="A909" t="s">
        <v>4467</v>
      </c>
      <c r="C909" t="s">
        <v>4468</v>
      </c>
      <c r="D909" t="s">
        <v>4469</v>
      </c>
      <c r="E909" t="s">
        <v>770</v>
      </c>
      <c r="F909" t="s">
        <v>1884</v>
      </c>
      <c r="G909" t="s">
        <v>1854</v>
      </c>
      <c r="H909" t="s">
        <v>1885</v>
      </c>
      <c r="J909" t="s">
        <v>773</v>
      </c>
      <c r="K909" t="s">
        <v>4470</v>
      </c>
      <c r="L909" t="s">
        <v>95</v>
      </c>
      <c r="M909" t="s">
        <v>94</v>
      </c>
      <c r="N909" t="s">
        <v>770</v>
      </c>
      <c r="O909">
        <v>1</v>
      </c>
      <c r="P909" t="s">
        <v>776</v>
      </c>
      <c r="Q909">
        <v>34.9</v>
      </c>
      <c r="R909">
        <v>6.29</v>
      </c>
      <c r="S909">
        <v>3</v>
      </c>
      <c r="T909">
        <v>0.54</v>
      </c>
      <c r="Y909" t="s">
        <v>1913</v>
      </c>
      <c r="Z909" t="s">
        <v>1913</v>
      </c>
      <c r="AA909">
        <v>189</v>
      </c>
      <c r="AB909" t="s">
        <v>11</v>
      </c>
    </row>
    <row r="910" spans="1:35" x14ac:dyDescent="0.25">
      <c r="A910" t="s">
        <v>4471</v>
      </c>
      <c r="B910" t="s">
        <v>4471</v>
      </c>
      <c r="C910" t="s">
        <v>4472</v>
      </c>
      <c r="D910" t="s">
        <v>4473</v>
      </c>
      <c r="E910" t="s">
        <v>770</v>
      </c>
      <c r="F910" t="s">
        <v>771</v>
      </c>
      <c r="G910" t="s">
        <v>1854</v>
      </c>
      <c r="J910" t="s">
        <v>783</v>
      </c>
      <c r="K910" t="s">
        <v>2055</v>
      </c>
      <c r="L910" t="s">
        <v>806</v>
      </c>
      <c r="M910" t="s">
        <v>202</v>
      </c>
      <c r="N910" t="s">
        <v>770</v>
      </c>
      <c r="O910">
        <v>1</v>
      </c>
      <c r="P910" t="s">
        <v>776</v>
      </c>
      <c r="Q910">
        <v>14.9</v>
      </c>
      <c r="R910">
        <v>2.69</v>
      </c>
      <c r="Y910" t="s">
        <v>2838</v>
      </c>
      <c r="Z910" t="s">
        <v>4474</v>
      </c>
      <c r="AA910">
        <v>5100</v>
      </c>
      <c r="AB910" t="s">
        <v>11</v>
      </c>
    </row>
    <row r="911" spans="1:35" x14ac:dyDescent="0.25">
      <c r="A911" t="s">
        <v>4475</v>
      </c>
      <c r="B911" t="s">
        <v>4475</v>
      </c>
      <c r="C911" t="s">
        <v>4476</v>
      </c>
      <c r="D911" t="s">
        <v>4477</v>
      </c>
      <c r="E911" t="s">
        <v>770</v>
      </c>
      <c r="F911" t="s">
        <v>771</v>
      </c>
      <c r="G911" t="s">
        <v>1854</v>
      </c>
      <c r="J911" t="s">
        <v>783</v>
      </c>
      <c r="K911" t="s">
        <v>2252</v>
      </c>
      <c r="L911" t="s">
        <v>2253</v>
      </c>
      <c r="M911" t="s">
        <v>73</v>
      </c>
      <c r="N911" t="s">
        <v>770</v>
      </c>
      <c r="O911">
        <v>1</v>
      </c>
      <c r="P911" t="s">
        <v>776</v>
      </c>
      <c r="Q911">
        <v>16.899999999999999</v>
      </c>
      <c r="R911">
        <v>3.05</v>
      </c>
      <c r="Y911" t="s">
        <v>4478</v>
      </c>
      <c r="Z911" t="s">
        <v>2143</v>
      </c>
      <c r="AA911">
        <v>3010</v>
      </c>
      <c r="AB911" t="s">
        <v>11</v>
      </c>
    </row>
    <row r="912" spans="1:35" x14ac:dyDescent="0.25">
      <c r="A912" t="s">
        <v>4479</v>
      </c>
      <c r="B912" t="s">
        <v>4479</v>
      </c>
      <c r="C912" t="s">
        <v>4480</v>
      </c>
      <c r="D912" t="s">
        <v>4481</v>
      </c>
      <c r="E912" t="s">
        <v>770</v>
      </c>
      <c r="F912" t="s">
        <v>771</v>
      </c>
      <c r="G912" t="s">
        <v>1854</v>
      </c>
      <c r="J912" t="s">
        <v>783</v>
      </c>
      <c r="K912" t="s">
        <v>2248</v>
      </c>
      <c r="L912" t="s">
        <v>2772</v>
      </c>
      <c r="M912" t="s">
        <v>172</v>
      </c>
      <c r="N912" t="s">
        <v>770</v>
      </c>
      <c r="O912">
        <v>1</v>
      </c>
      <c r="P912" t="s">
        <v>776</v>
      </c>
      <c r="Q912">
        <v>39.9</v>
      </c>
      <c r="R912">
        <v>7.2</v>
      </c>
      <c r="Y912" t="s">
        <v>4478</v>
      </c>
      <c r="Z912" t="s">
        <v>2143</v>
      </c>
      <c r="AA912">
        <v>3010</v>
      </c>
      <c r="AB912" t="s">
        <v>11</v>
      </c>
    </row>
    <row r="913" spans="1:35" x14ac:dyDescent="0.25">
      <c r="A913" t="s">
        <v>4482</v>
      </c>
      <c r="B913" t="s">
        <v>4482</v>
      </c>
      <c r="C913" t="s">
        <v>4483</v>
      </c>
      <c r="D913" t="s">
        <v>4484</v>
      </c>
      <c r="E913" t="s">
        <v>770</v>
      </c>
      <c r="F913" t="s">
        <v>771</v>
      </c>
      <c r="G913" t="s">
        <v>1854</v>
      </c>
      <c r="J913" t="s">
        <v>783</v>
      </c>
      <c r="K913" t="s">
        <v>1930</v>
      </c>
      <c r="L913" t="s">
        <v>775</v>
      </c>
      <c r="M913" t="s">
        <v>65</v>
      </c>
      <c r="N913" t="s">
        <v>770</v>
      </c>
      <c r="O913">
        <v>1</v>
      </c>
      <c r="P913" t="s">
        <v>776</v>
      </c>
      <c r="Q913">
        <v>29.9</v>
      </c>
      <c r="R913">
        <v>5.39</v>
      </c>
      <c r="Y913" t="s">
        <v>2046</v>
      </c>
      <c r="Z913" t="s">
        <v>4485</v>
      </c>
      <c r="AA913">
        <v>89123</v>
      </c>
      <c r="AB913" t="s">
        <v>11</v>
      </c>
    </row>
    <row r="914" spans="1:35" x14ac:dyDescent="0.25">
      <c r="A914" t="s">
        <v>4486</v>
      </c>
      <c r="B914" t="s">
        <v>4486</v>
      </c>
      <c r="C914" t="s">
        <v>4487</v>
      </c>
      <c r="D914" t="s">
        <v>4488</v>
      </c>
      <c r="E914" t="s">
        <v>770</v>
      </c>
      <c r="F914" t="s">
        <v>771</v>
      </c>
      <c r="G914" t="s">
        <v>1854</v>
      </c>
      <c r="J914" t="s">
        <v>783</v>
      </c>
      <c r="K914" t="s">
        <v>2390</v>
      </c>
      <c r="L914" t="s">
        <v>1094</v>
      </c>
      <c r="M914" t="s">
        <v>208</v>
      </c>
      <c r="N914" t="s">
        <v>770</v>
      </c>
      <c r="O914">
        <v>1</v>
      </c>
      <c r="P914" t="s">
        <v>776</v>
      </c>
      <c r="Q914">
        <v>79.900000000000006</v>
      </c>
      <c r="R914">
        <v>14.41</v>
      </c>
      <c r="Y914" t="s">
        <v>4489</v>
      </c>
      <c r="Z914" t="s">
        <v>3339</v>
      </c>
      <c r="AA914">
        <v>9010</v>
      </c>
      <c r="AB914" t="s">
        <v>11</v>
      </c>
    </row>
    <row r="915" spans="1:35" x14ac:dyDescent="0.25">
      <c r="A915" t="s">
        <v>4490</v>
      </c>
      <c r="B915" t="s">
        <v>4490</v>
      </c>
      <c r="C915" t="s">
        <v>4491</v>
      </c>
      <c r="D915" t="s">
        <v>4492</v>
      </c>
      <c r="E915" t="s">
        <v>770</v>
      </c>
      <c r="F915" t="s">
        <v>771</v>
      </c>
      <c r="G915" t="s">
        <v>1854</v>
      </c>
      <c r="J915" t="s">
        <v>783</v>
      </c>
      <c r="K915" t="s">
        <v>1855</v>
      </c>
      <c r="L915" t="s">
        <v>1856</v>
      </c>
      <c r="M915" t="s">
        <v>12</v>
      </c>
      <c r="N915" t="s">
        <v>770</v>
      </c>
      <c r="O915">
        <v>1</v>
      </c>
      <c r="P915" t="s">
        <v>776</v>
      </c>
      <c r="Q915">
        <v>19.899999999999999</v>
      </c>
      <c r="R915">
        <v>3.59</v>
      </c>
      <c r="Y915" t="s">
        <v>4493</v>
      </c>
      <c r="Z915" t="s">
        <v>1913</v>
      </c>
      <c r="AA915">
        <v>40</v>
      </c>
      <c r="AB915" t="s">
        <v>11</v>
      </c>
    </row>
    <row r="916" spans="1:35" x14ac:dyDescent="0.25">
      <c r="A916" t="s">
        <v>4494</v>
      </c>
      <c r="B916" t="s">
        <v>4494</v>
      </c>
      <c r="C916" t="s">
        <v>4495</v>
      </c>
      <c r="D916" t="s">
        <v>4496</v>
      </c>
      <c r="E916" t="s">
        <v>770</v>
      </c>
      <c r="F916" t="s">
        <v>771</v>
      </c>
      <c r="G916" t="s">
        <v>1854</v>
      </c>
      <c r="J916" t="s">
        <v>783</v>
      </c>
      <c r="K916" t="s">
        <v>1862</v>
      </c>
      <c r="L916" t="s">
        <v>1505</v>
      </c>
      <c r="M916" t="s">
        <v>53</v>
      </c>
      <c r="N916" t="s">
        <v>770</v>
      </c>
      <c r="O916">
        <v>1</v>
      </c>
      <c r="P916" t="s">
        <v>776</v>
      </c>
      <c r="Q916">
        <v>32.9</v>
      </c>
      <c r="R916">
        <v>5.93</v>
      </c>
      <c r="Y916" t="s">
        <v>4497</v>
      </c>
      <c r="Z916" t="s">
        <v>4498</v>
      </c>
      <c r="AA916">
        <v>72019</v>
      </c>
      <c r="AB916" t="s">
        <v>11</v>
      </c>
    </row>
    <row r="917" spans="1:35" x14ac:dyDescent="0.25">
      <c r="A917" t="s">
        <v>4499</v>
      </c>
      <c r="B917" t="s">
        <v>4499</v>
      </c>
      <c r="C917" t="s">
        <v>4500</v>
      </c>
      <c r="D917" t="s">
        <v>4501</v>
      </c>
      <c r="E917" t="s">
        <v>770</v>
      </c>
      <c r="F917" t="s">
        <v>771</v>
      </c>
      <c r="G917" t="s">
        <v>1854</v>
      </c>
      <c r="J917" t="s">
        <v>783</v>
      </c>
      <c r="K917" t="s">
        <v>1862</v>
      </c>
      <c r="L917" t="s">
        <v>1505</v>
      </c>
      <c r="M917" t="s">
        <v>53</v>
      </c>
      <c r="N917" t="s">
        <v>770</v>
      </c>
      <c r="O917">
        <v>1</v>
      </c>
      <c r="P917" t="s">
        <v>776</v>
      </c>
      <c r="Q917">
        <v>32.9</v>
      </c>
      <c r="R917">
        <v>5.93</v>
      </c>
      <c r="Y917" t="s">
        <v>4502</v>
      </c>
      <c r="Z917" t="s">
        <v>2116</v>
      </c>
      <c r="AA917">
        <v>22060</v>
      </c>
      <c r="AB917" t="s">
        <v>11</v>
      </c>
    </row>
    <row r="918" spans="1:35" x14ac:dyDescent="0.25">
      <c r="A918" t="s">
        <v>4503</v>
      </c>
      <c r="B918" t="s">
        <v>4503</v>
      </c>
      <c r="C918" t="s">
        <v>4504</v>
      </c>
      <c r="D918" t="s">
        <v>4505</v>
      </c>
      <c r="E918" t="s">
        <v>770</v>
      </c>
      <c r="F918" t="s">
        <v>771</v>
      </c>
      <c r="G918" t="s">
        <v>1854</v>
      </c>
      <c r="J918" t="s">
        <v>783</v>
      </c>
      <c r="K918" t="s">
        <v>1855</v>
      </c>
      <c r="L918" t="s">
        <v>1856</v>
      </c>
      <c r="M918" t="s">
        <v>12</v>
      </c>
      <c r="N918" t="s">
        <v>770</v>
      </c>
      <c r="O918">
        <v>1</v>
      </c>
      <c r="P918" t="s">
        <v>776</v>
      </c>
      <c r="Q918">
        <v>19.899999999999999</v>
      </c>
      <c r="R918">
        <v>3.59</v>
      </c>
      <c r="Y918" t="s">
        <v>4506</v>
      </c>
      <c r="Z918" t="s">
        <v>3080</v>
      </c>
      <c r="AA918">
        <v>30174</v>
      </c>
      <c r="AB918" t="s">
        <v>11</v>
      </c>
    </row>
    <row r="919" spans="1:35" x14ac:dyDescent="0.25">
      <c r="A919" t="s">
        <v>4507</v>
      </c>
      <c r="B919" t="s">
        <v>4507</v>
      </c>
      <c r="C919" t="s">
        <v>4508</v>
      </c>
      <c r="D919" t="s">
        <v>4509</v>
      </c>
      <c r="E919" t="s">
        <v>770</v>
      </c>
      <c r="F919" t="s">
        <v>771</v>
      </c>
      <c r="G919" t="s">
        <v>1854</v>
      </c>
      <c r="J919" t="s">
        <v>783</v>
      </c>
      <c r="K919" t="s">
        <v>2712</v>
      </c>
      <c r="L919" t="s">
        <v>1800</v>
      </c>
      <c r="M919" t="s">
        <v>14</v>
      </c>
      <c r="N919" t="s">
        <v>770</v>
      </c>
      <c r="O919">
        <v>1</v>
      </c>
      <c r="P919" t="s">
        <v>776</v>
      </c>
      <c r="Q919">
        <v>14.9</v>
      </c>
      <c r="R919">
        <v>2.69</v>
      </c>
      <c r="Y919" t="s">
        <v>4510</v>
      </c>
      <c r="Z919" t="s">
        <v>2197</v>
      </c>
      <c r="AA919">
        <v>84012</v>
      </c>
      <c r="AB919" t="s">
        <v>11</v>
      </c>
    </row>
    <row r="920" spans="1:35" x14ac:dyDescent="0.25">
      <c r="A920" t="s">
        <v>4511</v>
      </c>
      <c r="B920" t="s">
        <v>4511</v>
      </c>
      <c r="C920" t="s">
        <v>4512</v>
      </c>
      <c r="D920" t="s">
        <v>4513</v>
      </c>
      <c r="E920" t="s">
        <v>770</v>
      </c>
      <c r="F920" t="s">
        <v>771</v>
      </c>
      <c r="G920" t="s">
        <v>1854</v>
      </c>
      <c r="J920" t="s">
        <v>783</v>
      </c>
      <c r="K920" t="s">
        <v>1873</v>
      </c>
      <c r="L920" t="s">
        <v>840</v>
      </c>
      <c r="M920" t="s">
        <v>26</v>
      </c>
      <c r="N920" t="s">
        <v>770</v>
      </c>
      <c r="O920">
        <v>1</v>
      </c>
      <c r="P920" t="s">
        <v>776</v>
      </c>
      <c r="Q920">
        <v>34.9</v>
      </c>
      <c r="R920">
        <v>6.29</v>
      </c>
      <c r="Y920" t="s">
        <v>2601</v>
      </c>
      <c r="Z920" t="s">
        <v>2602</v>
      </c>
      <c r="AA920">
        <v>16128</v>
      </c>
      <c r="AB920" t="s">
        <v>11</v>
      </c>
    </row>
    <row r="921" spans="1:35" x14ac:dyDescent="0.25">
      <c r="A921" t="s">
        <v>4514</v>
      </c>
      <c r="B921" t="s">
        <v>4514</v>
      </c>
      <c r="C921" t="s">
        <v>4515</v>
      </c>
      <c r="D921" t="s">
        <v>4516</v>
      </c>
      <c r="E921" t="s">
        <v>770</v>
      </c>
      <c r="F921" t="s">
        <v>771</v>
      </c>
      <c r="G921" t="s">
        <v>1854</v>
      </c>
      <c r="J921" t="s">
        <v>783</v>
      </c>
      <c r="K921" t="s">
        <v>1862</v>
      </c>
      <c r="L921" t="s">
        <v>1505</v>
      </c>
      <c r="M921" t="s">
        <v>53</v>
      </c>
      <c r="N921" t="s">
        <v>770</v>
      </c>
      <c r="O921">
        <v>1</v>
      </c>
      <c r="P921" t="s">
        <v>776</v>
      </c>
      <c r="Q921">
        <v>32.9</v>
      </c>
      <c r="R921">
        <v>5.93</v>
      </c>
      <c r="Y921" t="s">
        <v>4517</v>
      </c>
      <c r="Z921" t="s">
        <v>2057</v>
      </c>
      <c r="AA921">
        <v>37026</v>
      </c>
      <c r="AB921" t="s">
        <v>11</v>
      </c>
    </row>
    <row r="922" spans="1:35" x14ac:dyDescent="0.25">
      <c r="A922" t="s">
        <v>4518</v>
      </c>
      <c r="B922" t="s">
        <v>4518</v>
      </c>
      <c r="C922" t="s">
        <v>4519</v>
      </c>
      <c r="D922" t="s">
        <v>4520</v>
      </c>
      <c r="E922" t="s">
        <v>770</v>
      </c>
      <c r="F922" t="s">
        <v>771</v>
      </c>
      <c r="G922" t="s">
        <v>1854</v>
      </c>
      <c r="J922" t="s">
        <v>783</v>
      </c>
      <c r="K922" t="s">
        <v>1855</v>
      </c>
      <c r="L922" t="s">
        <v>1856</v>
      </c>
      <c r="M922" t="s">
        <v>12</v>
      </c>
      <c r="N922" t="s">
        <v>770</v>
      </c>
      <c r="O922">
        <v>1</v>
      </c>
      <c r="P922" t="s">
        <v>776</v>
      </c>
      <c r="Q922">
        <v>19.899999999999999</v>
      </c>
      <c r="R922">
        <v>3.59</v>
      </c>
      <c r="Y922" t="s">
        <v>4233</v>
      </c>
      <c r="Z922" t="s">
        <v>2084</v>
      </c>
      <c r="AA922">
        <v>98158</v>
      </c>
      <c r="AB922" t="s">
        <v>11</v>
      </c>
    </row>
    <row r="923" spans="1:35" x14ac:dyDescent="0.25">
      <c r="A923" t="s">
        <v>4521</v>
      </c>
      <c r="C923" t="s">
        <v>4522</v>
      </c>
      <c r="D923" t="s">
        <v>4523</v>
      </c>
      <c r="E923" t="s">
        <v>770</v>
      </c>
      <c r="F923" t="s">
        <v>1884</v>
      </c>
      <c r="G923" t="s">
        <v>1854</v>
      </c>
      <c r="H923" t="s">
        <v>1885</v>
      </c>
      <c r="J923" t="s">
        <v>773</v>
      </c>
      <c r="K923" t="s">
        <v>2210</v>
      </c>
      <c r="L923" t="s">
        <v>64</v>
      </c>
      <c r="M923" t="s">
        <v>63</v>
      </c>
      <c r="N923" t="s">
        <v>770</v>
      </c>
      <c r="O923">
        <v>1</v>
      </c>
      <c r="P923" t="s">
        <v>776</v>
      </c>
      <c r="Q923">
        <v>70.900000000000006</v>
      </c>
      <c r="R923">
        <v>12.79</v>
      </c>
      <c r="S923">
        <v>3</v>
      </c>
      <c r="T923">
        <v>0.54</v>
      </c>
      <c r="Y923" t="s">
        <v>4524</v>
      </c>
      <c r="Z923" t="s">
        <v>2503</v>
      </c>
      <c r="AA923">
        <v>48027</v>
      </c>
      <c r="AB923" t="s">
        <v>11</v>
      </c>
      <c r="AG923">
        <v>2537670396</v>
      </c>
      <c r="AH923" t="s">
        <v>11</v>
      </c>
      <c r="AI923" t="s">
        <v>1258</v>
      </c>
    </row>
    <row r="924" spans="1:35" x14ac:dyDescent="0.25">
      <c r="A924" t="s">
        <v>4525</v>
      </c>
      <c r="B924" t="s">
        <v>4525</v>
      </c>
      <c r="C924" t="s">
        <v>4526</v>
      </c>
      <c r="D924" t="s">
        <v>4527</v>
      </c>
      <c r="E924" t="s">
        <v>770</v>
      </c>
      <c r="F924" t="s">
        <v>771</v>
      </c>
      <c r="G924" t="s">
        <v>1854</v>
      </c>
      <c r="J924" t="s">
        <v>783</v>
      </c>
      <c r="K924" t="s">
        <v>1862</v>
      </c>
      <c r="L924" t="s">
        <v>1505</v>
      </c>
      <c r="M924" t="s">
        <v>53</v>
      </c>
      <c r="N924" t="s">
        <v>770</v>
      </c>
      <c r="O924">
        <v>1</v>
      </c>
      <c r="P924" t="s">
        <v>776</v>
      </c>
      <c r="Q924">
        <v>32.9</v>
      </c>
      <c r="R924">
        <v>5.93</v>
      </c>
      <c r="Y924" t="s">
        <v>4528</v>
      </c>
      <c r="AA924">
        <v>38122</v>
      </c>
      <c r="AB924" t="s">
        <v>11</v>
      </c>
    </row>
    <row r="925" spans="1:35" x14ac:dyDescent="0.25">
      <c r="A925" t="s">
        <v>4529</v>
      </c>
      <c r="B925" t="s">
        <v>4529</v>
      </c>
      <c r="C925" t="s">
        <v>4530</v>
      </c>
      <c r="D925" t="s">
        <v>4531</v>
      </c>
      <c r="E925" t="s">
        <v>770</v>
      </c>
      <c r="F925" t="s">
        <v>771</v>
      </c>
      <c r="G925" t="s">
        <v>1854</v>
      </c>
      <c r="J925" t="s">
        <v>783</v>
      </c>
      <c r="K925" t="s">
        <v>1930</v>
      </c>
      <c r="L925" t="s">
        <v>775</v>
      </c>
      <c r="M925" t="s">
        <v>65</v>
      </c>
      <c r="N925" t="s">
        <v>770</v>
      </c>
      <c r="O925">
        <v>1</v>
      </c>
      <c r="P925" t="s">
        <v>776</v>
      </c>
      <c r="Q925">
        <v>29.9</v>
      </c>
      <c r="R925">
        <v>5.39</v>
      </c>
      <c r="Y925" t="s">
        <v>4532</v>
      </c>
      <c r="Z925" t="s">
        <v>4066</v>
      </c>
      <c r="AA925">
        <v>52010</v>
      </c>
      <c r="AB925" t="s">
        <v>11</v>
      </c>
    </row>
    <row r="926" spans="1:35" x14ac:dyDescent="0.25">
      <c r="A926" t="s">
        <v>4533</v>
      </c>
      <c r="B926" t="s">
        <v>4533</v>
      </c>
      <c r="C926" t="s">
        <v>4534</v>
      </c>
      <c r="D926" t="s">
        <v>4535</v>
      </c>
      <c r="E926" t="s">
        <v>770</v>
      </c>
      <c r="F926" t="s">
        <v>771</v>
      </c>
      <c r="G926" t="s">
        <v>1854</v>
      </c>
      <c r="J926" t="s">
        <v>783</v>
      </c>
      <c r="K926" t="s">
        <v>2162</v>
      </c>
      <c r="L926" t="s">
        <v>2163</v>
      </c>
      <c r="M926" t="s">
        <v>59</v>
      </c>
      <c r="N926" t="s">
        <v>770</v>
      </c>
      <c r="O926">
        <v>1</v>
      </c>
      <c r="P926" t="s">
        <v>776</v>
      </c>
      <c r="Q926">
        <v>29.9</v>
      </c>
      <c r="R926">
        <v>5.39</v>
      </c>
      <c r="Y926" t="s">
        <v>1989</v>
      </c>
      <c r="Z926" t="s">
        <v>1989</v>
      </c>
      <c r="AA926">
        <v>36100</v>
      </c>
      <c r="AB926" t="s">
        <v>11</v>
      </c>
    </row>
    <row r="927" spans="1:35" x14ac:dyDescent="0.25">
      <c r="A927" t="s">
        <v>4536</v>
      </c>
      <c r="B927" t="s">
        <v>4536</v>
      </c>
      <c r="C927" t="s">
        <v>4537</v>
      </c>
      <c r="D927" t="s">
        <v>4538</v>
      </c>
      <c r="E927" t="s">
        <v>770</v>
      </c>
      <c r="F927" t="s">
        <v>771</v>
      </c>
      <c r="G927" t="s">
        <v>1854</v>
      </c>
      <c r="J927" t="s">
        <v>783</v>
      </c>
      <c r="K927" t="s">
        <v>1930</v>
      </c>
      <c r="L927" t="s">
        <v>775</v>
      </c>
      <c r="M927" t="s">
        <v>65</v>
      </c>
      <c r="N927" t="s">
        <v>770</v>
      </c>
      <c r="O927">
        <v>1</v>
      </c>
      <c r="P927" t="s">
        <v>776</v>
      </c>
      <c r="Q927">
        <v>29.9</v>
      </c>
      <c r="R927">
        <v>5.39</v>
      </c>
      <c r="Y927" t="s">
        <v>4539</v>
      </c>
      <c r="Z927" t="s">
        <v>4540</v>
      </c>
      <c r="AA927">
        <v>28814</v>
      </c>
      <c r="AB927" t="s">
        <v>11</v>
      </c>
    </row>
    <row r="928" spans="1:35" x14ac:dyDescent="0.25">
      <c r="A928" t="s">
        <v>4541</v>
      </c>
      <c r="B928" t="s">
        <v>4541</v>
      </c>
      <c r="C928" t="s">
        <v>4542</v>
      </c>
      <c r="D928" t="s">
        <v>4543</v>
      </c>
      <c r="E928" t="s">
        <v>770</v>
      </c>
      <c r="F928" t="s">
        <v>771</v>
      </c>
      <c r="G928" t="s">
        <v>1854</v>
      </c>
      <c r="J928" t="s">
        <v>783</v>
      </c>
      <c r="K928" t="s">
        <v>1862</v>
      </c>
      <c r="L928" t="s">
        <v>1505</v>
      </c>
      <c r="M928" t="s">
        <v>53</v>
      </c>
      <c r="N928" t="s">
        <v>770</v>
      </c>
      <c r="O928">
        <v>1</v>
      </c>
      <c r="P928" t="s">
        <v>776</v>
      </c>
      <c r="Q928">
        <v>32.9</v>
      </c>
      <c r="R928">
        <v>5.93</v>
      </c>
      <c r="Y928" t="s">
        <v>1888</v>
      </c>
      <c r="Z928" t="s">
        <v>4544</v>
      </c>
      <c r="AA928">
        <v>40134</v>
      </c>
      <c r="AB928" t="s">
        <v>11</v>
      </c>
    </row>
    <row r="929" spans="1:35" x14ac:dyDescent="0.25">
      <c r="A929" t="s">
        <v>4545</v>
      </c>
      <c r="C929" t="s">
        <v>4546</v>
      </c>
      <c r="D929" t="s">
        <v>4547</v>
      </c>
      <c r="E929" t="s">
        <v>770</v>
      </c>
      <c r="F929" t="s">
        <v>1884</v>
      </c>
      <c r="G929" t="s">
        <v>1854</v>
      </c>
      <c r="H929" t="s">
        <v>1885</v>
      </c>
      <c r="J929" t="s">
        <v>773</v>
      </c>
      <c r="K929" t="s">
        <v>3363</v>
      </c>
      <c r="L929" s="2">
        <v>40490</v>
      </c>
      <c r="M929" t="s">
        <v>71</v>
      </c>
      <c r="N929" t="s">
        <v>770</v>
      </c>
      <c r="O929">
        <v>8</v>
      </c>
      <c r="P929" t="s">
        <v>776</v>
      </c>
      <c r="Q929">
        <v>239.2</v>
      </c>
      <c r="R929">
        <v>43.12</v>
      </c>
      <c r="S929">
        <v>24</v>
      </c>
      <c r="T929">
        <v>4.32</v>
      </c>
      <c r="Y929" t="s">
        <v>3147</v>
      </c>
      <c r="Z929" t="s">
        <v>3147</v>
      </c>
      <c r="AA929">
        <v>50123</v>
      </c>
      <c r="AB929" t="s">
        <v>11</v>
      </c>
      <c r="AG929" t="s">
        <v>4548</v>
      </c>
      <c r="AH929" t="s">
        <v>11</v>
      </c>
      <c r="AI929" t="s">
        <v>1258</v>
      </c>
    </row>
    <row r="930" spans="1:35" x14ac:dyDescent="0.25">
      <c r="A930" t="s">
        <v>4549</v>
      </c>
      <c r="B930" t="s">
        <v>4549</v>
      </c>
      <c r="C930" t="s">
        <v>4550</v>
      </c>
      <c r="D930" t="s">
        <v>4551</v>
      </c>
      <c r="E930" t="s">
        <v>770</v>
      </c>
      <c r="F930" t="s">
        <v>771</v>
      </c>
      <c r="G930" t="s">
        <v>1854</v>
      </c>
      <c r="J930" t="s">
        <v>783</v>
      </c>
      <c r="K930" t="s">
        <v>2055</v>
      </c>
      <c r="L930" t="s">
        <v>806</v>
      </c>
      <c r="M930" t="s">
        <v>202</v>
      </c>
      <c r="N930" t="s">
        <v>770</v>
      </c>
      <c r="O930">
        <v>1</v>
      </c>
      <c r="P930" t="s">
        <v>776</v>
      </c>
      <c r="Q930">
        <v>14.9</v>
      </c>
      <c r="R930">
        <v>2.69</v>
      </c>
      <c r="Y930" t="s">
        <v>4552</v>
      </c>
      <c r="Z930" t="s">
        <v>4553</v>
      </c>
      <c r="AA930">
        <v>81054</v>
      </c>
      <c r="AB930" t="s">
        <v>11</v>
      </c>
    </row>
    <row r="931" spans="1:35" x14ac:dyDescent="0.25">
      <c r="A931" t="s">
        <v>4554</v>
      </c>
      <c r="B931" t="s">
        <v>4554</v>
      </c>
      <c r="C931" t="s">
        <v>4555</v>
      </c>
      <c r="D931" t="s">
        <v>4556</v>
      </c>
      <c r="E931" t="s">
        <v>770</v>
      </c>
      <c r="F931" t="s">
        <v>771</v>
      </c>
      <c r="G931" t="s">
        <v>1854</v>
      </c>
      <c r="J931" t="s">
        <v>783</v>
      </c>
      <c r="K931" t="s">
        <v>1862</v>
      </c>
      <c r="L931" t="s">
        <v>1505</v>
      </c>
      <c r="M931" t="s">
        <v>53</v>
      </c>
      <c r="N931" t="s">
        <v>770</v>
      </c>
      <c r="O931">
        <v>1</v>
      </c>
      <c r="P931" t="s">
        <v>776</v>
      </c>
      <c r="Q931">
        <v>32.9</v>
      </c>
      <c r="R931">
        <v>5.93</v>
      </c>
      <c r="Y931" t="s">
        <v>4557</v>
      </c>
      <c r="Z931" t="s">
        <v>1880</v>
      </c>
      <c r="AA931">
        <v>41030</v>
      </c>
      <c r="AB931" t="s">
        <v>11</v>
      </c>
    </row>
    <row r="932" spans="1:35" x14ac:dyDescent="0.25">
      <c r="A932" t="s">
        <v>4558</v>
      </c>
      <c r="B932" t="s">
        <v>4558</v>
      </c>
      <c r="C932" t="s">
        <v>4559</v>
      </c>
      <c r="D932" t="s">
        <v>4560</v>
      </c>
      <c r="E932" t="s">
        <v>770</v>
      </c>
      <c r="F932" t="s">
        <v>771</v>
      </c>
      <c r="G932" t="s">
        <v>1854</v>
      </c>
      <c r="J932" t="s">
        <v>783</v>
      </c>
      <c r="K932" t="s">
        <v>1855</v>
      </c>
      <c r="L932" t="s">
        <v>1856</v>
      </c>
      <c r="M932" t="s">
        <v>12</v>
      </c>
      <c r="N932" t="s">
        <v>770</v>
      </c>
      <c r="O932">
        <v>1</v>
      </c>
      <c r="P932" t="s">
        <v>776</v>
      </c>
      <c r="Q932">
        <v>19.899999999999999</v>
      </c>
      <c r="R932">
        <v>3.59</v>
      </c>
      <c r="Y932" t="s">
        <v>4561</v>
      </c>
      <c r="Z932" t="s">
        <v>4562</v>
      </c>
      <c r="AA932">
        <v>19037</v>
      </c>
      <c r="AB932" t="s">
        <v>11</v>
      </c>
    </row>
    <row r="933" spans="1:35" x14ac:dyDescent="0.25">
      <c r="A933" t="s">
        <v>4563</v>
      </c>
      <c r="B933" t="s">
        <v>4563</v>
      </c>
      <c r="C933" t="s">
        <v>4564</v>
      </c>
      <c r="D933" t="s">
        <v>4565</v>
      </c>
      <c r="E933" t="s">
        <v>770</v>
      </c>
      <c r="F933" t="s">
        <v>771</v>
      </c>
      <c r="G933" t="s">
        <v>1854</v>
      </c>
      <c r="J933" t="s">
        <v>783</v>
      </c>
      <c r="K933" t="s">
        <v>2055</v>
      </c>
      <c r="L933" t="s">
        <v>806</v>
      </c>
      <c r="M933" t="s">
        <v>202</v>
      </c>
      <c r="N933" t="s">
        <v>770</v>
      </c>
      <c r="O933">
        <v>1</v>
      </c>
      <c r="P933" t="s">
        <v>776</v>
      </c>
      <c r="Q933">
        <v>14.9</v>
      </c>
      <c r="R933">
        <v>2.69</v>
      </c>
      <c r="Y933" t="s">
        <v>4566</v>
      </c>
      <c r="Z933" t="s">
        <v>2158</v>
      </c>
      <c r="AA933">
        <v>24040</v>
      </c>
      <c r="AB933" t="s">
        <v>11</v>
      </c>
    </row>
    <row r="934" spans="1:35" x14ac:dyDescent="0.25">
      <c r="A934" t="s">
        <v>4567</v>
      </c>
      <c r="B934" t="s">
        <v>4567</v>
      </c>
      <c r="C934" t="s">
        <v>4568</v>
      </c>
      <c r="D934" t="s">
        <v>4569</v>
      </c>
      <c r="E934" t="s">
        <v>770</v>
      </c>
      <c r="F934" t="s">
        <v>771</v>
      </c>
      <c r="G934" t="s">
        <v>1854</v>
      </c>
      <c r="J934" t="s">
        <v>783</v>
      </c>
      <c r="K934" t="s">
        <v>1862</v>
      </c>
      <c r="L934" t="s">
        <v>1505</v>
      </c>
      <c r="M934" t="s">
        <v>53</v>
      </c>
      <c r="N934" t="s">
        <v>770</v>
      </c>
      <c r="O934">
        <v>1</v>
      </c>
      <c r="P934" t="s">
        <v>776</v>
      </c>
      <c r="Q934">
        <v>32.9</v>
      </c>
      <c r="R934">
        <v>5.93</v>
      </c>
      <c r="Y934" t="s">
        <v>4570</v>
      </c>
      <c r="Z934" t="s">
        <v>3024</v>
      </c>
      <c r="AA934">
        <v>16167</v>
      </c>
      <c r="AB934" t="s">
        <v>11</v>
      </c>
    </row>
    <row r="935" spans="1:35" x14ac:dyDescent="0.25">
      <c r="A935" t="s">
        <v>4571</v>
      </c>
      <c r="B935" t="s">
        <v>4571</v>
      </c>
      <c r="C935" t="s">
        <v>4572</v>
      </c>
      <c r="D935" t="s">
        <v>4573</v>
      </c>
      <c r="E935" t="s">
        <v>770</v>
      </c>
      <c r="F935" t="s">
        <v>771</v>
      </c>
      <c r="G935" t="s">
        <v>1854</v>
      </c>
      <c r="J935" t="s">
        <v>783</v>
      </c>
      <c r="K935" t="s">
        <v>2162</v>
      </c>
      <c r="L935" t="s">
        <v>2163</v>
      </c>
      <c r="M935" t="s">
        <v>59</v>
      </c>
      <c r="N935" t="s">
        <v>770</v>
      </c>
      <c r="O935">
        <v>1</v>
      </c>
      <c r="P935" t="s">
        <v>776</v>
      </c>
      <c r="Q935">
        <v>29.9</v>
      </c>
      <c r="R935">
        <v>5.39</v>
      </c>
      <c r="Y935" t="s">
        <v>4574</v>
      </c>
      <c r="Z935" t="s">
        <v>2286</v>
      </c>
      <c r="AA935">
        <v>56021</v>
      </c>
      <c r="AB935" t="s">
        <v>11</v>
      </c>
    </row>
    <row r="936" spans="1:35" x14ac:dyDescent="0.25">
      <c r="A936" t="s">
        <v>4575</v>
      </c>
      <c r="B936" t="s">
        <v>4575</v>
      </c>
      <c r="C936" t="s">
        <v>4576</v>
      </c>
      <c r="D936" t="s">
        <v>4577</v>
      </c>
      <c r="E936" t="s">
        <v>770</v>
      </c>
      <c r="F936" t="s">
        <v>771</v>
      </c>
      <c r="G936" t="s">
        <v>1854</v>
      </c>
      <c r="J936" t="s">
        <v>783</v>
      </c>
      <c r="K936" t="s">
        <v>2712</v>
      </c>
      <c r="L936" t="s">
        <v>1800</v>
      </c>
      <c r="M936" t="s">
        <v>14</v>
      </c>
      <c r="N936" t="s">
        <v>770</v>
      </c>
      <c r="O936">
        <v>1</v>
      </c>
      <c r="P936" t="s">
        <v>776</v>
      </c>
      <c r="Q936">
        <v>14.9</v>
      </c>
      <c r="R936">
        <v>2.69</v>
      </c>
      <c r="Y936" t="s">
        <v>4578</v>
      </c>
      <c r="Z936" t="s">
        <v>1893</v>
      </c>
      <c r="AA936">
        <v>10064</v>
      </c>
      <c r="AB936" t="s">
        <v>11</v>
      </c>
    </row>
    <row r="937" spans="1:35" x14ac:dyDescent="0.25">
      <c r="A937" t="s">
        <v>4579</v>
      </c>
      <c r="B937" t="s">
        <v>4579</v>
      </c>
      <c r="C937" t="s">
        <v>4580</v>
      </c>
      <c r="D937" t="s">
        <v>4581</v>
      </c>
      <c r="E937" t="s">
        <v>770</v>
      </c>
      <c r="F937" t="s">
        <v>771</v>
      </c>
      <c r="G937" t="s">
        <v>1854</v>
      </c>
      <c r="J937" t="s">
        <v>783</v>
      </c>
      <c r="K937" t="s">
        <v>1862</v>
      </c>
      <c r="L937" t="s">
        <v>1505</v>
      </c>
      <c r="M937" t="s">
        <v>53</v>
      </c>
      <c r="N937" t="s">
        <v>770</v>
      </c>
      <c r="O937">
        <v>1</v>
      </c>
      <c r="P937" t="s">
        <v>776</v>
      </c>
      <c r="Q937">
        <v>32.9</v>
      </c>
      <c r="R937">
        <v>5.93</v>
      </c>
      <c r="Y937" t="s">
        <v>3121</v>
      </c>
      <c r="Z937" t="s">
        <v>4582</v>
      </c>
      <c r="AA937">
        <v>9170</v>
      </c>
      <c r="AB937" t="s">
        <v>11</v>
      </c>
    </row>
    <row r="938" spans="1:35" x14ac:dyDescent="0.25">
      <c r="A938" t="s">
        <v>4583</v>
      </c>
      <c r="B938" t="s">
        <v>4583</v>
      </c>
      <c r="C938" t="s">
        <v>4584</v>
      </c>
      <c r="D938" t="s">
        <v>4585</v>
      </c>
      <c r="E938" t="s">
        <v>770</v>
      </c>
      <c r="F938" t="s">
        <v>771</v>
      </c>
      <c r="G938" t="s">
        <v>1854</v>
      </c>
      <c r="J938" t="s">
        <v>783</v>
      </c>
      <c r="K938" t="s">
        <v>1930</v>
      </c>
      <c r="L938" t="s">
        <v>775</v>
      </c>
      <c r="M938" t="s">
        <v>65</v>
      </c>
      <c r="N938" t="s">
        <v>770</v>
      </c>
      <c r="O938">
        <v>1</v>
      </c>
      <c r="P938" t="s">
        <v>776</v>
      </c>
      <c r="Q938">
        <v>29.9</v>
      </c>
      <c r="R938">
        <v>5.39</v>
      </c>
      <c r="Y938" t="s">
        <v>4586</v>
      </c>
      <c r="Z938" t="s">
        <v>2454</v>
      </c>
      <c r="AA938">
        <v>71036</v>
      </c>
      <c r="AB938" t="s">
        <v>11</v>
      </c>
    </row>
    <row r="939" spans="1:35" x14ac:dyDescent="0.25">
      <c r="A939" t="s">
        <v>4587</v>
      </c>
      <c r="B939" t="s">
        <v>4587</v>
      </c>
      <c r="C939" t="s">
        <v>4588</v>
      </c>
      <c r="D939" t="s">
        <v>4589</v>
      </c>
      <c r="E939" t="s">
        <v>770</v>
      </c>
      <c r="F939" t="s">
        <v>771</v>
      </c>
      <c r="G939" t="s">
        <v>1854</v>
      </c>
      <c r="J939" t="s">
        <v>783</v>
      </c>
      <c r="K939" t="s">
        <v>1862</v>
      </c>
      <c r="L939" t="s">
        <v>1505</v>
      </c>
      <c r="M939" t="s">
        <v>53</v>
      </c>
      <c r="N939" t="s">
        <v>770</v>
      </c>
      <c r="O939">
        <v>1</v>
      </c>
      <c r="P939" t="s">
        <v>776</v>
      </c>
      <c r="Q939">
        <v>32.9</v>
      </c>
      <c r="R939">
        <v>5.93</v>
      </c>
      <c r="Y939" t="s">
        <v>4590</v>
      </c>
      <c r="Z939" t="s">
        <v>1903</v>
      </c>
      <c r="AA939">
        <v>39036</v>
      </c>
      <c r="AB939" t="s">
        <v>11</v>
      </c>
    </row>
    <row r="940" spans="1:35" x14ac:dyDescent="0.25">
      <c r="A940" t="s">
        <v>4591</v>
      </c>
      <c r="B940" t="s">
        <v>4591</v>
      </c>
      <c r="C940" t="s">
        <v>4592</v>
      </c>
      <c r="D940" t="s">
        <v>4593</v>
      </c>
      <c r="E940" t="s">
        <v>770</v>
      </c>
      <c r="F940" t="s">
        <v>771</v>
      </c>
      <c r="G940" t="s">
        <v>1854</v>
      </c>
      <c r="J940" t="s">
        <v>783</v>
      </c>
      <c r="K940" t="s">
        <v>1930</v>
      </c>
      <c r="L940" t="s">
        <v>775</v>
      </c>
      <c r="M940" t="s">
        <v>65</v>
      </c>
      <c r="N940" t="s">
        <v>770</v>
      </c>
      <c r="O940">
        <v>1</v>
      </c>
      <c r="P940" t="s">
        <v>776</v>
      </c>
      <c r="Q940">
        <v>29.9</v>
      </c>
      <c r="R940">
        <v>5.39</v>
      </c>
      <c r="Y940" t="s">
        <v>4594</v>
      </c>
      <c r="Z940" t="s">
        <v>3608</v>
      </c>
      <c r="AA940">
        <v>21012</v>
      </c>
      <c r="AB940" t="s">
        <v>11</v>
      </c>
    </row>
    <row r="941" spans="1:35" x14ac:dyDescent="0.25">
      <c r="A941" t="s">
        <v>4595</v>
      </c>
      <c r="B941" t="s">
        <v>4595</v>
      </c>
      <c r="C941" t="s">
        <v>4596</v>
      </c>
      <c r="D941" t="s">
        <v>4597</v>
      </c>
      <c r="E941" t="s">
        <v>770</v>
      </c>
      <c r="F941" t="s">
        <v>771</v>
      </c>
      <c r="G941" t="s">
        <v>1854</v>
      </c>
      <c r="J941" t="s">
        <v>783</v>
      </c>
      <c r="K941" t="s">
        <v>1855</v>
      </c>
      <c r="L941" t="s">
        <v>1856</v>
      </c>
      <c r="M941" t="s">
        <v>12</v>
      </c>
      <c r="N941" t="s">
        <v>770</v>
      </c>
      <c r="O941">
        <v>1</v>
      </c>
      <c r="P941" t="s">
        <v>776</v>
      </c>
      <c r="Q941">
        <v>19.899999999999999</v>
      </c>
      <c r="R941">
        <v>3.59</v>
      </c>
      <c r="Y941" t="s">
        <v>4598</v>
      </c>
      <c r="Z941" t="s">
        <v>1875</v>
      </c>
      <c r="AA941">
        <v>20090</v>
      </c>
      <c r="AB941" t="s">
        <v>11</v>
      </c>
    </row>
    <row r="942" spans="1:35" x14ac:dyDescent="0.25">
      <c r="A942" t="s">
        <v>4599</v>
      </c>
      <c r="B942" t="s">
        <v>4599</v>
      </c>
      <c r="C942" t="s">
        <v>4600</v>
      </c>
      <c r="D942" t="s">
        <v>4601</v>
      </c>
      <c r="E942" t="s">
        <v>770</v>
      </c>
      <c r="F942" t="s">
        <v>771</v>
      </c>
      <c r="G942" t="s">
        <v>1854</v>
      </c>
      <c r="J942" t="s">
        <v>783</v>
      </c>
      <c r="K942" t="s">
        <v>1930</v>
      </c>
      <c r="L942" t="s">
        <v>775</v>
      </c>
      <c r="M942" t="s">
        <v>65</v>
      </c>
      <c r="N942" t="s">
        <v>770</v>
      </c>
      <c r="O942">
        <v>1</v>
      </c>
      <c r="P942" t="s">
        <v>776</v>
      </c>
      <c r="Q942">
        <v>29.9</v>
      </c>
      <c r="R942">
        <v>5.39</v>
      </c>
      <c r="Y942" t="s">
        <v>2134</v>
      </c>
      <c r="Z942" t="s">
        <v>1926</v>
      </c>
      <c r="AA942">
        <v>133</v>
      </c>
      <c r="AB942" t="s">
        <v>11</v>
      </c>
      <c r="AG942">
        <v>9693360589</v>
      </c>
      <c r="AH942" t="s">
        <v>11</v>
      </c>
      <c r="AI942" t="s">
        <v>1258</v>
      </c>
    </row>
    <row r="943" spans="1:35" x14ac:dyDescent="0.25">
      <c r="A943" t="s">
        <v>4602</v>
      </c>
      <c r="B943" t="s">
        <v>4602</v>
      </c>
      <c r="C943" t="s">
        <v>4603</v>
      </c>
      <c r="D943" t="s">
        <v>4604</v>
      </c>
      <c r="E943" t="s">
        <v>770</v>
      </c>
      <c r="F943" t="s">
        <v>771</v>
      </c>
      <c r="G943" t="s">
        <v>1854</v>
      </c>
      <c r="J943" t="s">
        <v>783</v>
      </c>
      <c r="K943" t="s">
        <v>1862</v>
      </c>
      <c r="L943" t="s">
        <v>1505</v>
      </c>
      <c r="M943" t="s">
        <v>53</v>
      </c>
      <c r="N943" t="s">
        <v>770</v>
      </c>
      <c r="O943">
        <v>1</v>
      </c>
      <c r="P943" t="s">
        <v>776</v>
      </c>
      <c r="Q943">
        <v>32.9</v>
      </c>
      <c r="R943">
        <v>5.93</v>
      </c>
      <c r="Y943" t="s">
        <v>1913</v>
      </c>
      <c r="Z943" t="s">
        <v>1926</v>
      </c>
      <c r="AA943">
        <v>172</v>
      </c>
      <c r="AB943" t="s">
        <v>11</v>
      </c>
    </row>
    <row r="944" spans="1:35" x14ac:dyDescent="0.25">
      <c r="A944" t="s">
        <v>4605</v>
      </c>
      <c r="B944" t="s">
        <v>4605</v>
      </c>
      <c r="C944" t="s">
        <v>4606</v>
      </c>
      <c r="D944" t="s">
        <v>4607</v>
      </c>
      <c r="E944" t="s">
        <v>770</v>
      </c>
      <c r="F944" t="s">
        <v>771</v>
      </c>
      <c r="G944" t="s">
        <v>1854</v>
      </c>
      <c r="J944" t="s">
        <v>783</v>
      </c>
      <c r="K944" t="s">
        <v>2162</v>
      </c>
      <c r="L944" t="s">
        <v>2163</v>
      </c>
      <c r="M944" t="s">
        <v>59</v>
      </c>
      <c r="N944" t="s">
        <v>770</v>
      </c>
      <c r="O944">
        <v>1</v>
      </c>
      <c r="P944" t="s">
        <v>776</v>
      </c>
      <c r="Q944">
        <v>29.9</v>
      </c>
      <c r="R944">
        <v>5.39</v>
      </c>
      <c r="Y944" t="s">
        <v>4608</v>
      </c>
      <c r="Z944" t="s">
        <v>2367</v>
      </c>
      <c r="AA944">
        <v>67069</v>
      </c>
      <c r="AB944" t="s">
        <v>11</v>
      </c>
    </row>
    <row r="945" spans="1:28" x14ac:dyDescent="0.25">
      <c r="A945" t="s">
        <v>4609</v>
      </c>
      <c r="B945" t="s">
        <v>4609</v>
      </c>
      <c r="C945" t="s">
        <v>4610</v>
      </c>
      <c r="D945" t="s">
        <v>4611</v>
      </c>
      <c r="E945" t="s">
        <v>770</v>
      </c>
      <c r="F945" t="s">
        <v>771</v>
      </c>
      <c r="G945" t="s">
        <v>1854</v>
      </c>
      <c r="J945" t="s">
        <v>783</v>
      </c>
      <c r="K945" t="s">
        <v>2248</v>
      </c>
      <c r="L945" t="s">
        <v>2772</v>
      </c>
      <c r="M945" t="s">
        <v>172</v>
      </c>
      <c r="N945" t="s">
        <v>770</v>
      </c>
      <c r="O945">
        <v>1</v>
      </c>
      <c r="P945" t="s">
        <v>776</v>
      </c>
      <c r="Q945">
        <v>39.9</v>
      </c>
      <c r="R945">
        <v>7.2</v>
      </c>
      <c r="Y945" t="s">
        <v>4612</v>
      </c>
      <c r="Z945" t="s">
        <v>1908</v>
      </c>
      <c r="AA945">
        <v>80036</v>
      </c>
      <c r="AB945" t="s">
        <v>11</v>
      </c>
    </row>
    <row r="946" spans="1:28" x14ac:dyDescent="0.25">
      <c r="A946" t="s">
        <v>4613</v>
      </c>
      <c r="B946" t="s">
        <v>4613</v>
      </c>
      <c r="C946" t="s">
        <v>4614</v>
      </c>
      <c r="D946" t="s">
        <v>4615</v>
      </c>
      <c r="E946" t="s">
        <v>770</v>
      </c>
      <c r="F946" t="s">
        <v>771</v>
      </c>
      <c r="G946" t="s">
        <v>1854</v>
      </c>
      <c r="J946" t="s">
        <v>783</v>
      </c>
      <c r="K946" t="s">
        <v>1855</v>
      </c>
      <c r="L946" t="s">
        <v>1856</v>
      </c>
      <c r="M946" t="s">
        <v>12</v>
      </c>
      <c r="N946" t="s">
        <v>770</v>
      </c>
      <c r="O946">
        <v>1</v>
      </c>
      <c r="P946" t="s">
        <v>776</v>
      </c>
      <c r="Q946">
        <v>19.899999999999999</v>
      </c>
      <c r="R946">
        <v>3.59</v>
      </c>
      <c r="Y946" t="s">
        <v>1913</v>
      </c>
      <c r="Z946" t="s">
        <v>1913</v>
      </c>
      <c r="AA946">
        <v>198</v>
      </c>
      <c r="AB946" t="s">
        <v>11</v>
      </c>
    </row>
    <row r="947" spans="1:28" x14ac:dyDescent="0.25">
      <c r="A947" t="s">
        <v>4616</v>
      </c>
      <c r="B947" t="s">
        <v>4616</v>
      </c>
      <c r="C947" t="s">
        <v>4617</v>
      </c>
      <c r="D947" t="s">
        <v>4618</v>
      </c>
      <c r="E947" t="s">
        <v>770</v>
      </c>
      <c r="F947" t="s">
        <v>771</v>
      </c>
      <c r="G947" t="s">
        <v>1854</v>
      </c>
      <c r="J947" t="s">
        <v>783</v>
      </c>
      <c r="K947" t="s">
        <v>1930</v>
      </c>
      <c r="L947" t="s">
        <v>775</v>
      </c>
      <c r="M947" t="s">
        <v>65</v>
      </c>
      <c r="N947" t="s">
        <v>770</v>
      </c>
      <c r="O947">
        <v>2</v>
      </c>
      <c r="P947" t="s">
        <v>776</v>
      </c>
      <c r="Q947">
        <v>59.8</v>
      </c>
      <c r="R947">
        <v>10.78</v>
      </c>
      <c r="S947">
        <v>4.99</v>
      </c>
      <c r="T947">
        <v>0.9</v>
      </c>
      <c r="Y947" t="s">
        <v>4619</v>
      </c>
      <c r="Z947" t="s">
        <v>2597</v>
      </c>
      <c r="AA947">
        <v>70020</v>
      </c>
      <c r="AB947" t="s">
        <v>11</v>
      </c>
    </row>
    <row r="948" spans="1:28" x14ac:dyDescent="0.25">
      <c r="A948" t="s">
        <v>4620</v>
      </c>
      <c r="B948" t="s">
        <v>4620</v>
      </c>
      <c r="C948" t="s">
        <v>4621</v>
      </c>
      <c r="D948" t="s">
        <v>4622</v>
      </c>
      <c r="E948" t="s">
        <v>770</v>
      </c>
      <c r="F948" t="s">
        <v>771</v>
      </c>
      <c r="G948" t="s">
        <v>1854</v>
      </c>
      <c r="J948" t="s">
        <v>783</v>
      </c>
      <c r="K948" t="s">
        <v>1855</v>
      </c>
      <c r="L948" t="s">
        <v>1856</v>
      </c>
      <c r="M948" t="s">
        <v>12</v>
      </c>
      <c r="N948" t="s">
        <v>770</v>
      </c>
      <c r="O948">
        <v>1</v>
      </c>
      <c r="P948" t="s">
        <v>776</v>
      </c>
      <c r="Q948">
        <v>19.899999999999999</v>
      </c>
      <c r="R948">
        <v>3.59</v>
      </c>
      <c r="Y948" t="s">
        <v>4623</v>
      </c>
      <c r="Z948" t="s">
        <v>3645</v>
      </c>
      <c r="AA948">
        <v>35010</v>
      </c>
      <c r="AB948" t="s">
        <v>11</v>
      </c>
    </row>
    <row r="949" spans="1:28" x14ac:dyDescent="0.25">
      <c r="A949" t="s">
        <v>4624</v>
      </c>
      <c r="B949" t="s">
        <v>4624</v>
      </c>
      <c r="C949" t="s">
        <v>4625</v>
      </c>
      <c r="D949" t="s">
        <v>4626</v>
      </c>
      <c r="E949" t="s">
        <v>770</v>
      </c>
      <c r="F949" t="s">
        <v>771</v>
      </c>
      <c r="G949" t="s">
        <v>1854</v>
      </c>
      <c r="J949" t="s">
        <v>783</v>
      </c>
      <c r="K949" t="s">
        <v>1862</v>
      </c>
      <c r="L949" t="s">
        <v>1505</v>
      </c>
      <c r="M949" t="s">
        <v>53</v>
      </c>
      <c r="N949" t="s">
        <v>770</v>
      </c>
      <c r="O949">
        <v>1</v>
      </c>
      <c r="P949" t="s">
        <v>776</v>
      </c>
      <c r="Q949">
        <v>32.9</v>
      </c>
      <c r="R949">
        <v>5.93</v>
      </c>
      <c r="Y949" t="s">
        <v>3512</v>
      </c>
      <c r="Z949" t="s">
        <v>4263</v>
      </c>
      <c r="AA949">
        <v>32100</v>
      </c>
      <c r="AB949" t="s">
        <v>11</v>
      </c>
    </row>
    <row r="950" spans="1:28" x14ac:dyDescent="0.25">
      <c r="A950" t="s">
        <v>4627</v>
      </c>
      <c r="B950" t="s">
        <v>4627</v>
      </c>
      <c r="C950" t="s">
        <v>4628</v>
      </c>
      <c r="D950" t="s">
        <v>4629</v>
      </c>
      <c r="E950" t="s">
        <v>770</v>
      </c>
      <c r="F950" t="s">
        <v>771</v>
      </c>
      <c r="G950" t="s">
        <v>1854</v>
      </c>
      <c r="J950" t="s">
        <v>783</v>
      </c>
      <c r="K950" t="s">
        <v>2162</v>
      </c>
      <c r="L950" t="s">
        <v>2163</v>
      </c>
      <c r="M950" t="s">
        <v>59</v>
      </c>
      <c r="N950" t="s">
        <v>770</v>
      </c>
      <c r="O950">
        <v>1</v>
      </c>
      <c r="P950" t="s">
        <v>776</v>
      </c>
      <c r="Q950">
        <v>29.9</v>
      </c>
      <c r="R950">
        <v>5.39</v>
      </c>
      <c r="Y950" t="s">
        <v>4630</v>
      </c>
      <c r="Z950" t="s">
        <v>4631</v>
      </c>
      <c r="AA950">
        <v>26029</v>
      </c>
      <c r="AB950" t="s">
        <v>11</v>
      </c>
    </row>
    <row r="951" spans="1:28" x14ac:dyDescent="0.25">
      <c r="A951" t="s">
        <v>4632</v>
      </c>
      <c r="C951" t="s">
        <v>4633</v>
      </c>
      <c r="D951" t="s">
        <v>4634</v>
      </c>
      <c r="E951" t="s">
        <v>770</v>
      </c>
      <c r="F951" t="s">
        <v>1884</v>
      </c>
      <c r="G951" t="s">
        <v>1854</v>
      </c>
      <c r="H951" t="s">
        <v>1885</v>
      </c>
      <c r="J951" t="s">
        <v>773</v>
      </c>
      <c r="K951" t="s">
        <v>2252</v>
      </c>
      <c r="L951" t="s">
        <v>74</v>
      </c>
      <c r="M951" t="s">
        <v>73</v>
      </c>
      <c r="N951" t="s">
        <v>770</v>
      </c>
      <c r="O951">
        <v>1</v>
      </c>
      <c r="P951" t="s">
        <v>776</v>
      </c>
      <c r="Q951">
        <v>14.9</v>
      </c>
      <c r="R951">
        <v>2.69</v>
      </c>
      <c r="S951">
        <v>3</v>
      </c>
      <c r="T951">
        <v>0.54</v>
      </c>
      <c r="Y951" t="s">
        <v>4635</v>
      </c>
      <c r="Z951" t="s">
        <v>2342</v>
      </c>
      <c r="AA951">
        <v>90011</v>
      </c>
      <c r="AB951" t="s">
        <v>11</v>
      </c>
    </row>
    <row r="952" spans="1:28" x14ac:dyDescent="0.25">
      <c r="A952" t="s">
        <v>4636</v>
      </c>
      <c r="B952" t="s">
        <v>4636</v>
      </c>
      <c r="C952" t="s">
        <v>4637</v>
      </c>
      <c r="D952" t="s">
        <v>4638</v>
      </c>
      <c r="E952" t="s">
        <v>770</v>
      </c>
      <c r="F952" t="s">
        <v>771</v>
      </c>
      <c r="G952" t="s">
        <v>1854</v>
      </c>
      <c r="J952" t="s">
        <v>783</v>
      </c>
      <c r="K952" t="s">
        <v>1862</v>
      </c>
      <c r="L952" t="s">
        <v>1505</v>
      </c>
      <c r="M952" t="s">
        <v>53</v>
      </c>
      <c r="N952" t="s">
        <v>770</v>
      </c>
      <c r="O952">
        <v>1</v>
      </c>
      <c r="P952" t="s">
        <v>776</v>
      </c>
      <c r="Q952">
        <v>32.9</v>
      </c>
      <c r="R952">
        <v>5.93</v>
      </c>
      <c r="S952">
        <v>1.66</v>
      </c>
      <c r="T952">
        <v>0.3</v>
      </c>
      <c r="Y952" t="s">
        <v>1917</v>
      </c>
      <c r="Z952" t="s">
        <v>1875</v>
      </c>
      <c r="AA952">
        <v>20122</v>
      </c>
      <c r="AB952" t="s">
        <v>11</v>
      </c>
    </row>
    <row r="953" spans="1:28" x14ac:dyDescent="0.25">
      <c r="A953" t="s">
        <v>4639</v>
      </c>
      <c r="B953" t="s">
        <v>4639</v>
      </c>
      <c r="C953" t="s">
        <v>4640</v>
      </c>
      <c r="D953" t="s">
        <v>4641</v>
      </c>
      <c r="E953" t="s">
        <v>770</v>
      </c>
      <c r="F953" t="s">
        <v>771</v>
      </c>
      <c r="G953" t="s">
        <v>1854</v>
      </c>
      <c r="J953" t="s">
        <v>783</v>
      </c>
      <c r="K953" t="s">
        <v>1862</v>
      </c>
      <c r="L953" t="s">
        <v>1505</v>
      </c>
      <c r="M953" t="s">
        <v>53</v>
      </c>
      <c r="N953" t="s">
        <v>770</v>
      </c>
      <c r="O953">
        <v>1</v>
      </c>
      <c r="P953" t="s">
        <v>776</v>
      </c>
      <c r="Q953">
        <v>32.9</v>
      </c>
      <c r="R953">
        <v>5.93</v>
      </c>
      <c r="Y953" t="s">
        <v>4642</v>
      </c>
      <c r="Z953" t="s">
        <v>2020</v>
      </c>
      <c r="AA953">
        <v>4020</v>
      </c>
      <c r="AB953" t="s">
        <v>11</v>
      </c>
    </row>
    <row r="954" spans="1:28" x14ac:dyDescent="0.25">
      <c r="A954" t="s">
        <v>4643</v>
      </c>
      <c r="B954" t="s">
        <v>4643</v>
      </c>
      <c r="C954" t="s">
        <v>4644</v>
      </c>
      <c r="D954" t="s">
        <v>4645</v>
      </c>
      <c r="E954" t="s">
        <v>770</v>
      </c>
      <c r="F954" t="s">
        <v>771</v>
      </c>
      <c r="G954" t="s">
        <v>1854</v>
      </c>
      <c r="J954" t="s">
        <v>783</v>
      </c>
      <c r="K954" t="s">
        <v>1862</v>
      </c>
      <c r="L954" t="s">
        <v>1505</v>
      </c>
      <c r="M954" t="s">
        <v>53</v>
      </c>
      <c r="N954" t="s">
        <v>770</v>
      </c>
      <c r="O954">
        <v>1</v>
      </c>
      <c r="P954" t="s">
        <v>776</v>
      </c>
      <c r="Q954">
        <v>32.9</v>
      </c>
      <c r="R954">
        <v>5.93</v>
      </c>
      <c r="Y954" t="s">
        <v>1893</v>
      </c>
      <c r="Z954" t="s">
        <v>4646</v>
      </c>
      <c r="AA954">
        <v>10121</v>
      </c>
      <c r="AB954" t="s">
        <v>11</v>
      </c>
    </row>
    <row r="955" spans="1:28" x14ac:dyDescent="0.25">
      <c r="A955" t="s">
        <v>4647</v>
      </c>
      <c r="B955" t="s">
        <v>4647</v>
      </c>
      <c r="C955" t="s">
        <v>4648</v>
      </c>
      <c r="D955" t="s">
        <v>4649</v>
      </c>
      <c r="E955" t="s">
        <v>770</v>
      </c>
      <c r="F955" t="s">
        <v>771</v>
      </c>
      <c r="G955" t="s">
        <v>1854</v>
      </c>
      <c r="J955" t="s">
        <v>783</v>
      </c>
      <c r="K955" t="s">
        <v>1873</v>
      </c>
      <c r="L955" t="s">
        <v>840</v>
      </c>
      <c r="M955" t="s">
        <v>26</v>
      </c>
      <c r="N955" t="s">
        <v>770</v>
      </c>
      <c r="O955">
        <v>1</v>
      </c>
      <c r="P955" t="s">
        <v>776</v>
      </c>
      <c r="Q955">
        <v>34.9</v>
      </c>
      <c r="R955">
        <v>6.29</v>
      </c>
      <c r="S955">
        <v>1.0900000000000001</v>
      </c>
      <c r="X955">
        <v>1.0900000000000001</v>
      </c>
      <c r="Y955" t="s">
        <v>2342</v>
      </c>
      <c r="Z955" t="s">
        <v>3886</v>
      </c>
      <c r="AA955">
        <v>90147</v>
      </c>
      <c r="AB955" t="s">
        <v>11</v>
      </c>
    </row>
    <row r="956" spans="1:28" x14ac:dyDescent="0.25">
      <c r="A956" t="s">
        <v>4650</v>
      </c>
      <c r="B956" t="s">
        <v>4650</v>
      </c>
      <c r="C956" t="s">
        <v>4651</v>
      </c>
      <c r="D956" t="s">
        <v>4652</v>
      </c>
      <c r="E956" t="s">
        <v>770</v>
      </c>
      <c r="F956" t="s">
        <v>771</v>
      </c>
      <c r="G956" t="s">
        <v>1854</v>
      </c>
      <c r="J956" t="s">
        <v>783</v>
      </c>
      <c r="K956" t="s">
        <v>1855</v>
      </c>
      <c r="L956" t="s">
        <v>1856</v>
      </c>
      <c r="M956" t="s">
        <v>12</v>
      </c>
      <c r="N956" t="s">
        <v>770</v>
      </c>
      <c r="O956">
        <v>1</v>
      </c>
      <c r="P956" t="s">
        <v>776</v>
      </c>
      <c r="Q956">
        <v>19.899999999999999</v>
      </c>
      <c r="R956">
        <v>3.59</v>
      </c>
      <c r="Y956" t="s">
        <v>3622</v>
      </c>
      <c r="Z956" t="s">
        <v>4653</v>
      </c>
      <c r="AA956">
        <v>54100</v>
      </c>
      <c r="AB956" t="s">
        <v>11</v>
      </c>
    </row>
    <row r="957" spans="1:28" x14ac:dyDescent="0.25">
      <c r="A957" t="s">
        <v>4654</v>
      </c>
      <c r="B957" t="s">
        <v>4654</v>
      </c>
      <c r="C957" t="s">
        <v>4655</v>
      </c>
      <c r="D957" t="s">
        <v>4656</v>
      </c>
      <c r="E957" t="s">
        <v>770</v>
      </c>
      <c r="F957" t="s">
        <v>771</v>
      </c>
      <c r="G957" t="s">
        <v>1854</v>
      </c>
      <c r="J957" t="s">
        <v>783</v>
      </c>
      <c r="K957" t="s">
        <v>1855</v>
      </c>
      <c r="L957" t="s">
        <v>1856</v>
      </c>
      <c r="M957" t="s">
        <v>12</v>
      </c>
      <c r="N957" t="s">
        <v>770</v>
      </c>
      <c r="O957">
        <v>1</v>
      </c>
      <c r="P957" t="s">
        <v>776</v>
      </c>
      <c r="Q957">
        <v>19.899999999999999</v>
      </c>
      <c r="R957">
        <v>3.59</v>
      </c>
      <c r="Y957" t="s">
        <v>4657</v>
      </c>
      <c r="Z957" t="s">
        <v>3685</v>
      </c>
      <c r="AA957">
        <v>81030</v>
      </c>
      <c r="AB957" t="s">
        <v>11</v>
      </c>
    </row>
    <row r="958" spans="1:28" x14ac:dyDescent="0.25">
      <c r="A958" t="s">
        <v>4658</v>
      </c>
      <c r="B958" t="s">
        <v>4658</v>
      </c>
      <c r="C958" t="s">
        <v>4659</v>
      </c>
      <c r="D958" t="s">
        <v>4660</v>
      </c>
      <c r="E958" t="s">
        <v>770</v>
      </c>
      <c r="F958" t="s">
        <v>771</v>
      </c>
      <c r="G958" t="s">
        <v>1854</v>
      </c>
      <c r="I958" t="s">
        <v>2692</v>
      </c>
      <c r="J958" t="s">
        <v>783</v>
      </c>
      <c r="K958" t="s">
        <v>2712</v>
      </c>
      <c r="L958" t="s">
        <v>1800</v>
      </c>
      <c r="M958" t="s">
        <v>14</v>
      </c>
      <c r="N958" t="s">
        <v>770</v>
      </c>
      <c r="O958">
        <v>1</v>
      </c>
      <c r="P958" t="s">
        <v>776</v>
      </c>
      <c r="Q958">
        <v>14.9</v>
      </c>
      <c r="R958">
        <v>2.69</v>
      </c>
      <c r="Y958" t="s">
        <v>2693</v>
      </c>
      <c r="Z958" t="s">
        <v>2148</v>
      </c>
      <c r="AA958">
        <v>45020</v>
      </c>
      <c r="AB958" t="s">
        <v>11</v>
      </c>
    </row>
    <row r="959" spans="1:28" x14ac:dyDescent="0.25">
      <c r="A959" t="s">
        <v>4661</v>
      </c>
      <c r="B959" t="s">
        <v>4661</v>
      </c>
      <c r="C959" t="s">
        <v>4662</v>
      </c>
      <c r="D959" t="s">
        <v>4663</v>
      </c>
      <c r="E959" t="s">
        <v>770</v>
      </c>
      <c r="F959" t="s">
        <v>771</v>
      </c>
      <c r="G959" t="s">
        <v>1854</v>
      </c>
      <c r="J959" t="s">
        <v>783</v>
      </c>
      <c r="K959" t="s">
        <v>1930</v>
      </c>
      <c r="L959" t="s">
        <v>775</v>
      </c>
      <c r="M959" t="s">
        <v>65</v>
      </c>
      <c r="N959" t="s">
        <v>770</v>
      </c>
      <c r="O959">
        <v>1</v>
      </c>
      <c r="P959" t="s">
        <v>776</v>
      </c>
      <c r="Q959">
        <v>29.9</v>
      </c>
      <c r="R959">
        <v>5.39</v>
      </c>
      <c r="Y959" t="s">
        <v>2046</v>
      </c>
      <c r="Z959" t="s">
        <v>2046</v>
      </c>
      <c r="AA959">
        <v>89132</v>
      </c>
      <c r="AB959" t="s">
        <v>11</v>
      </c>
    </row>
    <row r="960" spans="1:28" x14ac:dyDescent="0.25">
      <c r="A960" t="s">
        <v>4664</v>
      </c>
      <c r="B960" t="s">
        <v>4664</v>
      </c>
      <c r="C960" t="s">
        <v>4665</v>
      </c>
      <c r="D960" t="s">
        <v>4666</v>
      </c>
      <c r="E960" t="s">
        <v>770</v>
      </c>
      <c r="F960" t="s">
        <v>771</v>
      </c>
      <c r="G960" t="s">
        <v>1854</v>
      </c>
      <c r="J960" t="s">
        <v>783</v>
      </c>
      <c r="K960" t="s">
        <v>1879</v>
      </c>
      <c r="L960" t="s">
        <v>1056</v>
      </c>
      <c r="M960" t="s">
        <v>212</v>
      </c>
      <c r="N960" t="s">
        <v>770</v>
      </c>
      <c r="O960">
        <v>1</v>
      </c>
      <c r="P960" t="s">
        <v>776</v>
      </c>
      <c r="Q960">
        <v>39.9</v>
      </c>
      <c r="R960">
        <v>7.2</v>
      </c>
      <c r="S960">
        <v>3.27</v>
      </c>
      <c r="X960">
        <v>3.27</v>
      </c>
      <c r="Y960" t="s">
        <v>4667</v>
      </c>
      <c r="Z960" t="s">
        <v>2179</v>
      </c>
      <c r="AA960">
        <v>29012</v>
      </c>
      <c r="AB960" t="s">
        <v>11</v>
      </c>
    </row>
    <row r="961" spans="1:35" x14ac:dyDescent="0.25">
      <c r="A961" t="s">
        <v>4668</v>
      </c>
      <c r="B961" t="s">
        <v>4668</v>
      </c>
      <c r="C961" t="s">
        <v>4669</v>
      </c>
      <c r="D961" t="s">
        <v>4670</v>
      </c>
      <c r="E961" t="s">
        <v>770</v>
      </c>
      <c r="F961" t="s">
        <v>771</v>
      </c>
      <c r="G961" t="s">
        <v>1854</v>
      </c>
      <c r="J961" t="s">
        <v>783</v>
      </c>
      <c r="K961" t="s">
        <v>1855</v>
      </c>
      <c r="L961" t="s">
        <v>1856</v>
      </c>
      <c r="M961" t="s">
        <v>12</v>
      </c>
      <c r="N961" t="s">
        <v>770</v>
      </c>
      <c r="O961">
        <v>1</v>
      </c>
      <c r="P961" t="s">
        <v>776</v>
      </c>
      <c r="Q961">
        <v>19.899999999999999</v>
      </c>
      <c r="R961">
        <v>3.59</v>
      </c>
      <c r="Y961" t="s">
        <v>1893</v>
      </c>
      <c r="Z961" t="s">
        <v>1893</v>
      </c>
      <c r="AA961">
        <v>10137</v>
      </c>
      <c r="AB961" t="s">
        <v>11</v>
      </c>
    </row>
    <row r="962" spans="1:35" x14ac:dyDescent="0.25">
      <c r="A962" t="s">
        <v>4671</v>
      </c>
      <c r="B962" t="s">
        <v>4671</v>
      </c>
      <c r="C962" t="s">
        <v>4672</v>
      </c>
      <c r="D962" t="s">
        <v>4673</v>
      </c>
      <c r="E962" t="s">
        <v>770</v>
      </c>
      <c r="F962" t="s">
        <v>771</v>
      </c>
      <c r="G962" t="s">
        <v>1854</v>
      </c>
      <c r="J962" t="s">
        <v>783</v>
      </c>
      <c r="K962" t="s">
        <v>2396</v>
      </c>
      <c r="L962" t="s">
        <v>1792</v>
      </c>
      <c r="M962" t="s">
        <v>88</v>
      </c>
      <c r="N962" t="s">
        <v>770</v>
      </c>
      <c r="O962">
        <v>1</v>
      </c>
      <c r="P962" t="s">
        <v>776</v>
      </c>
      <c r="Q962">
        <v>59.9</v>
      </c>
      <c r="R962">
        <v>10.8</v>
      </c>
      <c r="Y962" t="s">
        <v>1913</v>
      </c>
      <c r="Z962" t="s">
        <v>1926</v>
      </c>
      <c r="AA962">
        <v>126</v>
      </c>
      <c r="AB962" t="s">
        <v>11</v>
      </c>
    </row>
    <row r="963" spans="1:35" x14ac:dyDescent="0.25">
      <c r="A963" t="s">
        <v>4674</v>
      </c>
      <c r="B963" t="s">
        <v>4674</v>
      </c>
      <c r="C963" t="s">
        <v>4675</v>
      </c>
      <c r="D963" t="s">
        <v>4676</v>
      </c>
      <c r="E963" t="s">
        <v>770</v>
      </c>
      <c r="F963" t="s">
        <v>771</v>
      </c>
      <c r="G963" t="s">
        <v>1854</v>
      </c>
      <c r="J963" t="s">
        <v>783</v>
      </c>
      <c r="K963" t="s">
        <v>1873</v>
      </c>
      <c r="L963" t="s">
        <v>840</v>
      </c>
      <c r="M963" t="s">
        <v>26</v>
      </c>
      <c r="N963" t="s">
        <v>770</v>
      </c>
      <c r="O963">
        <v>1</v>
      </c>
      <c r="P963" t="s">
        <v>776</v>
      </c>
      <c r="Q963">
        <v>34.9</v>
      </c>
      <c r="R963">
        <v>6.29</v>
      </c>
      <c r="Y963" t="s">
        <v>1903</v>
      </c>
      <c r="Z963" t="s">
        <v>1903</v>
      </c>
      <c r="AA963">
        <v>39100</v>
      </c>
      <c r="AB963" t="s">
        <v>11</v>
      </c>
    </row>
    <row r="964" spans="1:35" x14ac:dyDescent="0.25">
      <c r="A964" t="s">
        <v>4677</v>
      </c>
      <c r="B964" t="s">
        <v>4677</v>
      </c>
      <c r="C964" t="s">
        <v>4678</v>
      </c>
      <c r="D964" t="s">
        <v>4679</v>
      </c>
      <c r="E964" t="s">
        <v>770</v>
      </c>
      <c r="F964" t="s">
        <v>771</v>
      </c>
      <c r="G964" t="s">
        <v>1854</v>
      </c>
      <c r="I964" t="s">
        <v>2692</v>
      </c>
      <c r="J964" t="s">
        <v>783</v>
      </c>
      <c r="K964" t="s">
        <v>2712</v>
      </c>
      <c r="L964" t="s">
        <v>1800</v>
      </c>
      <c r="M964" t="s">
        <v>14</v>
      </c>
      <c r="N964" t="s">
        <v>770</v>
      </c>
      <c r="O964">
        <v>1</v>
      </c>
      <c r="P964" t="s">
        <v>776</v>
      </c>
      <c r="Q964">
        <v>14.9</v>
      </c>
      <c r="R964">
        <v>2.69</v>
      </c>
      <c r="Y964" t="s">
        <v>2693</v>
      </c>
      <c r="Z964" t="s">
        <v>2148</v>
      </c>
      <c r="AA964">
        <v>45020</v>
      </c>
      <c r="AB964" t="s">
        <v>11</v>
      </c>
    </row>
    <row r="965" spans="1:35" x14ac:dyDescent="0.25">
      <c r="A965" t="s">
        <v>4680</v>
      </c>
      <c r="B965" t="s">
        <v>4680</v>
      </c>
      <c r="C965" t="s">
        <v>4681</v>
      </c>
      <c r="D965" t="s">
        <v>4682</v>
      </c>
      <c r="E965" t="s">
        <v>770</v>
      </c>
      <c r="F965" t="s">
        <v>771</v>
      </c>
      <c r="G965" t="s">
        <v>1854</v>
      </c>
      <c r="J965" t="s">
        <v>783</v>
      </c>
      <c r="K965" t="s">
        <v>1862</v>
      </c>
      <c r="L965" t="s">
        <v>1505</v>
      </c>
      <c r="M965" t="s">
        <v>53</v>
      </c>
      <c r="N965" t="s">
        <v>770</v>
      </c>
      <c r="O965">
        <v>1</v>
      </c>
      <c r="P965" t="s">
        <v>776</v>
      </c>
      <c r="Q965">
        <v>32.9</v>
      </c>
      <c r="R965">
        <v>5.93</v>
      </c>
      <c r="S965">
        <v>4.99</v>
      </c>
      <c r="T965">
        <v>0.9</v>
      </c>
      <c r="Y965" t="s">
        <v>4683</v>
      </c>
      <c r="Z965" t="s">
        <v>4066</v>
      </c>
      <c r="AA965">
        <v>52025</v>
      </c>
      <c r="AB965" t="s">
        <v>11</v>
      </c>
    </row>
    <row r="966" spans="1:35" x14ac:dyDescent="0.25">
      <c r="A966" t="s">
        <v>4684</v>
      </c>
      <c r="C966" t="s">
        <v>4685</v>
      </c>
      <c r="D966" t="s">
        <v>4686</v>
      </c>
      <c r="E966" t="s">
        <v>770</v>
      </c>
      <c r="F966" t="s">
        <v>1884</v>
      </c>
      <c r="G966" t="s">
        <v>1854</v>
      </c>
      <c r="H966" t="s">
        <v>1885</v>
      </c>
      <c r="J966" t="s">
        <v>773</v>
      </c>
      <c r="K966" t="s">
        <v>3363</v>
      </c>
      <c r="L966" s="2">
        <v>40490</v>
      </c>
      <c r="M966" t="s">
        <v>71</v>
      </c>
      <c r="N966" t="s">
        <v>770</v>
      </c>
      <c r="O966">
        <v>2</v>
      </c>
      <c r="P966" t="s">
        <v>776</v>
      </c>
      <c r="Q966">
        <v>59.8</v>
      </c>
      <c r="R966">
        <v>10.78</v>
      </c>
      <c r="S966">
        <v>6</v>
      </c>
      <c r="T966">
        <v>1.08</v>
      </c>
      <c r="Y966" t="s">
        <v>4687</v>
      </c>
      <c r="Z966" t="s">
        <v>2111</v>
      </c>
      <c r="AA966">
        <v>42028</v>
      </c>
      <c r="AB966" t="s">
        <v>11</v>
      </c>
      <c r="AG966">
        <v>3038360354</v>
      </c>
      <c r="AH966" t="s">
        <v>11</v>
      </c>
      <c r="AI966" t="s">
        <v>1258</v>
      </c>
    </row>
    <row r="967" spans="1:35" x14ac:dyDescent="0.25">
      <c r="A967" t="s">
        <v>4688</v>
      </c>
      <c r="B967" t="s">
        <v>4688</v>
      </c>
      <c r="C967" t="s">
        <v>4689</v>
      </c>
      <c r="D967" t="s">
        <v>4690</v>
      </c>
      <c r="E967" t="s">
        <v>770</v>
      </c>
      <c r="F967" t="s">
        <v>771</v>
      </c>
      <c r="G967" t="s">
        <v>1854</v>
      </c>
      <c r="J967" t="s">
        <v>783</v>
      </c>
      <c r="K967" t="s">
        <v>2055</v>
      </c>
      <c r="L967" t="s">
        <v>806</v>
      </c>
      <c r="M967" t="s">
        <v>202</v>
      </c>
      <c r="N967" t="s">
        <v>770</v>
      </c>
      <c r="O967">
        <v>1</v>
      </c>
      <c r="P967" t="s">
        <v>776</v>
      </c>
      <c r="Q967">
        <v>14.9</v>
      </c>
      <c r="R967">
        <v>2.69</v>
      </c>
      <c r="Y967" t="s">
        <v>4691</v>
      </c>
      <c r="Z967" t="s">
        <v>4692</v>
      </c>
      <c r="AA967">
        <v>60035</v>
      </c>
      <c r="AB967" t="s">
        <v>11</v>
      </c>
    </row>
    <row r="968" spans="1:35" x14ac:dyDescent="0.25">
      <c r="A968" t="s">
        <v>4693</v>
      </c>
      <c r="C968" t="s">
        <v>4694</v>
      </c>
      <c r="D968" t="s">
        <v>4695</v>
      </c>
      <c r="E968" t="s">
        <v>770</v>
      </c>
      <c r="F968" t="s">
        <v>1884</v>
      </c>
      <c r="G968" t="s">
        <v>1854</v>
      </c>
      <c r="H968" t="s">
        <v>1885</v>
      </c>
      <c r="J968" t="s">
        <v>773</v>
      </c>
      <c r="K968" t="s">
        <v>1886</v>
      </c>
      <c r="L968" t="s">
        <v>18</v>
      </c>
      <c r="M968" t="s">
        <v>17</v>
      </c>
      <c r="N968" t="s">
        <v>770</v>
      </c>
      <c r="O968">
        <v>1</v>
      </c>
      <c r="P968" t="s">
        <v>776</v>
      </c>
      <c r="Q968">
        <v>22.9</v>
      </c>
      <c r="R968">
        <v>4.13</v>
      </c>
      <c r="S968">
        <v>3</v>
      </c>
      <c r="T968">
        <v>0.54</v>
      </c>
      <c r="Y968" t="s">
        <v>4696</v>
      </c>
      <c r="Z968" t="s">
        <v>3105</v>
      </c>
      <c r="AA968">
        <v>62017</v>
      </c>
      <c r="AB968" t="s">
        <v>11</v>
      </c>
    </row>
    <row r="969" spans="1:35" x14ac:dyDescent="0.25">
      <c r="A969" t="s">
        <v>4697</v>
      </c>
      <c r="B969" t="s">
        <v>4697</v>
      </c>
      <c r="C969" t="s">
        <v>4698</v>
      </c>
      <c r="D969" t="s">
        <v>4699</v>
      </c>
      <c r="E969" t="s">
        <v>770</v>
      </c>
      <c r="F969" t="s">
        <v>771</v>
      </c>
      <c r="G969" t="s">
        <v>1854</v>
      </c>
      <c r="J969" t="s">
        <v>783</v>
      </c>
      <c r="K969" t="s">
        <v>1855</v>
      </c>
      <c r="L969" t="s">
        <v>1856</v>
      </c>
      <c r="M969" t="s">
        <v>12</v>
      </c>
      <c r="N969" t="s">
        <v>770</v>
      </c>
      <c r="O969">
        <v>1</v>
      </c>
      <c r="P969" t="s">
        <v>776</v>
      </c>
      <c r="Q969">
        <v>19.899999999999999</v>
      </c>
      <c r="R969">
        <v>3.59</v>
      </c>
      <c r="Y969" t="s">
        <v>4700</v>
      </c>
      <c r="Z969" t="s">
        <v>1997</v>
      </c>
      <c r="AA969">
        <v>50055</v>
      </c>
      <c r="AB969" t="s">
        <v>11</v>
      </c>
    </row>
    <row r="970" spans="1:35" x14ac:dyDescent="0.25">
      <c r="A970" t="s">
        <v>4701</v>
      </c>
      <c r="B970" t="s">
        <v>4701</v>
      </c>
      <c r="C970" t="s">
        <v>4702</v>
      </c>
      <c r="D970" t="s">
        <v>4703</v>
      </c>
      <c r="E970" t="s">
        <v>770</v>
      </c>
      <c r="F970" t="s">
        <v>771</v>
      </c>
      <c r="G970" t="s">
        <v>1854</v>
      </c>
      <c r="J970" t="s">
        <v>783</v>
      </c>
      <c r="K970" t="s">
        <v>1873</v>
      </c>
      <c r="L970" t="s">
        <v>840</v>
      </c>
      <c r="M970" t="s">
        <v>26</v>
      </c>
      <c r="N970" t="s">
        <v>770</v>
      </c>
      <c r="O970">
        <v>1</v>
      </c>
      <c r="P970" t="s">
        <v>776</v>
      </c>
      <c r="Q970">
        <v>34.9</v>
      </c>
      <c r="R970">
        <v>6.29</v>
      </c>
      <c r="Y970" t="s">
        <v>4704</v>
      </c>
      <c r="Z970" t="s">
        <v>3861</v>
      </c>
      <c r="AA970">
        <v>58015</v>
      </c>
      <c r="AB970" t="s">
        <v>11</v>
      </c>
    </row>
    <row r="971" spans="1:35" x14ac:dyDescent="0.25">
      <c r="A971" t="s">
        <v>4705</v>
      </c>
      <c r="B971" t="s">
        <v>4705</v>
      </c>
      <c r="C971" t="s">
        <v>4706</v>
      </c>
      <c r="D971" t="s">
        <v>4707</v>
      </c>
      <c r="E971" t="s">
        <v>770</v>
      </c>
      <c r="F971" t="s">
        <v>771</v>
      </c>
      <c r="G971" t="s">
        <v>1854</v>
      </c>
      <c r="J971" t="s">
        <v>783</v>
      </c>
      <c r="K971" t="s">
        <v>1873</v>
      </c>
      <c r="L971" t="s">
        <v>840</v>
      </c>
      <c r="M971" t="s">
        <v>26</v>
      </c>
      <c r="N971" t="s">
        <v>770</v>
      </c>
      <c r="O971">
        <v>1</v>
      </c>
      <c r="P971" t="s">
        <v>776</v>
      </c>
      <c r="Q971">
        <v>34.9</v>
      </c>
      <c r="R971">
        <v>6.29</v>
      </c>
      <c r="Y971" t="s">
        <v>4708</v>
      </c>
      <c r="Z971" t="s">
        <v>2362</v>
      </c>
      <c r="AA971">
        <v>15048</v>
      </c>
      <c r="AB971" t="s">
        <v>11</v>
      </c>
    </row>
    <row r="972" spans="1:35" x14ac:dyDescent="0.25">
      <c r="A972" t="s">
        <v>4709</v>
      </c>
      <c r="B972" t="s">
        <v>4709</v>
      </c>
      <c r="C972" t="s">
        <v>4710</v>
      </c>
      <c r="D972" t="s">
        <v>4711</v>
      </c>
      <c r="E972" t="s">
        <v>770</v>
      </c>
      <c r="F972" t="s">
        <v>771</v>
      </c>
      <c r="G972" t="s">
        <v>1854</v>
      </c>
      <c r="J972" t="s">
        <v>783</v>
      </c>
      <c r="K972" t="s">
        <v>1862</v>
      </c>
      <c r="L972" t="s">
        <v>1505</v>
      </c>
      <c r="M972" t="s">
        <v>53</v>
      </c>
      <c r="N972" t="s">
        <v>770</v>
      </c>
      <c r="O972">
        <v>1</v>
      </c>
      <c r="P972" t="s">
        <v>776</v>
      </c>
      <c r="Q972">
        <v>32.9</v>
      </c>
      <c r="R972">
        <v>5.93</v>
      </c>
      <c r="Y972" t="s">
        <v>4712</v>
      </c>
      <c r="Z972" t="s">
        <v>3428</v>
      </c>
      <c r="AA972">
        <v>9145</v>
      </c>
      <c r="AB972" t="s">
        <v>11</v>
      </c>
    </row>
    <row r="973" spans="1:35" x14ac:dyDescent="0.25">
      <c r="A973" t="s">
        <v>4713</v>
      </c>
      <c r="B973" t="s">
        <v>4713</v>
      </c>
      <c r="C973" t="s">
        <v>4714</v>
      </c>
      <c r="D973" t="s">
        <v>4715</v>
      </c>
      <c r="E973" t="s">
        <v>770</v>
      </c>
      <c r="F973" t="s">
        <v>771</v>
      </c>
      <c r="G973" t="s">
        <v>1854</v>
      </c>
      <c r="J973" t="s">
        <v>783</v>
      </c>
      <c r="K973" t="s">
        <v>1855</v>
      </c>
      <c r="L973" t="s">
        <v>1856</v>
      </c>
      <c r="M973" t="s">
        <v>12</v>
      </c>
      <c r="N973" t="s">
        <v>770</v>
      </c>
      <c r="O973">
        <v>1</v>
      </c>
      <c r="P973" t="s">
        <v>776</v>
      </c>
      <c r="Q973">
        <v>19.899999999999999</v>
      </c>
      <c r="R973">
        <v>3.59</v>
      </c>
      <c r="Y973" t="s">
        <v>4716</v>
      </c>
      <c r="Z973" t="s">
        <v>2165</v>
      </c>
      <c r="AA973">
        <v>55016</v>
      </c>
      <c r="AB973" t="s">
        <v>11</v>
      </c>
    </row>
    <row r="974" spans="1:35" x14ac:dyDescent="0.25">
      <c r="A974" t="s">
        <v>4717</v>
      </c>
      <c r="B974" t="s">
        <v>4717</v>
      </c>
      <c r="C974" t="s">
        <v>4718</v>
      </c>
      <c r="D974" t="s">
        <v>4719</v>
      </c>
      <c r="E974" t="s">
        <v>770</v>
      </c>
      <c r="F974" t="s">
        <v>771</v>
      </c>
      <c r="G974" t="s">
        <v>1854</v>
      </c>
      <c r="J974" t="s">
        <v>783</v>
      </c>
      <c r="K974" t="s">
        <v>1930</v>
      </c>
      <c r="L974" t="s">
        <v>775</v>
      </c>
      <c r="M974" t="s">
        <v>65</v>
      </c>
      <c r="N974" t="s">
        <v>770</v>
      </c>
      <c r="O974">
        <v>1</v>
      </c>
      <c r="P974" t="s">
        <v>776</v>
      </c>
      <c r="Q974">
        <v>29.9</v>
      </c>
      <c r="R974">
        <v>5.39</v>
      </c>
      <c r="Y974" t="s">
        <v>4720</v>
      </c>
      <c r="Z974" t="s">
        <v>1937</v>
      </c>
      <c r="AA974">
        <v>24040</v>
      </c>
      <c r="AB974" t="s">
        <v>11</v>
      </c>
    </row>
    <row r="975" spans="1:35" x14ac:dyDescent="0.25">
      <c r="A975" t="s">
        <v>4721</v>
      </c>
      <c r="B975" t="s">
        <v>4721</v>
      </c>
      <c r="C975" t="s">
        <v>4722</v>
      </c>
      <c r="D975" t="s">
        <v>4723</v>
      </c>
      <c r="E975" t="s">
        <v>782</v>
      </c>
      <c r="F975" t="s">
        <v>771</v>
      </c>
      <c r="G975" t="s">
        <v>1854</v>
      </c>
      <c r="J975" t="s">
        <v>783</v>
      </c>
      <c r="K975" t="s">
        <v>1855</v>
      </c>
      <c r="L975" t="s">
        <v>1856</v>
      </c>
      <c r="M975" t="s">
        <v>12</v>
      </c>
      <c r="N975" t="s">
        <v>782</v>
      </c>
      <c r="O975">
        <v>0</v>
      </c>
      <c r="Y975" t="s">
        <v>4724</v>
      </c>
      <c r="Z975" t="s">
        <v>3608</v>
      </c>
      <c r="AA975">
        <v>21047</v>
      </c>
      <c r="AB975" t="s">
        <v>11</v>
      </c>
    </row>
    <row r="976" spans="1:35" x14ac:dyDescent="0.25">
      <c r="A976" t="s">
        <v>4725</v>
      </c>
      <c r="B976" t="s">
        <v>4725</v>
      </c>
      <c r="C976" t="s">
        <v>4726</v>
      </c>
      <c r="D976" t="s">
        <v>4727</v>
      </c>
      <c r="E976" t="s">
        <v>770</v>
      </c>
      <c r="F976" t="s">
        <v>771</v>
      </c>
      <c r="G976" t="s">
        <v>1854</v>
      </c>
      <c r="J976" t="s">
        <v>783</v>
      </c>
      <c r="K976" t="s">
        <v>1930</v>
      </c>
      <c r="L976" t="s">
        <v>775</v>
      </c>
      <c r="M976" t="s">
        <v>65</v>
      </c>
      <c r="N976" t="s">
        <v>770</v>
      </c>
      <c r="O976">
        <v>1</v>
      </c>
      <c r="P976" t="s">
        <v>776</v>
      </c>
      <c r="Q976">
        <v>29.9</v>
      </c>
      <c r="R976">
        <v>5.39</v>
      </c>
      <c r="Y976" t="s">
        <v>4728</v>
      </c>
      <c r="Z976" t="s">
        <v>4729</v>
      </c>
      <c r="AA976">
        <v>44034</v>
      </c>
      <c r="AB976" t="s">
        <v>11</v>
      </c>
    </row>
    <row r="977" spans="1:35" x14ac:dyDescent="0.25">
      <c r="A977" t="s">
        <v>4730</v>
      </c>
      <c r="B977" t="s">
        <v>4730</v>
      </c>
      <c r="C977" t="s">
        <v>4731</v>
      </c>
      <c r="D977" t="s">
        <v>4732</v>
      </c>
      <c r="E977" t="s">
        <v>770</v>
      </c>
      <c r="F977" t="s">
        <v>771</v>
      </c>
      <c r="G977" t="s">
        <v>1854</v>
      </c>
      <c r="J977" t="s">
        <v>783</v>
      </c>
      <c r="K977" t="s">
        <v>2652</v>
      </c>
      <c r="L977" t="s">
        <v>1831</v>
      </c>
      <c r="M977" t="s">
        <v>51</v>
      </c>
      <c r="N977" t="s">
        <v>770</v>
      </c>
      <c r="O977">
        <v>1</v>
      </c>
      <c r="P977" t="s">
        <v>776</v>
      </c>
      <c r="Q977">
        <v>24.9</v>
      </c>
      <c r="R977">
        <v>4.49</v>
      </c>
      <c r="Y977" t="s">
        <v>4733</v>
      </c>
      <c r="Z977" t="s">
        <v>1989</v>
      </c>
      <c r="AA977">
        <v>36013</v>
      </c>
      <c r="AB977" t="s">
        <v>11</v>
      </c>
    </row>
    <row r="978" spans="1:35" x14ac:dyDescent="0.25">
      <c r="A978" t="s">
        <v>4734</v>
      </c>
      <c r="B978" t="s">
        <v>4734</v>
      </c>
      <c r="C978" t="s">
        <v>4735</v>
      </c>
      <c r="D978" t="s">
        <v>4736</v>
      </c>
      <c r="E978" t="s">
        <v>770</v>
      </c>
      <c r="F978" t="s">
        <v>771</v>
      </c>
      <c r="G978" t="s">
        <v>1854</v>
      </c>
      <c r="J978" t="s">
        <v>783</v>
      </c>
      <c r="K978" t="s">
        <v>1855</v>
      </c>
      <c r="L978" t="s">
        <v>1856</v>
      </c>
      <c r="M978" t="s">
        <v>12</v>
      </c>
      <c r="N978" t="s">
        <v>770</v>
      </c>
      <c r="O978">
        <v>1</v>
      </c>
      <c r="P978" t="s">
        <v>776</v>
      </c>
      <c r="Q978">
        <v>19.899999999999999</v>
      </c>
      <c r="R978">
        <v>3.59</v>
      </c>
      <c r="Y978" t="s">
        <v>4737</v>
      </c>
      <c r="Z978" t="s">
        <v>3089</v>
      </c>
      <c r="AA978">
        <v>25030</v>
      </c>
      <c r="AB978" t="s">
        <v>11</v>
      </c>
    </row>
    <row r="979" spans="1:35" x14ac:dyDescent="0.25">
      <c r="A979" t="s">
        <v>4738</v>
      </c>
      <c r="B979" t="s">
        <v>4738</v>
      </c>
      <c r="C979" t="s">
        <v>4739</v>
      </c>
      <c r="D979" t="s">
        <v>4740</v>
      </c>
      <c r="E979" t="s">
        <v>770</v>
      </c>
      <c r="F979" t="s">
        <v>771</v>
      </c>
      <c r="G979" t="s">
        <v>1854</v>
      </c>
      <c r="J979" t="s">
        <v>783</v>
      </c>
      <c r="K979" t="s">
        <v>1873</v>
      </c>
      <c r="L979" t="s">
        <v>840</v>
      </c>
      <c r="M979" t="s">
        <v>26</v>
      </c>
      <c r="N979" t="s">
        <v>770</v>
      </c>
      <c r="O979">
        <v>1</v>
      </c>
      <c r="P979" t="s">
        <v>776</v>
      </c>
      <c r="Q979">
        <v>34.9</v>
      </c>
      <c r="R979">
        <v>6.29</v>
      </c>
      <c r="Y979" t="s">
        <v>4741</v>
      </c>
      <c r="AA979">
        <v>6083</v>
      </c>
      <c r="AB979" t="s">
        <v>11</v>
      </c>
    </row>
    <row r="980" spans="1:35" x14ac:dyDescent="0.25">
      <c r="A980" t="s">
        <v>4742</v>
      </c>
      <c r="B980" t="s">
        <v>4742</v>
      </c>
      <c r="C980" t="s">
        <v>4743</v>
      </c>
      <c r="D980" t="s">
        <v>4744</v>
      </c>
      <c r="E980" t="s">
        <v>770</v>
      </c>
      <c r="F980" t="s">
        <v>771</v>
      </c>
      <c r="G980" t="s">
        <v>1854</v>
      </c>
      <c r="J980" t="s">
        <v>783</v>
      </c>
      <c r="K980" t="s">
        <v>1855</v>
      </c>
      <c r="L980" t="s">
        <v>1856</v>
      </c>
      <c r="M980" t="s">
        <v>12</v>
      </c>
      <c r="N980" t="s">
        <v>770</v>
      </c>
      <c r="O980">
        <v>1</v>
      </c>
      <c r="P980" t="s">
        <v>776</v>
      </c>
      <c r="Q980">
        <v>19.899999999999999</v>
      </c>
      <c r="R980">
        <v>3.59</v>
      </c>
      <c r="Y980" t="s">
        <v>4745</v>
      </c>
      <c r="Z980" t="s">
        <v>3369</v>
      </c>
      <c r="AA980">
        <v>72013</v>
      </c>
      <c r="AB980" t="s">
        <v>11</v>
      </c>
    </row>
    <row r="981" spans="1:35" x14ac:dyDescent="0.25">
      <c r="A981" t="s">
        <v>4746</v>
      </c>
      <c r="B981" t="s">
        <v>4746</v>
      </c>
      <c r="C981" t="s">
        <v>4747</v>
      </c>
      <c r="D981" t="s">
        <v>4748</v>
      </c>
      <c r="E981" t="s">
        <v>770</v>
      </c>
      <c r="F981" t="s">
        <v>771</v>
      </c>
      <c r="G981" t="s">
        <v>1854</v>
      </c>
      <c r="J981" t="s">
        <v>783</v>
      </c>
      <c r="K981" t="s">
        <v>1862</v>
      </c>
      <c r="L981" t="s">
        <v>1505</v>
      </c>
      <c r="M981" t="s">
        <v>53</v>
      </c>
      <c r="N981" t="s">
        <v>770</v>
      </c>
      <c r="O981">
        <v>1</v>
      </c>
      <c r="P981" t="s">
        <v>776</v>
      </c>
      <c r="Q981">
        <v>32.9</v>
      </c>
      <c r="R981">
        <v>5.93</v>
      </c>
      <c r="Y981" t="s">
        <v>4749</v>
      </c>
      <c r="Z981" t="s">
        <v>1913</v>
      </c>
      <c r="AA981">
        <v>54</v>
      </c>
      <c r="AB981" t="s">
        <v>11</v>
      </c>
      <c r="AG981" t="s">
        <v>4750</v>
      </c>
      <c r="AH981" t="s">
        <v>11</v>
      </c>
      <c r="AI981" t="s">
        <v>1258</v>
      </c>
    </row>
    <row r="982" spans="1:35" x14ac:dyDescent="0.25">
      <c r="A982" t="s">
        <v>4751</v>
      </c>
      <c r="B982" t="s">
        <v>4751</v>
      </c>
      <c r="C982" t="s">
        <v>4752</v>
      </c>
      <c r="D982" t="s">
        <v>4753</v>
      </c>
      <c r="E982" t="s">
        <v>782</v>
      </c>
      <c r="F982" t="s">
        <v>771</v>
      </c>
      <c r="G982" t="s">
        <v>1854</v>
      </c>
      <c r="J982" t="s">
        <v>773</v>
      </c>
      <c r="K982" t="s">
        <v>1930</v>
      </c>
      <c r="L982" t="s">
        <v>775</v>
      </c>
      <c r="M982" t="s">
        <v>65</v>
      </c>
      <c r="N982" t="s">
        <v>782</v>
      </c>
      <c r="O982">
        <v>0</v>
      </c>
      <c r="Y982" t="s">
        <v>2153</v>
      </c>
      <c r="Z982" t="s">
        <v>2153</v>
      </c>
      <c r="AA982">
        <v>84124</v>
      </c>
      <c r="AB982" t="s">
        <v>11</v>
      </c>
      <c r="AC982" t="s">
        <v>4754</v>
      </c>
    </row>
    <row r="983" spans="1:35" x14ac:dyDescent="0.25">
      <c r="A983" t="s">
        <v>4755</v>
      </c>
      <c r="B983" t="s">
        <v>4755</v>
      </c>
      <c r="C983" t="s">
        <v>4756</v>
      </c>
      <c r="D983" t="s">
        <v>4757</v>
      </c>
      <c r="E983" t="s">
        <v>770</v>
      </c>
      <c r="F983" t="s">
        <v>771</v>
      </c>
      <c r="G983" t="s">
        <v>1854</v>
      </c>
      <c r="J983" t="s">
        <v>783</v>
      </c>
      <c r="K983" t="s">
        <v>2652</v>
      </c>
      <c r="L983" t="s">
        <v>1831</v>
      </c>
      <c r="M983" t="s">
        <v>51</v>
      </c>
      <c r="N983" t="s">
        <v>770</v>
      </c>
      <c r="O983">
        <v>1</v>
      </c>
      <c r="P983" t="s">
        <v>776</v>
      </c>
      <c r="Q983">
        <v>24.9</v>
      </c>
      <c r="R983">
        <v>4.49</v>
      </c>
      <c r="Y983" t="s">
        <v>4758</v>
      </c>
      <c r="Z983" t="s">
        <v>4759</v>
      </c>
      <c r="AA983">
        <v>52</v>
      </c>
      <c r="AB983" t="s">
        <v>11</v>
      </c>
    </row>
    <row r="984" spans="1:35" x14ac:dyDescent="0.25">
      <c r="A984" t="s">
        <v>4760</v>
      </c>
      <c r="B984" t="s">
        <v>4760</v>
      </c>
      <c r="C984" t="s">
        <v>4761</v>
      </c>
      <c r="D984" t="s">
        <v>4762</v>
      </c>
      <c r="E984" t="s">
        <v>770</v>
      </c>
      <c r="F984" t="s">
        <v>771</v>
      </c>
      <c r="G984" t="s">
        <v>1854</v>
      </c>
      <c r="J984" t="s">
        <v>783</v>
      </c>
      <c r="K984" t="s">
        <v>1855</v>
      </c>
      <c r="L984" t="s">
        <v>1856</v>
      </c>
      <c r="M984" t="s">
        <v>12</v>
      </c>
      <c r="N984" t="s">
        <v>770</v>
      </c>
      <c r="O984">
        <v>1</v>
      </c>
      <c r="P984" t="s">
        <v>776</v>
      </c>
      <c r="Q984">
        <v>19.899999999999999</v>
      </c>
      <c r="R984">
        <v>3.59</v>
      </c>
      <c r="S984">
        <v>2.38</v>
      </c>
      <c r="T984">
        <v>0.43</v>
      </c>
      <c r="Y984" t="s">
        <v>2602</v>
      </c>
      <c r="Z984" t="s">
        <v>2602</v>
      </c>
      <c r="AA984">
        <v>16129</v>
      </c>
      <c r="AB984" t="s">
        <v>11</v>
      </c>
    </row>
    <row r="985" spans="1:35" x14ac:dyDescent="0.25">
      <c r="A985" t="s">
        <v>4763</v>
      </c>
      <c r="B985" t="s">
        <v>4763</v>
      </c>
      <c r="C985" t="s">
        <v>4764</v>
      </c>
      <c r="D985" t="s">
        <v>4765</v>
      </c>
      <c r="E985" t="s">
        <v>770</v>
      </c>
      <c r="F985" t="s">
        <v>771</v>
      </c>
      <c r="G985" t="s">
        <v>1854</v>
      </c>
      <c r="J985" t="s">
        <v>783</v>
      </c>
      <c r="K985" t="s">
        <v>2162</v>
      </c>
      <c r="L985" t="s">
        <v>2163</v>
      </c>
      <c r="M985" t="s">
        <v>59</v>
      </c>
      <c r="N985" t="s">
        <v>770</v>
      </c>
      <c r="O985">
        <v>1</v>
      </c>
      <c r="P985" t="s">
        <v>776</v>
      </c>
      <c r="Q985">
        <v>29.9</v>
      </c>
      <c r="R985">
        <v>5.39</v>
      </c>
      <c r="Y985" t="s">
        <v>2625</v>
      </c>
      <c r="Z985" t="s">
        <v>2625</v>
      </c>
      <c r="AA985">
        <v>51100</v>
      </c>
      <c r="AB985" t="s">
        <v>11</v>
      </c>
    </row>
    <row r="986" spans="1:35" x14ac:dyDescent="0.25">
      <c r="A986" t="s">
        <v>4766</v>
      </c>
      <c r="B986" t="s">
        <v>4766</v>
      </c>
      <c r="C986" t="s">
        <v>4767</v>
      </c>
      <c r="D986" t="s">
        <v>4768</v>
      </c>
      <c r="E986" t="s">
        <v>770</v>
      </c>
      <c r="F986" t="s">
        <v>771</v>
      </c>
      <c r="G986" t="s">
        <v>1854</v>
      </c>
      <c r="J986" t="s">
        <v>783</v>
      </c>
      <c r="K986" t="s">
        <v>1855</v>
      </c>
      <c r="L986" t="s">
        <v>1856</v>
      </c>
      <c r="M986" t="s">
        <v>12</v>
      </c>
      <c r="N986" t="s">
        <v>770</v>
      </c>
      <c r="O986">
        <v>1</v>
      </c>
      <c r="P986" t="s">
        <v>776</v>
      </c>
      <c r="Q986">
        <v>19.899999999999999</v>
      </c>
      <c r="R986">
        <v>3.59</v>
      </c>
      <c r="Y986" t="s">
        <v>4769</v>
      </c>
      <c r="Z986" t="s">
        <v>2116</v>
      </c>
      <c r="AA986">
        <v>22016</v>
      </c>
      <c r="AB986" t="s">
        <v>11</v>
      </c>
    </row>
    <row r="987" spans="1:35" x14ac:dyDescent="0.25">
      <c r="A987" t="s">
        <v>4770</v>
      </c>
      <c r="B987" t="s">
        <v>4770</v>
      </c>
      <c r="C987" t="s">
        <v>4771</v>
      </c>
      <c r="D987" t="s">
        <v>4772</v>
      </c>
      <c r="E987" t="s">
        <v>770</v>
      </c>
      <c r="F987" t="s">
        <v>771</v>
      </c>
      <c r="G987" t="s">
        <v>1854</v>
      </c>
      <c r="J987" t="s">
        <v>773</v>
      </c>
      <c r="K987" t="s">
        <v>1960</v>
      </c>
      <c r="L987" t="s">
        <v>1047</v>
      </c>
      <c r="M987" t="s">
        <v>21</v>
      </c>
      <c r="N987" t="s">
        <v>770</v>
      </c>
      <c r="O987">
        <v>1</v>
      </c>
      <c r="P987" t="s">
        <v>776</v>
      </c>
      <c r="Q987">
        <v>24.51</v>
      </c>
      <c r="S987">
        <v>2.33</v>
      </c>
      <c r="X987">
        <v>2.33</v>
      </c>
      <c r="Y987" t="s">
        <v>4773</v>
      </c>
      <c r="Z987" t="s">
        <v>4774</v>
      </c>
      <c r="AA987">
        <v>6814</v>
      </c>
      <c r="AB987" t="s">
        <v>1716</v>
      </c>
    </row>
    <row r="988" spans="1:35" x14ac:dyDescent="0.25">
      <c r="A988" t="s">
        <v>4775</v>
      </c>
      <c r="B988" t="s">
        <v>4775</v>
      </c>
      <c r="C988" t="s">
        <v>4776</v>
      </c>
      <c r="D988" t="s">
        <v>4777</v>
      </c>
      <c r="E988" t="s">
        <v>770</v>
      </c>
      <c r="F988" t="s">
        <v>771</v>
      </c>
      <c r="G988" t="s">
        <v>1854</v>
      </c>
      <c r="J988" t="s">
        <v>783</v>
      </c>
      <c r="K988" t="s">
        <v>2396</v>
      </c>
      <c r="L988" t="s">
        <v>1792</v>
      </c>
      <c r="M988" t="s">
        <v>88</v>
      </c>
      <c r="N988" t="s">
        <v>770</v>
      </c>
      <c r="O988">
        <v>1</v>
      </c>
      <c r="P988" t="s">
        <v>776</v>
      </c>
      <c r="Q988">
        <v>59.9</v>
      </c>
      <c r="R988">
        <v>10.8</v>
      </c>
      <c r="Y988" t="s">
        <v>4172</v>
      </c>
      <c r="Z988" t="s">
        <v>4778</v>
      </c>
      <c r="AA988">
        <v>43123</v>
      </c>
      <c r="AB988" t="s">
        <v>11</v>
      </c>
      <c r="AG988">
        <v>2730700347</v>
      </c>
      <c r="AH988" t="s">
        <v>11</v>
      </c>
      <c r="AI988" t="s">
        <v>1258</v>
      </c>
    </row>
    <row r="989" spans="1:35" x14ac:dyDescent="0.25">
      <c r="A989" t="s">
        <v>4779</v>
      </c>
      <c r="B989" t="s">
        <v>4779</v>
      </c>
      <c r="C989" t="s">
        <v>4780</v>
      </c>
      <c r="D989" t="s">
        <v>4781</v>
      </c>
      <c r="E989" t="s">
        <v>770</v>
      </c>
      <c r="F989" t="s">
        <v>771</v>
      </c>
      <c r="G989" t="s">
        <v>1854</v>
      </c>
      <c r="J989" t="s">
        <v>783</v>
      </c>
      <c r="K989" t="s">
        <v>1855</v>
      </c>
      <c r="L989" t="s">
        <v>1856</v>
      </c>
      <c r="M989" t="s">
        <v>12</v>
      </c>
      <c r="N989" t="s">
        <v>770</v>
      </c>
      <c r="O989">
        <v>1</v>
      </c>
      <c r="P989" t="s">
        <v>776</v>
      </c>
      <c r="Q989">
        <v>19.899999999999999</v>
      </c>
      <c r="R989">
        <v>3.59</v>
      </c>
      <c r="Y989" t="s">
        <v>4782</v>
      </c>
      <c r="Z989" t="s">
        <v>3304</v>
      </c>
      <c r="AA989">
        <v>15048</v>
      </c>
      <c r="AB989" t="s">
        <v>11</v>
      </c>
    </row>
    <row r="990" spans="1:35" x14ac:dyDescent="0.25">
      <c r="A990" t="s">
        <v>4783</v>
      </c>
      <c r="C990" t="s">
        <v>4784</v>
      </c>
      <c r="D990" t="s">
        <v>1223</v>
      </c>
      <c r="E990" t="s">
        <v>770</v>
      </c>
      <c r="F990" t="s">
        <v>1884</v>
      </c>
      <c r="G990" t="s">
        <v>1854</v>
      </c>
      <c r="H990" t="s">
        <v>1885</v>
      </c>
      <c r="J990" t="s">
        <v>773</v>
      </c>
      <c r="K990" t="s">
        <v>1902</v>
      </c>
      <c r="L990" t="s">
        <v>15</v>
      </c>
      <c r="M990" t="s">
        <v>14</v>
      </c>
      <c r="N990" t="s">
        <v>770</v>
      </c>
      <c r="O990">
        <v>1</v>
      </c>
      <c r="P990" t="s">
        <v>776</v>
      </c>
      <c r="Q990">
        <v>14.9</v>
      </c>
      <c r="R990">
        <v>2.69</v>
      </c>
      <c r="S990">
        <v>3</v>
      </c>
      <c r="T990">
        <v>0.54</v>
      </c>
      <c r="Y990" t="s">
        <v>1917</v>
      </c>
      <c r="Z990" t="s">
        <v>1875</v>
      </c>
      <c r="AA990">
        <v>20139</v>
      </c>
      <c r="AB990" t="s">
        <v>11</v>
      </c>
    </row>
    <row r="991" spans="1:35" x14ac:dyDescent="0.25">
      <c r="A991" t="s">
        <v>4785</v>
      </c>
      <c r="B991" t="s">
        <v>4785</v>
      </c>
      <c r="C991" t="s">
        <v>4786</v>
      </c>
      <c r="D991" t="s">
        <v>4787</v>
      </c>
      <c r="E991" t="s">
        <v>770</v>
      </c>
      <c r="F991" t="s">
        <v>771</v>
      </c>
      <c r="G991" t="s">
        <v>1854</v>
      </c>
      <c r="J991" t="s">
        <v>783</v>
      </c>
      <c r="K991" t="s">
        <v>1855</v>
      </c>
      <c r="L991" t="s">
        <v>1856</v>
      </c>
      <c r="M991" t="s">
        <v>12</v>
      </c>
      <c r="N991" t="s">
        <v>770</v>
      </c>
      <c r="O991">
        <v>1</v>
      </c>
      <c r="P991" t="s">
        <v>776</v>
      </c>
      <c r="Q991">
        <v>19.899999999999999</v>
      </c>
      <c r="R991">
        <v>3.59</v>
      </c>
      <c r="Y991" t="s">
        <v>4788</v>
      </c>
      <c r="Z991" t="s">
        <v>1864</v>
      </c>
      <c r="AA991">
        <v>20089</v>
      </c>
      <c r="AB991" t="s">
        <v>11</v>
      </c>
    </row>
    <row r="992" spans="1:35" x14ac:dyDescent="0.25">
      <c r="A992" t="s">
        <v>4789</v>
      </c>
      <c r="B992" t="s">
        <v>4789</v>
      </c>
      <c r="C992" t="s">
        <v>4790</v>
      </c>
      <c r="D992" t="s">
        <v>4791</v>
      </c>
      <c r="E992" t="s">
        <v>770</v>
      </c>
      <c r="F992" t="s">
        <v>771</v>
      </c>
      <c r="G992" t="s">
        <v>1854</v>
      </c>
      <c r="J992" t="s">
        <v>783</v>
      </c>
      <c r="K992" t="s">
        <v>1855</v>
      </c>
      <c r="L992" t="s">
        <v>1856</v>
      </c>
      <c r="M992" t="s">
        <v>12</v>
      </c>
      <c r="N992" t="s">
        <v>770</v>
      </c>
      <c r="O992">
        <v>1</v>
      </c>
      <c r="P992" t="s">
        <v>776</v>
      </c>
      <c r="Q992">
        <v>19.899999999999999</v>
      </c>
      <c r="R992">
        <v>3.59</v>
      </c>
      <c r="Y992" t="s">
        <v>4792</v>
      </c>
      <c r="Z992" t="s">
        <v>1864</v>
      </c>
      <c r="AA992">
        <v>20037</v>
      </c>
      <c r="AB992" t="s">
        <v>11</v>
      </c>
    </row>
    <row r="993" spans="1:28" x14ac:dyDescent="0.25">
      <c r="A993" t="s">
        <v>4793</v>
      </c>
      <c r="B993" t="s">
        <v>4793</v>
      </c>
      <c r="C993" t="s">
        <v>4794</v>
      </c>
      <c r="D993" t="s">
        <v>4795</v>
      </c>
      <c r="E993" t="s">
        <v>770</v>
      </c>
      <c r="F993" t="s">
        <v>771</v>
      </c>
      <c r="G993" t="s">
        <v>1854</v>
      </c>
      <c r="J993" t="s">
        <v>783</v>
      </c>
      <c r="K993" t="s">
        <v>3308</v>
      </c>
      <c r="L993" t="s">
        <v>3309</v>
      </c>
      <c r="M993" t="s">
        <v>61</v>
      </c>
      <c r="N993" t="s">
        <v>770</v>
      </c>
      <c r="O993">
        <v>1</v>
      </c>
      <c r="P993" t="s">
        <v>776</v>
      </c>
      <c r="Q993">
        <v>44.9</v>
      </c>
      <c r="R993">
        <v>8.1</v>
      </c>
      <c r="Y993" t="s">
        <v>1913</v>
      </c>
      <c r="Z993" t="s">
        <v>1913</v>
      </c>
      <c r="AA993">
        <v>125</v>
      </c>
      <c r="AB993" t="s">
        <v>11</v>
      </c>
    </row>
    <row r="994" spans="1:28" x14ac:dyDescent="0.25">
      <c r="A994" t="s">
        <v>4796</v>
      </c>
      <c r="B994" t="s">
        <v>4796</v>
      </c>
      <c r="C994" t="s">
        <v>4797</v>
      </c>
      <c r="D994" t="s">
        <v>4798</v>
      </c>
      <c r="E994" t="s">
        <v>770</v>
      </c>
      <c r="F994" t="s">
        <v>771</v>
      </c>
      <c r="G994" t="s">
        <v>1854</v>
      </c>
      <c r="J994" t="s">
        <v>783</v>
      </c>
      <c r="K994" t="s">
        <v>1855</v>
      </c>
      <c r="L994" t="s">
        <v>1856</v>
      </c>
      <c r="M994" t="s">
        <v>12</v>
      </c>
      <c r="N994" t="s">
        <v>770</v>
      </c>
      <c r="O994">
        <v>1</v>
      </c>
      <c r="P994" t="s">
        <v>776</v>
      </c>
      <c r="Q994">
        <v>19.899999999999999</v>
      </c>
      <c r="R994">
        <v>3.59</v>
      </c>
      <c r="Y994" t="s">
        <v>4799</v>
      </c>
      <c r="Z994" t="s">
        <v>2236</v>
      </c>
      <c r="AA994">
        <v>54028</v>
      </c>
      <c r="AB994" t="s">
        <v>11</v>
      </c>
    </row>
    <row r="995" spans="1:28" x14ac:dyDescent="0.25">
      <c r="A995" t="s">
        <v>4800</v>
      </c>
      <c r="B995" t="s">
        <v>4800</v>
      </c>
      <c r="C995" t="s">
        <v>4801</v>
      </c>
      <c r="D995" t="s">
        <v>4802</v>
      </c>
      <c r="E995" t="s">
        <v>770</v>
      </c>
      <c r="F995" t="s">
        <v>771</v>
      </c>
      <c r="G995" t="s">
        <v>1854</v>
      </c>
      <c r="J995" t="s">
        <v>783</v>
      </c>
      <c r="K995" t="s">
        <v>1855</v>
      </c>
      <c r="L995" t="s">
        <v>1856</v>
      </c>
      <c r="M995" t="s">
        <v>12</v>
      </c>
      <c r="N995" t="s">
        <v>770</v>
      </c>
      <c r="O995">
        <v>1</v>
      </c>
      <c r="P995" t="s">
        <v>776</v>
      </c>
      <c r="Q995">
        <v>19.899999999999999</v>
      </c>
      <c r="R995">
        <v>3.59</v>
      </c>
      <c r="Y995" t="s">
        <v>2244</v>
      </c>
      <c r="Z995" t="s">
        <v>2244</v>
      </c>
      <c r="AA995">
        <v>59100</v>
      </c>
      <c r="AB995" t="s">
        <v>11</v>
      </c>
    </row>
    <row r="996" spans="1:28" x14ac:dyDescent="0.25">
      <c r="A996" t="s">
        <v>4803</v>
      </c>
      <c r="C996" t="s">
        <v>4804</v>
      </c>
      <c r="D996" t="s">
        <v>4805</v>
      </c>
      <c r="E996" t="s">
        <v>770</v>
      </c>
      <c r="F996" t="s">
        <v>1884</v>
      </c>
      <c r="G996" t="s">
        <v>1854</v>
      </c>
      <c r="H996" t="s">
        <v>1885</v>
      </c>
      <c r="J996" t="s">
        <v>773</v>
      </c>
      <c r="K996" t="s">
        <v>2652</v>
      </c>
      <c r="L996" t="s">
        <v>52</v>
      </c>
      <c r="M996" t="s">
        <v>51</v>
      </c>
      <c r="N996" t="s">
        <v>770</v>
      </c>
      <c r="O996">
        <v>1</v>
      </c>
      <c r="P996" t="s">
        <v>776</v>
      </c>
      <c r="Q996">
        <v>24.9</v>
      </c>
      <c r="R996">
        <v>4.49</v>
      </c>
      <c r="S996">
        <v>3</v>
      </c>
      <c r="T996">
        <v>0.54</v>
      </c>
      <c r="Y996" t="s">
        <v>3544</v>
      </c>
      <c r="Z996" t="s">
        <v>1875</v>
      </c>
      <c r="AA996">
        <v>20098</v>
      </c>
      <c r="AB996" t="s">
        <v>11</v>
      </c>
    </row>
    <row r="997" spans="1:28" x14ac:dyDescent="0.25">
      <c r="A997" t="s">
        <v>4806</v>
      </c>
      <c r="B997" t="s">
        <v>4806</v>
      </c>
      <c r="C997" t="s">
        <v>4807</v>
      </c>
      <c r="D997" t="s">
        <v>4808</v>
      </c>
      <c r="E997" t="s">
        <v>770</v>
      </c>
      <c r="F997" t="s">
        <v>771</v>
      </c>
      <c r="G997" t="s">
        <v>1854</v>
      </c>
      <c r="J997" t="s">
        <v>783</v>
      </c>
      <c r="K997" t="s">
        <v>1855</v>
      </c>
      <c r="L997" t="s">
        <v>1856</v>
      </c>
      <c r="M997" t="s">
        <v>12</v>
      </c>
      <c r="N997" t="s">
        <v>770</v>
      </c>
      <c r="O997">
        <v>1</v>
      </c>
      <c r="P997" t="s">
        <v>776</v>
      </c>
      <c r="Q997">
        <v>19.899999999999999</v>
      </c>
      <c r="R997">
        <v>3.59</v>
      </c>
      <c r="Y997" t="s">
        <v>4809</v>
      </c>
      <c r="Z997" t="s">
        <v>4810</v>
      </c>
      <c r="AA997">
        <v>60019</v>
      </c>
      <c r="AB997" t="s">
        <v>11</v>
      </c>
    </row>
    <row r="998" spans="1:28" x14ac:dyDescent="0.25">
      <c r="A998" t="s">
        <v>4811</v>
      </c>
      <c r="B998" t="s">
        <v>4811</v>
      </c>
      <c r="C998" t="s">
        <v>4812</v>
      </c>
      <c r="D998" t="s">
        <v>4813</v>
      </c>
      <c r="E998" t="s">
        <v>770</v>
      </c>
      <c r="F998" t="s">
        <v>771</v>
      </c>
      <c r="G998" t="s">
        <v>1854</v>
      </c>
      <c r="J998" t="s">
        <v>783</v>
      </c>
      <c r="K998" t="s">
        <v>1855</v>
      </c>
      <c r="L998" t="s">
        <v>1856</v>
      </c>
      <c r="M998" t="s">
        <v>12</v>
      </c>
      <c r="N998" t="s">
        <v>770</v>
      </c>
      <c r="O998">
        <v>1</v>
      </c>
      <c r="P998" t="s">
        <v>776</v>
      </c>
      <c r="Q998">
        <v>19.899999999999999</v>
      </c>
      <c r="R998">
        <v>3.59</v>
      </c>
      <c r="Y998" t="s">
        <v>4814</v>
      </c>
      <c r="Z998" t="s">
        <v>2827</v>
      </c>
      <c r="AA998">
        <v>25081</v>
      </c>
      <c r="AB998" t="s">
        <v>11</v>
      </c>
    </row>
    <row r="999" spans="1:28" x14ac:dyDescent="0.25">
      <c r="A999" t="s">
        <v>4815</v>
      </c>
      <c r="B999" t="s">
        <v>4815</v>
      </c>
      <c r="C999" t="s">
        <v>4816</v>
      </c>
      <c r="D999" t="s">
        <v>4817</v>
      </c>
      <c r="E999" t="s">
        <v>770</v>
      </c>
      <c r="F999" t="s">
        <v>771</v>
      </c>
      <c r="G999" t="s">
        <v>1854</v>
      </c>
      <c r="J999" t="s">
        <v>783</v>
      </c>
      <c r="K999" t="s">
        <v>1855</v>
      </c>
      <c r="L999" t="s">
        <v>1856</v>
      </c>
      <c r="M999" t="s">
        <v>12</v>
      </c>
      <c r="N999" t="s">
        <v>770</v>
      </c>
      <c r="O999">
        <v>1</v>
      </c>
      <c r="P999" t="s">
        <v>776</v>
      </c>
      <c r="Q999">
        <v>19.899999999999999</v>
      </c>
      <c r="R999">
        <v>3.59</v>
      </c>
      <c r="Y999" t="s">
        <v>4818</v>
      </c>
      <c r="Z999" t="s">
        <v>4692</v>
      </c>
      <c r="AA999">
        <v>60010</v>
      </c>
      <c r="AB999" t="s">
        <v>11</v>
      </c>
    </row>
    <row r="1000" spans="1:28" x14ac:dyDescent="0.25">
      <c r="A1000" t="s">
        <v>4819</v>
      </c>
      <c r="C1000" t="s">
        <v>4820</v>
      </c>
      <c r="D1000" t="s">
        <v>4821</v>
      </c>
      <c r="E1000" t="s">
        <v>770</v>
      </c>
      <c r="F1000" t="s">
        <v>1884</v>
      </c>
      <c r="G1000" t="s">
        <v>1854</v>
      </c>
      <c r="H1000" t="s">
        <v>1885</v>
      </c>
      <c r="J1000" t="s">
        <v>773</v>
      </c>
      <c r="K1000" t="s">
        <v>4822</v>
      </c>
      <c r="L1000" t="s">
        <v>123</v>
      </c>
      <c r="M1000" t="s">
        <v>122</v>
      </c>
      <c r="N1000" t="s">
        <v>770</v>
      </c>
      <c r="O1000">
        <v>1</v>
      </c>
      <c r="P1000" t="s">
        <v>776</v>
      </c>
      <c r="Q1000">
        <v>28.9</v>
      </c>
      <c r="R1000">
        <v>5.21</v>
      </c>
      <c r="S1000">
        <v>3</v>
      </c>
      <c r="T1000">
        <v>0.54</v>
      </c>
      <c r="Y1000" t="s">
        <v>4354</v>
      </c>
      <c r="Z1000" t="s">
        <v>2025</v>
      </c>
      <c r="AA1000">
        <v>80026</v>
      </c>
      <c r="AB1000" t="s">
        <v>11</v>
      </c>
    </row>
    <row r="1001" spans="1:28" x14ac:dyDescent="0.25">
      <c r="A1001" t="s">
        <v>4823</v>
      </c>
      <c r="B1001" t="s">
        <v>4823</v>
      </c>
      <c r="C1001" t="s">
        <v>4824</v>
      </c>
      <c r="D1001" t="s">
        <v>4825</v>
      </c>
      <c r="E1001" t="s">
        <v>770</v>
      </c>
      <c r="F1001" t="s">
        <v>771</v>
      </c>
      <c r="G1001" t="s">
        <v>1854</v>
      </c>
      <c r="J1001" t="s">
        <v>783</v>
      </c>
      <c r="K1001" t="s">
        <v>2055</v>
      </c>
      <c r="L1001" t="s">
        <v>806</v>
      </c>
      <c r="M1001" t="s">
        <v>202</v>
      </c>
      <c r="N1001" t="s">
        <v>770</v>
      </c>
      <c r="O1001">
        <v>1</v>
      </c>
      <c r="P1001" t="s">
        <v>776</v>
      </c>
      <c r="Q1001">
        <v>14.9</v>
      </c>
      <c r="R1001">
        <v>2.69</v>
      </c>
      <c r="Y1001" t="s">
        <v>2420</v>
      </c>
      <c r="AA1001">
        <v>80147</v>
      </c>
      <c r="AB1001" t="s">
        <v>11</v>
      </c>
    </row>
    <row r="1002" spans="1:28" x14ac:dyDescent="0.25">
      <c r="A1002" t="s">
        <v>4826</v>
      </c>
      <c r="C1002" t="s">
        <v>4827</v>
      </c>
      <c r="D1002" t="s">
        <v>4828</v>
      </c>
      <c r="E1002" t="s">
        <v>770</v>
      </c>
      <c r="F1002" t="s">
        <v>1884</v>
      </c>
      <c r="G1002" t="s">
        <v>1854</v>
      </c>
      <c r="H1002" t="s">
        <v>1885</v>
      </c>
      <c r="J1002" t="s">
        <v>773</v>
      </c>
      <c r="K1002" t="s">
        <v>1902</v>
      </c>
      <c r="L1002" t="s">
        <v>15</v>
      </c>
      <c r="M1002" t="s">
        <v>14</v>
      </c>
      <c r="N1002" t="s">
        <v>770</v>
      </c>
      <c r="O1002">
        <v>1</v>
      </c>
      <c r="P1002" t="s">
        <v>776</v>
      </c>
      <c r="Q1002">
        <v>14.9</v>
      </c>
      <c r="R1002">
        <v>2.69</v>
      </c>
      <c r="S1002">
        <v>3</v>
      </c>
      <c r="T1002">
        <v>0.54</v>
      </c>
      <c r="Y1002" t="s">
        <v>2871</v>
      </c>
      <c r="Z1002" t="s">
        <v>2473</v>
      </c>
      <c r="AA1002">
        <v>70056</v>
      </c>
      <c r="AB1002" t="s">
        <v>11</v>
      </c>
    </row>
    <row r="1003" spans="1:28" x14ac:dyDescent="0.25">
      <c r="A1003" t="s">
        <v>4829</v>
      </c>
      <c r="B1003" t="s">
        <v>4829</v>
      </c>
      <c r="C1003" t="s">
        <v>4830</v>
      </c>
      <c r="D1003" t="s">
        <v>4831</v>
      </c>
      <c r="E1003" t="s">
        <v>770</v>
      </c>
      <c r="F1003" t="s">
        <v>771</v>
      </c>
      <c r="G1003" t="s">
        <v>1854</v>
      </c>
      <c r="J1003" t="s">
        <v>783</v>
      </c>
      <c r="K1003" t="s">
        <v>1855</v>
      </c>
      <c r="L1003" t="s">
        <v>1856</v>
      </c>
      <c r="M1003" t="s">
        <v>12</v>
      </c>
      <c r="N1003" t="s">
        <v>770</v>
      </c>
      <c r="O1003">
        <v>1</v>
      </c>
      <c r="P1003" t="s">
        <v>776</v>
      </c>
      <c r="Q1003">
        <v>19.899999999999999</v>
      </c>
      <c r="R1003">
        <v>3.59</v>
      </c>
      <c r="Y1003" t="s">
        <v>4832</v>
      </c>
      <c r="Z1003" t="s">
        <v>4833</v>
      </c>
      <c r="AA1003">
        <v>70043</v>
      </c>
      <c r="AB1003" t="s">
        <v>11</v>
      </c>
    </row>
    <row r="1004" spans="1:28" x14ac:dyDescent="0.25">
      <c r="A1004" t="s">
        <v>4834</v>
      </c>
      <c r="B1004" t="s">
        <v>4834</v>
      </c>
      <c r="C1004" t="s">
        <v>4835</v>
      </c>
      <c r="D1004" t="s">
        <v>4836</v>
      </c>
      <c r="E1004" t="s">
        <v>770</v>
      </c>
      <c r="F1004" t="s">
        <v>771</v>
      </c>
      <c r="G1004" t="s">
        <v>1854</v>
      </c>
      <c r="J1004" t="s">
        <v>783</v>
      </c>
      <c r="K1004" t="s">
        <v>1855</v>
      </c>
      <c r="L1004" t="s">
        <v>1856</v>
      </c>
      <c r="M1004" t="s">
        <v>12</v>
      </c>
      <c r="N1004" t="s">
        <v>770</v>
      </c>
      <c r="O1004">
        <v>1</v>
      </c>
      <c r="P1004" t="s">
        <v>776</v>
      </c>
      <c r="Q1004">
        <v>19.899999999999999</v>
      </c>
      <c r="R1004">
        <v>3.59</v>
      </c>
      <c r="Y1004" t="s">
        <v>4837</v>
      </c>
      <c r="Z1004" t="s">
        <v>4838</v>
      </c>
      <c r="AA1004">
        <v>88046</v>
      </c>
      <c r="AB1004" t="s">
        <v>11</v>
      </c>
    </row>
    <row r="1005" spans="1:28" x14ac:dyDescent="0.25">
      <c r="A1005" t="s">
        <v>4839</v>
      </c>
      <c r="B1005" t="s">
        <v>4839</v>
      </c>
      <c r="C1005" t="s">
        <v>4840</v>
      </c>
      <c r="D1005" t="s">
        <v>4841</v>
      </c>
      <c r="E1005" t="s">
        <v>770</v>
      </c>
      <c r="F1005" t="s">
        <v>771</v>
      </c>
      <c r="G1005" t="s">
        <v>1854</v>
      </c>
      <c r="J1005" t="s">
        <v>783</v>
      </c>
      <c r="K1005" t="s">
        <v>1855</v>
      </c>
      <c r="L1005" t="s">
        <v>1856</v>
      </c>
      <c r="M1005" t="s">
        <v>12</v>
      </c>
      <c r="N1005" t="s">
        <v>770</v>
      </c>
      <c r="O1005">
        <v>1</v>
      </c>
      <c r="P1005" t="s">
        <v>776</v>
      </c>
      <c r="Q1005">
        <v>19.899999999999999</v>
      </c>
      <c r="R1005">
        <v>3.59</v>
      </c>
      <c r="S1005">
        <v>2.4900000000000002</v>
      </c>
      <c r="T1005">
        <v>0.45</v>
      </c>
      <c r="Y1005" t="s">
        <v>3220</v>
      </c>
      <c r="Z1005" t="s">
        <v>1908</v>
      </c>
      <c r="AA1005">
        <v>80027</v>
      </c>
      <c r="AB1005" t="s">
        <v>11</v>
      </c>
    </row>
    <row r="1006" spans="1:28" x14ac:dyDescent="0.25">
      <c r="A1006" t="s">
        <v>4842</v>
      </c>
      <c r="B1006" t="s">
        <v>4842</v>
      </c>
      <c r="C1006" t="s">
        <v>4843</v>
      </c>
      <c r="D1006" t="s">
        <v>4844</v>
      </c>
      <c r="E1006" t="s">
        <v>770</v>
      </c>
      <c r="F1006" t="s">
        <v>771</v>
      </c>
      <c r="G1006" t="s">
        <v>1854</v>
      </c>
      <c r="J1006" t="s">
        <v>783</v>
      </c>
      <c r="K1006" t="s">
        <v>1862</v>
      </c>
      <c r="L1006" t="s">
        <v>1505</v>
      </c>
      <c r="M1006" t="s">
        <v>53</v>
      </c>
      <c r="N1006" t="s">
        <v>770</v>
      </c>
      <c r="O1006">
        <v>1</v>
      </c>
      <c r="P1006" t="s">
        <v>776</v>
      </c>
      <c r="Q1006">
        <v>32.9</v>
      </c>
      <c r="R1006">
        <v>5.93</v>
      </c>
      <c r="S1006">
        <v>4.99</v>
      </c>
      <c r="T1006">
        <v>0.9</v>
      </c>
      <c r="Y1006" t="s">
        <v>1875</v>
      </c>
      <c r="Z1006" t="s">
        <v>4845</v>
      </c>
      <c r="AA1006">
        <v>20156</v>
      </c>
      <c r="AB1006" t="s">
        <v>11</v>
      </c>
    </row>
    <row r="1007" spans="1:28" x14ac:dyDescent="0.25">
      <c r="A1007" t="s">
        <v>4846</v>
      </c>
      <c r="C1007" t="s">
        <v>4847</v>
      </c>
      <c r="D1007" t="s">
        <v>4848</v>
      </c>
      <c r="E1007" t="s">
        <v>770</v>
      </c>
      <c r="F1007" t="s">
        <v>1884</v>
      </c>
      <c r="G1007" t="s">
        <v>1854</v>
      </c>
      <c r="H1007" t="s">
        <v>1885</v>
      </c>
      <c r="J1007" t="s">
        <v>773</v>
      </c>
      <c r="K1007" t="s">
        <v>4362</v>
      </c>
      <c r="L1007" s="2">
        <v>40500</v>
      </c>
      <c r="M1007" t="s">
        <v>53</v>
      </c>
      <c r="N1007" t="s">
        <v>770</v>
      </c>
      <c r="O1007">
        <v>1</v>
      </c>
      <c r="P1007" t="s">
        <v>776</v>
      </c>
      <c r="Q1007">
        <v>32.9</v>
      </c>
      <c r="R1007">
        <v>5.93</v>
      </c>
      <c r="S1007">
        <v>3</v>
      </c>
      <c r="T1007">
        <v>0.54</v>
      </c>
      <c r="Y1007" t="s">
        <v>4849</v>
      </c>
      <c r="Z1007" t="s">
        <v>2030</v>
      </c>
      <c r="AA1007">
        <v>38067</v>
      </c>
      <c r="AB1007" t="s">
        <v>11</v>
      </c>
    </row>
    <row r="1008" spans="1:28" x14ac:dyDescent="0.25">
      <c r="A1008" t="s">
        <v>4850</v>
      </c>
      <c r="B1008" t="s">
        <v>4850</v>
      </c>
      <c r="C1008" t="s">
        <v>4851</v>
      </c>
      <c r="D1008" t="s">
        <v>4852</v>
      </c>
      <c r="E1008" t="s">
        <v>770</v>
      </c>
      <c r="F1008" t="s">
        <v>771</v>
      </c>
      <c r="G1008" t="s">
        <v>1854</v>
      </c>
      <c r="J1008" t="s">
        <v>783</v>
      </c>
      <c r="K1008" t="s">
        <v>1862</v>
      </c>
      <c r="L1008" t="s">
        <v>1505</v>
      </c>
      <c r="M1008" t="s">
        <v>53</v>
      </c>
      <c r="N1008" t="s">
        <v>770</v>
      </c>
      <c r="O1008">
        <v>1</v>
      </c>
      <c r="P1008" t="s">
        <v>776</v>
      </c>
      <c r="Q1008">
        <v>32.9</v>
      </c>
      <c r="R1008">
        <v>5.93</v>
      </c>
      <c r="Y1008" t="s">
        <v>4853</v>
      </c>
      <c r="Z1008" t="s">
        <v>4854</v>
      </c>
      <c r="AA1008">
        <v>90032</v>
      </c>
      <c r="AB1008" t="s">
        <v>11</v>
      </c>
    </row>
    <row r="1009" spans="1:35" x14ac:dyDescent="0.25">
      <c r="A1009" t="s">
        <v>4855</v>
      </c>
      <c r="B1009" t="s">
        <v>4855</v>
      </c>
      <c r="C1009" t="s">
        <v>4856</v>
      </c>
      <c r="D1009" t="s">
        <v>4857</v>
      </c>
      <c r="E1009" t="s">
        <v>770</v>
      </c>
      <c r="F1009" t="s">
        <v>771</v>
      </c>
      <c r="G1009" t="s">
        <v>1854</v>
      </c>
      <c r="J1009" t="s">
        <v>783</v>
      </c>
      <c r="K1009" t="s">
        <v>1855</v>
      </c>
      <c r="L1009" t="s">
        <v>1856</v>
      </c>
      <c r="M1009" t="s">
        <v>12</v>
      </c>
      <c r="N1009" t="s">
        <v>770</v>
      </c>
      <c r="O1009">
        <v>1</v>
      </c>
      <c r="P1009" t="s">
        <v>776</v>
      </c>
      <c r="Q1009">
        <v>19.899999999999999</v>
      </c>
      <c r="R1009">
        <v>3.59</v>
      </c>
      <c r="Y1009" t="s">
        <v>4858</v>
      </c>
      <c r="Z1009" t="s">
        <v>1913</v>
      </c>
      <c r="AA1009">
        <v>62</v>
      </c>
      <c r="AB1009" t="s">
        <v>11</v>
      </c>
    </row>
    <row r="1010" spans="1:35" x14ac:dyDescent="0.25">
      <c r="A1010" t="s">
        <v>4859</v>
      </c>
      <c r="B1010" t="s">
        <v>4859</v>
      </c>
      <c r="C1010" t="s">
        <v>4860</v>
      </c>
      <c r="D1010" t="s">
        <v>4861</v>
      </c>
      <c r="E1010" t="s">
        <v>770</v>
      </c>
      <c r="F1010" t="s">
        <v>771</v>
      </c>
      <c r="G1010" t="s">
        <v>1854</v>
      </c>
      <c r="J1010" t="s">
        <v>783</v>
      </c>
      <c r="K1010" t="s">
        <v>1855</v>
      </c>
      <c r="L1010" t="s">
        <v>1856</v>
      </c>
      <c r="M1010" t="s">
        <v>12</v>
      </c>
      <c r="N1010" t="s">
        <v>770</v>
      </c>
      <c r="O1010">
        <v>1</v>
      </c>
      <c r="P1010" t="s">
        <v>776</v>
      </c>
      <c r="Q1010">
        <v>19.899999999999999</v>
      </c>
      <c r="R1010">
        <v>3.59</v>
      </c>
      <c r="Y1010" t="s">
        <v>4862</v>
      </c>
      <c r="Z1010" t="s">
        <v>3008</v>
      </c>
      <c r="AA1010">
        <v>47833</v>
      </c>
      <c r="AB1010" t="s">
        <v>11</v>
      </c>
    </row>
    <row r="1011" spans="1:35" x14ac:dyDescent="0.25">
      <c r="A1011" t="s">
        <v>4863</v>
      </c>
      <c r="B1011" t="s">
        <v>4863</v>
      </c>
      <c r="C1011" t="s">
        <v>4864</v>
      </c>
      <c r="D1011" t="s">
        <v>4865</v>
      </c>
      <c r="E1011" t="s">
        <v>770</v>
      </c>
      <c r="F1011" t="s">
        <v>771</v>
      </c>
      <c r="G1011" t="s">
        <v>1854</v>
      </c>
      <c r="J1011" t="s">
        <v>783</v>
      </c>
      <c r="K1011" t="s">
        <v>1855</v>
      </c>
      <c r="L1011" t="s">
        <v>1856</v>
      </c>
      <c r="M1011" t="s">
        <v>12</v>
      </c>
      <c r="N1011" t="s">
        <v>770</v>
      </c>
      <c r="O1011">
        <v>1</v>
      </c>
      <c r="P1011" t="s">
        <v>776</v>
      </c>
      <c r="Q1011">
        <v>19.899999999999999</v>
      </c>
      <c r="R1011">
        <v>3.59</v>
      </c>
      <c r="Y1011" t="s">
        <v>4866</v>
      </c>
      <c r="Z1011" t="s">
        <v>2533</v>
      </c>
      <c r="AA1011">
        <v>35020</v>
      </c>
      <c r="AB1011" t="s">
        <v>11</v>
      </c>
    </row>
    <row r="1012" spans="1:35" x14ac:dyDescent="0.25">
      <c r="A1012" t="s">
        <v>4867</v>
      </c>
      <c r="C1012" t="s">
        <v>4868</v>
      </c>
      <c r="D1012" t="s">
        <v>4869</v>
      </c>
      <c r="E1012" t="s">
        <v>770</v>
      </c>
      <c r="F1012" t="s">
        <v>1884</v>
      </c>
      <c r="G1012" t="s">
        <v>1854</v>
      </c>
      <c r="H1012" t="s">
        <v>1885</v>
      </c>
      <c r="J1012" t="s">
        <v>773</v>
      </c>
      <c r="K1012" t="s">
        <v>2252</v>
      </c>
      <c r="L1012" t="s">
        <v>74</v>
      </c>
      <c r="M1012" t="s">
        <v>73</v>
      </c>
      <c r="N1012" t="s">
        <v>770</v>
      </c>
      <c r="O1012">
        <v>5</v>
      </c>
      <c r="P1012" t="s">
        <v>776</v>
      </c>
      <c r="Q1012">
        <v>74.5</v>
      </c>
      <c r="R1012">
        <v>13.45</v>
      </c>
      <c r="S1012">
        <v>15</v>
      </c>
      <c r="T1012">
        <v>2.7</v>
      </c>
      <c r="Y1012" t="s">
        <v>4870</v>
      </c>
      <c r="Z1012" t="s">
        <v>1869</v>
      </c>
      <c r="AA1012">
        <v>10024</v>
      </c>
      <c r="AB1012" t="s">
        <v>11</v>
      </c>
      <c r="AG1012" t="s">
        <v>4871</v>
      </c>
      <c r="AH1012" t="s">
        <v>11</v>
      </c>
      <c r="AI1012" t="s">
        <v>1258</v>
      </c>
    </row>
    <row r="1013" spans="1:35" x14ac:dyDescent="0.25">
      <c r="A1013" t="s">
        <v>4872</v>
      </c>
      <c r="B1013" t="s">
        <v>4872</v>
      </c>
      <c r="C1013" t="s">
        <v>4873</v>
      </c>
      <c r="D1013" t="s">
        <v>4874</v>
      </c>
      <c r="E1013" t="s">
        <v>770</v>
      </c>
      <c r="F1013" t="s">
        <v>771</v>
      </c>
      <c r="G1013" t="s">
        <v>1854</v>
      </c>
      <c r="J1013" t="s">
        <v>783</v>
      </c>
      <c r="K1013" t="s">
        <v>1862</v>
      </c>
      <c r="L1013" t="s">
        <v>1505</v>
      </c>
      <c r="M1013" t="s">
        <v>53</v>
      </c>
      <c r="N1013" t="s">
        <v>770</v>
      </c>
      <c r="O1013">
        <v>1</v>
      </c>
      <c r="P1013" t="s">
        <v>776</v>
      </c>
      <c r="Q1013">
        <v>32.9</v>
      </c>
      <c r="R1013">
        <v>5.93</v>
      </c>
      <c r="Y1013" t="s">
        <v>1875</v>
      </c>
      <c r="AA1013">
        <v>20132</v>
      </c>
      <c r="AB1013" t="s">
        <v>11</v>
      </c>
    </row>
    <row r="1014" spans="1:35" x14ac:dyDescent="0.25">
      <c r="A1014" t="s">
        <v>4875</v>
      </c>
      <c r="C1014" t="s">
        <v>4876</v>
      </c>
      <c r="D1014" t="s">
        <v>4877</v>
      </c>
      <c r="E1014" t="s">
        <v>770</v>
      </c>
      <c r="F1014" t="s">
        <v>1884</v>
      </c>
      <c r="G1014" t="s">
        <v>1854</v>
      </c>
      <c r="H1014" t="s">
        <v>1885</v>
      </c>
      <c r="J1014" t="s">
        <v>773</v>
      </c>
      <c r="K1014" t="s">
        <v>1886</v>
      </c>
      <c r="L1014" t="s">
        <v>18</v>
      </c>
      <c r="M1014" t="s">
        <v>17</v>
      </c>
      <c r="N1014" t="s">
        <v>770</v>
      </c>
      <c r="O1014">
        <v>1</v>
      </c>
      <c r="P1014" t="s">
        <v>776</v>
      </c>
      <c r="Q1014">
        <v>22.9</v>
      </c>
      <c r="R1014">
        <v>4.13</v>
      </c>
      <c r="S1014">
        <v>3</v>
      </c>
      <c r="T1014">
        <v>0.54</v>
      </c>
      <c r="Y1014" t="s">
        <v>1917</v>
      </c>
      <c r="Z1014" t="s">
        <v>1864</v>
      </c>
      <c r="AA1014">
        <v>20162</v>
      </c>
      <c r="AB1014" t="s">
        <v>11</v>
      </c>
    </row>
    <row r="1015" spans="1:35" x14ac:dyDescent="0.25">
      <c r="A1015" t="s">
        <v>4878</v>
      </c>
      <c r="C1015" t="s">
        <v>4879</v>
      </c>
      <c r="D1015" t="s">
        <v>4880</v>
      </c>
      <c r="E1015" t="s">
        <v>770</v>
      </c>
      <c r="F1015" t="s">
        <v>1884</v>
      </c>
      <c r="G1015" t="s">
        <v>1854</v>
      </c>
      <c r="H1015" t="s">
        <v>1885</v>
      </c>
      <c r="J1015" t="s">
        <v>773</v>
      </c>
      <c r="K1015" t="s">
        <v>4881</v>
      </c>
      <c r="L1015" s="2">
        <v>90882</v>
      </c>
      <c r="M1015" t="s">
        <v>232</v>
      </c>
      <c r="N1015" t="s">
        <v>770</v>
      </c>
      <c r="O1015">
        <v>1</v>
      </c>
      <c r="P1015" t="s">
        <v>776</v>
      </c>
      <c r="Q1015">
        <v>49.9</v>
      </c>
      <c r="R1015">
        <v>9</v>
      </c>
      <c r="S1015">
        <v>3</v>
      </c>
      <c r="T1015">
        <v>0.54</v>
      </c>
      <c r="Y1015" t="s">
        <v>2174</v>
      </c>
      <c r="Z1015" t="s">
        <v>2174</v>
      </c>
      <c r="AA1015">
        <v>80144</v>
      </c>
      <c r="AB1015" t="s">
        <v>11</v>
      </c>
      <c r="AG1015" t="s">
        <v>4882</v>
      </c>
      <c r="AH1015" t="s">
        <v>11</v>
      </c>
      <c r="AI1015" t="s">
        <v>1258</v>
      </c>
    </row>
    <row r="1016" spans="1:35" x14ac:dyDescent="0.25">
      <c r="A1016" t="s">
        <v>4883</v>
      </c>
      <c r="B1016" t="s">
        <v>4883</v>
      </c>
      <c r="C1016" t="s">
        <v>4884</v>
      </c>
      <c r="D1016" t="s">
        <v>4885</v>
      </c>
      <c r="E1016" t="s">
        <v>770</v>
      </c>
      <c r="F1016" t="s">
        <v>771</v>
      </c>
      <c r="G1016" t="s">
        <v>1854</v>
      </c>
      <c r="J1016" t="s">
        <v>783</v>
      </c>
      <c r="K1016" t="s">
        <v>1855</v>
      </c>
      <c r="L1016" t="s">
        <v>1856</v>
      </c>
      <c r="M1016" t="s">
        <v>12</v>
      </c>
      <c r="N1016" t="s">
        <v>770</v>
      </c>
      <c r="O1016">
        <v>1</v>
      </c>
      <c r="P1016" t="s">
        <v>776</v>
      </c>
      <c r="Q1016">
        <v>19.899999999999999</v>
      </c>
      <c r="R1016">
        <v>3.59</v>
      </c>
      <c r="Y1016" t="s">
        <v>4172</v>
      </c>
      <c r="Z1016" t="s">
        <v>4172</v>
      </c>
      <c r="AA1016">
        <v>43122</v>
      </c>
      <c r="AB1016" t="s">
        <v>11</v>
      </c>
    </row>
    <row r="1017" spans="1:35" x14ac:dyDescent="0.25">
      <c r="A1017" t="s">
        <v>4886</v>
      </c>
      <c r="C1017" t="s">
        <v>4887</v>
      </c>
      <c r="D1017" t="s">
        <v>4888</v>
      </c>
      <c r="E1017" t="s">
        <v>782</v>
      </c>
      <c r="F1017" t="s">
        <v>1884</v>
      </c>
      <c r="G1017" t="s">
        <v>1854</v>
      </c>
      <c r="H1017" t="s">
        <v>1885</v>
      </c>
      <c r="J1017" t="s">
        <v>773</v>
      </c>
      <c r="K1017" t="s">
        <v>2319</v>
      </c>
      <c r="L1017" t="s">
        <v>187</v>
      </c>
      <c r="M1017" t="s">
        <v>186</v>
      </c>
      <c r="O1017">
        <v>0</v>
      </c>
      <c r="P1017" t="s">
        <v>776</v>
      </c>
      <c r="Q1017">
        <v>65.400000000000006</v>
      </c>
      <c r="R1017">
        <v>14.4</v>
      </c>
      <c r="S1017">
        <v>6</v>
      </c>
      <c r="T1017">
        <v>1.08</v>
      </c>
      <c r="Y1017" t="s">
        <v>4889</v>
      </c>
      <c r="Z1017" t="s">
        <v>3512</v>
      </c>
      <c r="AA1017">
        <v>32042</v>
      </c>
      <c r="AB1017" t="s">
        <v>11</v>
      </c>
      <c r="AG1017" t="s">
        <v>4890</v>
      </c>
      <c r="AH1017" t="s">
        <v>11</v>
      </c>
      <c r="AI1017" t="s">
        <v>1258</v>
      </c>
    </row>
    <row r="1018" spans="1:35" x14ac:dyDescent="0.25">
      <c r="A1018" t="s">
        <v>4891</v>
      </c>
      <c r="C1018" t="s">
        <v>4892</v>
      </c>
      <c r="D1018" t="s">
        <v>4893</v>
      </c>
      <c r="E1018" t="s">
        <v>770</v>
      </c>
      <c r="F1018" t="s">
        <v>1884</v>
      </c>
      <c r="G1018" t="s">
        <v>1854</v>
      </c>
      <c r="H1018" t="s">
        <v>1885</v>
      </c>
      <c r="J1018" t="s">
        <v>773</v>
      </c>
      <c r="K1018" t="s">
        <v>3363</v>
      </c>
      <c r="L1018" s="2">
        <v>40490</v>
      </c>
      <c r="M1018" t="s">
        <v>71</v>
      </c>
      <c r="N1018" t="s">
        <v>770</v>
      </c>
      <c r="O1018">
        <v>2</v>
      </c>
      <c r="P1018" t="s">
        <v>776</v>
      </c>
      <c r="Q1018">
        <v>59.8</v>
      </c>
      <c r="R1018">
        <v>10.78</v>
      </c>
      <c r="S1018">
        <v>6</v>
      </c>
      <c r="T1018">
        <v>1.08</v>
      </c>
      <c r="Y1018" t="s">
        <v>4894</v>
      </c>
      <c r="Z1018" t="s">
        <v>3495</v>
      </c>
      <c r="AA1018">
        <v>4027</v>
      </c>
      <c r="AB1018" t="s">
        <v>11</v>
      </c>
      <c r="AG1018" t="s">
        <v>4895</v>
      </c>
      <c r="AH1018" t="s">
        <v>11</v>
      </c>
      <c r="AI1018" t="s">
        <v>1258</v>
      </c>
    </row>
    <row r="1019" spans="1:35" x14ac:dyDescent="0.25">
      <c r="A1019" t="s">
        <v>4896</v>
      </c>
      <c r="B1019" t="s">
        <v>4896</v>
      </c>
      <c r="C1019" t="s">
        <v>4897</v>
      </c>
      <c r="D1019" t="s">
        <v>4898</v>
      </c>
      <c r="E1019" t="s">
        <v>770</v>
      </c>
      <c r="F1019" t="s">
        <v>771</v>
      </c>
      <c r="G1019" t="s">
        <v>1854</v>
      </c>
      <c r="J1019" t="s">
        <v>783</v>
      </c>
      <c r="K1019" t="s">
        <v>1862</v>
      </c>
      <c r="L1019" t="s">
        <v>1505</v>
      </c>
      <c r="M1019" t="s">
        <v>53</v>
      </c>
      <c r="N1019" t="s">
        <v>770</v>
      </c>
      <c r="O1019">
        <v>1</v>
      </c>
      <c r="P1019" t="s">
        <v>776</v>
      </c>
      <c r="Q1019">
        <v>32.9</v>
      </c>
      <c r="R1019">
        <v>5.93</v>
      </c>
      <c r="Y1019" t="s">
        <v>4899</v>
      </c>
      <c r="Z1019" t="s">
        <v>4900</v>
      </c>
      <c r="AA1019">
        <v>28075</v>
      </c>
      <c r="AB1019" t="s">
        <v>11</v>
      </c>
    </row>
    <row r="1020" spans="1:35" x14ac:dyDescent="0.25">
      <c r="A1020" t="s">
        <v>4901</v>
      </c>
      <c r="B1020" t="s">
        <v>4901</v>
      </c>
      <c r="C1020" t="s">
        <v>4902</v>
      </c>
      <c r="D1020" t="s">
        <v>4903</v>
      </c>
      <c r="E1020" t="s">
        <v>770</v>
      </c>
      <c r="F1020" t="s">
        <v>771</v>
      </c>
      <c r="G1020" t="s">
        <v>1854</v>
      </c>
      <c r="J1020" t="s">
        <v>783</v>
      </c>
      <c r="K1020" t="s">
        <v>1873</v>
      </c>
      <c r="L1020" t="s">
        <v>840</v>
      </c>
      <c r="M1020" t="s">
        <v>26</v>
      </c>
      <c r="N1020" t="s">
        <v>770</v>
      </c>
      <c r="O1020">
        <v>1</v>
      </c>
      <c r="P1020" t="s">
        <v>776</v>
      </c>
      <c r="Q1020">
        <v>34.9</v>
      </c>
      <c r="R1020">
        <v>6.29</v>
      </c>
      <c r="Y1020" t="s">
        <v>4904</v>
      </c>
      <c r="Z1020" t="s">
        <v>4393</v>
      </c>
      <c r="AA1020">
        <v>95030</v>
      </c>
      <c r="AB1020" t="s">
        <v>11</v>
      </c>
    </row>
    <row r="1021" spans="1:35" x14ac:dyDescent="0.25">
      <c r="A1021" t="s">
        <v>4905</v>
      </c>
      <c r="C1021" t="s">
        <v>4906</v>
      </c>
      <c r="D1021" t="s">
        <v>4907</v>
      </c>
      <c r="E1021" t="s">
        <v>770</v>
      </c>
      <c r="F1021" t="s">
        <v>1884</v>
      </c>
      <c r="G1021" t="s">
        <v>1854</v>
      </c>
      <c r="H1021" t="s">
        <v>1885</v>
      </c>
      <c r="J1021" t="s">
        <v>773</v>
      </c>
      <c r="K1021" t="s">
        <v>1855</v>
      </c>
      <c r="L1021" t="s">
        <v>13</v>
      </c>
      <c r="M1021" t="s">
        <v>12</v>
      </c>
      <c r="N1021" t="s">
        <v>770</v>
      </c>
      <c r="O1021">
        <v>1</v>
      </c>
      <c r="P1021" t="s">
        <v>776</v>
      </c>
      <c r="Q1021">
        <v>19.899999999999999</v>
      </c>
      <c r="R1021">
        <v>3.59</v>
      </c>
      <c r="S1021">
        <v>3</v>
      </c>
      <c r="T1021">
        <v>0.54</v>
      </c>
      <c r="Y1021" t="s">
        <v>3239</v>
      </c>
      <c r="Z1021" t="s">
        <v>2675</v>
      </c>
      <c r="AA1021">
        <v>20834</v>
      </c>
      <c r="AB1021" t="s">
        <v>11</v>
      </c>
    </row>
    <row r="1022" spans="1:35" x14ac:dyDescent="0.25">
      <c r="A1022" t="s">
        <v>4908</v>
      </c>
      <c r="B1022" t="s">
        <v>4908</v>
      </c>
      <c r="C1022" t="s">
        <v>4909</v>
      </c>
      <c r="D1022" t="s">
        <v>4910</v>
      </c>
      <c r="E1022" t="s">
        <v>770</v>
      </c>
      <c r="F1022" t="s">
        <v>771</v>
      </c>
      <c r="G1022" t="s">
        <v>1854</v>
      </c>
      <c r="J1022" t="s">
        <v>783</v>
      </c>
      <c r="K1022" t="s">
        <v>1855</v>
      </c>
      <c r="L1022" t="s">
        <v>1856</v>
      </c>
      <c r="M1022" t="s">
        <v>12</v>
      </c>
      <c r="N1022" t="s">
        <v>770</v>
      </c>
      <c r="O1022">
        <v>1</v>
      </c>
      <c r="P1022" t="s">
        <v>776</v>
      </c>
      <c r="Q1022">
        <v>19.899999999999999</v>
      </c>
      <c r="R1022">
        <v>3.59</v>
      </c>
      <c r="Y1022" t="s">
        <v>4911</v>
      </c>
      <c r="Z1022" t="s">
        <v>1937</v>
      </c>
      <c r="AA1022">
        <v>24066</v>
      </c>
      <c r="AB1022" t="s">
        <v>11</v>
      </c>
    </row>
    <row r="1023" spans="1:35" x14ac:dyDescent="0.25">
      <c r="A1023" t="s">
        <v>4912</v>
      </c>
      <c r="B1023" t="s">
        <v>4912</v>
      </c>
      <c r="C1023" t="s">
        <v>4913</v>
      </c>
      <c r="D1023" t="s">
        <v>4914</v>
      </c>
      <c r="E1023" t="s">
        <v>770</v>
      </c>
      <c r="F1023" t="s">
        <v>771</v>
      </c>
      <c r="G1023" t="s">
        <v>1854</v>
      </c>
      <c r="I1023" t="s">
        <v>2692</v>
      </c>
      <c r="J1023" t="s">
        <v>783</v>
      </c>
      <c r="K1023" t="s">
        <v>1862</v>
      </c>
      <c r="L1023" t="s">
        <v>1505</v>
      </c>
      <c r="M1023" t="s">
        <v>53</v>
      </c>
      <c r="N1023" t="s">
        <v>770</v>
      </c>
      <c r="O1023">
        <v>1</v>
      </c>
      <c r="P1023" t="s">
        <v>776</v>
      </c>
      <c r="Q1023">
        <v>32.9</v>
      </c>
      <c r="R1023">
        <v>5.93</v>
      </c>
      <c r="Y1023" t="s">
        <v>2693</v>
      </c>
      <c r="Z1023" t="s">
        <v>2148</v>
      </c>
      <c r="AA1023">
        <v>45020</v>
      </c>
      <c r="AB1023" t="s">
        <v>11</v>
      </c>
    </row>
    <row r="1024" spans="1:35" x14ac:dyDescent="0.25">
      <c r="A1024" t="s">
        <v>4915</v>
      </c>
      <c r="B1024" t="s">
        <v>4915</v>
      </c>
      <c r="C1024" t="s">
        <v>4916</v>
      </c>
      <c r="D1024" t="s">
        <v>4917</v>
      </c>
      <c r="E1024" t="s">
        <v>770</v>
      </c>
      <c r="F1024" t="s">
        <v>771</v>
      </c>
      <c r="G1024" t="s">
        <v>1854</v>
      </c>
      <c r="J1024" t="s">
        <v>783</v>
      </c>
      <c r="K1024" t="s">
        <v>2652</v>
      </c>
      <c r="L1024" t="s">
        <v>1831</v>
      </c>
      <c r="M1024" t="s">
        <v>51</v>
      </c>
      <c r="N1024" t="s">
        <v>770</v>
      </c>
      <c r="O1024">
        <v>1</v>
      </c>
      <c r="P1024" t="s">
        <v>776</v>
      </c>
      <c r="Q1024">
        <v>24.9</v>
      </c>
      <c r="R1024">
        <v>4.49</v>
      </c>
      <c r="S1024">
        <v>4.99</v>
      </c>
      <c r="T1024">
        <v>0.9</v>
      </c>
      <c r="Y1024" t="s">
        <v>4918</v>
      </c>
      <c r="Z1024" t="s">
        <v>2165</v>
      </c>
      <c r="AA1024">
        <v>55100</v>
      </c>
      <c r="AB1024" t="s">
        <v>11</v>
      </c>
    </row>
    <row r="1025" spans="1:28" x14ac:dyDescent="0.25">
      <c r="A1025" t="s">
        <v>4919</v>
      </c>
      <c r="B1025" t="s">
        <v>4919</v>
      </c>
      <c r="C1025" t="s">
        <v>4920</v>
      </c>
      <c r="D1025" t="s">
        <v>4921</v>
      </c>
      <c r="E1025" t="s">
        <v>770</v>
      </c>
      <c r="F1025" t="s">
        <v>771</v>
      </c>
      <c r="G1025" t="s">
        <v>1854</v>
      </c>
      <c r="J1025" t="s">
        <v>783</v>
      </c>
      <c r="K1025" t="s">
        <v>1873</v>
      </c>
      <c r="L1025" t="s">
        <v>840</v>
      </c>
      <c r="M1025" t="s">
        <v>26</v>
      </c>
      <c r="N1025" t="s">
        <v>770</v>
      </c>
      <c r="O1025">
        <v>1</v>
      </c>
      <c r="P1025" t="s">
        <v>776</v>
      </c>
      <c r="Q1025">
        <v>34.9</v>
      </c>
      <c r="R1025">
        <v>6.29</v>
      </c>
      <c r="Y1025" t="s">
        <v>2463</v>
      </c>
      <c r="Z1025" t="s">
        <v>2463</v>
      </c>
      <c r="AA1025">
        <v>6134</v>
      </c>
      <c r="AB1025" t="s">
        <v>11</v>
      </c>
    </row>
    <row r="1026" spans="1:28" x14ac:dyDescent="0.25">
      <c r="A1026" t="s">
        <v>4922</v>
      </c>
      <c r="B1026" t="s">
        <v>4922</v>
      </c>
      <c r="C1026" t="s">
        <v>4923</v>
      </c>
      <c r="D1026" t="s">
        <v>4924</v>
      </c>
      <c r="E1026" t="s">
        <v>782</v>
      </c>
      <c r="F1026" t="s">
        <v>771</v>
      </c>
      <c r="G1026" t="s">
        <v>1854</v>
      </c>
      <c r="J1026" t="s">
        <v>783</v>
      </c>
      <c r="K1026" t="s">
        <v>1862</v>
      </c>
      <c r="L1026" t="s">
        <v>1505</v>
      </c>
      <c r="M1026" t="s">
        <v>53</v>
      </c>
      <c r="N1026" t="s">
        <v>782</v>
      </c>
      <c r="O1026">
        <v>0</v>
      </c>
      <c r="Y1026" t="s">
        <v>4925</v>
      </c>
      <c r="Z1026" t="s">
        <v>4926</v>
      </c>
      <c r="AA1026">
        <v>36022</v>
      </c>
      <c r="AB1026" t="s">
        <v>11</v>
      </c>
    </row>
    <row r="1027" spans="1:28" x14ac:dyDescent="0.25">
      <c r="A1027" t="s">
        <v>4927</v>
      </c>
      <c r="B1027" t="s">
        <v>4927</v>
      </c>
      <c r="C1027" t="s">
        <v>4928</v>
      </c>
      <c r="D1027" t="s">
        <v>4929</v>
      </c>
      <c r="E1027" t="s">
        <v>770</v>
      </c>
      <c r="F1027" t="s">
        <v>771</v>
      </c>
      <c r="G1027" t="s">
        <v>1854</v>
      </c>
      <c r="J1027" t="s">
        <v>783</v>
      </c>
      <c r="K1027" t="s">
        <v>1873</v>
      </c>
      <c r="L1027" t="s">
        <v>840</v>
      </c>
      <c r="M1027" t="s">
        <v>26</v>
      </c>
      <c r="N1027" t="s">
        <v>770</v>
      </c>
      <c r="O1027">
        <v>1</v>
      </c>
      <c r="P1027" t="s">
        <v>776</v>
      </c>
      <c r="Q1027">
        <v>34.9</v>
      </c>
      <c r="R1027">
        <v>6.29</v>
      </c>
      <c r="Y1027" t="s">
        <v>4930</v>
      </c>
      <c r="Z1027" t="s">
        <v>1875</v>
      </c>
      <c r="AA1027">
        <v>20093</v>
      </c>
      <c r="AB1027" t="s">
        <v>11</v>
      </c>
    </row>
    <row r="1028" spans="1:28" x14ac:dyDescent="0.25">
      <c r="A1028" t="s">
        <v>4931</v>
      </c>
      <c r="B1028" t="s">
        <v>4931</v>
      </c>
      <c r="C1028" t="s">
        <v>4932</v>
      </c>
      <c r="D1028" t="s">
        <v>4933</v>
      </c>
      <c r="E1028" t="s">
        <v>770</v>
      </c>
      <c r="F1028" t="s">
        <v>771</v>
      </c>
      <c r="G1028" t="s">
        <v>1854</v>
      </c>
      <c r="J1028" t="s">
        <v>783</v>
      </c>
      <c r="K1028" t="s">
        <v>1873</v>
      </c>
      <c r="L1028" t="s">
        <v>840</v>
      </c>
      <c r="M1028" t="s">
        <v>26</v>
      </c>
      <c r="N1028" t="s">
        <v>770</v>
      </c>
      <c r="O1028">
        <v>1</v>
      </c>
      <c r="P1028" t="s">
        <v>776</v>
      </c>
      <c r="Q1028">
        <v>34.9</v>
      </c>
      <c r="R1028">
        <v>6.29</v>
      </c>
      <c r="Y1028" t="s">
        <v>4934</v>
      </c>
      <c r="Z1028" t="s">
        <v>4935</v>
      </c>
      <c r="AA1028">
        <v>25015</v>
      </c>
      <c r="AB1028" t="s">
        <v>11</v>
      </c>
    </row>
    <row r="1029" spans="1:28" x14ac:dyDescent="0.25">
      <c r="A1029" t="s">
        <v>4936</v>
      </c>
      <c r="B1029" t="s">
        <v>4936</v>
      </c>
      <c r="C1029" t="s">
        <v>4937</v>
      </c>
      <c r="D1029" t="s">
        <v>4938</v>
      </c>
      <c r="E1029" t="s">
        <v>770</v>
      </c>
      <c r="F1029" t="s">
        <v>771</v>
      </c>
      <c r="G1029" t="s">
        <v>1854</v>
      </c>
      <c r="J1029" t="s">
        <v>783</v>
      </c>
      <c r="K1029" t="s">
        <v>1873</v>
      </c>
      <c r="L1029" t="s">
        <v>840</v>
      </c>
      <c r="M1029" t="s">
        <v>26</v>
      </c>
      <c r="N1029" t="s">
        <v>770</v>
      </c>
      <c r="O1029">
        <v>1</v>
      </c>
      <c r="P1029" t="s">
        <v>776</v>
      </c>
      <c r="Q1029">
        <v>34.9</v>
      </c>
      <c r="R1029">
        <v>6.29</v>
      </c>
      <c r="Y1029" t="s">
        <v>4939</v>
      </c>
      <c r="Z1029" t="s">
        <v>4940</v>
      </c>
      <c r="AA1029">
        <v>6084</v>
      </c>
      <c r="AB1029" t="s">
        <v>11</v>
      </c>
    </row>
    <row r="1030" spans="1:28" x14ac:dyDescent="0.25">
      <c r="A1030" t="s">
        <v>4941</v>
      </c>
      <c r="B1030" t="s">
        <v>4941</v>
      </c>
      <c r="C1030" t="s">
        <v>4942</v>
      </c>
      <c r="D1030" t="s">
        <v>4943</v>
      </c>
      <c r="E1030" t="s">
        <v>770</v>
      </c>
      <c r="F1030" t="s">
        <v>771</v>
      </c>
      <c r="G1030" t="s">
        <v>1854</v>
      </c>
      <c r="J1030" t="s">
        <v>783</v>
      </c>
      <c r="K1030" t="s">
        <v>1855</v>
      </c>
      <c r="L1030" t="s">
        <v>1856</v>
      </c>
      <c r="M1030" t="s">
        <v>12</v>
      </c>
      <c r="N1030" t="s">
        <v>770</v>
      </c>
      <c r="O1030">
        <v>1</v>
      </c>
      <c r="P1030" t="s">
        <v>776</v>
      </c>
      <c r="Q1030">
        <v>19.899999999999999</v>
      </c>
      <c r="R1030">
        <v>3.59</v>
      </c>
      <c r="Y1030" t="s">
        <v>4944</v>
      </c>
      <c r="Z1030" t="s">
        <v>2486</v>
      </c>
      <c r="AA1030">
        <v>61029</v>
      </c>
      <c r="AB1030" t="s">
        <v>11</v>
      </c>
    </row>
    <row r="1031" spans="1:28" x14ac:dyDescent="0.25">
      <c r="A1031" t="s">
        <v>4945</v>
      </c>
      <c r="B1031" t="s">
        <v>4945</v>
      </c>
      <c r="C1031" t="s">
        <v>4946</v>
      </c>
      <c r="D1031" t="s">
        <v>4947</v>
      </c>
      <c r="E1031" t="s">
        <v>770</v>
      </c>
      <c r="F1031" t="s">
        <v>771</v>
      </c>
      <c r="G1031" t="s">
        <v>1854</v>
      </c>
      <c r="J1031" t="s">
        <v>783</v>
      </c>
      <c r="K1031" t="s">
        <v>1855</v>
      </c>
      <c r="L1031" t="s">
        <v>1856</v>
      </c>
      <c r="M1031" t="s">
        <v>12</v>
      </c>
      <c r="N1031" t="s">
        <v>770</v>
      </c>
      <c r="O1031">
        <v>1</v>
      </c>
      <c r="P1031" t="s">
        <v>776</v>
      </c>
      <c r="Q1031">
        <v>19.899999999999999</v>
      </c>
      <c r="R1031">
        <v>3.59</v>
      </c>
      <c r="Y1031" t="s">
        <v>4948</v>
      </c>
      <c r="AA1031">
        <v>70026</v>
      </c>
      <c r="AB1031" t="s">
        <v>11</v>
      </c>
    </row>
    <row r="1032" spans="1:28" x14ac:dyDescent="0.25">
      <c r="A1032" t="s">
        <v>4949</v>
      </c>
      <c r="B1032" t="s">
        <v>4949</v>
      </c>
      <c r="C1032" t="s">
        <v>4950</v>
      </c>
      <c r="D1032" t="s">
        <v>4951</v>
      </c>
      <c r="E1032" t="s">
        <v>770</v>
      </c>
      <c r="F1032" t="s">
        <v>771</v>
      </c>
      <c r="G1032" t="s">
        <v>1854</v>
      </c>
      <c r="J1032" t="s">
        <v>783</v>
      </c>
      <c r="K1032" t="s">
        <v>1862</v>
      </c>
      <c r="L1032" t="s">
        <v>1505</v>
      </c>
      <c r="M1032" t="s">
        <v>53</v>
      </c>
      <c r="N1032" t="s">
        <v>770</v>
      </c>
      <c r="O1032">
        <v>1</v>
      </c>
      <c r="P1032" t="s">
        <v>776</v>
      </c>
      <c r="Q1032">
        <v>32.9</v>
      </c>
      <c r="R1032">
        <v>5.93</v>
      </c>
      <c r="Y1032" t="s">
        <v>1913</v>
      </c>
      <c r="Z1032" t="s">
        <v>1926</v>
      </c>
      <c r="AA1032">
        <v>159</v>
      </c>
      <c r="AB1032" t="s">
        <v>11</v>
      </c>
    </row>
    <row r="1033" spans="1:28" x14ac:dyDescent="0.25">
      <c r="A1033" t="s">
        <v>4952</v>
      </c>
      <c r="B1033" t="s">
        <v>4952</v>
      </c>
      <c r="C1033" t="s">
        <v>4953</v>
      </c>
      <c r="D1033" t="s">
        <v>4954</v>
      </c>
      <c r="E1033" t="s">
        <v>770</v>
      </c>
      <c r="F1033" t="s">
        <v>771</v>
      </c>
      <c r="G1033" t="s">
        <v>1854</v>
      </c>
      <c r="I1033" t="s">
        <v>2692</v>
      </c>
      <c r="J1033" t="s">
        <v>783</v>
      </c>
      <c r="K1033" t="s">
        <v>1862</v>
      </c>
      <c r="L1033" t="s">
        <v>1505</v>
      </c>
      <c r="M1033" t="s">
        <v>53</v>
      </c>
      <c r="N1033" t="s">
        <v>770</v>
      </c>
      <c r="O1033">
        <v>1</v>
      </c>
      <c r="P1033" t="s">
        <v>776</v>
      </c>
      <c r="Q1033">
        <v>32.9</v>
      </c>
      <c r="R1033">
        <v>5.93</v>
      </c>
      <c r="Y1033" t="s">
        <v>2693</v>
      </c>
      <c r="Z1033" t="s">
        <v>2148</v>
      </c>
      <c r="AA1033">
        <v>45020</v>
      </c>
      <c r="AB1033" t="s">
        <v>11</v>
      </c>
    </row>
    <row r="1034" spans="1:28" x14ac:dyDescent="0.25">
      <c r="A1034" t="s">
        <v>4955</v>
      </c>
      <c r="B1034" t="s">
        <v>4955</v>
      </c>
      <c r="C1034" t="s">
        <v>4956</v>
      </c>
      <c r="D1034" t="s">
        <v>4957</v>
      </c>
      <c r="E1034" t="s">
        <v>770</v>
      </c>
      <c r="F1034" t="s">
        <v>771</v>
      </c>
      <c r="G1034" t="s">
        <v>1854</v>
      </c>
      <c r="J1034" t="s">
        <v>783</v>
      </c>
      <c r="K1034" t="s">
        <v>1873</v>
      </c>
      <c r="L1034" t="s">
        <v>840</v>
      </c>
      <c r="M1034" t="s">
        <v>26</v>
      </c>
      <c r="N1034" t="s">
        <v>770</v>
      </c>
      <c r="O1034">
        <v>1</v>
      </c>
      <c r="P1034" t="s">
        <v>776</v>
      </c>
      <c r="Q1034">
        <v>34.9</v>
      </c>
      <c r="R1034">
        <v>6.29</v>
      </c>
      <c r="Y1034" t="s">
        <v>1913</v>
      </c>
      <c r="Z1034" t="s">
        <v>1926</v>
      </c>
      <c r="AA1034">
        <v>134</v>
      </c>
      <c r="AB1034" t="s">
        <v>11</v>
      </c>
    </row>
    <row r="1035" spans="1:28" x14ac:dyDescent="0.25">
      <c r="A1035" t="s">
        <v>4958</v>
      </c>
      <c r="B1035" t="s">
        <v>4958</v>
      </c>
      <c r="C1035" t="s">
        <v>4959</v>
      </c>
      <c r="D1035" t="s">
        <v>4960</v>
      </c>
      <c r="E1035" t="s">
        <v>770</v>
      </c>
      <c r="F1035" t="s">
        <v>771</v>
      </c>
      <c r="G1035" t="s">
        <v>1854</v>
      </c>
      <c r="J1035" t="s">
        <v>783</v>
      </c>
      <c r="K1035" t="s">
        <v>1873</v>
      </c>
      <c r="L1035" t="s">
        <v>840</v>
      </c>
      <c r="M1035" t="s">
        <v>26</v>
      </c>
      <c r="N1035" t="s">
        <v>770</v>
      </c>
      <c r="O1035">
        <v>1</v>
      </c>
      <c r="P1035" t="s">
        <v>776</v>
      </c>
      <c r="Q1035">
        <v>34.9</v>
      </c>
      <c r="R1035">
        <v>6.29</v>
      </c>
      <c r="Y1035" t="s">
        <v>4961</v>
      </c>
      <c r="Z1035" t="s">
        <v>3017</v>
      </c>
      <c r="AA1035">
        <v>75020</v>
      </c>
      <c r="AB1035" t="s">
        <v>11</v>
      </c>
    </row>
    <row r="1036" spans="1:28" x14ac:dyDescent="0.25">
      <c r="A1036" t="s">
        <v>4962</v>
      </c>
      <c r="B1036" t="s">
        <v>4962</v>
      </c>
      <c r="C1036" t="s">
        <v>4963</v>
      </c>
      <c r="D1036" t="s">
        <v>4964</v>
      </c>
      <c r="E1036" t="s">
        <v>770</v>
      </c>
      <c r="F1036" t="s">
        <v>771</v>
      </c>
      <c r="G1036" t="s">
        <v>1854</v>
      </c>
      <c r="J1036" t="s">
        <v>783</v>
      </c>
      <c r="K1036" t="s">
        <v>1855</v>
      </c>
      <c r="L1036" t="s">
        <v>1856</v>
      </c>
      <c r="M1036" t="s">
        <v>12</v>
      </c>
      <c r="N1036" t="s">
        <v>770</v>
      </c>
      <c r="O1036">
        <v>1</v>
      </c>
      <c r="P1036" t="s">
        <v>776</v>
      </c>
      <c r="Q1036">
        <v>19.899999999999999</v>
      </c>
      <c r="R1036">
        <v>3.59</v>
      </c>
      <c r="Y1036" t="s">
        <v>2286</v>
      </c>
      <c r="Z1036" t="s">
        <v>4965</v>
      </c>
      <c r="AA1036">
        <v>56122</v>
      </c>
      <c r="AB1036" t="s">
        <v>11</v>
      </c>
    </row>
    <row r="1037" spans="1:28" x14ac:dyDescent="0.25">
      <c r="A1037" t="s">
        <v>4966</v>
      </c>
      <c r="B1037" t="s">
        <v>4966</v>
      </c>
      <c r="C1037" t="s">
        <v>4967</v>
      </c>
      <c r="D1037" t="s">
        <v>4968</v>
      </c>
      <c r="E1037" t="s">
        <v>770</v>
      </c>
      <c r="F1037" t="s">
        <v>771</v>
      </c>
      <c r="G1037" t="s">
        <v>1854</v>
      </c>
      <c r="J1037" t="s">
        <v>783</v>
      </c>
      <c r="K1037" t="s">
        <v>1855</v>
      </c>
      <c r="L1037" t="s">
        <v>1856</v>
      </c>
      <c r="M1037" t="s">
        <v>12</v>
      </c>
      <c r="N1037" t="s">
        <v>770</v>
      </c>
      <c r="O1037">
        <v>1</v>
      </c>
      <c r="P1037" t="s">
        <v>776</v>
      </c>
      <c r="Q1037">
        <v>19.899999999999999</v>
      </c>
      <c r="R1037">
        <v>3.59</v>
      </c>
      <c r="Y1037" t="s">
        <v>4969</v>
      </c>
      <c r="Z1037" t="s">
        <v>4970</v>
      </c>
      <c r="AA1037">
        <v>27058</v>
      </c>
      <c r="AB1037" t="s">
        <v>11</v>
      </c>
    </row>
    <row r="1038" spans="1:28" x14ac:dyDescent="0.25">
      <c r="A1038" t="s">
        <v>4971</v>
      </c>
      <c r="C1038" t="s">
        <v>4972</v>
      </c>
      <c r="D1038" t="s">
        <v>4973</v>
      </c>
      <c r="E1038" t="s">
        <v>770</v>
      </c>
      <c r="F1038" t="s">
        <v>1884</v>
      </c>
      <c r="G1038" t="s">
        <v>1854</v>
      </c>
      <c r="H1038" t="s">
        <v>1885</v>
      </c>
      <c r="J1038" t="s">
        <v>773</v>
      </c>
      <c r="K1038" t="s">
        <v>1930</v>
      </c>
      <c r="L1038" t="s">
        <v>66</v>
      </c>
      <c r="M1038" t="s">
        <v>65</v>
      </c>
      <c r="N1038" t="s">
        <v>770</v>
      </c>
      <c r="O1038">
        <v>1</v>
      </c>
      <c r="P1038" t="s">
        <v>776</v>
      </c>
      <c r="Q1038">
        <v>29.9</v>
      </c>
      <c r="R1038">
        <v>5.39</v>
      </c>
      <c r="S1038">
        <v>3</v>
      </c>
      <c r="T1038">
        <v>0.54</v>
      </c>
      <c r="Y1038" t="s">
        <v>4974</v>
      </c>
      <c r="Z1038" t="s">
        <v>4974</v>
      </c>
      <c r="AA1038">
        <v>91100</v>
      </c>
      <c r="AB1038" t="s">
        <v>11</v>
      </c>
    </row>
    <row r="1039" spans="1:28" x14ac:dyDescent="0.25">
      <c r="A1039" t="s">
        <v>4975</v>
      </c>
      <c r="B1039" t="s">
        <v>4975</v>
      </c>
      <c r="C1039" t="s">
        <v>4976</v>
      </c>
      <c r="D1039" t="s">
        <v>4977</v>
      </c>
      <c r="E1039" t="s">
        <v>770</v>
      </c>
      <c r="F1039" t="s">
        <v>771</v>
      </c>
      <c r="G1039" t="s">
        <v>1854</v>
      </c>
      <c r="J1039" t="s">
        <v>783</v>
      </c>
      <c r="K1039" t="s">
        <v>1855</v>
      </c>
      <c r="L1039" t="s">
        <v>1856</v>
      </c>
      <c r="M1039" t="s">
        <v>12</v>
      </c>
      <c r="N1039" t="s">
        <v>770</v>
      </c>
      <c r="O1039">
        <v>1</v>
      </c>
      <c r="P1039" t="s">
        <v>776</v>
      </c>
      <c r="Q1039">
        <v>19.899999999999999</v>
      </c>
      <c r="R1039">
        <v>3.59</v>
      </c>
      <c r="S1039">
        <v>1.22</v>
      </c>
      <c r="X1039">
        <v>1.22</v>
      </c>
      <c r="Y1039" t="s">
        <v>2391</v>
      </c>
      <c r="Z1039" t="s">
        <v>2392</v>
      </c>
      <c r="AA1039">
        <v>9032</v>
      </c>
      <c r="AB1039" t="s">
        <v>11</v>
      </c>
    </row>
    <row r="1040" spans="1:28" x14ac:dyDescent="0.25">
      <c r="A1040" t="s">
        <v>4978</v>
      </c>
      <c r="B1040" t="s">
        <v>4978</v>
      </c>
      <c r="C1040" t="s">
        <v>4979</v>
      </c>
      <c r="D1040" t="s">
        <v>4980</v>
      </c>
      <c r="E1040" t="s">
        <v>770</v>
      </c>
      <c r="F1040" t="s">
        <v>771</v>
      </c>
      <c r="G1040" t="s">
        <v>1854</v>
      </c>
      <c r="J1040" t="s">
        <v>783</v>
      </c>
      <c r="K1040" t="s">
        <v>1862</v>
      </c>
      <c r="L1040" t="s">
        <v>1505</v>
      </c>
      <c r="M1040" t="s">
        <v>53</v>
      </c>
      <c r="N1040" t="s">
        <v>770</v>
      </c>
      <c r="O1040">
        <v>1</v>
      </c>
      <c r="P1040" t="s">
        <v>776</v>
      </c>
      <c r="Q1040">
        <v>32.9</v>
      </c>
      <c r="R1040">
        <v>5.93</v>
      </c>
      <c r="S1040">
        <v>4.99</v>
      </c>
      <c r="T1040">
        <v>0.9</v>
      </c>
      <c r="Y1040" t="s">
        <v>1908</v>
      </c>
      <c r="Z1040" t="s">
        <v>2025</v>
      </c>
      <c r="AA1040">
        <v>80144</v>
      </c>
      <c r="AB1040" t="s">
        <v>11</v>
      </c>
    </row>
    <row r="1041" spans="1:28" x14ac:dyDescent="0.25">
      <c r="A1041" t="s">
        <v>4981</v>
      </c>
      <c r="B1041" t="s">
        <v>4981</v>
      </c>
      <c r="C1041" t="s">
        <v>4982</v>
      </c>
      <c r="D1041" t="s">
        <v>4983</v>
      </c>
      <c r="E1041" t="s">
        <v>770</v>
      </c>
      <c r="F1041" t="s">
        <v>771</v>
      </c>
      <c r="G1041" t="s">
        <v>1854</v>
      </c>
      <c r="J1041" t="s">
        <v>783</v>
      </c>
      <c r="K1041" t="s">
        <v>1862</v>
      </c>
      <c r="L1041" t="s">
        <v>1505</v>
      </c>
      <c r="M1041" t="s">
        <v>53</v>
      </c>
      <c r="N1041" t="s">
        <v>770</v>
      </c>
      <c r="O1041">
        <v>1</v>
      </c>
      <c r="P1041" t="s">
        <v>776</v>
      </c>
      <c r="Q1041">
        <v>32.9</v>
      </c>
      <c r="R1041">
        <v>5.93</v>
      </c>
      <c r="Y1041" t="s">
        <v>4984</v>
      </c>
      <c r="Z1041" t="s">
        <v>2040</v>
      </c>
      <c r="AA1041">
        <v>65015</v>
      </c>
      <c r="AB1041" t="s">
        <v>11</v>
      </c>
    </row>
    <row r="1042" spans="1:28" x14ac:dyDescent="0.25">
      <c r="A1042" t="s">
        <v>4985</v>
      </c>
      <c r="C1042" t="s">
        <v>4986</v>
      </c>
      <c r="D1042" t="s">
        <v>4987</v>
      </c>
      <c r="E1042" t="s">
        <v>770</v>
      </c>
      <c r="F1042" t="s">
        <v>1884</v>
      </c>
      <c r="G1042" t="s">
        <v>1854</v>
      </c>
      <c r="H1042" t="s">
        <v>1885</v>
      </c>
      <c r="J1042" t="s">
        <v>773</v>
      </c>
      <c r="K1042" t="s">
        <v>2913</v>
      </c>
      <c r="L1042" t="s">
        <v>99</v>
      </c>
      <c r="M1042" t="s">
        <v>98</v>
      </c>
      <c r="N1042" t="s">
        <v>770</v>
      </c>
      <c r="O1042">
        <v>1</v>
      </c>
      <c r="P1042" t="s">
        <v>776</v>
      </c>
      <c r="Q1042">
        <v>29.9</v>
      </c>
      <c r="R1042">
        <v>5.39</v>
      </c>
      <c r="S1042">
        <v>3</v>
      </c>
      <c r="T1042">
        <v>0.54</v>
      </c>
      <c r="Y1042" t="s">
        <v>4988</v>
      </c>
      <c r="Z1042" t="s">
        <v>1908</v>
      </c>
      <c r="AA1042">
        <v>80040</v>
      </c>
      <c r="AB1042" t="s">
        <v>11</v>
      </c>
    </row>
    <row r="1043" spans="1:28" x14ac:dyDescent="0.25">
      <c r="A1043" t="s">
        <v>4989</v>
      </c>
      <c r="C1043" t="s">
        <v>4990</v>
      </c>
      <c r="D1043" t="s">
        <v>4991</v>
      </c>
      <c r="E1043" t="s">
        <v>770</v>
      </c>
      <c r="F1043" t="s">
        <v>1884</v>
      </c>
      <c r="G1043" t="s">
        <v>1854</v>
      </c>
      <c r="H1043" t="s">
        <v>1885</v>
      </c>
      <c r="J1043" t="s">
        <v>773</v>
      </c>
      <c r="K1043" t="s">
        <v>2044</v>
      </c>
      <c r="L1043" t="s">
        <v>76</v>
      </c>
      <c r="M1043" t="s">
        <v>75</v>
      </c>
      <c r="N1043" t="s">
        <v>770</v>
      </c>
      <c r="O1043">
        <v>1</v>
      </c>
      <c r="P1043" t="s">
        <v>776</v>
      </c>
      <c r="Q1043">
        <v>49.9</v>
      </c>
      <c r="R1043">
        <v>9</v>
      </c>
      <c r="S1043">
        <v>3</v>
      </c>
      <c r="T1043">
        <v>0.54</v>
      </c>
      <c r="Y1043" t="s">
        <v>4992</v>
      </c>
      <c r="Z1043" t="s">
        <v>4562</v>
      </c>
      <c r="AA1043">
        <v>19124</v>
      </c>
      <c r="AB1043" t="s">
        <v>11</v>
      </c>
    </row>
    <row r="1044" spans="1:28" x14ac:dyDescent="0.25">
      <c r="A1044" t="s">
        <v>4993</v>
      </c>
      <c r="B1044" t="s">
        <v>4993</v>
      </c>
      <c r="C1044" t="s">
        <v>4994</v>
      </c>
      <c r="D1044" t="s">
        <v>4995</v>
      </c>
      <c r="E1044" t="s">
        <v>770</v>
      </c>
      <c r="F1044" t="s">
        <v>771</v>
      </c>
      <c r="G1044" t="s">
        <v>1854</v>
      </c>
      <c r="J1044" t="s">
        <v>783</v>
      </c>
      <c r="K1044" t="s">
        <v>1855</v>
      </c>
      <c r="L1044" t="s">
        <v>1856</v>
      </c>
      <c r="M1044" t="s">
        <v>12</v>
      </c>
      <c r="N1044" t="s">
        <v>770</v>
      </c>
      <c r="O1044">
        <v>1</v>
      </c>
      <c r="P1044" t="s">
        <v>776</v>
      </c>
      <c r="Q1044">
        <v>19.899999999999999</v>
      </c>
      <c r="R1044">
        <v>3.59</v>
      </c>
      <c r="Y1044" t="s">
        <v>4996</v>
      </c>
      <c r="Z1044" t="s">
        <v>1913</v>
      </c>
      <c r="AA1044">
        <v>47</v>
      </c>
      <c r="AB1044" t="s">
        <v>11</v>
      </c>
    </row>
    <row r="1045" spans="1:28" x14ac:dyDescent="0.25">
      <c r="A1045" t="s">
        <v>4997</v>
      </c>
      <c r="B1045" t="s">
        <v>4997</v>
      </c>
      <c r="C1045" t="s">
        <v>4998</v>
      </c>
      <c r="D1045" t="s">
        <v>4999</v>
      </c>
      <c r="E1045" t="s">
        <v>770</v>
      </c>
      <c r="F1045" t="s">
        <v>771</v>
      </c>
      <c r="G1045" t="s">
        <v>1854</v>
      </c>
      <c r="J1045" t="s">
        <v>783</v>
      </c>
      <c r="K1045" t="s">
        <v>1862</v>
      </c>
      <c r="L1045" t="s">
        <v>1505</v>
      </c>
      <c r="M1045" t="s">
        <v>53</v>
      </c>
      <c r="N1045" t="s">
        <v>770</v>
      </c>
      <c r="O1045">
        <v>1</v>
      </c>
      <c r="P1045" t="s">
        <v>776</v>
      </c>
      <c r="Q1045">
        <v>32.9</v>
      </c>
      <c r="R1045">
        <v>5.93</v>
      </c>
      <c r="Y1045" t="s">
        <v>5000</v>
      </c>
      <c r="Z1045" t="s">
        <v>5000</v>
      </c>
      <c r="AA1045">
        <v>33170</v>
      </c>
      <c r="AB1045" t="s">
        <v>11</v>
      </c>
    </row>
    <row r="1046" spans="1:28" x14ac:dyDescent="0.25">
      <c r="A1046" t="s">
        <v>5001</v>
      </c>
      <c r="B1046" t="s">
        <v>5001</v>
      </c>
      <c r="C1046" t="s">
        <v>5002</v>
      </c>
      <c r="D1046" t="s">
        <v>5003</v>
      </c>
      <c r="E1046" t="s">
        <v>770</v>
      </c>
      <c r="F1046" t="s">
        <v>771</v>
      </c>
      <c r="G1046" t="s">
        <v>1854</v>
      </c>
      <c r="J1046" t="s">
        <v>783</v>
      </c>
      <c r="K1046" t="s">
        <v>1855</v>
      </c>
      <c r="L1046" t="s">
        <v>1856</v>
      </c>
      <c r="M1046" t="s">
        <v>12</v>
      </c>
      <c r="N1046" t="s">
        <v>770</v>
      </c>
      <c r="O1046">
        <v>1</v>
      </c>
      <c r="P1046" t="s">
        <v>776</v>
      </c>
      <c r="Q1046">
        <v>19.899999999999999</v>
      </c>
      <c r="R1046">
        <v>3.59</v>
      </c>
      <c r="S1046">
        <v>4.99</v>
      </c>
      <c r="T1046">
        <v>0.9</v>
      </c>
      <c r="Y1046" t="s">
        <v>5004</v>
      </c>
      <c r="Z1046" t="s">
        <v>1997</v>
      </c>
      <c r="AA1046">
        <v>50014</v>
      </c>
      <c r="AB1046" t="s">
        <v>11</v>
      </c>
    </row>
    <row r="1047" spans="1:28" x14ac:dyDescent="0.25">
      <c r="A1047" t="s">
        <v>5005</v>
      </c>
      <c r="B1047" t="s">
        <v>5005</v>
      </c>
      <c r="C1047" t="s">
        <v>5006</v>
      </c>
      <c r="D1047" t="s">
        <v>5007</v>
      </c>
      <c r="E1047" t="s">
        <v>782</v>
      </c>
      <c r="F1047" t="s">
        <v>771</v>
      </c>
      <c r="G1047" t="s">
        <v>1854</v>
      </c>
      <c r="J1047" t="s">
        <v>783</v>
      </c>
      <c r="K1047" t="s">
        <v>1855</v>
      </c>
      <c r="L1047" t="s">
        <v>1856</v>
      </c>
      <c r="M1047" t="s">
        <v>12</v>
      </c>
      <c r="N1047" t="s">
        <v>782</v>
      </c>
      <c r="O1047">
        <v>0</v>
      </c>
      <c r="Y1047" t="s">
        <v>5008</v>
      </c>
      <c r="Z1047" t="s">
        <v>1875</v>
      </c>
      <c r="AA1047">
        <v>20014</v>
      </c>
      <c r="AB1047" t="s">
        <v>11</v>
      </c>
    </row>
    <row r="1048" spans="1:28" x14ac:dyDescent="0.25">
      <c r="A1048" t="s">
        <v>5009</v>
      </c>
      <c r="C1048" t="s">
        <v>5010</v>
      </c>
      <c r="D1048" t="s">
        <v>5011</v>
      </c>
      <c r="E1048" t="s">
        <v>770</v>
      </c>
      <c r="F1048" t="s">
        <v>1884</v>
      </c>
      <c r="G1048" t="s">
        <v>1854</v>
      </c>
      <c r="H1048" t="s">
        <v>1885</v>
      </c>
      <c r="J1048" t="s">
        <v>773</v>
      </c>
      <c r="K1048" t="s">
        <v>2913</v>
      </c>
      <c r="L1048" t="s">
        <v>99</v>
      </c>
      <c r="M1048" t="s">
        <v>98</v>
      </c>
      <c r="N1048" t="s">
        <v>770</v>
      </c>
      <c r="O1048">
        <v>1</v>
      </c>
      <c r="P1048" t="s">
        <v>776</v>
      </c>
      <c r="Q1048">
        <v>29.9</v>
      </c>
      <c r="R1048">
        <v>5.39</v>
      </c>
      <c r="S1048">
        <v>3</v>
      </c>
      <c r="T1048">
        <v>0.54</v>
      </c>
      <c r="Y1048" t="s">
        <v>5012</v>
      </c>
      <c r="Z1048" t="s">
        <v>1989</v>
      </c>
      <c r="AA1048">
        <v>36040</v>
      </c>
      <c r="AB1048" t="s">
        <v>11</v>
      </c>
    </row>
    <row r="1049" spans="1:28" x14ac:dyDescent="0.25">
      <c r="A1049" t="s">
        <v>5013</v>
      </c>
      <c r="B1049" t="s">
        <v>5013</v>
      </c>
      <c r="C1049" t="s">
        <v>5014</v>
      </c>
      <c r="D1049" t="s">
        <v>5015</v>
      </c>
      <c r="E1049" t="s">
        <v>770</v>
      </c>
      <c r="F1049" t="s">
        <v>771</v>
      </c>
      <c r="G1049" t="s">
        <v>1854</v>
      </c>
      <c r="J1049" t="s">
        <v>783</v>
      </c>
      <c r="K1049" t="s">
        <v>1855</v>
      </c>
      <c r="L1049" t="s">
        <v>1856</v>
      </c>
      <c r="M1049" t="s">
        <v>12</v>
      </c>
      <c r="N1049" t="s">
        <v>770</v>
      </c>
      <c r="O1049">
        <v>1</v>
      </c>
      <c r="P1049" t="s">
        <v>776</v>
      </c>
      <c r="Q1049">
        <v>19.899999999999999</v>
      </c>
      <c r="R1049">
        <v>3.59</v>
      </c>
      <c r="Y1049" t="s">
        <v>5016</v>
      </c>
      <c r="Z1049" t="s">
        <v>5017</v>
      </c>
      <c r="AA1049">
        <v>42124</v>
      </c>
      <c r="AB1049" t="s">
        <v>11</v>
      </c>
    </row>
    <row r="1050" spans="1:28" x14ac:dyDescent="0.25">
      <c r="A1050" t="s">
        <v>5018</v>
      </c>
      <c r="B1050" t="s">
        <v>5018</v>
      </c>
      <c r="C1050" t="s">
        <v>5019</v>
      </c>
      <c r="D1050" t="s">
        <v>5020</v>
      </c>
      <c r="E1050" t="s">
        <v>770</v>
      </c>
      <c r="F1050" t="s">
        <v>771</v>
      </c>
      <c r="G1050" t="s">
        <v>1854</v>
      </c>
      <c r="J1050" t="s">
        <v>783</v>
      </c>
      <c r="K1050" t="s">
        <v>1855</v>
      </c>
      <c r="L1050" t="s">
        <v>1856</v>
      </c>
      <c r="M1050" t="s">
        <v>12</v>
      </c>
      <c r="N1050" t="s">
        <v>770</v>
      </c>
      <c r="O1050">
        <v>1</v>
      </c>
      <c r="P1050" t="s">
        <v>776</v>
      </c>
      <c r="Q1050">
        <v>19.899999999999999</v>
      </c>
      <c r="R1050">
        <v>3.59</v>
      </c>
      <c r="Y1050" t="s">
        <v>2420</v>
      </c>
      <c r="Z1050" t="s">
        <v>2025</v>
      </c>
      <c r="AA1050">
        <v>80131</v>
      </c>
      <c r="AB1050" t="s">
        <v>11</v>
      </c>
    </row>
    <row r="1051" spans="1:28" x14ac:dyDescent="0.25">
      <c r="A1051" t="s">
        <v>5021</v>
      </c>
      <c r="B1051" t="s">
        <v>5021</v>
      </c>
      <c r="C1051" t="s">
        <v>5022</v>
      </c>
      <c r="D1051" t="s">
        <v>5023</v>
      </c>
      <c r="E1051" t="s">
        <v>770</v>
      </c>
      <c r="F1051" t="s">
        <v>771</v>
      </c>
      <c r="G1051" t="s">
        <v>1854</v>
      </c>
      <c r="J1051" t="s">
        <v>783</v>
      </c>
      <c r="K1051" t="s">
        <v>1855</v>
      </c>
      <c r="L1051" t="s">
        <v>1856</v>
      </c>
      <c r="M1051" t="s">
        <v>12</v>
      </c>
      <c r="N1051" t="s">
        <v>770</v>
      </c>
      <c r="O1051">
        <v>1</v>
      </c>
      <c r="P1051" t="s">
        <v>776</v>
      </c>
      <c r="Q1051">
        <v>19.899999999999999</v>
      </c>
      <c r="R1051">
        <v>3.59</v>
      </c>
      <c r="Y1051" t="s">
        <v>5024</v>
      </c>
      <c r="Z1051" t="s">
        <v>3465</v>
      </c>
      <c r="AA1051">
        <v>13044</v>
      </c>
      <c r="AB1051" t="s">
        <v>11</v>
      </c>
    </row>
    <row r="1052" spans="1:28" x14ac:dyDescent="0.25">
      <c r="A1052" t="s">
        <v>5025</v>
      </c>
      <c r="C1052" t="s">
        <v>5026</v>
      </c>
      <c r="D1052" t="s">
        <v>5027</v>
      </c>
      <c r="E1052" t="s">
        <v>770</v>
      </c>
      <c r="F1052" t="s">
        <v>1884</v>
      </c>
      <c r="G1052" t="s">
        <v>1854</v>
      </c>
      <c r="H1052" t="s">
        <v>1885</v>
      </c>
      <c r="J1052" t="s">
        <v>773</v>
      </c>
      <c r="K1052" t="s">
        <v>1930</v>
      </c>
      <c r="L1052" t="s">
        <v>66</v>
      </c>
      <c r="M1052" t="s">
        <v>65</v>
      </c>
      <c r="N1052" t="s">
        <v>770</v>
      </c>
      <c r="O1052">
        <v>1</v>
      </c>
      <c r="P1052" t="s">
        <v>776</v>
      </c>
      <c r="Q1052">
        <v>29.9</v>
      </c>
      <c r="R1052">
        <v>5.39</v>
      </c>
      <c r="S1052">
        <v>3</v>
      </c>
      <c r="T1052">
        <v>0.54</v>
      </c>
      <c r="Y1052" t="s">
        <v>5028</v>
      </c>
      <c r="Z1052" t="s">
        <v>2538</v>
      </c>
      <c r="AA1052">
        <v>1037</v>
      </c>
      <c r="AB1052" t="s">
        <v>11</v>
      </c>
    </row>
    <row r="1053" spans="1:28" x14ac:dyDescent="0.25">
      <c r="A1053" t="s">
        <v>5029</v>
      </c>
      <c r="B1053" t="s">
        <v>5029</v>
      </c>
      <c r="C1053" t="s">
        <v>5030</v>
      </c>
      <c r="D1053" t="s">
        <v>5031</v>
      </c>
      <c r="E1053" t="s">
        <v>770</v>
      </c>
      <c r="F1053" t="s">
        <v>771</v>
      </c>
      <c r="G1053" t="s">
        <v>1854</v>
      </c>
      <c r="J1053" t="s">
        <v>783</v>
      </c>
      <c r="K1053" t="s">
        <v>1862</v>
      </c>
      <c r="L1053" t="s">
        <v>1505</v>
      </c>
      <c r="M1053" t="s">
        <v>53</v>
      </c>
      <c r="N1053" t="s">
        <v>770</v>
      </c>
      <c r="O1053">
        <v>1</v>
      </c>
      <c r="P1053" t="s">
        <v>776</v>
      </c>
      <c r="Q1053">
        <v>32.9</v>
      </c>
      <c r="R1053">
        <v>5.93</v>
      </c>
      <c r="S1053">
        <v>1.0900000000000001</v>
      </c>
      <c r="X1053">
        <v>1.0900000000000001</v>
      </c>
      <c r="Y1053" t="s">
        <v>5032</v>
      </c>
      <c r="Z1053" t="s">
        <v>2051</v>
      </c>
      <c r="AA1053">
        <v>95021</v>
      </c>
      <c r="AB1053" t="s">
        <v>11</v>
      </c>
    </row>
    <row r="1054" spans="1:28" x14ac:dyDescent="0.25">
      <c r="A1054" t="s">
        <v>5033</v>
      </c>
      <c r="B1054" t="s">
        <v>5033</v>
      </c>
      <c r="C1054" t="s">
        <v>5034</v>
      </c>
      <c r="D1054" t="s">
        <v>5035</v>
      </c>
      <c r="E1054" t="s">
        <v>770</v>
      </c>
      <c r="F1054" t="s">
        <v>771</v>
      </c>
      <c r="G1054" t="s">
        <v>1854</v>
      </c>
      <c r="J1054" t="s">
        <v>783</v>
      </c>
      <c r="K1054" t="s">
        <v>1855</v>
      </c>
      <c r="L1054" t="s">
        <v>1856</v>
      </c>
      <c r="M1054" t="s">
        <v>12</v>
      </c>
      <c r="N1054" t="s">
        <v>770</v>
      </c>
      <c r="O1054">
        <v>1</v>
      </c>
      <c r="P1054" t="s">
        <v>776</v>
      </c>
      <c r="Q1054">
        <v>19.899999999999999</v>
      </c>
      <c r="R1054">
        <v>3.59</v>
      </c>
      <c r="Y1054" t="s">
        <v>5036</v>
      </c>
      <c r="Z1054" t="s">
        <v>1937</v>
      </c>
      <c r="AA1054">
        <v>24055</v>
      </c>
      <c r="AB1054" t="s">
        <v>11</v>
      </c>
    </row>
    <row r="1055" spans="1:28" x14ac:dyDescent="0.25">
      <c r="A1055" t="s">
        <v>5037</v>
      </c>
      <c r="B1055" t="s">
        <v>5037</v>
      </c>
      <c r="C1055" t="s">
        <v>5038</v>
      </c>
      <c r="D1055" t="s">
        <v>5039</v>
      </c>
      <c r="E1055" t="s">
        <v>770</v>
      </c>
      <c r="F1055" t="s">
        <v>771</v>
      </c>
      <c r="G1055" t="s">
        <v>1854</v>
      </c>
      <c r="J1055" t="s">
        <v>783</v>
      </c>
      <c r="K1055" t="s">
        <v>1855</v>
      </c>
      <c r="L1055" t="s">
        <v>1856</v>
      </c>
      <c r="M1055" t="s">
        <v>12</v>
      </c>
      <c r="N1055" t="s">
        <v>770</v>
      </c>
      <c r="O1055">
        <v>1</v>
      </c>
      <c r="P1055" t="s">
        <v>776</v>
      </c>
      <c r="Q1055">
        <v>19.899999999999999</v>
      </c>
      <c r="R1055">
        <v>3.59</v>
      </c>
      <c r="S1055">
        <v>3.99</v>
      </c>
      <c r="T1055">
        <v>0.72</v>
      </c>
      <c r="Y1055" t="s">
        <v>2134</v>
      </c>
      <c r="AA1055">
        <v>173</v>
      </c>
      <c r="AB1055" t="s">
        <v>11</v>
      </c>
    </row>
    <row r="1056" spans="1:28" x14ac:dyDescent="0.25">
      <c r="A1056" t="s">
        <v>5040</v>
      </c>
      <c r="B1056" t="s">
        <v>5040</v>
      </c>
      <c r="C1056" t="s">
        <v>5041</v>
      </c>
      <c r="D1056" t="s">
        <v>5042</v>
      </c>
      <c r="E1056" t="s">
        <v>770</v>
      </c>
      <c r="F1056" t="s">
        <v>771</v>
      </c>
      <c r="G1056" t="s">
        <v>1854</v>
      </c>
      <c r="J1056" t="s">
        <v>783</v>
      </c>
      <c r="K1056" t="s">
        <v>1855</v>
      </c>
      <c r="L1056" t="s">
        <v>1856</v>
      </c>
      <c r="M1056" t="s">
        <v>12</v>
      </c>
      <c r="N1056" t="s">
        <v>770</v>
      </c>
      <c r="O1056">
        <v>1</v>
      </c>
      <c r="P1056" t="s">
        <v>776</v>
      </c>
      <c r="Q1056">
        <v>19.899999999999999</v>
      </c>
      <c r="R1056">
        <v>3.59</v>
      </c>
      <c r="Y1056" t="s">
        <v>2188</v>
      </c>
      <c r="Z1056" t="s">
        <v>2807</v>
      </c>
      <c r="AA1056">
        <v>64100</v>
      </c>
      <c r="AB1056" t="s">
        <v>11</v>
      </c>
    </row>
    <row r="1057" spans="1:28" x14ac:dyDescent="0.25">
      <c r="A1057" t="s">
        <v>5043</v>
      </c>
      <c r="B1057" t="s">
        <v>5043</v>
      </c>
      <c r="C1057" t="s">
        <v>5044</v>
      </c>
      <c r="D1057" t="s">
        <v>5045</v>
      </c>
      <c r="E1057" t="s">
        <v>782</v>
      </c>
      <c r="F1057" t="s">
        <v>771</v>
      </c>
      <c r="G1057" t="s">
        <v>1854</v>
      </c>
      <c r="J1057" t="s">
        <v>783</v>
      </c>
      <c r="K1057" t="s">
        <v>1855</v>
      </c>
      <c r="L1057" t="s">
        <v>1856</v>
      </c>
      <c r="M1057" t="s">
        <v>12</v>
      </c>
      <c r="N1057" t="s">
        <v>782</v>
      </c>
      <c r="O1057">
        <v>0</v>
      </c>
      <c r="Y1057" t="s">
        <v>5046</v>
      </c>
      <c r="Z1057" t="s">
        <v>5047</v>
      </c>
      <c r="AA1057">
        <v>13048</v>
      </c>
      <c r="AB1057" t="s">
        <v>11</v>
      </c>
    </row>
    <row r="1058" spans="1:28" x14ac:dyDescent="0.25">
      <c r="A1058" t="s">
        <v>5048</v>
      </c>
      <c r="B1058" t="s">
        <v>5048</v>
      </c>
      <c r="C1058" t="s">
        <v>5049</v>
      </c>
      <c r="D1058" t="s">
        <v>5050</v>
      </c>
      <c r="E1058" t="s">
        <v>782</v>
      </c>
      <c r="F1058" t="s">
        <v>771</v>
      </c>
      <c r="G1058" t="s">
        <v>1854</v>
      </c>
      <c r="J1058" t="s">
        <v>783</v>
      </c>
      <c r="K1058" t="s">
        <v>1855</v>
      </c>
      <c r="L1058" t="s">
        <v>1856</v>
      </c>
      <c r="M1058" t="s">
        <v>12</v>
      </c>
      <c r="N1058" t="s">
        <v>782</v>
      </c>
      <c r="O1058">
        <v>0</v>
      </c>
      <c r="Y1058" t="s">
        <v>5051</v>
      </c>
      <c r="Z1058" t="s">
        <v>5047</v>
      </c>
      <c r="AA1058">
        <v>13048</v>
      </c>
      <c r="AB1058" t="s">
        <v>11</v>
      </c>
    </row>
    <row r="1059" spans="1:28" x14ac:dyDescent="0.25">
      <c r="A1059" t="s">
        <v>5052</v>
      </c>
      <c r="B1059" t="s">
        <v>5052</v>
      </c>
      <c r="C1059" t="s">
        <v>5053</v>
      </c>
      <c r="D1059" t="s">
        <v>5054</v>
      </c>
      <c r="E1059" t="s">
        <v>770</v>
      </c>
      <c r="F1059" t="s">
        <v>771</v>
      </c>
      <c r="G1059" t="s">
        <v>1854</v>
      </c>
      <c r="J1059" t="s">
        <v>783</v>
      </c>
      <c r="K1059" t="s">
        <v>1855</v>
      </c>
      <c r="L1059" t="s">
        <v>1856</v>
      </c>
      <c r="M1059" t="s">
        <v>12</v>
      </c>
      <c r="N1059" t="s">
        <v>770</v>
      </c>
      <c r="O1059">
        <v>1</v>
      </c>
      <c r="P1059" t="s">
        <v>776</v>
      </c>
      <c r="Q1059">
        <v>19.899999999999999</v>
      </c>
      <c r="R1059">
        <v>3.59</v>
      </c>
      <c r="S1059">
        <v>4.99</v>
      </c>
      <c r="T1059">
        <v>0.9</v>
      </c>
      <c r="Y1059" t="s">
        <v>5055</v>
      </c>
      <c r="Z1059" t="s">
        <v>2523</v>
      </c>
      <c r="AA1059">
        <v>87064</v>
      </c>
      <c r="AB1059" t="s">
        <v>11</v>
      </c>
    </row>
    <row r="1060" spans="1:28" x14ac:dyDescent="0.25">
      <c r="A1060" t="s">
        <v>5056</v>
      </c>
      <c r="B1060" t="s">
        <v>5056</v>
      </c>
      <c r="C1060" t="s">
        <v>5057</v>
      </c>
      <c r="D1060" t="s">
        <v>5058</v>
      </c>
      <c r="E1060" t="s">
        <v>770</v>
      </c>
      <c r="F1060" t="s">
        <v>771</v>
      </c>
      <c r="G1060" t="s">
        <v>1854</v>
      </c>
      <c r="J1060" t="s">
        <v>783</v>
      </c>
      <c r="K1060" t="s">
        <v>1855</v>
      </c>
      <c r="L1060" t="s">
        <v>1856</v>
      </c>
      <c r="M1060" t="s">
        <v>12</v>
      </c>
      <c r="N1060" t="s">
        <v>770</v>
      </c>
      <c r="O1060">
        <v>1</v>
      </c>
      <c r="P1060" t="s">
        <v>776</v>
      </c>
      <c r="Q1060">
        <v>19.899999999999999</v>
      </c>
      <c r="R1060">
        <v>3.59</v>
      </c>
      <c r="S1060">
        <v>3.99</v>
      </c>
      <c r="T1060">
        <v>0.72</v>
      </c>
      <c r="Y1060" t="s">
        <v>2585</v>
      </c>
      <c r="Z1060" t="s">
        <v>2020</v>
      </c>
      <c r="AA1060">
        <v>4011</v>
      </c>
      <c r="AB1060" t="s">
        <v>11</v>
      </c>
    </row>
    <row r="1061" spans="1:28" x14ac:dyDescent="0.25">
      <c r="A1061" t="s">
        <v>5059</v>
      </c>
      <c r="B1061" t="s">
        <v>5059</v>
      </c>
      <c r="C1061" t="s">
        <v>5060</v>
      </c>
      <c r="D1061" t="s">
        <v>5061</v>
      </c>
      <c r="E1061" t="s">
        <v>770</v>
      </c>
      <c r="F1061" t="s">
        <v>771</v>
      </c>
      <c r="G1061" t="s">
        <v>1854</v>
      </c>
      <c r="J1061" t="s">
        <v>783</v>
      </c>
      <c r="K1061" t="s">
        <v>1862</v>
      </c>
      <c r="L1061" t="s">
        <v>1505</v>
      </c>
      <c r="M1061" t="s">
        <v>53</v>
      </c>
      <c r="N1061" t="s">
        <v>770</v>
      </c>
      <c r="O1061">
        <v>1</v>
      </c>
      <c r="P1061" t="s">
        <v>776</v>
      </c>
      <c r="Q1061">
        <v>32.9</v>
      </c>
      <c r="R1061">
        <v>5.93</v>
      </c>
      <c r="Y1061" t="s">
        <v>1917</v>
      </c>
      <c r="Z1061" t="s">
        <v>1917</v>
      </c>
      <c r="AA1061">
        <v>20148</v>
      </c>
      <c r="AB1061" t="s">
        <v>11</v>
      </c>
    </row>
    <row r="1062" spans="1:28" x14ac:dyDescent="0.25">
      <c r="A1062" t="s">
        <v>5062</v>
      </c>
      <c r="B1062" t="s">
        <v>5062</v>
      </c>
      <c r="C1062" t="s">
        <v>5063</v>
      </c>
      <c r="D1062" t="s">
        <v>5064</v>
      </c>
      <c r="E1062" t="s">
        <v>770</v>
      </c>
      <c r="F1062" t="s">
        <v>771</v>
      </c>
      <c r="G1062" t="s">
        <v>1854</v>
      </c>
      <c r="J1062" t="s">
        <v>783</v>
      </c>
      <c r="K1062" t="s">
        <v>1855</v>
      </c>
      <c r="L1062" t="s">
        <v>1856</v>
      </c>
      <c r="M1062" t="s">
        <v>12</v>
      </c>
      <c r="N1062" t="s">
        <v>770</v>
      </c>
      <c r="O1062">
        <v>1</v>
      </c>
      <c r="P1062" t="s">
        <v>776</v>
      </c>
      <c r="Q1062">
        <v>19.899999999999999</v>
      </c>
      <c r="R1062">
        <v>3.59</v>
      </c>
      <c r="Y1062" t="s">
        <v>5065</v>
      </c>
      <c r="Z1062" t="s">
        <v>2197</v>
      </c>
      <c r="AA1062">
        <v>84083</v>
      </c>
      <c r="AB1062" t="s">
        <v>11</v>
      </c>
    </row>
    <row r="1063" spans="1:28" x14ac:dyDescent="0.25">
      <c r="A1063" t="s">
        <v>5066</v>
      </c>
      <c r="B1063" t="s">
        <v>5066</v>
      </c>
      <c r="C1063" t="s">
        <v>5067</v>
      </c>
      <c r="D1063" t="s">
        <v>5068</v>
      </c>
      <c r="E1063" t="s">
        <v>770</v>
      </c>
      <c r="F1063" t="s">
        <v>771</v>
      </c>
      <c r="G1063" t="s">
        <v>1854</v>
      </c>
      <c r="J1063" t="s">
        <v>783</v>
      </c>
      <c r="K1063" t="s">
        <v>2652</v>
      </c>
      <c r="L1063" t="s">
        <v>1831</v>
      </c>
      <c r="M1063" t="s">
        <v>51</v>
      </c>
      <c r="N1063" t="s">
        <v>770</v>
      </c>
      <c r="O1063">
        <v>1</v>
      </c>
      <c r="P1063" t="s">
        <v>776</v>
      </c>
      <c r="Q1063">
        <v>24.9</v>
      </c>
      <c r="R1063">
        <v>4.49</v>
      </c>
      <c r="Y1063" t="s">
        <v>5069</v>
      </c>
      <c r="Z1063" t="s">
        <v>1908</v>
      </c>
      <c r="AA1063">
        <v>80020</v>
      </c>
      <c r="AB1063" t="s">
        <v>11</v>
      </c>
    </row>
    <row r="1064" spans="1:28" x14ac:dyDescent="0.25">
      <c r="A1064" t="s">
        <v>5070</v>
      </c>
      <c r="B1064" t="s">
        <v>5070</v>
      </c>
      <c r="C1064" t="s">
        <v>5071</v>
      </c>
      <c r="D1064" t="s">
        <v>5072</v>
      </c>
      <c r="E1064" t="s">
        <v>770</v>
      </c>
      <c r="F1064" t="s">
        <v>771</v>
      </c>
      <c r="G1064" t="s">
        <v>1854</v>
      </c>
      <c r="J1064" t="s">
        <v>783</v>
      </c>
      <c r="K1064" t="s">
        <v>1855</v>
      </c>
      <c r="L1064" t="s">
        <v>1856</v>
      </c>
      <c r="M1064" t="s">
        <v>12</v>
      </c>
      <c r="N1064" t="s">
        <v>770</v>
      </c>
      <c r="O1064">
        <v>1</v>
      </c>
      <c r="P1064" t="s">
        <v>776</v>
      </c>
      <c r="Q1064">
        <v>19.899999999999999</v>
      </c>
      <c r="R1064">
        <v>3.59</v>
      </c>
      <c r="Y1064" t="s">
        <v>5073</v>
      </c>
      <c r="Z1064" t="s">
        <v>2111</v>
      </c>
      <c r="AA1064">
        <v>42013</v>
      </c>
      <c r="AB1064" t="s">
        <v>11</v>
      </c>
    </row>
    <row r="1065" spans="1:28" x14ac:dyDescent="0.25">
      <c r="A1065" t="s">
        <v>5074</v>
      </c>
      <c r="C1065" t="s">
        <v>5075</v>
      </c>
      <c r="D1065" t="s">
        <v>5076</v>
      </c>
      <c r="E1065" t="s">
        <v>782</v>
      </c>
      <c r="F1065" t="s">
        <v>1884</v>
      </c>
      <c r="G1065" t="s">
        <v>1854</v>
      </c>
      <c r="H1065" t="s">
        <v>1885</v>
      </c>
      <c r="J1065" t="s">
        <v>773</v>
      </c>
      <c r="K1065" t="s">
        <v>2252</v>
      </c>
      <c r="L1065" t="s">
        <v>74</v>
      </c>
      <c r="M1065" t="s">
        <v>73</v>
      </c>
      <c r="O1065">
        <v>0</v>
      </c>
      <c r="Y1065" t="s">
        <v>5077</v>
      </c>
      <c r="Z1065" t="s">
        <v>5078</v>
      </c>
      <c r="AA1065">
        <v>20061</v>
      </c>
      <c r="AB1065" t="s">
        <v>11</v>
      </c>
    </row>
    <row r="1066" spans="1:28" x14ac:dyDescent="0.25">
      <c r="A1066" t="s">
        <v>5079</v>
      </c>
      <c r="B1066" t="s">
        <v>5079</v>
      </c>
      <c r="C1066" t="s">
        <v>5080</v>
      </c>
      <c r="D1066" t="s">
        <v>5081</v>
      </c>
      <c r="E1066" t="s">
        <v>770</v>
      </c>
      <c r="F1066" t="s">
        <v>771</v>
      </c>
      <c r="G1066" t="s">
        <v>1854</v>
      </c>
      <c r="J1066" t="s">
        <v>783</v>
      </c>
      <c r="K1066" t="s">
        <v>1855</v>
      </c>
      <c r="L1066" t="s">
        <v>1856</v>
      </c>
      <c r="M1066" t="s">
        <v>12</v>
      </c>
      <c r="N1066" t="s">
        <v>770</v>
      </c>
      <c r="O1066">
        <v>1</v>
      </c>
      <c r="P1066" t="s">
        <v>776</v>
      </c>
      <c r="Q1066">
        <v>19.899999999999999</v>
      </c>
      <c r="R1066">
        <v>3.59</v>
      </c>
      <c r="Y1066" t="s">
        <v>5082</v>
      </c>
      <c r="Z1066" t="s">
        <v>5083</v>
      </c>
      <c r="AA1066">
        <v>53036</v>
      </c>
      <c r="AB1066" t="s">
        <v>11</v>
      </c>
    </row>
    <row r="1067" spans="1:28" x14ac:dyDescent="0.25">
      <c r="A1067" t="s">
        <v>5084</v>
      </c>
      <c r="C1067" t="s">
        <v>5085</v>
      </c>
      <c r="D1067" t="s">
        <v>5086</v>
      </c>
      <c r="E1067" t="s">
        <v>770</v>
      </c>
      <c r="F1067" t="s">
        <v>1884</v>
      </c>
      <c r="G1067" t="s">
        <v>1854</v>
      </c>
      <c r="H1067" t="s">
        <v>1885</v>
      </c>
      <c r="J1067" t="s">
        <v>773</v>
      </c>
      <c r="K1067" t="s">
        <v>2652</v>
      </c>
      <c r="L1067" t="s">
        <v>52</v>
      </c>
      <c r="M1067" t="s">
        <v>51</v>
      </c>
      <c r="N1067" t="s">
        <v>770</v>
      </c>
      <c r="O1067">
        <v>1</v>
      </c>
      <c r="P1067" t="s">
        <v>776</v>
      </c>
      <c r="Q1067">
        <v>24.9</v>
      </c>
      <c r="R1067">
        <v>4.49</v>
      </c>
      <c r="S1067">
        <v>3</v>
      </c>
      <c r="T1067">
        <v>0.54</v>
      </c>
      <c r="Y1067" t="s">
        <v>2101</v>
      </c>
      <c r="Z1067" t="s">
        <v>3008</v>
      </c>
      <c r="AA1067">
        <v>47924</v>
      </c>
      <c r="AB1067" t="s">
        <v>11</v>
      </c>
    </row>
    <row r="1068" spans="1:28" x14ac:dyDescent="0.25">
      <c r="A1068" t="s">
        <v>5087</v>
      </c>
      <c r="B1068" t="s">
        <v>5087</v>
      </c>
      <c r="C1068" t="s">
        <v>5088</v>
      </c>
      <c r="D1068" t="s">
        <v>5089</v>
      </c>
      <c r="E1068" t="s">
        <v>770</v>
      </c>
      <c r="F1068" t="s">
        <v>771</v>
      </c>
      <c r="G1068" t="s">
        <v>1854</v>
      </c>
      <c r="J1068" t="s">
        <v>783</v>
      </c>
      <c r="K1068" t="s">
        <v>2652</v>
      </c>
      <c r="L1068" t="s">
        <v>1831</v>
      </c>
      <c r="M1068" t="s">
        <v>51</v>
      </c>
      <c r="N1068" t="s">
        <v>770</v>
      </c>
      <c r="O1068">
        <v>1</v>
      </c>
      <c r="P1068" t="s">
        <v>776</v>
      </c>
      <c r="Q1068">
        <v>24.9</v>
      </c>
      <c r="R1068">
        <v>4.49</v>
      </c>
      <c r="Y1068" t="s">
        <v>5090</v>
      </c>
      <c r="Z1068" t="s">
        <v>3649</v>
      </c>
      <c r="AA1068">
        <v>9012</v>
      </c>
      <c r="AB1068" t="s">
        <v>11</v>
      </c>
    </row>
    <row r="1069" spans="1:28" x14ac:dyDescent="0.25">
      <c r="A1069" t="s">
        <v>5091</v>
      </c>
      <c r="B1069" t="s">
        <v>5091</v>
      </c>
      <c r="C1069" t="s">
        <v>5092</v>
      </c>
      <c r="D1069" t="s">
        <v>5093</v>
      </c>
      <c r="E1069" t="s">
        <v>770</v>
      </c>
      <c r="F1069" t="s">
        <v>771</v>
      </c>
      <c r="G1069" t="s">
        <v>1854</v>
      </c>
      <c r="J1069" t="s">
        <v>783</v>
      </c>
      <c r="K1069" t="s">
        <v>1855</v>
      </c>
      <c r="L1069" t="s">
        <v>1856</v>
      </c>
      <c r="M1069" t="s">
        <v>12</v>
      </c>
      <c r="N1069" t="s">
        <v>770</v>
      </c>
      <c r="O1069">
        <v>1</v>
      </c>
      <c r="P1069" t="s">
        <v>776</v>
      </c>
      <c r="Q1069">
        <v>19.899999999999999</v>
      </c>
      <c r="R1069">
        <v>3.59</v>
      </c>
      <c r="Y1069" t="s">
        <v>1908</v>
      </c>
      <c r="Z1069" t="s">
        <v>1908</v>
      </c>
      <c r="AA1069">
        <v>80125</v>
      </c>
      <c r="AB1069" t="s">
        <v>11</v>
      </c>
    </row>
    <row r="1070" spans="1:28" x14ac:dyDescent="0.25">
      <c r="A1070" t="s">
        <v>5094</v>
      </c>
      <c r="C1070" t="s">
        <v>5095</v>
      </c>
      <c r="D1070" t="s">
        <v>5096</v>
      </c>
      <c r="E1070" t="s">
        <v>770</v>
      </c>
      <c r="F1070" t="s">
        <v>1884</v>
      </c>
      <c r="G1070" t="s">
        <v>1854</v>
      </c>
      <c r="H1070" t="s">
        <v>1885</v>
      </c>
      <c r="J1070" t="s">
        <v>773</v>
      </c>
      <c r="K1070" t="s">
        <v>1855</v>
      </c>
      <c r="L1070" t="s">
        <v>13</v>
      </c>
      <c r="M1070" t="s">
        <v>12</v>
      </c>
      <c r="N1070" t="s">
        <v>770</v>
      </c>
      <c r="O1070">
        <v>1</v>
      </c>
      <c r="P1070" t="s">
        <v>776</v>
      </c>
      <c r="Q1070">
        <v>19.899999999999999</v>
      </c>
      <c r="R1070">
        <v>3.59</v>
      </c>
      <c r="S1070">
        <v>3</v>
      </c>
      <c r="T1070">
        <v>0.54</v>
      </c>
      <c r="Y1070" t="s">
        <v>5097</v>
      </c>
      <c r="Z1070" t="s">
        <v>2528</v>
      </c>
      <c r="AA1070">
        <v>85025</v>
      </c>
      <c r="AB1070" t="s">
        <v>11</v>
      </c>
    </row>
    <row r="1071" spans="1:28" x14ac:dyDescent="0.25">
      <c r="A1071" t="s">
        <v>5098</v>
      </c>
      <c r="B1071" t="s">
        <v>5098</v>
      </c>
      <c r="C1071" t="s">
        <v>5099</v>
      </c>
      <c r="D1071" t="s">
        <v>5100</v>
      </c>
      <c r="E1071" t="s">
        <v>770</v>
      </c>
      <c r="F1071" t="s">
        <v>771</v>
      </c>
      <c r="G1071" t="s">
        <v>1854</v>
      </c>
      <c r="J1071" t="s">
        <v>783</v>
      </c>
      <c r="K1071" t="s">
        <v>1855</v>
      </c>
      <c r="L1071" t="s">
        <v>1856</v>
      </c>
      <c r="M1071" t="s">
        <v>12</v>
      </c>
      <c r="N1071" t="s">
        <v>770</v>
      </c>
      <c r="O1071">
        <v>1</v>
      </c>
      <c r="P1071" t="s">
        <v>776</v>
      </c>
      <c r="Q1071">
        <v>19.899999999999999</v>
      </c>
      <c r="R1071">
        <v>3.59</v>
      </c>
      <c r="Y1071" t="s">
        <v>5101</v>
      </c>
      <c r="Z1071" t="s">
        <v>2533</v>
      </c>
      <c r="AA1071">
        <v>35020</v>
      </c>
      <c r="AB1071" t="s">
        <v>11</v>
      </c>
    </row>
    <row r="1072" spans="1:28" x14ac:dyDescent="0.25">
      <c r="A1072" t="s">
        <v>5102</v>
      </c>
      <c r="B1072" t="s">
        <v>5102</v>
      </c>
      <c r="C1072" t="s">
        <v>5103</v>
      </c>
      <c r="D1072" t="s">
        <v>5104</v>
      </c>
      <c r="E1072" t="s">
        <v>770</v>
      </c>
      <c r="F1072" t="s">
        <v>771</v>
      </c>
      <c r="G1072" t="s">
        <v>1854</v>
      </c>
      <c r="J1072" t="s">
        <v>783</v>
      </c>
      <c r="K1072" t="s">
        <v>5105</v>
      </c>
      <c r="L1072" t="s">
        <v>5106</v>
      </c>
      <c r="M1072" t="s">
        <v>190</v>
      </c>
      <c r="N1072" t="s">
        <v>770</v>
      </c>
      <c r="O1072">
        <v>1</v>
      </c>
      <c r="P1072" t="s">
        <v>776</v>
      </c>
      <c r="Q1072">
        <v>36.99</v>
      </c>
      <c r="R1072">
        <v>6.67</v>
      </c>
      <c r="Y1072" t="s">
        <v>5107</v>
      </c>
      <c r="Z1072" t="s">
        <v>2850</v>
      </c>
      <c r="AA1072">
        <v>80013</v>
      </c>
      <c r="AB1072" t="s">
        <v>11</v>
      </c>
    </row>
    <row r="1073" spans="1:28" x14ac:dyDescent="0.25">
      <c r="A1073" t="s">
        <v>5108</v>
      </c>
      <c r="B1073" t="s">
        <v>5108</v>
      </c>
      <c r="C1073" t="s">
        <v>5109</v>
      </c>
      <c r="D1073" t="s">
        <v>5110</v>
      </c>
      <c r="E1073" t="s">
        <v>770</v>
      </c>
      <c r="F1073" t="s">
        <v>771</v>
      </c>
      <c r="G1073" t="s">
        <v>1854</v>
      </c>
      <c r="J1073" t="s">
        <v>783</v>
      </c>
      <c r="K1073" t="s">
        <v>1855</v>
      </c>
      <c r="L1073" t="s">
        <v>1856</v>
      </c>
      <c r="M1073" t="s">
        <v>12</v>
      </c>
      <c r="N1073" t="s">
        <v>770</v>
      </c>
      <c r="O1073">
        <v>1</v>
      </c>
      <c r="P1073" t="s">
        <v>776</v>
      </c>
      <c r="Q1073">
        <v>19.899999999999999</v>
      </c>
      <c r="R1073">
        <v>3.59</v>
      </c>
      <c r="Y1073" t="s">
        <v>3080</v>
      </c>
      <c r="Z1073" t="s">
        <v>5111</v>
      </c>
      <c r="AA1073">
        <v>30121</v>
      </c>
      <c r="AB1073" t="s">
        <v>11</v>
      </c>
    </row>
    <row r="1074" spans="1:28" x14ac:dyDescent="0.25">
      <c r="A1074" t="s">
        <v>5112</v>
      </c>
      <c r="B1074" t="s">
        <v>5112</v>
      </c>
      <c r="C1074" t="s">
        <v>5113</v>
      </c>
      <c r="D1074" t="s">
        <v>5114</v>
      </c>
      <c r="E1074" t="s">
        <v>770</v>
      </c>
      <c r="F1074" t="s">
        <v>771</v>
      </c>
      <c r="G1074" t="s">
        <v>1854</v>
      </c>
      <c r="J1074" t="s">
        <v>783</v>
      </c>
      <c r="K1074" t="s">
        <v>1873</v>
      </c>
      <c r="L1074" t="s">
        <v>840</v>
      </c>
      <c r="M1074" t="s">
        <v>26</v>
      </c>
      <c r="N1074" t="s">
        <v>770</v>
      </c>
      <c r="O1074">
        <v>1</v>
      </c>
      <c r="P1074" t="s">
        <v>776</v>
      </c>
      <c r="Q1074">
        <v>34.9</v>
      </c>
      <c r="R1074">
        <v>6.29</v>
      </c>
      <c r="Y1074" t="s">
        <v>2196</v>
      </c>
      <c r="Z1074" t="s">
        <v>2153</v>
      </c>
      <c r="AA1074">
        <v>84091</v>
      </c>
      <c r="AB1074" t="s">
        <v>11</v>
      </c>
    </row>
    <row r="1075" spans="1:28" x14ac:dyDescent="0.25">
      <c r="A1075" t="s">
        <v>5115</v>
      </c>
      <c r="B1075" t="s">
        <v>5115</v>
      </c>
      <c r="C1075" t="s">
        <v>5116</v>
      </c>
      <c r="D1075" t="s">
        <v>5117</v>
      </c>
      <c r="E1075" t="s">
        <v>770</v>
      </c>
      <c r="F1075" t="s">
        <v>771</v>
      </c>
      <c r="G1075" t="s">
        <v>1854</v>
      </c>
      <c r="J1075" t="s">
        <v>783</v>
      </c>
      <c r="K1075" t="s">
        <v>1855</v>
      </c>
      <c r="L1075" t="s">
        <v>1856</v>
      </c>
      <c r="M1075" t="s">
        <v>12</v>
      </c>
      <c r="N1075" t="s">
        <v>770</v>
      </c>
      <c r="O1075">
        <v>1</v>
      </c>
      <c r="P1075" t="s">
        <v>776</v>
      </c>
      <c r="Q1075">
        <v>19.899999999999999</v>
      </c>
      <c r="R1075">
        <v>3.59</v>
      </c>
      <c r="Y1075" t="s">
        <v>4696</v>
      </c>
      <c r="Z1075" t="s">
        <v>3105</v>
      </c>
      <c r="AA1075">
        <v>62017</v>
      </c>
      <c r="AB1075" t="s">
        <v>11</v>
      </c>
    </row>
    <row r="1076" spans="1:28" x14ac:dyDescent="0.25">
      <c r="A1076" t="s">
        <v>5118</v>
      </c>
      <c r="C1076" t="s">
        <v>5119</v>
      </c>
      <c r="D1076" t="s">
        <v>5120</v>
      </c>
      <c r="E1076" t="s">
        <v>770</v>
      </c>
      <c r="F1076" t="s">
        <v>1884</v>
      </c>
      <c r="G1076" t="s">
        <v>1854</v>
      </c>
      <c r="H1076" t="s">
        <v>1885</v>
      </c>
      <c r="J1076" t="s">
        <v>773</v>
      </c>
      <c r="K1076" t="s">
        <v>1886</v>
      </c>
      <c r="L1076" t="s">
        <v>18</v>
      </c>
      <c r="M1076" t="s">
        <v>17</v>
      </c>
      <c r="N1076" t="s">
        <v>770</v>
      </c>
      <c r="O1076">
        <v>1</v>
      </c>
      <c r="P1076" t="s">
        <v>776</v>
      </c>
      <c r="Q1076">
        <v>22.9</v>
      </c>
      <c r="R1076">
        <v>4.13</v>
      </c>
      <c r="S1076">
        <v>3</v>
      </c>
      <c r="T1076">
        <v>0.54</v>
      </c>
      <c r="Y1076" t="s">
        <v>5121</v>
      </c>
      <c r="Z1076" t="s">
        <v>5122</v>
      </c>
      <c r="AA1076">
        <v>39042</v>
      </c>
      <c r="AB1076" t="s">
        <v>11</v>
      </c>
    </row>
    <row r="1077" spans="1:28" x14ac:dyDescent="0.25">
      <c r="A1077" t="s">
        <v>5123</v>
      </c>
      <c r="C1077" t="s">
        <v>5124</v>
      </c>
      <c r="D1077" t="s">
        <v>4973</v>
      </c>
      <c r="E1077" t="s">
        <v>770</v>
      </c>
      <c r="F1077" t="s">
        <v>1884</v>
      </c>
      <c r="G1077" t="s">
        <v>1854</v>
      </c>
      <c r="H1077" t="s">
        <v>1885</v>
      </c>
      <c r="J1077" t="s">
        <v>773</v>
      </c>
      <c r="K1077" t="s">
        <v>2248</v>
      </c>
      <c r="L1077" t="s">
        <v>173</v>
      </c>
      <c r="M1077" t="s">
        <v>172</v>
      </c>
      <c r="N1077" t="s">
        <v>770</v>
      </c>
      <c r="O1077">
        <v>1</v>
      </c>
      <c r="P1077" t="s">
        <v>776</v>
      </c>
      <c r="Q1077">
        <v>39.9</v>
      </c>
      <c r="R1077">
        <v>7.2</v>
      </c>
      <c r="S1077">
        <v>3</v>
      </c>
      <c r="T1077">
        <v>0.54</v>
      </c>
      <c r="Y1077" t="s">
        <v>5125</v>
      </c>
      <c r="Z1077" t="s">
        <v>1888</v>
      </c>
      <c r="AA1077">
        <v>40068</v>
      </c>
      <c r="AB1077" t="s">
        <v>11</v>
      </c>
    </row>
    <row r="1078" spans="1:28" x14ac:dyDescent="0.25">
      <c r="A1078" t="s">
        <v>5126</v>
      </c>
      <c r="B1078" t="s">
        <v>5126</v>
      </c>
      <c r="C1078" t="s">
        <v>5127</v>
      </c>
      <c r="D1078" t="s">
        <v>5128</v>
      </c>
      <c r="E1078" t="s">
        <v>770</v>
      </c>
      <c r="F1078" t="s">
        <v>771</v>
      </c>
      <c r="G1078" t="s">
        <v>1854</v>
      </c>
      <c r="J1078" t="s">
        <v>783</v>
      </c>
      <c r="K1078" t="s">
        <v>1855</v>
      </c>
      <c r="L1078" t="s">
        <v>1856</v>
      </c>
      <c r="M1078" t="s">
        <v>12</v>
      </c>
      <c r="N1078" t="s">
        <v>770</v>
      </c>
      <c r="O1078">
        <v>1</v>
      </c>
      <c r="P1078" t="s">
        <v>776</v>
      </c>
      <c r="Q1078">
        <v>19.899999999999999</v>
      </c>
      <c r="R1078">
        <v>3.59</v>
      </c>
      <c r="Y1078" t="s">
        <v>5129</v>
      </c>
      <c r="Z1078" t="s">
        <v>5130</v>
      </c>
      <c r="AA1078">
        <v>70018</v>
      </c>
      <c r="AB1078" t="s">
        <v>11</v>
      </c>
    </row>
    <row r="1079" spans="1:28" x14ac:dyDescent="0.25">
      <c r="A1079" t="s">
        <v>5131</v>
      </c>
      <c r="C1079" t="s">
        <v>5132</v>
      </c>
      <c r="D1079" t="s">
        <v>5133</v>
      </c>
      <c r="E1079" t="s">
        <v>770</v>
      </c>
      <c r="F1079" t="s">
        <v>1884</v>
      </c>
      <c r="G1079" t="s">
        <v>1854</v>
      </c>
      <c r="H1079" t="s">
        <v>1885</v>
      </c>
      <c r="J1079" t="s">
        <v>773</v>
      </c>
      <c r="K1079" t="s">
        <v>1930</v>
      </c>
      <c r="L1079" t="s">
        <v>66</v>
      </c>
      <c r="M1079" t="s">
        <v>65</v>
      </c>
      <c r="N1079" t="s">
        <v>770</v>
      </c>
      <c r="O1079">
        <v>1</v>
      </c>
      <c r="P1079" t="s">
        <v>776</v>
      </c>
      <c r="Q1079">
        <v>29.9</v>
      </c>
      <c r="R1079">
        <v>5.39</v>
      </c>
      <c r="S1079">
        <v>3</v>
      </c>
      <c r="T1079">
        <v>0.54</v>
      </c>
      <c r="Y1079" t="s">
        <v>5134</v>
      </c>
      <c r="Z1079" t="s">
        <v>2342</v>
      </c>
      <c r="AA1079">
        <v>90047</v>
      </c>
      <c r="AB1079" t="s">
        <v>11</v>
      </c>
    </row>
    <row r="1080" spans="1:28" x14ac:dyDescent="0.25">
      <c r="A1080" t="s">
        <v>5135</v>
      </c>
      <c r="C1080" t="s">
        <v>5136</v>
      </c>
      <c r="D1080" t="s">
        <v>5137</v>
      </c>
      <c r="E1080" t="s">
        <v>770</v>
      </c>
      <c r="F1080" t="s">
        <v>1884</v>
      </c>
      <c r="G1080" t="s">
        <v>1854</v>
      </c>
      <c r="H1080" t="s">
        <v>1885</v>
      </c>
      <c r="J1080" t="s">
        <v>773</v>
      </c>
      <c r="K1080" t="s">
        <v>2913</v>
      </c>
      <c r="L1080" t="s">
        <v>99</v>
      </c>
      <c r="M1080" t="s">
        <v>98</v>
      </c>
      <c r="N1080" t="s">
        <v>770</v>
      </c>
      <c r="O1080">
        <v>1</v>
      </c>
      <c r="P1080" t="s">
        <v>776</v>
      </c>
      <c r="Q1080">
        <v>29.9</v>
      </c>
      <c r="R1080">
        <v>5.39</v>
      </c>
      <c r="S1080">
        <v>3</v>
      </c>
      <c r="T1080">
        <v>0.54</v>
      </c>
      <c r="Y1080" t="s">
        <v>5138</v>
      </c>
      <c r="Z1080" t="s">
        <v>1908</v>
      </c>
      <c r="AA1080">
        <v>80047</v>
      </c>
      <c r="AB1080" t="s">
        <v>11</v>
      </c>
    </row>
    <row r="1081" spans="1:28" x14ac:dyDescent="0.25">
      <c r="A1081" t="s">
        <v>5139</v>
      </c>
      <c r="B1081" t="s">
        <v>5139</v>
      </c>
      <c r="C1081" t="s">
        <v>5140</v>
      </c>
      <c r="D1081" t="s">
        <v>5141</v>
      </c>
      <c r="E1081" t="s">
        <v>770</v>
      </c>
      <c r="F1081" t="s">
        <v>771</v>
      </c>
      <c r="G1081" t="s">
        <v>1854</v>
      </c>
      <c r="J1081" t="s">
        <v>783</v>
      </c>
      <c r="K1081" t="s">
        <v>1855</v>
      </c>
      <c r="L1081" t="s">
        <v>1856</v>
      </c>
      <c r="M1081" t="s">
        <v>12</v>
      </c>
      <c r="N1081" t="s">
        <v>770</v>
      </c>
      <c r="O1081">
        <v>1</v>
      </c>
      <c r="P1081" t="s">
        <v>776</v>
      </c>
      <c r="Q1081">
        <v>19.899999999999999</v>
      </c>
      <c r="R1081">
        <v>3.59</v>
      </c>
      <c r="S1081">
        <v>3.99</v>
      </c>
      <c r="T1081">
        <v>0.72</v>
      </c>
      <c r="Y1081" t="s">
        <v>5142</v>
      </c>
      <c r="Z1081" t="s">
        <v>2153</v>
      </c>
      <c r="AA1081">
        <v>84030</v>
      </c>
      <c r="AB1081" t="s">
        <v>11</v>
      </c>
    </row>
    <row r="1082" spans="1:28" x14ac:dyDescent="0.25">
      <c r="A1082" t="s">
        <v>5143</v>
      </c>
      <c r="B1082" t="s">
        <v>5143</v>
      </c>
      <c r="C1082" t="s">
        <v>5144</v>
      </c>
      <c r="D1082" t="s">
        <v>5145</v>
      </c>
      <c r="E1082" t="s">
        <v>770</v>
      </c>
      <c r="F1082" t="s">
        <v>771</v>
      </c>
      <c r="G1082" t="s">
        <v>1854</v>
      </c>
      <c r="J1082" t="s">
        <v>783</v>
      </c>
      <c r="K1082" t="s">
        <v>1855</v>
      </c>
      <c r="L1082" t="s">
        <v>1856</v>
      </c>
      <c r="M1082" t="s">
        <v>12</v>
      </c>
      <c r="N1082" t="s">
        <v>770</v>
      </c>
      <c r="O1082">
        <v>1</v>
      </c>
      <c r="P1082" t="s">
        <v>776</v>
      </c>
      <c r="Q1082">
        <v>19.899999999999999</v>
      </c>
      <c r="R1082">
        <v>3.59</v>
      </c>
      <c r="Y1082" t="s">
        <v>5146</v>
      </c>
      <c r="Z1082" t="s">
        <v>2362</v>
      </c>
      <c r="AA1082">
        <v>15045</v>
      </c>
      <c r="AB1082" t="s">
        <v>11</v>
      </c>
    </row>
    <row r="1083" spans="1:28" x14ac:dyDescent="0.25">
      <c r="A1083" t="s">
        <v>5147</v>
      </c>
      <c r="B1083" t="s">
        <v>5147</v>
      </c>
      <c r="C1083" t="s">
        <v>5148</v>
      </c>
      <c r="D1083" t="s">
        <v>5149</v>
      </c>
      <c r="E1083" t="s">
        <v>770</v>
      </c>
      <c r="F1083" t="s">
        <v>771</v>
      </c>
      <c r="G1083" t="s">
        <v>1854</v>
      </c>
      <c r="J1083" t="s">
        <v>783</v>
      </c>
      <c r="K1083" t="s">
        <v>1862</v>
      </c>
      <c r="L1083" t="s">
        <v>1505</v>
      </c>
      <c r="M1083" t="s">
        <v>53</v>
      </c>
      <c r="N1083" t="s">
        <v>770</v>
      </c>
      <c r="O1083">
        <v>1</v>
      </c>
      <c r="P1083" t="s">
        <v>776</v>
      </c>
      <c r="Q1083">
        <v>32.9</v>
      </c>
      <c r="R1083">
        <v>5.93</v>
      </c>
      <c r="Y1083" t="s">
        <v>5150</v>
      </c>
      <c r="Z1083" t="s">
        <v>2602</v>
      </c>
      <c r="AA1083">
        <v>16043</v>
      </c>
      <c r="AB1083" t="s">
        <v>11</v>
      </c>
    </row>
    <row r="1084" spans="1:28" x14ac:dyDescent="0.25">
      <c r="A1084" t="s">
        <v>5151</v>
      </c>
      <c r="B1084" t="s">
        <v>5151</v>
      </c>
      <c r="C1084" t="s">
        <v>5152</v>
      </c>
      <c r="D1084" t="s">
        <v>5153</v>
      </c>
      <c r="E1084" t="s">
        <v>770</v>
      </c>
      <c r="F1084" t="s">
        <v>771</v>
      </c>
      <c r="G1084" t="s">
        <v>1854</v>
      </c>
      <c r="J1084" t="s">
        <v>783</v>
      </c>
      <c r="K1084" t="s">
        <v>1855</v>
      </c>
      <c r="L1084" t="s">
        <v>1856</v>
      </c>
      <c r="M1084" t="s">
        <v>12</v>
      </c>
      <c r="N1084" t="s">
        <v>770</v>
      </c>
      <c r="O1084">
        <v>1</v>
      </c>
      <c r="P1084" t="s">
        <v>776</v>
      </c>
      <c r="Q1084">
        <v>19.899999999999999</v>
      </c>
      <c r="R1084">
        <v>3.59</v>
      </c>
      <c r="Y1084" t="s">
        <v>1913</v>
      </c>
      <c r="Z1084" t="s">
        <v>1913</v>
      </c>
      <c r="AA1084">
        <v>175</v>
      </c>
      <c r="AB1084" t="s">
        <v>11</v>
      </c>
    </row>
    <row r="1085" spans="1:28" x14ac:dyDescent="0.25">
      <c r="A1085" t="s">
        <v>5154</v>
      </c>
      <c r="B1085" t="s">
        <v>5154</v>
      </c>
      <c r="C1085" t="s">
        <v>5155</v>
      </c>
      <c r="D1085" t="s">
        <v>5156</v>
      </c>
      <c r="E1085" t="s">
        <v>770</v>
      </c>
      <c r="F1085" t="s">
        <v>771</v>
      </c>
      <c r="G1085" t="s">
        <v>1854</v>
      </c>
      <c r="J1085" t="s">
        <v>783</v>
      </c>
      <c r="K1085" t="s">
        <v>2319</v>
      </c>
      <c r="L1085" t="s">
        <v>1080</v>
      </c>
      <c r="M1085" t="s">
        <v>186</v>
      </c>
      <c r="N1085" t="s">
        <v>770</v>
      </c>
      <c r="O1085">
        <v>1</v>
      </c>
      <c r="P1085" t="s">
        <v>776</v>
      </c>
      <c r="Q1085">
        <v>39.9</v>
      </c>
      <c r="R1085">
        <v>7.2</v>
      </c>
      <c r="Y1085" t="s">
        <v>5157</v>
      </c>
      <c r="Z1085" t="s">
        <v>2153</v>
      </c>
      <c r="AA1085">
        <v>84086</v>
      </c>
      <c r="AB1085" t="s">
        <v>11</v>
      </c>
    </row>
    <row r="1086" spans="1:28" x14ac:dyDescent="0.25">
      <c r="A1086" t="s">
        <v>5158</v>
      </c>
      <c r="B1086" t="s">
        <v>5158</v>
      </c>
      <c r="C1086" t="s">
        <v>5159</v>
      </c>
      <c r="D1086" t="s">
        <v>5160</v>
      </c>
      <c r="E1086" t="s">
        <v>770</v>
      </c>
      <c r="F1086" t="s">
        <v>771</v>
      </c>
      <c r="G1086" t="s">
        <v>1854</v>
      </c>
      <c r="J1086" t="s">
        <v>783</v>
      </c>
      <c r="K1086" t="s">
        <v>1862</v>
      </c>
      <c r="L1086" t="s">
        <v>1505</v>
      </c>
      <c r="M1086" t="s">
        <v>53</v>
      </c>
      <c r="N1086" t="s">
        <v>770</v>
      </c>
      <c r="O1086">
        <v>1</v>
      </c>
      <c r="P1086" t="s">
        <v>776</v>
      </c>
      <c r="Q1086">
        <v>32.9</v>
      </c>
      <c r="R1086">
        <v>5.93</v>
      </c>
      <c r="S1086">
        <v>2.5</v>
      </c>
      <c r="T1086">
        <v>0.45</v>
      </c>
      <c r="Y1086" t="s">
        <v>5161</v>
      </c>
      <c r="Z1086" t="s">
        <v>3590</v>
      </c>
      <c r="AA1086">
        <v>60015</v>
      </c>
      <c r="AB1086" t="s">
        <v>11</v>
      </c>
    </row>
    <row r="1087" spans="1:28" x14ac:dyDescent="0.25">
      <c r="A1087" t="s">
        <v>5162</v>
      </c>
      <c r="B1087" t="s">
        <v>5162</v>
      </c>
      <c r="C1087" t="s">
        <v>5163</v>
      </c>
      <c r="D1087" t="s">
        <v>5164</v>
      </c>
      <c r="E1087" t="s">
        <v>770</v>
      </c>
      <c r="F1087" t="s">
        <v>771</v>
      </c>
      <c r="G1087" t="s">
        <v>1854</v>
      </c>
      <c r="J1087" t="s">
        <v>783</v>
      </c>
      <c r="K1087" t="s">
        <v>2652</v>
      </c>
      <c r="L1087" t="s">
        <v>1831</v>
      </c>
      <c r="M1087" t="s">
        <v>51</v>
      </c>
      <c r="N1087" t="s">
        <v>770</v>
      </c>
      <c r="O1087">
        <v>2</v>
      </c>
      <c r="P1087" t="s">
        <v>776</v>
      </c>
      <c r="Q1087">
        <v>49.8</v>
      </c>
      <c r="R1087">
        <v>8.98</v>
      </c>
      <c r="Y1087" t="s">
        <v>5165</v>
      </c>
      <c r="Z1087" t="s">
        <v>1989</v>
      </c>
      <c r="AA1087">
        <v>36063</v>
      </c>
      <c r="AB1087" t="s">
        <v>11</v>
      </c>
    </row>
    <row r="1088" spans="1:28" x14ac:dyDescent="0.25">
      <c r="A1088" t="s">
        <v>5166</v>
      </c>
      <c r="B1088" t="s">
        <v>5166</v>
      </c>
      <c r="C1088" t="s">
        <v>5167</v>
      </c>
      <c r="D1088" t="s">
        <v>5168</v>
      </c>
      <c r="E1088" t="s">
        <v>770</v>
      </c>
      <c r="F1088" t="s">
        <v>771</v>
      </c>
      <c r="G1088" t="s">
        <v>1854</v>
      </c>
      <c r="J1088" t="s">
        <v>783</v>
      </c>
      <c r="K1088" t="s">
        <v>1862</v>
      </c>
      <c r="L1088" t="s">
        <v>1505</v>
      </c>
      <c r="M1088" t="s">
        <v>53</v>
      </c>
      <c r="N1088" t="s">
        <v>770</v>
      </c>
      <c r="O1088">
        <v>1</v>
      </c>
      <c r="P1088" t="s">
        <v>776</v>
      </c>
      <c r="Q1088">
        <v>32.9</v>
      </c>
      <c r="R1088">
        <v>5.93</v>
      </c>
      <c r="Y1088" t="s">
        <v>5169</v>
      </c>
      <c r="Z1088" t="s">
        <v>4540</v>
      </c>
      <c r="AA1088">
        <v>28887</v>
      </c>
      <c r="AB1088" t="s">
        <v>11</v>
      </c>
    </row>
    <row r="1089" spans="1:35" x14ac:dyDescent="0.25">
      <c r="A1089" t="s">
        <v>5170</v>
      </c>
      <c r="B1089" t="s">
        <v>5170</v>
      </c>
      <c r="C1089" t="s">
        <v>5171</v>
      </c>
      <c r="D1089" t="s">
        <v>5172</v>
      </c>
      <c r="E1089" t="s">
        <v>770</v>
      </c>
      <c r="F1089" t="s">
        <v>771</v>
      </c>
      <c r="G1089" t="s">
        <v>1854</v>
      </c>
      <c r="J1089" t="s">
        <v>783</v>
      </c>
      <c r="K1089" t="s">
        <v>1873</v>
      </c>
      <c r="L1089" t="s">
        <v>840</v>
      </c>
      <c r="M1089" t="s">
        <v>26</v>
      </c>
      <c r="N1089" t="s">
        <v>770</v>
      </c>
      <c r="O1089">
        <v>1</v>
      </c>
      <c r="P1089" t="s">
        <v>776</v>
      </c>
      <c r="Q1089">
        <v>34.9</v>
      </c>
      <c r="R1089">
        <v>6.29</v>
      </c>
      <c r="S1089">
        <v>4.99</v>
      </c>
      <c r="T1089">
        <v>0.9</v>
      </c>
      <c r="Y1089" t="s">
        <v>5173</v>
      </c>
      <c r="Z1089" t="s">
        <v>2503</v>
      </c>
      <c r="AA1089">
        <v>48018</v>
      </c>
      <c r="AB1089" t="s">
        <v>11</v>
      </c>
    </row>
    <row r="1090" spans="1:35" x14ac:dyDescent="0.25">
      <c r="A1090" t="s">
        <v>5174</v>
      </c>
      <c r="B1090" t="s">
        <v>5174</v>
      </c>
      <c r="C1090" t="s">
        <v>5175</v>
      </c>
      <c r="D1090" t="s">
        <v>5176</v>
      </c>
      <c r="E1090" t="s">
        <v>770</v>
      </c>
      <c r="F1090" t="s">
        <v>771</v>
      </c>
      <c r="G1090" t="s">
        <v>1854</v>
      </c>
      <c r="J1090" t="s">
        <v>783</v>
      </c>
      <c r="K1090" t="s">
        <v>1855</v>
      </c>
      <c r="L1090" t="s">
        <v>1856</v>
      </c>
      <c r="M1090" t="s">
        <v>12</v>
      </c>
      <c r="N1090" t="s">
        <v>770</v>
      </c>
      <c r="O1090">
        <v>1</v>
      </c>
      <c r="P1090" t="s">
        <v>776</v>
      </c>
      <c r="Q1090">
        <v>19.899999999999999</v>
      </c>
      <c r="R1090">
        <v>3.59</v>
      </c>
      <c r="Y1090" t="s">
        <v>4354</v>
      </c>
      <c r="Z1090" t="s">
        <v>2025</v>
      </c>
      <c r="AA1090">
        <v>80026</v>
      </c>
      <c r="AB1090" t="s">
        <v>11</v>
      </c>
    </row>
    <row r="1091" spans="1:35" x14ac:dyDescent="0.25">
      <c r="A1091" t="s">
        <v>5177</v>
      </c>
      <c r="C1091" t="s">
        <v>5178</v>
      </c>
      <c r="D1091" t="s">
        <v>5179</v>
      </c>
      <c r="E1091" t="s">
        <v>770</v>
      </c>
      <c r="F1091" t="s">
        <v>1884</v>
      </c>
      <c r="G1091" t="s">
        <v>1854</v>
      </c>
      <c r="H1091" t="s">
        <v>1885</v>
      </c>
      <c r="J1091" t="s">
        <v>773</v>
      </c>
      <c r="K1091" t="s">
        <v>4822</v>
      </c>
      <c r="L1091" t="s">
        <v>123</v>
      </c>
      <c r="M1091" t="s">
        <v>122</v>
      </c>
      <c r="N1091" t="s">
        <v>770</v>
      </c>
      <c r="O1091">
        <v>1</v>
      </c>
      <c r="P1091" t="s">
        <v>776</v>
      </c>
      <c r="Q1091">
        <v>28.9</v>
      </c>
      <c r="R1091">
        <v>5.21</v>
      </c>
      <c r="S1091">
        <v>3</v>
      </c>
      <c r="T1091">
        <v>0.54</v>
      </c>
      <c r="Y1091" t="s">
        <v>3299</v>
      </c>
      <c r="Z1091" t="s">
        <v>2533</v>
      </c>
      <c r="AA1091">
        <v>35136</v>
      </c>
      <c r="AB1091" t="s">
        <v>11</v>
      </c>
    </row>
    <row r="1092" spans="1:35" x14ac:dyDescent="0.25">
      <c r="A1092" t="s">
        <v>5180</v>
      </c>
      <c r="B1092" t="s">
        <v>5180</v>
      </c>
      <c r="C1092" t="s">
        <v>5181</v>
      </c>
      <c r="D1092" t="s">
        <v>5182</v>
      </c>
      <c r="E1092" t="s">
        <v>770</v>
      </c>
      <c r="F1092" t="s">
        <v>771</v>
      </c>
      <c r="G1092" t="s">
        <v>1854</v>
      </c>
      <c r="J1092" t="s">
        <v>783</v>
      </c>
      <c r="K1092" t="s">
        <v>1855</v>
      </c>
      <c r="L1092" t="s">
        <v>1856</v>
      </c>
      <c r="M1092" t="s">
        <v>12</v>
      </c>
      <c r="N1092" t="s">
        <v>770</v>
      </c>
      <c r="O1092">
        <v>1</v>
      </c>
      <c r="P1092" t="s">
        <v>776</v>
      </c>
      <c r="Q1092">
        <v>19.899999999999999</v>
      </c>
      <c r="R1092">
        <v>3.59</v>
      </c>
      <c r="Y1092" t="s">
        <v>5183</v>
      </c>
      <c r="Z1092" t="s">
        <v>2025</v>
      </c>
      <c r="AA1092">
        <v>80042</v>
      </c>
      <c r="AB1092" t="s">
        <v>11</v>
      </c>
    </row>
    <row r="1093" spans="1:35" x14ac:dyDescent="0.25">
      <c r="A1093" t="s">
        <v>5184</v>
      </c>
      <c r="B1093" t="s">
        <v>5184</v>
      </c>
      <c r="C1093" t="s">
        <v>5185</v>
      </c>
      <c r="D1093" t="s">
        <v>5186</v>
      </c>
      <c r="E1093" t="s">
        <v>770</v>
      </c>
      <c r="F1093" t="s">
        <v>771</v>
      </c>
      <c r="G1093" t="s">
        <v>1854</v>
      </c>
      <c r="J1093" t="s">
        <v>783</v>
      </c>
      <c r="K1093" t="s">
        <v>1960</v>
      </c>
      <c r="L1093" t="s">
        <v>1047</v>
      </c>
      <c r="M1093" t="s">
        <v>21</v>
      </c>
      <c r="N1093" t="s">
        <v>770</v>
      </c>
      <c r="O1093">
        <v>1</v>
      </c>
      <c r="P1093" t="s">
        <v>776</v>
      </c>
      <c r="Q1093">
        <v>29.9</v>
      </c>
      <c r="R1093">
        <v>5.39</v>
      </c>
      <c r="Y1093" t="s">
        <v>5187</v>
      </c>
      <c r="Z1093" t="s">
        <v>1989</v>
      </c>
      <c r="AA1093">
        <v>36061</v>
      </c>
      <c r="AB1093" t="s">
        <v>11</v>
      </c>
      <c r="AG1093" t="s">
        <v>5188</v>
      </c>
      <c r="AH1093" t="s">
        <v>11</v>
      </c>
      <c r="AI1093" t="s">
        <v>1258</v>
      </c>
    </row>
    <row r="1094" spans="1:35" x14ac:dyDescent="0.25">
      <c r="A1094" t="s">
        <v>5189</v>
      </c>
      <c r="B1094" t="s">
        <v>5189</v>
      </c>
      <c r="C1094" t="s">
        <v>5190</v>
      </c>
      <c r="D1094" t="s">
        <v>5191</v>
      </c>
      <c r="E1094" t="s">
        <v>770</v>
      </c>
      <c r="F1094" t="s">
        <v>771</v>
      </c>
      <c r="G1094" t="s">
        <v>1854</v>
      </c>
      <c r="J1094" t="s">
        <v>783</v>
      </c>
      <c r="K1094" t="s">
        <v>1855</v>
      </c>
      <c r="L1094" t="s">
        <v>1856</v>
      </c>
      <c r="M1094" t="s">
        <v>12</v>
      </c>
      <c r="N1094" t="s">
        <v>770</v>
      </c>
      <c r="O1094">
        <v>1</v>
      </c>
      <c r="P1094" t="s">
        <v>776</v>
      </c>
      <c r="Q1094">
        <v>19.899999999999999</v>
      </c>
      <c r="R1094">
        <v>3.59</v>
      </c>
      <c r="Y1094" t="s">
        <v>5192</v>
      </c>
      <c r="Z1094" t="s">
        <v>2675</v>
      </c>
      <c r="AA1094">
        <v>20816</v>
      </c>
      <c r="AB1094" t="s">
        <v>11</v>
      </c>
    </row>
    <row r="1095" spans="1:35" x14ac:dyDescent="0.25">
      <c r="A1095" t="s">
        <v>5193</v>
      </c>
      <c r="B1095" t="s">
        <v>5193</v>
      </c>
      <c r="C1095" t="s">
        <v>5194</v>
      </c>
      <c r="D1095" t="s">
        <v>5195</v>
      </c>
      <c r="E1095" t="s">
        <v>770</v>
      </c>
      <c r="F1095" t="s">
        <v>771</v>
      </c>
      <c r="G1095" t="s">
        <v>1854</v>
      </c>
      <c r="J1095" t="s">
        <v>783</v>
      </c>
      <c r="K1095" t="s">
        <v>1855</v>
      </c>
      <c r="L1095" t="s">
        <v>1856</v>
      </c>
      <c r="M1095" t="s">
        <v>12</v>
      </c>
      <c r="N1095" t="s">
        <v>770</v>
      </c>
      <c r="O1095">
        <v>1</v>
      </c>
      <c r="P1095" t="s">
        <v>776</v>
      </c>
      <c r="Q1095">
        <v>19.899999999999999</v>
      </c>
      <c r="R1095">
        <v>3.59</v>
      </c>
      <c r="Y1095" t="s">
        <v>1913</v>
      </c>
      <c r="Z1095" t="s">
        <v>1913</v>
      </c>
      <c r="AA1095">
        <v>185</v>
      </c>
      <c r="AB1095" t="s">
        <v>11</v>
      </c>
    </row>
    <row r="1096" spans="1:35" x14ac:dyDescent="0.25">
      <c r="A1096" t="s">
        <v>5196</v>
      </c>
      <c r="B1096" t="s">
        <v>5196</v>
      </c>
      <c r="C1096" t="s">
        <v>5197</v>
      </c>
      <c r="D1096" t="s">
        <v>5198</v>
      </c>
      <c r="E1096" t="s">
        <v>770</v>
      </c>
      <c r="F1096" t="s">
        <v>771</v>
      </c>
      <c r="G1096" t="s">
        <v>1854</v>
      </c>
      <c r="J1096" t="s">
        <v>783</v>
      </c>
      <c r="K1096" t="s">
        <v>1960</v>
      </c>
      <c r="L1096" t="s">
        <v>1047</v>
      </c>
      <c r="M1096" t="s">
        <v>21</v>
      </c>
      <c r="N1096" t="s">
        <v>770</v>
      </c>
      <c r="O1096">
        <v>1</v>
      </c>
      <c r="P1096" t="s">
        <v>776</v>
      </c>
      <c r="Q1096">
        <v>29.9</v>
      </c>
      <c r="R1096">
        <v>5.39</v>
      </c>
      <c r="S1096">
        <v>4.99</v>
      </c>
      <c r="T1096">
        <v>0.9</v>
      </c>
      <c r="Y1096" t="s">
        <v>5199</v>
      </c>
      <c r="Z1096" t="s">
        <v>3008</v>
      </c>
      <c r="AA1096">
        <v>47843</v>
      </c>
      <c r="AB1096" t="s">
        <v>11</v>
      </c>
    </row>
    <row r="1097" spans="1:35" x14ac:dyDescent="0.25">
      <c r="A1097" t="s">
        <v>5200</v>
      </c>
      <c r="B1097" t="s">
        <v>5200</v>
      </c>
      <c r="C1097" t="s">
        <v>5201</v>
      </c>
      <c r="D1097" t="s">
        <v>5202</v>
      </c>
      <c r="E1097" t="s">
        <v>770</v>
      </c>
      <c r="F1097" t="s">
        <v>771</v>
      </c>
      <c r="G1097" t="s">
        <v>1854</v>
      </c>
      <c r="J1097" t="s">
        <v>783</v>
      </c>
      <c r="K1097" t="s">
        <v>1855</v>
      </c>
      <c r="L1097" t="s">
        <v>1856</v>
      </c>
      <c r="M1097" t="s">
        <v>12</v>
      </c>
      <c r="N1097" t="s">
        <v>770</v>
      </c>
      <c r="O1097">
        <v>1</v>
      </c>
      <c r="P1097" t="s">
        <v>776</v>
      </c>
      <c r="Q1097">
        <v>19.899999999999999</v>
      </c>
      <c r="R1097">
        <v>3.59</v>
      </c>
      <c r="Y1097" t="s">
        <v>1893</v>
      </c>
      <c r="Z1097" t="s">
        <v>1893</v>
      </c>
      <c r="AA1097">
        <v>10129</v>
      </c>
      <c r="AB1097" t="s">
        <v>11</v>
      </c>
    </row>
    <row r="1098" spans="1:35" x14ac:dyDescent="0.25">
      <c r="A1098" t="s">
        <v>5203</v>
      </c>
      <c r="B1098" t="s">
        <v>5203</v>
      </c>
      <c r="C1098" t="s">
        <v>5204</v>
      </c>
      <c r="D1098" t="s">
        <v>5205</v>
      </c>
      <c r="E1098" t="s">
        <v>770</v>
      </c>
      <c r="F1098" t="s">
        <v>771</v>
      </c>
      <c r="G1098" t="s">
        <v>1854</v>
      </c>
      <c r="J1098" t="s">
        <v>783</v>
      </c>
      <c r="K1098" t="s">
        <v>1855</v>
      </c>
      <c r="L1098" t="s">
        <v>1856</v>
      </c>
      <c r="M1098" t="s">
        <v>12</v>
      </c>
      <c r="N1098" t="s">
        <v>770</v>
      </c>
      <c r="O1098">
        <v>1</v>
      </c>
      <c r="P1098" t="s">
        <v>776</v>
      </c>
      <c r="Q1098">
        <v>19.899999999999999</v>
      </c>
      <c r="R1098">
        <v>3.59</v>
      </c>
      <c r="Y1098" t="s">
        <v>5206</v>
      </c>
      <c r="Z1098" t="s">
        <v>1875</v>
      </c>
      <c r="AA1098">
        <v>20081</v>
      </c>
      <c r="AB1098" t="s">
        <v>11</v>
      </c>
    </row>
    <row r="1099" spans="1:35" x14ac:dyDescent="0.25">
      <c r="A1099" t="s">
        <v>5207</v>
      </c>
      <c r="B1099" t="s">
        <v>5207</v>
      </c>
      <c r="C1099" t="s">
        <v>5208</v>
      </c>
      <c r="D1099" t="s">
        <v>5209</v>
      </c>
      <c r="E1099" t="s">
        <v>770</v>
      </c>
      <c r="F1099" t="s">
        <v>771</v>
      </c>
      <c r="G1099" t="s">
        <v>1854</v>
      </c>
      <c r="J1099" t="s">
        <v>783</v>
      </c>
      <c r="K1099" t="s">
        <v>2652</v>
      </c>
      <c r="L1099" t="s">
        <v>1831</v>
      </c>
      <c r="M1099" t="s">
        <v>51</v>
      </c>
      <c r="N1099" t="s">
        <v>770</v>
      </c>
      <c r="O1099">
        <v>1</v>
      </c>
      <c r="P1099" t="s">
        <v>776</v>
      </c>
      <c r="Q1099">
        <v>24.9</v>
      </c>
      <c r="R1099">
        <v>4.49</v>
      </c>
      <c r="S1099">
        <v>1.63</v>
      </c>
      <c r="X1099">
        <v>1.63</v>
      </c>
      <c r="Y1099" t="s">
        <v>5210</v>
      </c>
      <c r="Z1099" t="s">
        <v>2819</v>
      </c>
      <c r="AA1099">
        <v>74024</v>
      </c>
      <c r="AB1099" t="s">
        <v>11</v>
      </c>
    </row>
    <row r="1100" spans="1:35" x14ac:dyDescent="0.25">
      <c r="A1100" t="s">
        <v>5211</v>
      </c>
      <c r="B1100" t="s">
        <v>5211</v>
      </c>
      <c r="C1100" t="s">
        <v>5212</v>
      </c>
      <c r="D1100" t="s">
        <v>5213</v>
      </c>
      <c r="E1100" t="s">
        <v>770</v>
      </c>
      <c r="F1100" t="s">
        <v>771</v>
      </c>
      <c r="G1100" t="s">
        <v>1854</v>
      </c>
      <c r="J1100" t="s">
        <v>783</v>
      </c>
      <c r="K1100" t="s">
        <v>1862</v>
      </c>
      <c r="L1100" t="s">
        <v>1505</v>
      </c>
      <c r="M1100" t="s">
        <v>53</v>
      </c>
      <c r="N1100" t="s">
        <v>770</v>
      </c>
      <c r="O1100">
        <v>1</v>
      </c>
      <c r="P1100" t="s">
        <v>776</v>
      </c>
      <c r="Q1100">
        <v>32.9</v>
      </c>
      <c r="R1100">
        <v>5.93</v>
      </c>
      <c r="S1100">
        <v>4.99</v>
      </c>
      <c r="T1100">
        <v>0.9</v>
      </c>
      <c r="Y1100" t="s">
        <v>5214</v>
      </c>
      <c r="Z1100" t="s">
        <v>2860</v>
      </c>
      <c r="AA1100">
        <v>36062</v>
      </c>
      <c r="AB1100" t="s">
        <v>11</v>
      </c>
    </row>
    <row r="1101" spans="1:35" x14ac:dyDescent="0.25">
      <c r="A1101" t="s">
        <v>5215</v>
      </c>
      <c r="B1101" t="s">
        <v>5215</v>
      </c>
      <c r="C1101" t="s">
        <v>5216</v>
      </c>
      <c r="D1101" t="s">
        <v>5217</v>
      </c>
      <c r="E1101" t="s">
        <v>770</v>
      </c>
      <c r="F1101" t="s">
        <v>771</v>
      </c>
      <c r="G1101" t="s">
        <v>1854</v>
      </c>
      <c r="J1101" t="s">
        <v>783</v>
      </c>
      <c r="K1101" t="s">
        <v>1855</v>
      </c>
      <c r="L1101" t="s">
        <v>1856</v>
      </c>
      <c r="M1101" t="s">
        <v>12</v>
      </c>
      <c r="N1101" t="s">
        <v>770</v>
      </c>
      <c r="O1101">
        <v>1</v>
      </c>
      <c r="P1101" t="s">
        <v>776</v>
      </c>
      <c r="Q1101">
        <v>19.899999999999999</v>
      </c>
      <c r="R1101">
        <v>3.59</v>
      </c>
      <c r="Y1101" t="s">
        <v>5218</v>
      </c>
      <c r="Z1101" t="s">
        <v>1875</v>
      </c>
      <c r="AA1101">
        <v>20017</v>
      </c>
      <c r="AB1101" t="s">
        <v>11</v>
      </c>
    </row>
    <row r="1102" spans="1:35" x14ac:dyDescent="0.25">
      <c r="A1102" t="s">
        <v>5219</v>
      </c>
      <c r="B1102" t="s">
        <v>5219</v>
      </c>
      <c r="C1102" t="s">
        <v>5220</v>
      </c>
      <c r="D1102" t="s">
        <v>5221</v>
      </c>
      <c r="E1102" t="s">
        <v>770</v>
      </c>
      <c r="F1102" t="s">
        <v>771</v>
      </c>
      <c r="G1102" t="s">
        <v>1854</v>
      </c>
      <c r="J1102" t="s">
        <v>783</v>
      </c>
      <c r="K1102" t="s">
        <v>1855</v>
      </c>
      <c r="L1102" t="s">
        <v>1856</v>
      </c>
      <c r="M1102" t="s">
        <v>12</v>
      </c>
      <c r="N1102" t="s">
        <v>770</v>
      </c>
      <c r="O1102">
        <v>1</v>
      </c>
      <c r="P1102" t="s">
        <v>776</v>
      </c>
      <c r="Q1102">
        <v>19.899999999999999</v>
      </c>
      <c r="R1102">
        <v>3.59</v>
      </c>
      <c r="Y1102" t="s">
        <v>2165</v>
      </c>
      <c r="Z1102" t="s">
        <v>2165</v>
      </c>
      <c r="AA1102">
        <v>55100</v>
      </c>
      <c r="AB1102" t="s">
        <v>11</v>
      </c>
    </row>
    <row r="1103" spans="1:35" x14ac:dyDescent="0.25">
      <c r="A1103" t="s">
        <v>5222</v>
      </c>
      <c r="B1103" t="s">
        <v>5222</v>
      </c>
      <c r="C1103" t="s">
        <v>5223</v>
      </c>
      <c r="D1103" t="s">
        <v>5224</v>
      </c>
      <c r="E1103" t="s">
        <v>770</v>
      </c>
      <c r="F1103" t="s">
        <v>771</v>
      </c>
      <c r="G1103" t="s">
        <v>1854</v>
      </c>
      <c r="J1103" t="s">
        <v>783</v>
      </c>
      <c r="K1103" t="s">
        <v>1862</v>
      </c>
      <c r="L1103" t="s">
        <v>1505</v>
      </c>
      <c r="M1103" t="s">
        <v>53</v>
      </c>
      <c r="N1103" t="s">
        <v>770</v>
      </c>
      <c r="O1103">
        <v>1</v>
      </c>
      <c r="P1103" t="s">
        <v>776</v>
      </c>
      <c r="Q1103">
        <v>32.9</v>
      </c>
      <c r="R1103">
        <v>5.93</v>
      </c>
      <c r="S1103">
        <v>1.64</v>
      </c>
      <c r="X1103">
        <v>1.64</v>
      </c>
      <c r="Y1103" t="s">
        <v>5225</v>
      </c>
      <c r="Z1103" t="s">
        <v>1913</v>
      </c>
      <c r="AA1103">
        <v>55</v>
      </c>
      <c r="AB1103" t="s">
        <v>11</v>
      </c>
    </row>
    <row r="1104" spans="1:35" x14ac:dyDescent="0.25">
      <c r="A1104" t="s">
        <v>5226</v>
      </c>
      <c r="C1104" t="s">
        <v>5227</v>
      </c>
      <c r="D1104" t="s">
        <v>5228</v>
      </c>
      <c r="E1104" t="s">
        <v>770</v>
      </c>
      <c r="F1104" t="s">
        <v>1884</v>
      </c>
      <c r="G1104" t="s">
        <v>1854</v>
      </c>
      <c r="H1104" t="s">
        <v>1885</v>
      </c>
      <c r="J1104" t="s">
        <v>773</v>
      </c>
      <c r="K1104" t="s">
        <v>1930</v>
      </c>
      <c r="L1104" t="s">
        <v>66</v>
      </c>
      <c r="M1104" t="s">
        <v>65</v>
      </c>
      <c r="N1104" t="s">
        <v>770</v>
      </c>
      <c r="O1104">
        <v>1</v>
      </c>
      <c r="P1104" t="s">
        <v>776</v>
      </c>
      <c r="Q1104">
        <v>29.9</v>
      </c>
      <c r="R1104">
        <v>5.39</v>
      </c>
      <c r="S1104">
        <v>3</v>
      </c>
      <c r="T1104">
        <v>0.54</v>
      </c>
      <c r="Y1104" t="s">
        <v>1956</v>
      </c>
      <c r="Z1104" t="s">
        <v>1913</v>
      </c>
      <c r="AA1104">
        <v>138</v>
      </c>
      <c r="AB1104" t="s">
        <v>11</v>
      </c>
    </row>
    <row r="1105" spans="1:35" x14ac:dyDescent="0.25">
      <c r="A1105" t="s">
        <v>5229</v>
      </c>
      <c r="B1105" t="s">
        <v>5229</v>
      </c>
      <c r="C1105" t="s">
        <v>5230</v>
      </c>
      <c r="D1105" t="s">
        <v>5231</v>
      </c>
      <c r="E1105" t="s">
        <v>770</v>
      </c>
      <c r="F1105" t="s">
        <v>771</v>
      </c>
      <c r="G1105" t="s">
        <v>1854</v>
      </c>
      <c r="J1105" t="s">
        <v>783</v>
      </c>
      <c r="K1105" t="s">
        <v>1862</v>
      </c>
      <c r="L1105" t="s">
        <v>1505</v>
      </c>
      <c r="M1105" t="s">
        <v>53</v>
      </c>
      <c r="N1105" t="s">
        <v>770</v>
      </c>
      <c r="O1105">
        <v>1</v>
      </c>
      <c r="P1105" t="s">
        <v>776</v>
      </c>
      <c r="Q1105">
        <v>32.9</v>
      </c>
      <c r="R1105">
        <v>5.93</v>
      </c>
      <c r="Y1105" t="s">
        <v>2420</v>
      </c>
      <c r="Z1105" t="s">
        <v>2025</v>
      </c>
      <c r="AA1105">
        <v>80131</v>
      </c>
      <c r="AB1105" t="s">
        <v>11</v>
      </c>
    </row>
    <row r="1106" spans="1:35" x14ac:dyDescent="0.25">
      <c r="A1106" t="s">
        <v>5232</v>
      </c>
      <c r="B1106" t="s">
        <v>5232</v>
      </c>
      <c r="C1106" t="s">
        <v>5233</v>
      </c>
      <c r="D1106" t="s">
        <v>5234</v>
      </c>
      <c r="E1106" t="s">
        <v>770</v>
      </c>
      <c r="F1106" t="s">
        <v>771</v>
      </c>
      <c r="G1106" t="s">
        <v>1854</v>
      </c>
      <c r="J1106" t="s">
        <v>783</v>
      </c>
      <c r="K1106" t="s">
        <v>1862</v>
      </c>
      <c r="L1106" t="s">
        <v>1505</v>
      </c>
      <c r="M1106" t="s">
        <v>53</v>
      </c>
      <c r="N1106" t="s">
        <v>770</v>
      </c>
      <c r="O1106">
        <v>1</v>
      </c>
      <c r="P1106" t="s">
        <v>776</v>
      </c>
      <c r="Q1106">
        <v>32.9</v>
      </c>
      <c r="R1106">
        <v>5.93</v>
      </c>
      <c r="Y1106" t="s">
        <v>5235</v>
      </c>
      <c r="Z1106" t="s">
        <v>3861</v>
      </c>
      <c r="AA1106">
        <v>58036</v>
      </c>
      <c r="AB1106" t="s">
        <v>11</v>
      </c>
    </row>
    <row r="1107" spans="1:35" x14ac:dyDescent="0.25">
      <c r="A1107" t="s">
        <v>5236</v>
      </c>
      <c r="C1107" t="s">
        <v>5237</v>
      </c>
      <c r="D1107" t="s">
        <v>5238</v>
      </c>
      <c r="E1107" t="s">
        <v>770</v>
      </c>
      <c r="F1107" t="s">
        <v>1884</v>
      </c>
      <c r="G1107" t="s">
        <v>1854</v>
      </c>
      <c r="H1107" t="s">
        <v>1885</v>
      </c>
      <c r="J1107" t="s">
        <v>773</v>
      </c>
      <c r="K1107" t="s">
        <v>2252</v>
      </c>
      <c r="L1107" t="s">
        <v>74</v>
      </c>
      <c r="M1107" t="s">
        <v>73</v>
      </c>
      <c r="N1107" t="s">
        <v>770</v>
      </c>
      <c r="O1107">
        <v>1</v>
      </c>
      <c r="P1107" t="s">
        <v>776</v>
      </c>
      <c r="Q1107">
        <v>14.9</v>
      </c>
      <c r="R1107">
        <v>2.69</v>
      </c>
      <c r="S1107">
        <v>3</v>
      </c>
      <c r="T1107">
        <v>0.54</v>
      </c>
      <c r="Y1107" t="s">
        <v>3220</v>
      </c>
      <c r="Z1107" t="s">
        <v>1908</v>
      </c>
      <c r="AA1107">
        <v>80027</v>
      </c>
      <c r="AB1107" t="s">
        <v>11</v>
      </c>
    </row>
    <row r="1108" spans="1:35" x14ac:dyDescent="0.25">
      <c r="A1108" t="s">
        <v>5239</v>
      </c>
      <c r="B1108" t="s">
        <v>5239</v>
      </c>
      <c r="C1108" t="s">
        <v>5240</v>
      </c>
      <c r="D1108" t="s">
        <v>5241</v>
      </c>
      <c r="E1108" t="s">
        <v>770</v>
      </c>
      <c r="F1108" t="s">
        <v>771</v>
      </c>
      <c r="G1108" t="s">
        <v>1854</v>
      </c>
      <c r="J1108" t="s">
        <v>783</v>
      </c>
      <c r="K1108" t="s">
        <v>1855</v>
      </c>
      <c r="L1108" t="s">
        <v>1856</v>
      </c>
      <c r="M1108" t="s">
        <v>12</v>
      </c>
      <c r="N1108" t="s">
        <v>770</v>
      </c>
      <c r="O1108">
        <v>1</v>
      </c>
      <c r="P1108" t="s">
        <v>776</v>
      </c>
      <c r="Q1108">
        <v>19.899999999999999</v>
      </c>
      <c r="R1108">
        <v>3.59</v>
      </c>
      <c r="Y1108" t="s">
        <v>5242</v>
      </c>
      <c r="Z1108" t="s">
        <v>1997</v>
      </c>
      <c r="AA1108">
        <v>50063</v>
      </c>
      <c r="AB1108" t="s">
        <v>11</v>
      </c>
    </row>
    <row r="1109" spans="1:35" x14ac:dyDescent="0.25">
      <c r="A1109" t="s">
        <v>5243</v>
      </c>
      <c r="C1109" t="s">
        <v>5244</v>
      </c>
      <c r="D1109" t="s">
        <v>5245</v>
      </c>
      <c r="E1109" t="s">
        <v>770</v>
      </c>
      <c r="F1109" t="s">
        <v>1884</v>
      </c>
      <c r="G1109" t="s">
        <v>1854</v>
      </c>
      <c r="H1109" t="s">
        <v>1885</v>
      </c>
      <c r="J1109" t="s">
        <v>773</v>
      </c>
      <c r="K1109" t="s">
        <v>2913</v>
      </c>
      <c r="L1109" t="s">
        <v>99</v>
      </c>
      <c r="M1109" t="s">
        <v>98</v>
      </c>
      <c r="N1109" t="s">
        <v>770</v>
      </c>
      <c r="O1109">
        <v>1</v>
      </c>
      <c r="P1109" t="s">
        <v>776</v>
      </c>
      <c r="Q1109">
        <v>29.9</v>
      </c>
      <c r="R1109">
        <v>5.39</v>
      </c>
      <c r="S1109">
        <v>3</v>
      </c>
      <c r="T1109">
        <v>0.54</v>
      </c>
      <c r="Y1109" t="s">
        <v>5246</v>
      </c>
      <c r="Z1109" t="s">
        <v>5247</v>
      </c>
      <c r="AA1109">
        <v>46029</v>
      </c>
      <c r="AB1109" t="s">
        <v>11</v>
      </c>
    </row>
    <row r="1110" spans="1:35" x14ac:dyDescent="0.25">
      <c r="A1110" t="s">
        <v>5248</v>
      </c>
      <c r="C1110" t="s">
        <v>5249</v>
      </c>
      <c r="D1110" t="s">
        <v>5250</v>
      </c>
      <c r="E1110" t="s">
        <v>770</v>
      </c>
      <c r="F1110" t="s">
        <v>1884</v>
      </c>
      <c r="G1110" t="s">
        <v>1854</v>
      </c>
      <c r="H1110" t="s">
        <v>1885</v>
      </c>
      <c r="J1110" t="s">
        <v>773</v>
      </c>
      <c r="K1110" t="s">
        <v>2913</v>
      </c>
      <c r="L1110" t="s">
        <v>99</v>
      </c>
      <c r="M1110" t="s">
        <v>98</v>
      </c>
      <c r="N1110" t="s">
        <v>770</v>
      </c>
      <c r="O1110">
        <v>1</v>
      </c>
      <c r="P1110" t="s">
        <v>776</v>
      </c>
      <c r="Q1110">
        <v>29.9</v>
      </c>
      <c r="R1110">
        <v>5.39</v>
      </c>
      <c r="S1110">
        <v>3</v>
      </c>
      <c r="T1110">
        <v>0.54</v>
      </c>
      <c r="Y1110" t="s">
        <v>5251</v>
      </c>
      <c r="Z1110" t="s">
        <v>4172</v>
      </c>
      <c r="AA1110">
        <v>43012</v>
      </c>
      <c r="AB1110" t="s">
        <v>11</v>
      </c>
    </row>
    <row r="1111" spans="1:35" x14ac:dyDescent="0.25">
      <c r="A1111" t="s">
        <v>5252</v>
      </c>
      <c r="B1111" t="s">
        <v>5252</v>
      </c>
      <c r="C1111" t="s">
        <v>5253</v>
      </c>
      <c r="D1111" t="s">
        <v>5254</v>
      </c>
      <c r="E1111" t="s">
        <v>782</v>
      </c>
      <c r="F1111" t="s">
        <v>771</v>
      </c>
      <c r="G1111" t="s">
        <v>1854</v>
      </c>
      <c r="J1111" t="s">
        <v>783</v>
      </c>
      <c r="K1111" t="s">
        <v>1879</v>
      </c>
      <c r="L1111" t="s">
        <v>1056</v>
      </c>
      <c r="M1111" t="s">
        <v>212</v>
      </c>
      <c r="N1111" t="s">
        <v>782</v>
      </c>
      <c r="O1111">
        <v>0</v>
      </c>
      <c r="Y1111" t="s">
        <v>5255</v>
      </c>
      <c r="Z1111" t="s">
        <v>2523</v>
      </c>
      <c r="AA1111">
        <v>87046</v>
      </c>
      <c r="AB1111" t="s">
        <v>11</v>
      </c>
    </row>
    <row r="1112" spans="1:35" x14ac:dyDescent="0.25">
      <c r="A1112" t="s">
        <v>5256</v>
      </c>
      <c r="B1112" t="s">
        <v>5256</v>
      </c>
      <c r="C1112" t="s">
        <v>5257</v>
      </c>
      <c r="D1112" t="s">
        <v>5258</v>
      </c>
      <c r="E1112" t="s">
        <v>770</v>
      </c>
      <c r="F1112" t="s">
        <v>771</v>
      </c>
      <c r="G1112" t="s">
        <v>1854</v>
      </c>
      <c r="J1112" t="s">
        <v>783</v>
      </c>
      <c r="K1112" t="s">
        <v>1855</v>
      </c>
      <c r="L1112" t="s">
        <v>1856</v>
      </c>
      <c r="M1112" t="s">
        <v>12</v>
      </c>
      <c r="N1112" t="s">
        <v>770</v>
      </c>
      <c r="O1112">
        <v>1</v>
      </c>
      <c r="P1112" t="s">
        <v>776</v>
      </c>
      <c r="Q1112">
        <v>19.899999999999999</v>
      </c>
      <c r="R1112">
        <v>3.59</v>
      </c>
      <c r="Y1112" t="s">
        <v>2153</v>
      </c>
      <c r="Z1112" t="s">
        <v>2153</v>
      </c>
      <c r="AA1112">
        <v>84134</v>
      </c>
      <c r="AB1112" t="s">
        <v>11</v>
      </c>
    </row>
    <row r="1113" spans="1:35" x14ac:dyDescent="0.25">
      <c r="A1113" t="s">
        <v>5259</v>
      </c>
      <c r="C1113" t="s">
        <v>5260</v>
      </c>
      <c r="D1113" t="s">
        <v>5261</v>
      </c>
      <c r="E1113" t="s">
        <v>770</v>
      </c>
      <c r="F1113" t="s">
        <v>1884</v>
      </c>
      <c r="G1113" t="s">
        <v>1854</v>
      </c>
      <c r="H1113" t="s">
        <v>1885</v>
      </c>
      <c r="J1113" t="s">
        <v>773</v>
      </c>
      <c r="K1113" t="s">
        <v>3363</v>
      </c>
      <c r="L1113" s="2">
        <v>40490</v>
      </c>
      <c r="M1113" t="s">
        <v>71</v>
      </c>
      <c r="N1113" t="s">
        <v>770</v>
      </c>
      <c r="O1113">
        <v>2</v>
      </c>
      <c r="P1113" t="s">
        <v>776</v>
      </c>
      <c r="Q1113">
        <v>59.8</v>
      </c>
      <c r="R1113">
        <v>10.78</v>
      </c>
      <c r="S1113">
        <v>6</v>
      </c>
      <c r="T1113">
        <v>1.08</v>
      </c>
      <c r="Y1113" t="s">
        <v>5262</v>
      </c>
      <c r="Z1113" t="s">
        <v>2281</v>
      </c>
      <c r="AA1113">
        <v>73040</v>
      </c>
      <c r="AB1113" t="s">
        <v>11</v>
      </c>
    </row>
    <row r="1114" spans="1:35" x14ac:dyDescent="0.25">
      <c r="A1114" t="s">
        <v>5263</v>
      </c>
      <c r="B1114" t="s">
        <v>5263</v>
      </c>
      <c r="C1114" t="s">
        <v>5264</v>
      </c>
      <c r="D1114" t="s">
        <v>5265</v>
      </c>
      <c r="E1114" t="s">
        <v>770</v>
      </c>
      <c r="F1114" t="s">
        <v>771</v>
      </c>
      <c r="G1114" t="s">
        <v>1854</v>
      </c>
      <c r="J1114" t="s">
        <v>783</v>
      </c>
      <c r="K1114" t="s">
        <v>1855</v>
      </c>
      <c r="L1114" t="s">
        <v>1856</v>
      </c>
      <c r="M1114" t="s">
        <v>12</v>
      </c>
      <c r="N1114" t="s">
        <v>770</v>
      </c>
      <c r="O1114">
        <v>1</v>
      </c>
      <c r="P1114" t="s">
        <v>776</v>
      </c>
      <c r="Q1114">
        <v>19.899999999999999</v>
      </c>
      <c r="R1114">
        <v>3.59</v>
      </c>
      <c r="Y1114" t="s">
        <v>1965</v>
      </c>
      <c r="Z1114" t="s">
        <v>3126</v>
      </c>
      <c r="AA1114">
        <v>20900</v>
      </c>
      <c r="AB1114" t="s">
        <v>11</v>
      </c>
    </row>
    <row r="1115" spans="1:35" x14ac:dyDescent="0.25">
      <c r="A1115" t="s">
        <v>5266</v>
      </c>
      <c r="B1115" t="s">
        <v>5266</v>
      </c>
      <c r="C1115" t="s">
        <v>5267</v>
      </c>
      <c r="D1115" t="s">
        <v>5268</v>
      </c>
      <c r="E1115" t="s">
        <v>770</v>
      </c>
      <c r="F1115" t="s">
        <v>771</v>
      </c>
      <c r="G1115" t="s">
        <v>1854</v>
      </c>
      <c r="J1115" t="s">
        <v>783</v>
      </c>
      <c r="K1115" t="s">
        <v>1873</v>
      </c>
      <c r="L1115" t="s">
        <v>840</v>
      </c>
      <c r="M1115" t="s">
        <v>26</v>
      </c>
      <c r="N1115" t="s">
        <v>770</v>
      </c>
      <c r="O1115">
        <v>1</v>
      </c>
      <c r="P1115" t="s">
        <v>776</v>
      </c>
      <c r="Q1115">
        <v>34.9</v>
      </c>
      <c r="R1115">
        <v>6.29</v>
      </c>
      <c r="S1115">
        <v>4.99</v>
      </c>
      <c r="T1115">
        <v>0.9</v>
      </c>
      <c r="Y1115" t="s">
        <v>5269</v>
      </c>
      <c r="Z1115" t="s">
        <v>2720</v>
      </c>
      <c r="AA1115">
        <v>27040</v>
      </c>
      <c r="AB1115" t="s">
        <v>11</v>
      </c>
    </row>
    <row r="1116" spans="1:35" x14ac:dyDescent="0.25">
      <c r="A1116" t="s">
        <v>5270</v>
      </c>
      <c r="B1116" t="s">
        <v>5270</v>
      </c>
      <c r="C1116" t="s">
        <v>5271</v>
      </c>
      <c r="D1116" t="s">
        <v>5272</v>
      </c>
      <c r="E1116" t="s">
        <v>770</v>
      </c>
      <c r="F1116" t="s">
        <v>771</v>
      </c>
      <c r="G1116" t="s">
        <v>1854</v>
      </c>
      <c r="J1116" t="s">
        <v>783</v>
      </c>
      <c r="K1116" t="s">
        <v>1855</v>
      </c>
      <c r="L1116" t="s">
        <v>1856</v>
      </c>
      <c r="M1116" t="s">
        <v>12</v>
      </c>
      <c r="N1116" t="s">
        <v>770</v>
      </c>
      <c r="O1116">
        <v>1</v>
      </c>
      <c r="P1116" t="s">
        <v>776</v>
      </c>
      <c r="Q1116">
        <v>19.899999999999999</v>
      </c>
      <c r="R1116">
        <v>3.59</v>
      </c>
      <c r="S1116">
        <v>0.52</v>
      </c>
      <c r="X1116">
        <v>0.52</v>
      </c>
      <c r="Y1116" t="s">
        <v>5273</v>
      </c>
      <c r="Z1116" t="s">
        <v>2523</v>
      </c>
      <c r="AA1116">
        <v>87027</v>
      </c>
      <c r="AB1116" t="s">
        <v>11</v>
      </c>
    </row>
    <row r="1117" spans="1:35" x14ac:dyDescent="0.25">
      <c r="A1117" t="s">
        <v>5274</v>
      </c>
      <c r="C1117" t="s">
        <v>5275</v>
      </c>
      <c r="D1117" t="s">
        <v>5276</v>
      </c>
      <c r="E1117" t="s">
        <v>770</v>
      </c>
      <c r="F1117" t="s">
        <v>1884</v>
      </c>
      <c r="G1117" t="s">
        <v>1854</v>
      </c>
      <c r="H1117" t="s">
        <v>1885</v>
      </c>
      <c r="J1117" t="s">
        <v>773</v>
      </c>
      <c r="K1117" t="s">
        <v>1930</v>
      </c>
      <c r="L1117" t="s">
        <v>66</v>
      </c>
      <c r="M1117" t="s">
        <v>65</v>
      </c>
      <c r="N1117" t="s">
        <v>770</v>
      </c>
      <c r="O1117">
        <v>1</v>
      </c>
      <c r="P1117" t="s">
        <v>776</v>
      </c>
      <c r="Q1117">
        <v>29.9</v>
      </c>
      <c r="R1117">
        <v>5.39</v>
      </c>
      <c r="S1117">
        <v>3</v>
      </c>
      <c r="T1117">
        <v>0.54</v>
      </c>
      <c r="Y1117" t="s">
        <v>5277</v>
      </c>
      <c r="Z1117" t="s">
        <v>2602</v>
      </c>
      <c r="AA1117">
        <v>16018</v>
      </c>
      <c r="AB1117" t="s">
        <v>11</v>
      </c>
      <c r="AG1117" t="s">
        <v>5278</v>
      </c>
      <c r="AH1117" t="s">
        <v>11</v>
      </c>
      <c r="AI1117" t="s">
        <v>2459</v>
      </c>
    </row>
    <row r="1118" spans="1:35" x14ac:dyDescent="0.25">
      <c r="A1118" t="s">
        <v>5279</v>
      </c>
      <c r="B1118" t="s">
        <v>5279</v>
      </c>
      <c r="C1118" t="s">
        <v>5280</v>
      </c>
      <c r="D1118" t="s">
        <v>5281</v>
      </c>
      <c r="E1118" t="s">
        <v>770</v>
      </c>
      <c r="F1118" t="s">
        <v>771</v>
      </c>
      <c r="G1118" t="s">
        <v>1854</v>
      </c>
      <c r="J1118" t="s">
        <v>783</v>
      </c>
      <c r="K1118" t="s">
        <v>2390</v>
      </c>
      <c r="L1118" t="s">
        <v>1094</v>
      </c>
      <c r="M1118" t="s">
        <v>208</v>
      </c>
      <c r="N1118" t="s">
        <v>770</v>
      </c>
      <c r="O1118">
        <v>1</v>
      </c>
      <c r="P1118" t="s">
        <v>776</v>
      </c>
      <c r="Q1118">
        <v>79.900000000000006</v>
      </c>
      <c r="R1118">
        <v>14.41</v>
      </c>
      <c r="Y1118" t="s">
        <v>5282</v>
      </c>
      <c r="Z1118" t="s">
        <v>1926</v>
      </c>
      <c r="AA1118">
        <v>54</v>
      </c>
      <c r="AB1118" t="s">
        <v>11</v>
      </c>
    </row>
    <row r="1119" spans="1:35" x14ac:dyDescent="0.25">
      <c r="A1119" t="s">
        <v>5283</v>
      </c>
      <c r="B1119" t="s">
        <v>5283</v>
      </c>
      <c r="C1119" t="s">
        <v>5284</v>
      </c>
      <c r="D1119" t="s">
        <v>5285</v>
      </c>
      <c r="E1119" t="s">
        <v>782</v>
      </c>
      <c r="F1119" t="s">
        <v>771</v>
      </c>
      <c r="G1119" t="s">
        <v>1854</v>
      </c>
      <c r="J1119" t="s">
        <v>783</v>
      </c>
      <c r="K1119" t="s">
        <v>1855</v>
      </c>
      <c r="L1119" t="s">
        <v>1856</v>
      </c>
      <c r="M1119" t="s">
        <v>12</v>
      </c>
      <c r="N1119" t="s">
        <v>782</v>
      </c>
      <c r="O1119">
        <v>0</v>
      </c>
      <c r="Y1119" t="s">
        <v>1913</v>
      </c>
      <c r="Z1119" t="s">
        <v>2548</v>
      </c>
      <c r="AA1119">
        <v>146</v>
      </c>
      <c r="AB1119" t="s">
        <v>11</v>
      </c>
    </row>
    <row r="1120" spans="1:35" x14ac:dyDescent="0.25">
      <c r="A1120" t="s">
        <v>5286</v>
      </c>
      <c r="B1120" t="s">
        <v>5286</v>
      </c>
      <c r="C1120" t="s">
        <v>5287</v>
      </c>
      <c r="D1120" t="s">
        <v>5288</v>
      </c>
      <c r="E1120" t="s">
        <v>770</v>
      </c>
      <c r="F1120" t="s">
        <v>771</v>
      </c>
      <c r="G1120" t="s">
        <v>1854</v>
      </c>
      <c r="J1120" t="s">
        <v>783</v>
      </c>
      <c r="K1120" t="s">
        <v>1862</v>
      </c>
      <c r="L1120" t="s">
        <v>1505</v>
      </c>
      <c r="M1120" t="s">
        <v>53</v>
      </c>
      <c r="N1120" t="s">
        <v>770</v>
      </c>
      <c r="O1120">
        <v>1</v>
      </c>
      <c r="P1120" t="s">
        <v>776</v>
      </c>
      <c r="Q1120">
        <v>32.9</v>
      </c>
      <c r="R1120">
        <v>5.93</v>
      </c>
      <c r="Y1120" t="s">
        <v>2597</v>
      </c>
      <c r="Z1120" t="s">
        <v>2597</v>
      </c>
      <c r="AA1120">
        <v>70123</v>
      </c>
      <c r="AB1120" t="s">
        <v>11</v>
      </c>
    </row>
    <row r="1121" spans="1:35" x14ac:dyDescent="0.25">
      <c r="A1121" t="s">
        <v>5289</v>
      </c>
      <c r="B1121" t="s">
        <v>5289</v>
      </c>
      <c r="C1121" t="s">
        <v>5290</v>
      </c>
      <c r="D1121" t="s">
        <v>5291</v>
      </c>
      <c r="E1121" t="s">
        <v>770</v>
      </c>
      <c r="F1121" t="s">
        <v>771</v>
      </c>
      <c r="G1121" t="s">
        <v>1854</v>
      </c>
      <c r="J1121" t="s">
        <v>783</v>
      </c>
      <c r="K1121" t="s">
        <v>2652</v>
      </c>
      <c r="L1121" t="s">
        <v>1831</v>
      </c>
      <c r="M1121" t="s">
        <v>51</v>
      </c>
      <c r="N1121" t="s">
        <v>770</v>
      </c>
      <c r="O1121">
        <v>1</v>
      </c>
      <c r="P1121" t="s">
        <v>776</v>
      </c>
      <c r="Q1121">
        <v>24.9</v>
      </c>
      <c r="R1121">
        <v>4.49</v>
      </c>
      <c r="S1121">
        <v>4.99</v>
      </c>
      <c r="T1121">
        <v>0.9</v>
      </c>
      <c r="Y1121" t="s">
        <v>3185</v>
      </c>
      <c r="Z1121" t="s">
        <v>4457</v>
      </c>
      <c r="AA1121">
        <v>33170</v>
      </c>
      <c r="AB1121" t="s">
        <v>11</v>
      </c>
    </row>
    <row r="1122" spans="1:35" x14ac:dyDescent="0.25">
      <c r="A1122" t="s">
        <v>5292</v>
      </c>
      <c r="B1122" t="s">
        <v>5292</v>
      </c>
      <c r="C1122" t="s">
        <v>5293</v>
      </c>
      <c r="D1122" t="s">
        <v>5294</v>
      </c>
      <c r="E1122" t="s">
        <v>770</v>
      </c>
      <c r="F1122" t="s">
        <v>771</v>
      </c>
      <c r="G1122" t="s">
        <v>1854</v>
      </c>
      <c r="J1122" t="s">
        <v>783</v>
      </c>
      <c r="K1122" t="s">
        <v>1930</v>
      </c>
      <c r="L1122" t="s">
        <v>5295</v>
      </c>
      <c r="M1122" t="s">
        <v>65</v>
      </c>
      <c r="N1122" t="s">
        <v>770</v>
      </c>
      <c r="O1122">
        <v>1</v>
      </c>
      <c r="P1122" t="s">
        <v>776</v>
      </c>
      <c r="Q1122">
        <v>26.31</v>
      </c>
      <c r="R1122">
        <v>4.74</v>
      </c>
      <c r="Y1122" t="s">
        <v>5296</v>
      </c>
      <c r="Z1122" t="s">
        <v>3649</v>
      </c>
      <c r="AA1122">
        <v>9134</v>
      </c>
      <c r="AB1122" t="s">
        <v>11</v>
      </c>
    </row>
    <row r="1123" spans="1:35" x14ac:dyDescent="0.25">
      <c r="A1123" t="s">
        <v>5297</v>
      </c>
      <c r="B1123" t="s">
        <v>5297</v>
      </c>
      <c r="C1123" t="s">
        <v>5298</v>
      </c>
      <c r="D1123" t="s">
        <v>5182</v>
      </c>
      <c r="E1123" t="s">
        <v>770</v>
      </c>
      <c r="F1123" t="s">
        <v>771</v>
      </c>
      <c r="G1123" t="s">
        <v>1854</v>
      </c>
      <c r="J1123" t="s">
        <v>783</v>
      </c>
      <c r="K1123" t="s">
        <v>1855</v>
      </c>
      <c r="L1123" t="s">
        <v>1856</v>
      </c>
      <c r="M1123" t="s">
        <v>12</v>
      </c>
      <c r="N1123" t="s">
        <v>770</v>
      </c>
      <c r="O1123">
        <v>1</v>
      </c>
      <c r="P1123" t="s">
        <v>776</v>
      </c>
      <c r="Q1123">
        <v>19.899999999999999</v>
      </c>
      <c r="R1123">
        <v>3.59</v>
      </c>
      <c r="Y1123" t="s">
        <v>5299</v>
      </c>
      <c r="Z1123" t="s">
        <v>2197</v>
      </c>
      <c r="AA1123">
        <v>84087</v>
      </c>
      <c r="AB1123" t="s">
        <v>11</v>
      </c>
    </row>
    <row r="1124" spans="1:35" x14ac:dyDescent="0.25">
      <c r="A1124" t="s">
        <v>5300</v>
      </c>
      <c r="C1124" t="s">
        <v>5301</v>
      </c>
      <c r="D1124" t="s">
        <v>5302</v>
      </c>
      <c r="E1124" t="s">
        <v>770</v>
      </c>
      <c r="F1124" t="s">
        <v>1884</v>
      </c>
      <c r="G1124" t="s">
        <v>1854</v>
      </c>
      <c r="H1124" t="s">
        <v>1885</v>
      </c>
      <c r="J1124" t="s">
        <v>773</v>
      </c>
      <c r="K1124" t="s">
        <v>3042</v>
      </c>
      <c r="L1124" s="2">
        <v>90825</v>
      </c>
      <c r="M1124" t="s">
        <v>320</v>
      </c>
      <c r="N1124" t="s">
        <v>770</v>
      </c>
      <c r="O1124">
        <v>1</v>
      </c>
      <c r="P1124" t="s">
        <v>776</v>
      </c>
      <c r="Q1124">
        <v>46.9</v>
      </c>
      <c r="R1124">
        <v>8.4600000000000009</v>
      </c>
      <c r="S1124">
        <v>3</v>
      </c>
      <c r="T1124">
        <v>0.54</v>
      </c>
      <c r="Y1124" t="s">
        <v>5303</v>
      </c>
      <c r="Z1124" t="s">
        <v>5304</v>
      </c>
      <c r="AA1124">
        <v>45019</v>
      </c>
      <c r="AB1124" t="s">
        <v>11</v>
      </c>
      <c r="AG1124" t="s">
        <v>5305</v>
      </c>
      <c r="AH1124" t="s">
        <v>11</v>
      </c>
      <c r="AI1124" t="s">
        <v>1258</v>
      </c>
    </row>
    <row r="1125" spans="1:35" x14ac:dyDescent="0.25">
      <c r="A1125" t="s">
        <v>5306</v>
      </c>
      <c r="C1125" t="s">
        <v>5307</v>
      </c>
      <c r="D1125" t="s">
        <v>5308</v>
      </c>
      <c r="E1125" t="s">
        <v>770</v>
      </c>
      <c r="F1125" t="s">
        <v>1884</v>
      </c>
      <c r="G1125" t="s">
        <v>1854</v>
      </c>
      <c r="H1125" t="s">
        <v>1885</v>
      </c>
      <c r="J1125" t="s">
        <v>773</v>
      </c>
      <c r="K1125" t="s">
        <v>3363</v>
      </c>
      <c r="L1125" s="2">
        <v>40490</v>
      </c>
      <c r="M1125" t="s">
        <v>71</v>
      </c>
      <c r="N1125" t="s">
        <v>770</v>
      </c>
      <c r="O1125">
        <v>1</v>
      </c>
      <c r="P1125" t="s">
        <v>776</v>
      </c>
      <c r="Q1125">
        <v>29.9</v>
      </c>
      <c r="R1125">
        <v>5.39</v>
      </c>
      <c r="S1125">
        <v>3</v>
      </c>
      <c r="T1125">
        <v>0.54</v>
      </c>
      <c r="Y1125" t="s">
        <v>5309</v>
      </c>
      <c r="Z1125" t="s">
        <v>5310</v>
      </c>
      <c r="AA1125">
        <v>82038</v>
      </c>
      <c r="AB1125" t="s">
        <v>11</v>
      </c>
    </row>
    <row r="1126" spans="1:35" x14ac:dyDescent="0.25">
      <c r="A1126" t="s">
        <v>5311</v>
      </c>
      <c r="C1126" t="s">
        <v>5312</v>
      </c>
      <c r="D1126" t="s">
        <v>5313</v>
      </c>
      <c r="E1126" t="s">
        <v>770</v>
      </c>
      <c r="F1126" t="s">
        <v>1884</v>
      </c>
      <c r="G1126" t="s">
        <v>1854</v>
      </c>
      <c r="H1126" t="s">
        <v>1885</v>
      </c>
      <c r="J1126" t="s">
        <v>773</v>
      </c>
      <c r="K1126" t="s">
        <v>2252</v>
      </c>
      <c r="L1126" t="s">
        <v>74</v>
      </c>
      <c r="M1126" t="s">
        <v>73</v>
      </c>
      <c r="N1126" t="s">
        <v>770</v>
      </c>
      <c r="O1126">
        <v>1</v>
      </c>
      <c r="P1126" t="s">
        <v>776</v>
      </c>
      <c r="Q1126">
        <v>14.9</v>
      </c>
      <c r="R1126">
        <v>2.69</v>
      </c>
      <c r="S1126">
        <v>3</v>
      </c>
      <c r="T1126">
        <v>0.54</v>
      </c>
      <c r="Y1126" t="s">
        <v>5314</v>
      </c>
      <c r="Z1126" t="s">
        <v>3126</v>
      </c>
      <c r="AA1126">
        <v>20900</v>
      </c>
      <c r="AB1126" t="s">
        <v>11</v>
      </c>
    </row>
    <row r="1127" spans="1:35" x14ac:dyDescent="0.25">
      <c r="A1127" t="s">
        <v>5315</v>
      </c>
      <c r="B1127" t="s">
        <v>5315</v>
      </c>
      <c r="C1127" t="s">
        <v>5316</v>
      </c>
      <c r="D1127" t="s">
        <v>5317</v>
      </c>
      <c r="E1127" t="s">
        <v>770</v>
      </c>
      <c r="F1127" t="s">
        <v>771</v>
      </c>
      <c r="G1127" t="s">
        <v>1854</v>
      </c>
      <c r="J1127" t="s">
        <v>783</v>
      </c>
      <c r="K1127" t="s">
        <v>1855</v>
      </c>
      <c r="L1127" t="s">
        <v>1856</v>
      </c>
      <c r="M1127" t="s">
        <v>12</v>
      </c>
      <c r="N1127" t="s">
        <v>770</v>
      </c>
      <c r="O1127">
        <v>1</v>
      </c>
      <c r="P1127" t="s">
        <v>776</v>
      </c>
      <c r="Q1127">
        <v>19.899999999999999</v>
      </c>
      <c r="R1127">
        <v>3.59</v>
      </c>
      <c r="Y1127" t="s">
        <v>1997</v>
      </c>
      <c r="Z1127" t="s">
        <v>1997</v>
      </c>
      <c r="AA1127">
        <v>50126</v>
      </c>
      <c r="AB1127" t="s">
        <v>11</v>
      </c>
    </row>
    <row r="1128" spans="1:35" x14ac:dyDescent="0.25">
      <c r="A1128" t="s">
        <v>5318</v>
      </c>
      <c r="B1128" t="s">
        <v>5318</v>
      </c>
      <c r="C1128" t="s">
        <v>5319</v>
      </c>
      <c r="D1128" t="s">
        <v>5320</v>
      </c>
      <c r="E1128" t="s">
        <v>770</v>
      </c>
      <c r="F1128" t="s">
        <v>771</v>
      </c>
      <c r="G1128" t="s">
        <v>1854</v>
      </c>
      <c r="J1128" t="s">
        <v>783</v>
      </c>
      <c r="K1128" t="s">
        <v>1855</v>
      </c>
      <c r="L1128" t="s">
        <v>1856</v>
      </c>
      <c r="M1128" t="s">
        <v>12</v>
      </c>
      <c r="N1128" t="s">
        <v>770</v>
      </c>
      <c r="O1128">
        <v>1</v>
      </c>
      <c r="P1128" t="s">
        <v>776</v>
      </c>
      <c r="Q1128">
        <v>19.899999999999999</v>
      </c>
      <c r="R1128">
        <v>3.59</v>
      </c>
      <c r="S1128">
        <v>4.99</v>
      </c>
      <c r="T1128">
        <v>0.9</v>
      </c>
      <c r="Y1128" t="s">
        <v>5321</v>
      </c>
      <c r="Z1128" t="s">
        <v>3080</v>
      </c>
      <c r="AA1128">
        <v>30175</v>
      </c>
      <c r="AB1128" t="s">
        <v>11</v>
      </c>
    </row>
    <row r="1129" spans="1:35" x14ac:dyDescent="0.25">
      <c r="A1129" t="s">
        <v>5322</v>
      </c>
      <c r="B1129" t="s">
        <v>5322</v>
      </c>
      <c r="C1129" t="s">
        <v>5323</v>
      </c>
      <c r="D1129" t="s">
        <v>5324</v>
      </c>
      <c r="E1129" t="s">
        <v>770</v>
      </c>
      <c r="F1129" t="s">
        <v>771</v>
      </c>
      <c r="G1129" t="s">
        <v>1854</v>
      </c>
      <c r="J1129" t="s">
        <v>783</v>
      </c>
      <c r="K1129" t="s">
        <v>2055</v>
      </c>
      <c r="L1129" t="s">
        <v>806</v>
      </c>
      <c r="M1129" t="s">
        <v>202</v>
      </c>
      <c r="N1129" t="s">
        <v>770</v>
      </c>
      <c r="O1129">
        <v>1</v>
      </c>
      <c r="P1129" t="s">
        <v>776</v>
      </c>
      <c r="Q1129">
        <v>14.9</v>
      </c>
      <c r="R1129">
        <v>2.69</v>
      </c>
      <c r="Y1129" t="s">
        <v>5325</v>
      </c>
      <c r="Z1129" t="s">
        <v>1898</v>
      </c>
      <c r="AA1129">
        <v>46010</v>
      </c>
      <c r="AB1129" t="s">
        <v>11</v>
      </c>
    </row>
    <row r="1130" spans="1:35" x14ac:dyDescent="0.25">
      <c r="A1130" t="s">
        <v>5326</v>
      </c>
      <c r="B1130" t="s">
        <v>5326</v>
      </c>
      <c r="C1130" t="s">
        <v>5327</v>
      </c>
      <c r="D1130" t="s">
        <v>5328</v>
      </c>
      <c r="E1130" t="s">
        <v>770</v>
      </c>
      <c r="F1130" t="s">
        <v>771</v>
      </c>
      <c r="G1130" t="s">
        <v>1854</v>
      </c>
      <c r="J1130" t="s">
        <v>783</v>
      </c>
      <c r="K1130" t="s">
        <v>1862</v>
      </c>
      <c r="L1130" t="s">
        <v>1505</v>
      </c>
      <c r="M1130" t="s">
        <v>53</v>
      </c>
      <c r="N1130" t="s">
        <v>770</v>
      </c>
      <c r="O1130">
        <v>1</v>
      </c>
      <c r="P1130" t="s">
        <v>776</v>
      </c>
      <c r="Q1130">
        <v>32.9</v>
      </c>
      <c r="R1130">
        <v>5.93</v>
      </c>
      <c r="Y1130" t="s">
        <v>5329</v>
      </c>
      <c r="Z1130" t="s">
        <v>2286</v>
      </c>
      <c r="AA1130">
        <v>56020</v>
      </c>
      <c r="AB1130" t="s">
        <v>11</v>
      </c>
    </row>
    <row r="1131" spans="1:35" x14ac:dyDescent="0.25">
      <c r="A1131" t="s">
        <v>5330</v>
      </c>
      <c r="B1131" t="s">
        <v>5330</v>
      </c>
      <c r="C1131" t="s">
        <v>5331</v>
      </c>
      <c r="D1131" t="s">
        <v>5332</v>
      </c>
      <c r="E1131" t="s">
        <v>770</v>
      </c>
      <c r="F1131" t="s">
        <v>771</v>
      </c>
      <c r="G1131" t="s">
        <v>1854</v>
      </c>
      <c r="J1131" t="s">
        <v>783</v>
      </c>
      <c r="K1131" t="s">
        <v>1862</v>
      </c>
      <c r="L1131" t="s">
        <v>1505</v>
      </c>
      <c r="M1131" t="s">
        <v>53</v>
      </c>
      <c r="N1131" t="s">
        <v>770</v>
      </c>
      <c r="O1131">
        <v>1</v>
      </c>
      <c r="P1131" t="s">
        <v>776</v>
      </c>
      <c r="Q1131">
        <v>32.9</v>
      </c>
      <c r="R1131">
        <v>5.93</v>
      </c>
      <c r="Y1131" t="s">
        <v>3089</v>
      </c>
      <c r="Z1131" t="s">
        <v>2827</v>
      </c>
      <c r="AA1131">
        <v>25125</v>
      </c>
      <c r="AB1131" t="s">
        <v>11</v>
      </c>
    </row>
    <row r="1132" spans="1:35" x14ac:dyDescent="0.25">
      <c r="A1132" t="s">
        <v>5333</v>
      </c>
      <c r="C1132" t="s">
        <v>5334</v>
      </c>
      <c r="D1132" t="s">
        <v>5335</v>
      </c>
      <c r="E1132" t="s">
        <v>770</v>
      </c>
      <c r="F1132" t="s">
        <v>1884</v>
      </c>
      <c r="G1132" t="s">
        <v>1854</v>
      </c>
      <c r="H1132" t="s">
        <v>1885</v>
      </c>
      <c r="J1132" t="s">
        <v>773</v>
      </c>
      <c r="K1132" t="s">
        <v>1855</v>
      </c>
      <c r="L1132" t="s">
        <v>13</v>
      </c>
      <c r="M1132" t="s">
        <v>12</v>
      </c>
      <c r="N1132" t="s">
        <v>770</v>
      </c>
      <c r="O1132">
        <v>1</v>
      </c>
      <c r="P1132" t="s">
        <v>776</v>
      </c>
      <c r="Q1132">
        <v>19.899999999999999</v>
      </c>
      <c r="R1132">
        <v>3.59</v>
      </c>
      <c r="S1132">
        <v>3</v>
      </c>
      <c r="T1132">
        <v>0.54</v>
      </c>
      <c r="Y1132" t="s">
        <v>1908</v>
      </c>
      <c r="Z1132" t="s">
        <v>2025</v>
      </c>
      <c r="AA1132">
        <v>80129</v>
      </c>
      <c r="AB1132" t="s">
        <v>11</v>
      </c>
    </row>
    <row r="1133" spans="1:35" x14ac:dyDescent="0.25">
      <c r="A1133" t="s">
        <v>5336</v>
      </c>
      <c r="C1133" t="s">
        <v>5337</v>
      </c>
      <c r="D1133" t="s">
        <v>5338</v>
      </c>
      <c r="E1133" t="s">
        <v>770</v>
      </c>
      <c r="F1133" t="s">
        <v>1884</v>
      </c>
      <c r="G1133" t="s">
        <v>1854</v>
      </c>
      <c r="H1133" t="s">
        <v>1885</v>
      </c>
      <c r="J1133" t="s">
        <v>773</v>
      </c>
      <c r="K1133" t="s">
        <v>2652</v>
      </c>
      <c r="L1133" t="s">
        <v>52</v>
      </c>
      <c r="M1133" t="s">
        <v>51</v>
      </c>
      <c r="N1133" t="s">
        <v>770</v>
      </c>
      <c r="O1133">
        <v>1</v>
      </c>
      <c r="P1133" t="s">
        <v>776</v>
      </c>
      <c r="Q1133">
        <v>24.9</v>
      </c>
      <c r="R1133">
        <v>4.49</v>
      </c>
      <c r="S1133">
        <v>3</v>
      </c>
      <c r="T1133">
        <v>0.54</v>
      </c>
      <c r="Y1133" t="s">
        <v>5339</v>
      </c>
      <c r="Z1133" t="s">
        <v>1888</v>
      </c>
      <c r="AA1133">
        <v>40010</v>
      </c>
      <c r="AB1133" t="s">
        <v>11</v>
      </c>
    </row>
    <row r="1134" spans="1:35" x14ac:dyDescent="0.25">
      <c r="A1134" t="s">
        <v>5340</v>
      </c>
      <c r="B1134" t="s">
        <v>5340</v>
      </c>
      <c r="C1134" t="s">
        <v>5341</v>
      </c>
      <c r="D1134" t="s">
        <v>5342</v>
      </c>
      <c r="E1134" t="s">
        <v>770</v>
      </c>
      <c r="F1134" t="s">
        <v>771</v>
      </c>
      <c r="G1134" t="s">
        <v>1854</v>
      </c>
      <c r="J1134" t="s">
        <v>783</v>
      </c>
      <c r="K1134" t="s">
        <v>1855</v>
      </c>
      <c r="L1134" t="s">
        <v>1856</v>
      </c>
      <c r="M1134" t="s">
        <v>12</v>
      </c>
      <c r="N1134" t="s">
        <v>770</v>
      </c>
      <c r="O1134">
        <v>1</v>
      </c>
      <c r="P1134" t="s">
        <v>776</v>
      </c>
      <c r="Q1134">
        <v>19.899999999999999</v>
      </c>
      <c r="R1134">
        <v>3.59</v>
      </c>
      <c r="S1134">
        <v>3.99</v>
      </c>
      <c r="T1134">
        <v>0.72</v>
      </c>
      <c r="Y1134" t="s">
        <v>5343</v>
      </c>
      <c r="Z1134" t="s">
        <v>4358</v>
      </c>
      <c r="AA1134">
        <v>46047</v>
      </c>
      <c r="AB1134" t="s">
        <v>11</v>
      </c>
    </row>
    <row r="1135" spans="1:35" x14ac:dyDescent="0.25">
      <c r="A1135" t="s">
        <v>5344</v>
      </c>
      <c r="C1135" t="s">
        <v>5345</v>
      </c>
      <c r="D1135" t="s">
        <v>2911</v>
      </c>
      <c r="E1135" t="s">
        <v>782</v>
      </c>
      <c r="F1135" t="s">
        <v>1884</v>
      </c>
      <c r="G1135" t="s">
        <v>1854</v>
      </c>
      <c r="H1135" t="s">
        <v>1885</v>
      </c>
      <c r="J1135" t="s">
        <v>773</v>
      </c>
      <c r="K1135" t="s">
        <v>1930</v>
      </c>
      <c r="L1135" t="s">
        <v>66</v>
      </c>
      <c r="M1135" t="s">
        <v>65</v>
      </c>
      <c r="O1135">
        <v>0</v>
      </c>
      <c r="Y1135" t="s">
        <v>5346</v>
      </c>
      <c r="Z1135" t="s">
        <v>2538</v>
      </c>
      <c r="AA1135">
        <v>1034</v>
      </c>
      <c r="AB1135" t="s">
        <v>11</v>
      </c>
    </row>
    <row r="1136" spans="1:35" x14ac:dyDescent="0.25">
      <c r="A1136" t="s">
        <v>5347</v>
      </c>
      <c r="B1136" t="s">
        <v>5347</v>
      </c>
      <c r="C1136" t="s">
        <v>5348</v>
      </c>
      <c r="D1136" t="s">
        <v>5349</v>
      </c>
      <c r="E1136" t="s">
        <v>770</v>
      </c>
      <c r="F1136" t="s">
        <v>771</v>
      </c>
      <c r="G1136" t="s">
        <v>1854</v>
      </c>
      <c r="J1136" t="s">
        <v>783</v>
      </c>
      <c r="K1136" t="s">
        <v>1862</v>
      </c>
      <c r="L1136" t="s">
        <v>1505</v>
      </c>
      <c r="M1136" t="s">
        <v>53</v>
      </c>
      <c r="N1136" t="s">
        <v>770</v>
      </c>
      <c r="O1136">
        <v>1</v>
      </c>
      <c r="P1136" t="s">
        <v>776</v>
      </c>
      <c r="Q1136">
        <v>32.9</v>
      </c>
      <c r="R1136">
        <v>5.93</v>
      </c>
      <c r="Y1136" t="s">
        <v>5225</v>
      </c>
      <c r="Z1136" t="s">
        <v>1913</v>
      </c>
      <c r="AA1136">
        <v>55</v>
      </c>
      <c r="AB1136" t="s">
        <v>11</v>
      </c>
    </row>
    <row r="1137" spans="1:28" x14ac:dyDescent="0.25">
      <c r="A1137" t="s">
        <v>5350</v>
      </c>
      <c r="B1137" t="s">
        <v>5350</v>
      </c>
      <c r="C1137" t="s">
        <v>5351</v>
      </c>
      <c r="D1137" t="s">
        <v>5352</v>
      </c>
      <c r="E1137" t="s">
        <v>770</v>
      </c>
      <c r="F1137" t="s">
        <v>771</v>
      </c>
      <c r="G1137" t="s">
        <v>1854</v>
      </c>
      <c r="J1137" t="s">
        <v>783</v>
      </c>
      <c r="K1137" t="s">
        <v>1873</v>
      </c>
      <c r="L1137" t="s">
        <v>840</v>
      </c>
      <c r="M1137" t="s">
        <v>26</v>
      </c>
      <c r="N1137" t="s">
        <v>770</v>
      </c>
      <c r="O1137">
        <v>2</v>
      </c>
      <c r="P1137" t="s">
        <v>776</v>
      </c>
      <c r="Q1137">
        <v>69.8</v>
      </c>
      <c r="R1137">
        <v>12.58</v>
      </c>
      <c r="Y1137" t="s">
        <v>5353</v>
      </c>
      <c r="Z1137" t="s">
        <v>3645</v>
      </c>
      <c r="AA1137">
        <v>35029</v>
      </c>
      <c r="AB1137" t="s">
        <v>11</v>
      </c>
    </row>
    <row r="1138" spans="1:28" x14ac:dyDescent="0.25">
      <c r="A1138" t="s">
        <v>5354</v>
      </c>
      <c r="B1138" t="s">
        <v>5354</v>
      </c>
      <c r="C1138" t="s">
        <v>5355</v>
      </c>
      <c r="D1138" t="s">
        <v>5356</v>
      </c>
      <c r="E1138" t="s">
        <v>782</v>
      </c>
      <c r="F1138" t="s">
        <v>771</v>
      </c>
      <c r="G1138" t="s">
        <v>1854</v>
      </c>
      <c r="J1138" t="s">
        <v>783</v>
      </c>
      <c r="K1138" t="s">
        <v>1855</v>
      </c>
      <c r="L1138" t="s">
        <v>1856</v>
      </c>
      <c r="M1138" t="s">
        <v>12</v>
      </c>
      <c r="N1138" t="s">
        <v>782</v>
      </c>
      <c r="O1138">
        <v>0</v>
      </c>
      <c r="Y1138" t="s">
        <v>5343</v>
      </c>
      <c r="Z1138" t="s">
        <v>4358</v>
      </c>
      <c r="AA1138">
        <v>46047</v>
      </c>
      <c r="AB1138" t="s">
        <v>11</v>
      </c>
    </row>
    <row r="1139" spans="1:28" x14ac:dyDescent="0.25">
      <c r="A1139" t="s">
        <v>5357</v>
      </c>
      <c r="B1139" t="s">
        <v>5357</v>
      </c>
      <c r="C1139" t="s">
        <v>5358</v>
      </c>
      <c r="D1139" t="s">
        <v>5359</v>
      </c>
      <c r="E1139" t="s">
        <v>770</v>
      </c>
      <c r="F1139" t="s">
        <v>771</v>
      </c>
      <c r="G1139" t="s">
        <v>1854</v>
      </c>
      <c r="J1139" t="s">
        <v>783</v>
      </c>
      <c r="K1139" t="s">
        <v>1855</v>
      </c>
      <c r="L1139" t="s">
        <v>1856</v>
      </c>
      <c r="M1139" t="s">
        <v>12</v>
      </c>
      <c r="N1139" t="s">
        <v>770</v>
      </c>
      <c r="O1139">
        <v>1</v>
      </c>
      <c r="P1139" t="s">
        <v>776</v>
      </c>
      <c r="Q1139">
        <v>19.899999999999999</v>
      </c>
      <c r="R1139">
        <v>3.59</v>
      </c>
      <c r="Y1139" t="s">
        <v>5360</v>
      </c>
      <c r="Z1139" t="s">
        <v>5361</v>
      </c>
      <c r="AA1139">
        <v>76011</v>
      </c>
      <c r="AB1139" t="s">
        <v>11</v>
      </c>
    </row>
    <row r="1140" spans="1:28" x14ac:dyDescent="0.25">
      <c r="A1140" t="s">
        <v>5362</v>
      </c>
      <c r="B1140" t="s">
        <v>5362</v>
      </c>
      <c r="C1140" t="s">
        <v>5363</v>
      </c>
      <c r="D1140" t="s">
        <v>5364</v>
      </c>
      <c r="E1140" t="s">
        <v>782</v>
      </c>
      <c r="F1140" t="s">
        <v>771</v>
      </c>
      <c r="G1140" t="s">
        <v>1854</v>
      </c>
      <c r="J1140" t="s">
        <v>783</v>
      </c>
      <c r="K1140" t="s">
        <v>1855</v>
      </c>
      <c r="L1140" t="s">
        <v>1856</v>
      </c>
      <c r="M1140" t="s">
        <v>12</v>
      </c>
      <c r="N1140" t="s">
        <v>782</v>
      </c>
      <c r="O1140">
        <v>0</v>
      </c>
      <c r="Y1140" t="s">
        <v>5365</v>
      </c>
      <c r="Z1140" t="s">
        <v>1888</v>
      </c>
      <c r="AA1140">
        <v>40066</v>
      </c>
      <c r="AB1140" t="s">
        <v>11</v>
      </c>
    </row>
    <row r="1141" spans="1:28" x14ac:dyDescent="0.25">
      <c r="A1141" t="s">
        <v>5366</v>
      </c>
      <c r="B1141" t="s">
        <v>5366</v>
      </c>
      <c r="C1141" t="s">
        <v>5367</v>
      </c>
      <c r="D1141" t="s">
        <v>5368</v>
      </c>
      <c r="E1141" t="s">
        <v>770</v>
      </c>
      <c r="F1141" t="s">
        <v>771</v>
      </c>
      <c r="G1141" t="s">
        <v>1854</v>
      </c>
      <c r="I1141" t="s">
        <v>2692</v>
      </c>
      <c r="J1141" t="s">
        <v>783</v>
      </c>
      <c r="K1141" t="s">
        <v>2712</v>
      </c>
      <c r="L1141" t="s">
        <v>1800</v>
      </c>
      <c r="M1141" t="s">
        <v>14</v>
      </c>
      <c r="N1141" t="s">
        <v>770</v>
      </c>
      <c r="O1141">
        <v>1</v>
      </c>
      <c r="P1141" t="s">
        <v>776</v>
      </c>
      <c r="Q1141">
        <v>14.9</v>
      </c>
      <c r="R1141">
        <v>2.69</v>
      </c>
      <c r="Y1141" t="s">
        <v>3817</v>
      </c>
      <c r="Z1141" t="s">
        <v>3818</v>
      </c>
      <c r="AA1141">
        <v>2032</v>
      </c>
      <c r="AB1141" t="s">
        <v>11</v>
      </c>
    </row>
    <row r="1142" spans="1:28" x14ac:dyDescent="0.25">
      <c r="A1142" t="s">
        <v>5369</v>
      </c>
      <c r="B1142" t="s">
        <v>5369</v>
      </c>
      <c r="C1142" t="s">
        <v>5370</v>
      </c>
      <c r="D1142" t="s">
        <v>5371</v>
      </c>
      <c r="E1142" t="s">
        <v>770</v>
      </c>
      <c r="F1142" t="s">
        <v>771</v>
      </c>
      <c r="G1142" t="s">
        <v>1854</v>
      </c>
      <c r="I1142" t="s">
        <v>2692</v>
      </c>
      <c r="J1142" t="s">
        <v>783</v>
      </c>
      <c r="K1142" t="s">
        <v>2712</v>
      </c>
      <c r="L1142" t="s">
        <v>1800</v>
      </c>
      <c r="M1142" t="s">
        <v>14</v>
      </c>
      <c r="N1142" t="s">
        <v>770</v>
      </c>
      <c r="O1142">
        <v>1</v>
      </c>
      <c r="P1142" t="s">
        <v>776</v>
      </c>
      <c r="Q1142">
        <v>14.9</v>
      </c>
      <c r="R1142">
        <v>2.69</v>
      </c>
      <c r="Y1142" t="s">
        <v>3817</v>
      </c>
      <c r="Z1142" t="s">
        <v>3818</v>
      </c>
      <c r="AA1142">
        <v>2032</v>
      </c>
      <c r="AB1142" t="s">
        <v>11</v>
      </c>
    </row>
    <row r="1143" spans="1:28" x14ac:dyDescent="0.25">
      <c r="A1143" t="s">
        <v>5372</v>
      </c>
      <c r="B1143" t="s">
        <v>5372</v>
      </c>
      <c r="C1143" t="s">
        <v>5373</v>
      </c>
      <c r="D1143" t="s">
        <v>5374</v>
      </c>
      <c r="E1143" t="s">
        <v>770</v>
      </c>
      <c r="F1143" t="s">
        <v>771</v>
      </c>
      <c r="G1143" t="s">
        <v>1854</v>
      </c>
      <c r="J1143" t="s">
        <v>783</v>
      </c>
      <c r="K1143" t="s">
        <v>1873</v>
      </c>
      <c r="L1143" t="s">
        <v>840</v>
      </c>
      <c r="M1143" t="s">
        <v>26</v>
      </c>
      <c r="N1143" t="s">
        <v>770</v>
      </c>
      <c r="O1143">
        <v>1</v>
      </c>
      <c r="P1143" t="s">
        <v>776</v>
      </c>
      <c r="Q1143">
        <v>34.9</v>
      </c>
      <c r="R1143">
        <v>6.29</v>
      </c>
      <c r="Y1143" t="s">
        <v>5375</v>
      </c>
      <c r="Z1143" t="s">
        <v>5376</v>
      </c>
      <c r="AA1143">
        <v>89814</v>
      </c>
      <c r="AB1143" t="s">
        <v>11</v>
      </c>
    </row>
    <row r="1144" spans="1:28" x14ac:dyDescent="0.25">
      <c r="A1144" t="s">
        <v>5377</v>
      </c>
      <c r="C1144" t="s">
        <v>5378</v>
      </c>
      <c r="D1144" t="s">
        <v>5379</v>
      </c>
      <c r="E1144" t="s">
        <v>770</v>
      </c>
      <c r="F1144" t="s">
        <v>1884</v>
      </c>
      <c r="G1144" t="s">
        <v>1854</v>
      </c>
      <c r="H1144" t="s">
        <v>1885</v>
      </c>
      <c r="J1144" t="s">
        <v>773</v>
      </c>
      <c r="K1144" t="s">
        <v>2252</v>
      </c>
      <c r="L1144" t="s">
        <v>74</v>
      </c>
      <c r="M1144" t="s">
        <v>73</v>
      </c>
      <c r="N1144" t="s">
        <v>770</v>
      </c>
      <c r="O1144">
        <v>2</v>
      </c>
      <c r="P1144" t="s">
        <v>776</v>
      </c>
      <c r="Q1144">
        <v>29.8</v>
      </c>
      <c r="R1144">
        <v>5.38</v>
      </c>
      <c r="S1144">
        <v>6</v>
      </c>
      <c r="T1144">
        <v>1.08</v>
      </c>
      <c r="Y1144" t="s">
        <v>5380</v>
      </c>
      <c r="Z1144" t="s">
        <v>1908</v>
      </c>
      <c r="AA1144">
        <v>80013</v>
      </c>
      <c r="AB1144" t="s">
        <v>11</v>
      </c>
    </row>
    <row r="1145" spans="1:28" x14ac:dyDescent="0.25">
      <c r="A1145" t="s">
        <v>5381</v>
      </c>
      <c r="B1145" t="s">
        <v>5381</v>
      </c>
      <c r="C1145" t="s">
        <v>5382</v>
      </c>
      <c r="D1145" t="s">
        <v>5383</v>
      </c>
      <c r="E1145" t="s">
        <v>770</v>
      </c>
      <c r="F1145" t="s">
        <v>771</v>
      </c>
      <c r="G1145" t="s">
        <v>1854</v>
      </c>
      <c r="J1145" t="s">
        <v>783</v>
      </c>
      <c r="K1145" t="s">
        <v>1855</v>
      </c>
      <c r="L1145" t="s">
        <v>1856</v>
      </c>
      <c r="M1145" t="s">
        <v>12</v>
      </c>
      <c r="N1145" t="s">
        <v>770</v>
      </c>
      <c r="O1145">
        <v>1</v>
      </c>
      <c r="P1145" t="s">
        <v>776</v>
      </c>
      <c r="Q1145">
        <v>19.899999999999999</v>
      </c>
      <c r="R1145">
        <v>3.59</v>
      </c>
      <c r="S1145">
        <v>3.99</v>
      </c>
      <c r="T1145">
        <v>0.72</v>
      </c>
      <c r="Y1145" t="s">
        <v>5384</v>
      </c>
      <c r="Z1145" t="s">
        <v>2116</v>
      </c>
      <c r="AA1145">
        <v>22100</v>
      </c>
      <c r="AB1145" t="s">
        <v>11</v>
      </c>
    </row>
    <row r="1146" spans="1:28" x14ac:dyDescent="0.25">
      <c r="A1146" t="s">
        <v>5385</v>
      </c>
      <c r="B1146" t="s">
        <v>5385</v>
      </c>
      <c r="C1146" t="s">
        <v>5386</v>
      </c>
      <c r="D1146" t="s">
        <v>5387</v>
      </c>
      <c r="E1146" t="s">
        <v>770</v>
      </c>
      <c r="F1146" t="s">
        <v>771</v>
      </c>
      <c r="G1146" t="s">
        <v>1854</v>
      </c>
      <c r="J1146" t="s">
        <v>783</v>
      </c>
      <c r="K1146" t="s">
        <v>1873</v>
      </c>
      <c r="L1146" t="s">
        <v>840</v>
      </c>
      <c r="M1146" t="s">
        <v>26</v>
      </c>
      <c r="N1146" t="s">
        <v>770</v>
      </c>
      <c r="O1146">
        <v>1</v>
      </c>
      <c r="P1146" t="s">
        <v>776</v>
      </c>
      <c r="Q1146">
        <v>34.9</v>
      </c>
      <c r="R1146">
        <v>6.29</v>
      </c>
      <c r="Y1146" t="s">
        <v>5388</v>
      </c>
      <c r="Z1146" t="s">
        <v>1922</v>
      </c>
      <c r="AA1146">
        <v>31025</v>
      </c>
      <c r="AB1146" t="s">
        <v>11</v>
      </c>
    </row>
    <row r="1147" spans="1:28" x14ac:dyDescent="0.25">
      <c r="A1147" t="s">
        <v>5389</v>
      </c>
      <c r="B1147" t="s">
        <v>5389</v>
      </c>
      <c r="C1147" t="s">
        <v>5390</v>
      </c>
      <c r="D1147" t="s">
        <v>5391</v>
      </c>
      <c r="E1147" t="s">
        <v>770</v>
      </c>
      <c r="F1147" t="s">
        <v>771</v>
      </c>
      <c r="G1147" t="s">
        <v>1854</v>
      </c>
      <c r="J1147" t="s">
        <v>783</v>
      </c>
      <c r="K1147" t="s">
        <v>1862</v>
      </c>
      <c r="L1147" t="s">
        <v>1505</v>
      </c>
      <c r="M1147" t="s">
        <v>53</v>
      </c>
      <c r="N1147" t="s">
        <v>770</v>
      </c>
      <c r="O1147">
        <v>1</v>
      </c>
      <c r="P1147" t="s">
        <v>776</v>
      </c>
      <c r="Q1147">
        <v>32.9</v>
      </c>
      <c r="R1147">
        <v>5.93</v>
      </c>
      <c r="S1147">
        <v>4.99</v>
      </c>
      <c r="T1147">
        <v>0.9</v>
      </c>
      <c r="Y1147" t="s">
        <v>5392</v>
      </c>
      <c r="Z1147" t="s">
        <v>2101</v>
      </c>
      <c r="AA1147">
        <v>47854</v>
      </c>
      <c r="AB1147" t="s">
        <v>11</v>
      </c>
    </row>
    <row r="1148" spans="1:28" x14ac:dyDescent="0.25">
      <c r="A1148" t="s">
        <v>5393</v>
      </c>
      <c r="B1148" t="s">
        <v>5393</v>
      </c>
      <c r="C1148" t="s">
        <v>5394</v>
      </c>
      <c r="D1148" t="s">
        <v>5395</v>
      </c>
      <c r="E1148" t="s">
        <v>770</v>
      </c>
      <c r="F1148" t="s">
        <v>771</v>
      </c>
      <c r="G1148" t="s">
        <v>1854</v>
      </c>
      <c r="J1148" t="s">
        <v>783</v>
      </c>
      <c r="K1148" t="s">
        <v>1855</v>
      </c>
      <c r="L1148" t="s">
        <v>1856</v>
      </c>
      <c r="M1148" t="s">
        <v>12</v>
      </c>
      <c r="N1148" t="s">
        <v>770</v>
      </c>
      <c r="O1148">
        <v>1</v>
      </c>
      <c r="P1148" t="s">
        <v>776</v>
      </c>
      <c r="Q1148">
        <v>19.899999999999999</v>
      </c>
      <c r="R1148">
        <v>3.59</v>
      </c>
      <c r="Y1148" t="s">
        <v>5396</v>
      </c>
      <c r="Z1148" t="s">
        <v>2523</v>
      </c>
      <c r="AA1148">
        <v>87044</v>
      </c>
      <c r="AB1148" t="s">
        <v>11</v>
      </c>
    </row>
    <row r="1149" spans="1:28" x14ac:dyDescent="0.25">
      <c r="A1149" t="s">
        <v>5397</v>
      </c>
      <c r="C1149" t="s">
        <v>5398</v>
      </c>
      <c r="D1149" t="s">
        <v>5399</v>
      </c>
      <c r="E1149" t="s">
        <v>770</v>
      </c>
      <c r="F1149" t="s">
        <v>1884</v>
      </c>
      <c r="G1149" t="s">
        <v>1854</v>
      </c>
      <c r="H1149" t="s">
        <v>1885</v>
      </c>
      <c r="J1149" t="s">
        <v>773</v>
      </c>
      <c r="K1149" t="s">
        <v>4881</v>
      </c>
      <c r="L1149" s="2">
        <v>90882</v>
      </c>
      <c r="M1149" t="s">
        <v>232</v>
      </c>
      <c r="N1149" t="s">
        <v>770</v>
      </c>
      <c r="O1149">
        <v>1</v>
      </c>
      <c r="P1149" t="s">
        <v>776</v>
      </c>
      <c r="Q1149">
        <v>49.9</v>
      </c>
      <c r="R1149">
        <v>9</v>
      </c>
      <c r="S1149">
        <v>3</v>
      </c>
      <c r="T1149">
        <v>0.54</v>
      </c>
      <c r="Y1149" t="s">
        <v>2134</v>
      </c>
      <c r="Z1149" t="s">
        <v>1926</v>
      </c>
      <c r="AA1149">
        <v>198</v>
      </c>
      <c r="AB1149" t="s">
        <v>11</v>
      </c>
    </row>
    <row r="1150" spans="1:28" x14ac:dyDescent="0.25">
      <c r="A1150" t="s">
        <v>5400</v>
      </c>
      <c r="B1150" t="s">
        <v>5400</v>
      </c>
      <c r="C1150" t="s">
        <v>5401</v>
      </c>
      <c r="D1150" t="s">
        <v>5402</v>
      </c>
      <c r="E1150" t="s">
        <v>770</v>
      </c>
      <c r="F1150" t="s">
        <v>771</v>
      </c>
      <c r="G1150" t="s">
        <v>1854</v>
      </c>
      <c r="J1150" t="s">
        <v>783</v>
      </c>
      <c r="K1150" t="s">
        <v>1873</v>
      </c>
      <c r="L1150" t="s">
        <v>840</v>
      </c>
      <c r="M1150" t="s">
        <v>26</v>
      </c>
      <c r="N1150" t="s">
        <v>770</v>
      </c>
      <c r="O1150">
        <v>1</v>
      </c>
      <c r="P1150" t="s">
        <v>776</v>
      </c>
      <c r="Q1150">
        <v>34.9</v>
      </c>
      <c r="R1150">
        <v>6.29</v>
      </c>
      <c r="S1150">
        <v>1.39</v>
      </c>
      <c r="X1150">
        <v>1.39</v>
      </c>
      <c r="Y1150" t="s">
        <v>1893</v>
      </c>
      <c r="Z1150" t="s">
        <v>1893</v>
      </c>
      <c r="AA1150">
        <v>10151</v>
      </c>
      <c r="AB1150" t="s">
        <v>11</v>
      </c>
    </row>
    <row r="1151" spans="1:28" x14ac:dyDescent="0.25">
      <c r="A1151" t="s">
        <v>5403</v>
      </c>
      <c r="B1151" t="s">
        <v>5403</v>
      </c>
      <c r="C1151" t="s">
        <v>5404</v>
      </c>
      <c r="D1151" t="s">
        <v>5405</v>
      </c>
      <c r="E1151" t="s">
        <v>770</v>
      </c>
      <c r="F1151" t="s">
        <v>771</v>
      </c>
      <c r="G1151" t="s">
        <v>1854</v>
      </c>
      <c r="J1151" t="s">
        <v>783</v>
      </c>
      <c r="K1151" t="s">
        <v>1855</v>
      </c>
      <c r="L1151" t="s">
        <v>1856</v>
      </c>
      <c r="M1151" t="s">
        <v>12</v>
      </c>
      <c r="N1151" t="s">
        <v>770</v>
      </c>
      <c r="O1151">
        <v>1</v>
      </c>
      <c r="P1151" t="s">
        <v>776</v>
      </c>
      <c r="Q1151">
        <v>19.899999999999999</v>
      </c>
      <c r="R1151">
        <v>3.59</v>
      </c>
      <c r="Y1151" t="s">
        <v>1956</v>
      </c>
      <c r="Z1151" t="s">
        <v>3212</v>
      </c>
      <c r="AA1151">
        <v>157</v>
      </c>
      <c r="AB1151" t="s">
        <v>11</v>
      </c>
    </row>
    <row r="1152" spans="1:28" x14ac:dyDescent="0.25">
      <c r="A1152" t="s">
        <v>5406</v>
      </c>
      <c r="B1152" t="s">
        <v>5406</v>
      </c>
      <c r="C1152" t="s">
        <v>5407</v>
      </c>
      <c r="D1152" t="s">
        <v>5408</v>
      </c>
      <c r="E1152" t="s">
        <v>770</v>
      </c>
      <c r="F1152" t="s">
        <v>771</v>
      </c>
      <c r="G1152" t="s">
        <v>1854</v>
      </c>
      <c r="J1152" t="s">
        <v>783</v>
      </c>
      <c r="K1152" t="s">
        <v>1862</v>
      </c>
      <c r="L1152" t="s">
        <v>1505</v>
      </c>
      <c r="M1152" t="s">
        <v>53</v>
      </c>
      <c r="N1152" t="s">
        <v>770</v>
      </c>
      <c r="O1152">
        <v>1</v>
      </c>
      <c r="P1152" t="s">
        <v>776</v>
      </c>
      <c r="Q1152">
        <v>32.9</v>
      </c>
      <c r="R1152">
        <v>5.93</v>
      </c>
      <c r="Y1152" t="s">
        <v>5409</v>
      </c>
      <c r="Z1152" t="s">
        <v>5410</v>
      </c>
      <c r="AA1152">
        <v>9016</v>
      </c>
      <c r="AB1152" t="s">
        <v>11</v>
      </c>
    </row>
    <row r="1153" spans="1:28" x14ac:dyDescent="0.25">
      <c r="A1153" t="s">
        <v>5411</v>
      </c>
      <c r="C1153" t="s">
        <v>5412</v>
      </c>
      <c r="D1153" t="s">
        <v>5413</v>
      </c>
      <c r="E1153" t="s">
        <v>770</v>
      </c>
      <c r="F1153" t="s">
        <v>1884</v>
      </c>
      <c r="G1153" t="s">
        <v>1854</v>
      </c>
      <c r="H1153" t="s">
        <v>1885</v>
      </c>
      <c r="J1153" t="s">
        <v>773</v>
      </c>
      <c r="K1153" t="s">
        <v>2210</v>
      </c>
      <c r="L1153" t="s">
        <v>64</v>
      </c>
      <c r="M1153" t="s">
        <v>63</v>
      </c>
      <c r="N1153" t="s">
        <v>770</v>
      </c>
      <c r="O1153">
        <v>1</v>
      </c>
      <c r="P1153" t="s">
        <v>776</v>
      </c>
      <c r="Q1153">
        <v>70.900000000000006</v>
      </c>
      <c r="R1153">
        <v>12.79</v>
      </c>
      <c r="S1153">
        <v>3</v>
      </c>
      <c r="T1153">
        <v>0.54</v>
      </c>
      <c r="Y1153" t="s">
        <v>5414</v>
      </c>
      <c r="Z1153" t="s">
        <v>3012</v>
      </c>
      <c r="AA1153">
        <v>12100</v>
      </c>
      <c r="AB1153" t="s">
        <v>11</v>
      </c>
    </row>
    <row r="1154" spans="1:28" x14ac:dyDescent="0.25">
      <c r="A1154" t="s">
        <v>5415</v>
      </c>
      <c r="B1154" t="s">
        <v>5415</v>
      </c>
      <c r="C1154" t="s">
        <v>5416</v>
      </c>
      <c r="D1154" t="s">
        <v>5417</v>
      </c>
      <c r="E1154" t="s">
        <v>770</v>
      </c>
      <c r="F1154" t="s">
        <v>771</v>
      </c>
      <c r="G1154" t="s">
        <v>1854</v>
      </c>
      <c r="J1154" t="s">
        <v>783</v>
      </c>
      <c r="K1154" t="s">
        <v>1862</v>
      </c>
      <c r="L1154" t="s">
        <v>1505</v>
      </c>
      <c r="M1154" t="s">
        <v>53</v>
      </c>
      <c r="N1154" t="s">
        <v>770</v>
      </c>
      <c r="O1154">
        <v>1</v>
      </c>
      <c r="P1154" t="s">
        <v>776</v>
      </c>
      <c r="Q1154">
        <v>32.9</v>
      </c>
      <c r="R1154">
        <v>5.93</v>
      </c>
      <c r="Y1154" t="s">
        <v>1913</v>
      </c>
      <c r="Z1154" t="s">
        <v>1926</v>
      </c>
      <c r="AA1154">
        <v>152</v>
      </c>
      <c r="AB1154" t="s">
        <v>11</v>
      </c>
    </row>
    <row r="1155" spans="1:28" x14ac:dyDescent="0.25">
      <c r="A1155" t="s">
        <v>5418</v>
      </c>
      <c r="B1155" t="s">
        <v>5418</v>
      </c>
      <c r="C1155" t="s">
        <v>5419</v>
      </c>
      <c r="D1155" t="s">
        <v>5420</v>
      </c>
      <c r="E1155" t="s">
        <v>770</v>
      </c>
      <c r="F1155" t="s">
        <v>771</v>
      </c>
      <c r="G1155" t="s">
        <v>1854</v>
      </c>
      <c r="J1155" t="s">
        <v>783</v>
      </c>
      <c r="K1155" t="s">
        <v>1862</v>
      </c>
      <c r="L1155" t="s">
        <v>1505</v>
      </c>
      <c r="M1155" t="s">
        <v>53</v>
      </c>
      <c r="N1155" t="s">
        <v>770</v>
      </c>
      <c r="O1155">
        <v>1</v>
      </c>
      <c r="P1155" t="s">
        <v>776</v>
      </c>
      <c r="Q1155">
        <v>32.9</v>
      </c>
      <c r="R1155">
        <v>5.93</v>
      </c>
      <c r="Y1155" t="s">
        <v>4172</v>
      </c>
      <c r="Z1155" t="s">
        <v>4778</v>
      </c>
      <c r="AA1155">
        <v>43124</v>
      </c>
      <c r="AB1155" t="s">
        <v>11</v>
      </c>
    </row>
    <row r="1156" spans="1:28" x14ac:dyDescent="0.25">
      <c r="A1156" t="s">
        <v>5421</v>
      </c>
      <c r="C1156" t="s">
        <v>5422</v>
      </c>
      <c r="D1156" t="s">
        <v>5423</v>
      </c>
      <c r="E1156" t="s">
        <v>770</v>
      </c>
      <c r="F1156" t="s">
        <v>1884</v>
      </c>
      <c r="G1156" t="s">
        <v>1854</v>
      </c>
      <c r="H1156" t="s">
        <v>1885</v>
      </c>
      <c r="J1156" t="s">
        <v>773</v>
      </c>
      <c r="K1156" t="s">
        <v>2913</v>
      </c>
      <c r="L1156" t="s">
        <v>99</v>
      </c>
      <c r="M1156" t="s">
        <v>98</v>
      </c>
      <c r="N1156" t="s">
        <v>770</v>
      </c>
      <c r="O1156">
        <v>1</v>
      </c>
      <c r="P1156" t="s">
        <v>776</v>
      </c>
      <c r="Q1156">
        <v>29.9</v>
      </c>
      <c r="R1156">
        <v>5.39</v>
      </c>
      <c r="S1156">
        <v>3</v>
      </c>
      <c r="T1156">
        <v>0.54</v>
      </c>
      <c r="Y1156" t="s">
        <v>5424</v>
      </c>
      <c r="Z1156" t="s">
        <v>2602</v>
      </c>
      <c r="AA1156">
        <v>16153</v>
      </c>
      <c r="AB1156" t="s">
        <v>11</v>
      </c>
    </row>
    <row r="1157" spans="1:28" x14ac:dyDescent="0.25">
      <c r="A1157" t="s">
        <v>5425</v>
      </c>
      <c r="B1157" t="s">
        <v>5425</v>
      </c>
      <c r="C1157" t="s">
        <v>5426</v>
      </c>
      <c r="D1157" t="s">
        <v>5427</v>
      </c>
      <c r="E1157" t="s">
        <v>770</v>
      </c>
      <c r="F1157" t="s">
        <v>771</v>
      </c>
      <c r="G1157" t="s">
        <v>1854</v>
      </c>
      <c r="J1157" t="s">
        <v>783</v>
      </c>
      <c r="K1157" t="s">
        <v>1855</v>
      </c>
      <c r="L1157" t="s">
        <v>1856</v>
      </c>
      <c r="M1157" t="s">
        <v>12</v>
      </c>
      <c r="N1157" t="s">
        <v>770</v>
      </c>
      <c r="O1157">
        <v>1</v>
      </c>
      <c r="P1157" t="s">
        <v>776</v>
      </c>
      <c r="Q1157">
        <v>19.899999999999999</v>
      </c>
      <c r="R1157">
        <v>3.59</v>
      </c>
      <c r="Y1157" t="s">
        <v>5428</v>
      </c>
      <c r="Z1157" t="s">
        <v>4970</v>
      </c>
      <c r="AA1157">
        <v>27025</v>
      </c>
      <c r="AB1157" t="s">
        <v>11</v>
      </c>
    </row>
    <row r="1158" spans="1:28" x14ac:dyDescent="0.25">
      <c r="A1158" t="s">
        <v>5429</v>
      </c>
      <c r="B1158" t="s">
        <v>5429</v>
      </c>
      <c r="C1158" t="s">
        <v>5430</v>
      </c>
      <c r="D1158" t="s">
        <v>5431</v>
      </c>
      <c r="E1158" t="s">
        <v>770</v>
      </c>
      <c r="F1158" t="s">
        <v>771</v>
      </c>
      <c r="G1158" t="s">
        <v>1854</v>
      </c>
      <c r="J1158" t="s">
        <v>783</v>
      </c>
      <c r="K1158" t="s">
        <v>1930</v>
      </c>
      <c r="L1158" t="s">
        <v>775</v>
      </c>
      <c r="M1158" t="s">
        <v>65</v>
      </c>
      <c r="N1158" t="s">
        <v>770</v>
      </c>
      <c r="O1158">
        <v>1</v>
      </c>
      <c r="P1158" t="s">
        <v>776</v>
      </c>
      <c r="Q1158">
        <v>29.9</v>
      </c>
      <c r="R1158">
        <v>5.39</v>
      </c>
      <c r="Y1158" t="s">
        <v>4992</v>
      </c>
      <c r="Z1158" t="s">
        <v>5432</v>
      </c>
      <c r="AA1158">
        <v>19126</v>
      </c>
      <c r="AB1158" t="s">
        <v>11</v>
      </c>
    </row>
    <row r="1159" spans="1:28" x14ac:dyDescent="0.25">
      <c r="A1159" t="s">
        <v>5433</v>
      </c>
      <c r="B1159" t="s">
        <v>5433</v>
      </c>
      <c r="C1159" t="s">
        <v>5434</v>
      </c>
      <c r="D1159" t="s">
        <v>5435</v>
      </c>
      <c r="E1159" t="s">
        <v>770</v>
      </c>
      <c r="F1159" t="s">
        <v>771</v>
      </c>
      <c r="G1159" t="s">
        <v>1854</v>
      </c>
      <c r="J1159" t="s">
        <v>783</v>
      </c>
      <c r="K1159" t="s">
        <v>1930</v>
      </c>
      <c r="L1159" t="s">
        <v>775</v>
      </c>
      <c r="M1159" t="s">
        <v>65</v>
      </c>
      <c r="N1159" t="s">
        <v>770</v>
      </c>
      <c r="O1159">
        <v>1</v>
      </c>
      <c r="P1159" t="s">
        <v>776</v>
      </c>
      <c r="Q1159">
        <v>29.9</v>
      </c>
      <c r="R1159">
        <v>5.39</v>
      </c>
      <c r="S1159">
        <v>3.27</v>
      </c>
      <c r="X1159">
        <v>3.27</v>
      </c>
      <c r="Y1159" t="s">
        <v>1913</v>
      </c>
      <c r="Z1159" t="s">
        <v>1913</v>
      </c>
      <c r="AA1159">
        <v>133</v>
      </c>
      <c r="AB1159" t="s">
        <v>11</v>
      </c>
    </row>
    <row r="1160" spans="1:28" x14ac:dyDescent="0.25">
      <c r="A1160" t="s">
        <v>5436</v>
      </c>
      <c r="B1160" t="s">
        <v>5436</v>
      </c>
      <c r="C1160" t="s">
        <v>5437</v>
      </c>
      <c r="D1160" t="s">
        <v>5438</v>
      </c>
      <c r="E1160" t="s">
        <v>770</v>
      </c>
      <c r="F1160" t="s">
        <v>771</v>
      </c>
      <c r="G1160" t="s">
        <v>1854</v>
      </c>
      <c r="J1160" t="s">
        <v>783</v>
      </c>
      <c r="K1160" t="s">
        <v>1862</v>
      </c>
      <c r="L1160" t="s">
        <v>1505</v>
      </c>
      <c r="M1160" t="s">
        <v>53</v>
      </c>
      <c r="N1160" t="s">
        <v>770</v>
      </c>
      <c r="O1160">
        <v>1</v>
      </c>
      <c r="P1160" t="s">
        <v>776</v>
      </c>
      <c r="Q1160">
        <v>32.9</v>
      </c>
      <c r="R1160">
        <v>5.93</v>
      </c>
      <c r="Y1160" t="s">
        <v>5439</v>
      </c>
      <c r="Z1160" t="s">
        <v>3126</v>
      </c>
      <c r="AA1160">
        <v>20812</v>
      </c>
      <c r="AB1160" t="s">
        <v>11</v>
      </c>
    </row>
    <row r="1161" spans="1:28" x14ac:dyDescent="0.25">
      <c r="A1161" t="s">
        <v>5440</v>
      </c>
      <c r="B1161" t="s">
        <v>5440</v>
      </c>
      <c r="C1161" t="s">
        <v>5441</v>
      </c>
      <c r="D1161" t="s">
        <v>5442</v>
      </c>
      <c r="E1161" t="s">
        <v>770</v>
      </c>
      <c r="F1161" t="s">
        <v>771</v>
      </c>
      <c r="G1161" t="s">
        <v>1854</v>
      </c>
      <c r="J1161" t="s">
        <v>783</v>
      </c>
      <c r="K1161" t="s">
        <v>1855</v>
      </c>
      <c r="L1161" t="s">
        <v>1856</v>
      </c>
      <c r="M1161" t="s">
        <v>12</v>
      </c>
      <c r="N1161" t="s">
        <v>770</v>
      </c>
      <c r="O1161">
        <v>1</v>
      </c>
      <c r="P1161" t="s">
        <v>776</v>
      </c>
      <c r="Q1161">
        <v>19.899999999999999</v>
      </c>
      <c r="R1161">
        <v>3.59</v>
      </c>
      <c r="Y1161" t="s">
        <v>5443</v>
      </c>
      <c r="Z1161" t="s">
        <v>3608</v>
      </c>
      <c r="AA1161">
        <v>21040</v>
      </c>
      <c r="AB1161" t="s">
        <v>11</v>
      </c>
    </row>
    <row r="1162" spans="1:28" x14ac:dyDescent="0.25">
      <c r="A1162" t="s">
        <v>5444</v>
      </c>
      <c r="B1162" t="s">
        <v>5444</v>
      </c>
      <c r="C1162" t="s">
        <v>5445</v>
      </c>
      <c r="D1162" t="s">
        <v>5446</v>
      </c>
      <c r="E1162" t="s">
        <v>770</v>
      </c>
      <c r="F1162" t="s">
        <v>771</v>
      </c>
      <c r="G1162" t="s">
        <v>1854</v>
      </c>
      <c r="J1162" t="s">
        <v>783</v>
      </c>
      <c r="K1162" t="s">
        <v>1855</v>
      </c>
      <c r="L1162" t="s">
        <v>1856</v>
      </c>
      <c r="M1162" t="s">
        <v>12</v>
      </c>
      <c r="N1162" t="s">
        <v>770</v>
      </c>
      <c r="O1162">
        <v>1</v>
      </c>
      <c r="P1162" t="s">
        <v>776</v>
      </c>
      <c r="Q1162">
        <v>19.899999999999999</v>
      </c>
      <c r="R1162">
        <v>3.59</v>
      </c>
      <c r="Y1162" t="s">
        <v>2134</v>
      </c>
      <c r="AA1162">
        <v>128</v>
      </c>
      <c r="AB1162" t="s">
        <v>11</v>
      </c>
    </row>
    <row r="1163" spans="1:28" x14ac:dyDescent="0.25">
      <c r="A1163" t="s">
        <v>5447</v>
      </c>
      <c r="B1163" t="s">
        <v>5447</v>
      </c>
      <c r="C1163" t="s">
        <v>5448</v>
      </c>
      <c r="D1163" t="s">
        <v>5449</v>
      </c>
      <c r="E1163" t="s">
        <v>770</v>
      </c>
      <c r="F1163" t="s">
        <v>771</v>
      </c>
      <c r="G1163" t="s">
        <v>1854</v>
      </c>
      <c r="J1163" t="s">
        <v>783</v>
      </c>
      <c r="K1163" t="s">
        <v>1855</v>
      </c>
      <c r="L1163" t="s">
        <v>1856</v>
      </c>
      <c r="M1163" t="s">
        <v>12</v>
      </c>
      <c r="N1163" t="s">
        <v>770</v>
      </c>
      <c r="O1163">
        <v>1</v>
      </c>
      <c r="P1163" t="s">
        <v>776</v>
      </c>
      <c r="Q1163">
        <v>19.899999999999999</v>
      </c>
      <c r="R1163">
        <v>3.59</v>
      </c>
      <c r="Y1163" t="s">
        <v>5450</v>
      </c>
      <c r="Z1163" t="s">
        <v>1937</v>
      </c>
      <c r="AA1163">
        <v>24040</v>
      </c>
      <c r="AB1163" t="s">
        <v>11</v>
      </c>
    </row>
    <row r="1164" spans="1:28" x14ac:dyDescent="0.25">
      <c r="A1164" t="s">
        <v>5451</v>
      </c>
      <c r="B1164" t="s">
        <v>5451</v>
      </c>
      <c r="C1164" t="s">
        <v>5452</v>
      </c>
      <c r="D1164" t="s">
        <v>5453</v>
      </c>
      <c r="E1164" t="s">
        <v>770</v>
      </c>
      <c r="F1164" t="s">
        <v>771</v>
      </c>
      <c r="G1164" t="s">
        <v>1854</v>
      </c>
      <c r="J1164" t="s">
        <v>783</v>
      </c>
      <c r="K1164" t="s">
        <v>1862</v>
      </c>
      <c r="L1164" t="s">
        <v>1505</v>
      </c>
      <c r="M1164" t="s">
        <v>53</v>
      </c>
      <c r="N1164" t="s">
        <v>770</v>
      </c>
      <c r="O1164">
        <v>1</v>
      </c>
      <c r="P1164" t="s">
        <v>776</v>
      </c>
      <c r="Q1164">
        <v>32.9</v>
      </c>
      <c r="R1164">
        <v>5.93</v>
      </c>
      <c r="Y1164" t="s">
        <v>5454</v>
      </c>
      <c r="Z1164" t="s">
        <v>5455</v>
      </c>
      <c r="AA1164">
        <v>92019</v>
      </c>
      <c r="AB1164" t="s">
        <v>11</v>
      </c>
    </row>
    <row r="1165" spans="1:28" x14ac:dyDescent="0.25">
      <c r="A1165" t="s">
        <v>5456</v>
      </c>
      <c r="B1165" t="s">
        <v>5456</v>
      </c>
      <c r="C1165" t="s">
        <v>5457</v>
      </c>
      <c r="D1165" t="s">
        <v>5458</v>
      </c>
      <c r="E1165" t="s">
        <v>770</v>
      </c>
      <c r="F1165" t="s">
        <v>771</v>
      </c>
      <c r="G1165" t="s">
        <v>1854</v>
      </c>
      <c r="J1165" t="s">
        <v>783</v>
      </c>
      <c r="K1165" t="s">
        <v>1873</v>
      </c>
      <c r="L1165" t="s">
        <v>840</v>
      </c>
      <c r="M1165" t="s">
        <v>26</v>
      </c>
      <c r="N1165" t="s">
        <v>770</v>
      </c>
      <c r="O1165">
        <v>1</v>
      </c>
      <c r="P1165" t="s">
        <v>776</v>
      </c>
      <c r="Q1165">
        <v>34.9</v>
      </c>
      <c r="R1165">
        <v>6.29</v>
      </c>
      <c r="Y1165" t="s">
        <v>5459</v>
      </c>
      <c r="Z1165" t="s">
        <v>4054</v>
      </c>
      <c r="AA1165">
        <v>63822</v>
      </c>
      <c r="AB1165" t="s">
        <v>11</v>
      </c>
    </row>
    <row r="1166" spans="1:28" x14ac:dyDescent="0.25">
      <c r="A1166" t="s">
        <v>5460</v>
      </c>
      <c r="B1166" t="s">
        <v>5460</v>
      </c>
      <c r="C1166" t="s">
        <v>5461</v>
      </c>
      <c r="D1166" t="s">
        <v>5462</v>
      </c>
      <c r="E1166" t="s">
        <v>770</v>
      </c>
      <c r="F1166" t="s">
        <v>771</v>
      </c>
      <c r="G1166" t="s">
        <v>1854</v>
      </c>
      <c r="J1166" t="s">
        <v>783</v>
      </c>
      <c r="K1166" t="s">
        <v>1855</v>
      </c>
      <c r="L1166" t="s">
        <v>1856</v>
      </c>
      <c r="M1166" t="s">
        <v>12</v>
      </c>
      <c r="N1166" t="s">
        <v>770</v>
      </c>
      <c r="O1166">
        <v>2</v>
      </c>
      <c r="P1166" t="s">
        <v>776</v>
      </c>
      <c r="Q1166">
        <v>39.799999999999997</v>
      </c>
      <c r="R1166">
        <v>7.18</v>
      </c>
      <c r="S1166">
        <v>3.27</v>
      </c>
      <c r="X1166">
        <v>3.27</v>
      </c>
      <c r="Y1166" t="s">
        <v>5463</v>
      </c>
      <c r="Z1166" t="s">
        <v>2126</v>
      </c>
      <c r="AA1166">
        <v>81038</v>
      </c>
      <c r="AB1166" t="s">
        <v>11</v>
      </c>
    </row>
    <row r="1167" spans="1:28" x14ac:dyDescent="0.25">
      <c r="A1167" t="s">
        <v>5464</v>
      </c>
      <c r="B1167" t="s">
        <v>5464</v>
      </c>
      <c r="C1167" t="s">
        <v>5465</v>
      </c>
      <c r="D1167" t="s">
        <v>5466</v>
      </c>
      <c r="E1167" t="s">
        <v>770</v>
      </c>
      <c r="F1167" t="s">
        <v>771</v>
      </c>
      <c r="G1167" t="s">
        <v>1854</v>
      </c>
      <c r="J1167" t="s">
        <v>783</v>
      </c>
      <c r="K1167" t="s">
        <v>1855</v>
      </c>
      <c r="L1167" t="s">
        <v>1856</v>
      </c>
      <c r="M1167" t="s">
        <v>12</v>
      </c>
      <c r="N1167" t="s">
        <v>770</v>
      </c>
      <c r="O1167">
        <v>1</v>
      </c>
      <c r="P1167" t="s">
        <v>776</v>
      </c>
      <c r="Q1167">
        <v>19.899999999999999</v>
      </c>
      <c r="R1167">
        <v>3.59</v>
      </c>
      <c r="Y1167" t="s">
        <v>5467</v>
      </c>
      <c r="Z1167" t="s">
        <v>5468</v>
      </c>
      <c r="AA1167">
        <v>83024</v>
      </c>
      <c r="AB1167" t="s">
        <v>11</v>
      </c>
    </row>
    <row r="1168" spans="1:28" x14ac:dyDescent="0.25">
      <c r="A1168" t="s">
        <v>5469</v>
      </c>
      <c r="B1168" t="s">
        <v>5469</v>
      </c>
      <c r="C1168" t="s">
        <v>5470</v>
      </c>
      <c r="D1168" t="s">
        <v>5471</v>
      </c>
      <c r="E1168" t="s">
        <v>770</v>
      </c>
      <c r="F1168" t="s">
        <v>771</v>
      </c>
      <c r="G1168" t="s">
        <v>1854</v>
      </c>
      <c r="J1168" t="s">
        <v>783</v>
      </c>
      <c r="K1168" t="s">
        <v>1930</v>
      </c>
      <c r="L1168" t="s">
        <v>775</v>
      </c>
      <c r="M1168" t="s">
        <v>65</v>
      </c>
      <c r="N1168" t="s">
        <v>770</v>
      </c>
      <c r="O1168">
        <v>1</v>
      </c>
      <c r="P1168" t="s">
        <v>776</v>
      </c>
      <c r="Q1168">
        <v>29.9</v>
      </c>
      <c r="R1168">
        <v>5.39</v>
      </c>
      <c r="Y1168" t="s">
        <v>5472</v>
      </c>
      <c r="Z1168" t="s">
        <v>3012</v>
      </c>
      <c r="AA1168">
        <v>12084</v>
      </c>
      <c r="AB1168" t="s">
        <v>11</v>
      </c>
    </row>
    <row r="1169" spans="1:28" x14ac:dyDescent="0.25">
      <c r="A1169" t="s">
        <v>5473</v>
      </c>
      <c r="B1169" t="s">
        <v>5473</v>
      </c>
      <c r="C1169" t="s">
        <v>5474</v>
      </c>
      <c r="D1169" t="s">
        <v>5475</v>
      </c>
      <c r="E1169" t="s">
        <v>770</v>
      </c>
      <c r="F1169" t="s">
        <v>771</v>
      </c>
      <c r="G1169" t="s">
        <v>1854</v>
      </c>
      <c r="J1169" t="s">
        <v>783</v>
      </c>
      <c r="K1169" t="s">
        <v>1855</v>
      </c>
      <c r="L1169" t="s">
        <v>1856</v>
      </c>
      <c r="M1169" t="s">
        <v>12</v>
      </c>
      <c r="N1169" t="s">
        <v>770</v>
      </c>
      <c r="O1169">
        <v>1</v>
      </c>
      <c r="P1169" t="s">
        <v>776</v>
      </c>
      <c r="Q1169">
        <v>19.899999999999999</v>
      </c>
      <c r="R1169">
        <v>3.59</v>
      </c>
      <c r="Y1169" t="s">
        <v>5476</v>
      </c>
      <c r="Z1169" t="s">
        <v>3369</v>
      </c>
      <c r="AA1169">
        <v>72015</v>
      </c>
      <c r="AB1169" t="s">
        <v>11</v>
      </c>
    </row>
    <row r="1170" spans="1:28" x14ac:dyDescent="0.25">
      <c r="A1170" t="s">
        <v>5477</v>
      </c>
      <c r="B1170" t="s">
        <v>5477</v>
      </c>
      <c r="C1170" t="s">
        <v>5478</v>
      </c>
      <c r="D1170" t="s">
        <v>5479</v>
      </c>
      <c r="E1170" t="s">
        <v>770</v>
      </c>
      <c r="F1170" t="s">
        <v>771</v>
      </c>
      <c r="G1170" t="s">
        <v>1854</v>
      </c>
      <c r="J1170" t="s">
        <v>783</v>
      </c>
      <c r="K1170" t="s">
        <v>1855</v>
      </c>
      <c r="L1170" t="s">
        <v>1856</v>
      </c>
      <c r="M1170" t="s">
        <v>12</v>
      </c>
      <c r="N1170" t="s">
        <v>770</v>
      </c>
      <c r="O1170">
        <v>1</v>
      </c>
      <c r="P1170" t="s">
        <v>776</v>
      </c>
      <c r="Q1170">
        <v>19.899999999999999</v>
      </c>
      <c r="R1170">
        <v>3.59</v>
      </c>
      <c r="Y1170" t="s">
        <v>5480</v>
      </c>
      <c r="Z1170" t="s">
        <v>1893</v>
      </c>
      <c r="AA1170">
        <v>10090</v>
      </c>
      <c r="AB1170" t="s">
        <v>11</v>
      </c>
    </row>
    <row r="1171" spans="1:28" x14ac:dyDescent="0.25">
      <c r="A1171" t="s">
        <v>5481</v>
      </c>
      <c r="B1171" t="s">
        <v>5481</v>
      </c>
      <c r="C1171" t="s">
        <v>5482</v>
      </c>
      <c r="D1171" t="s">
        <v>5483</v>
      </c>
      <c r="E1171" t="s">
        <v>770</v>
      </c>
      <c r="F1171" t="s">
        <v>771</v>
      </c>
      <c r="G1171" t="s">
        <v>1854</v>
      </c>
      <c r="J1171" t="s">
        <v>783</v>
      </c>
      <c r="K1171" t="s">
        <v>1855</v>
      </c>
      <c r="L1171" t="s">
        <v>1856</v>
      </c>
      <c r="M1171" t="s">
        <v>12</v>
      </c>
      <c r="N1171" t="s">
        <v>770</v>
      </c>
      <c r="O1171">
        <v>1</v>
      </c>
      <c r="P1171" t="s">
        <v>776</v>
      </c>
      <c r="Q1171">
        <v>19.899999999999999</v>
      </c>
      <c r="R1171">
        <v>3.59</v>
      </c>
      <c r="Y1171" t="s">
        <v>3089</v>
      </c>
      <c r="Z1171" t="s">
        <v>2827</v>
      </c>
      <c r="AA1171">
        <v>25122</v>
      </c>
      <c r="AB1171" t="s">
        <v>11</v>
      </c>
    </row>
    <row r="1172" spans="1:28" x14ac:dyDescent="0.25">
      <c r="A1172" t="s">
        <v>5484</v>
      </c>
      <c r="B1172" t="s">
        <v>5484</v>
      </c>
      <c r="C1172" t="s">
        <v>5485</v>
      </c>
      <c r="D1172" t="s">
        <v>5486</v>
      </c>
      <c r="E1172" t="s">
        <v>770</v>
      </c>
      <c r="F1172" t="s">
        <v>771</v>
      </c>
      <c r="G1172" t="s">
        <v>1854</v>
      </c>
      <c r="J1172" t="s">
        <v>783</v>
      </c>
      <c r="K1172" t="s">
        <v>1873</v>
      </c>
      <c r="L1172" t="s">
        <v>840</v>
      </c>
      <c r="M1172" t="s">
        <v>26</v>
      </c>
      <c r="N1172" t="s">
        <v>770</v>
      </c>
      <c r="O1172">
        <v>1</v>
      </c>
      <c r="P1172" t="s">
        <v>776</v>
      </c>
      <c r="Q1172">
        <v>34.9</v>
      </c>
      <c r="R1172">
        <v>6.29</v>
      </c>
      <c r="Y1172" t="s">
        <v>2453</v>
      </c>
      <c r="Z1172" t="s">
        <v>5487</v>
      </c>
      <c r="AA1172">
        <v>71013</v>
      </c>
      <c r="AB1172" t="s">
        <v>11</v>
      </c>
    </row>
    <row r="1173" spans="1:28" x14ac:dyDescent="0.25">
      <c r="A1173" t="s">
        <v>5488</v>
      </c>
      <c r="B1173" t="s">
        <v>5488</v>
      </c>
      <c r="C1173" t="s">
        <v>5489</v>
      </c>
      <c r="D1173" t="s">
        <v>5490</v>
      </c>
      <c r="E1173" t="s">
        <v>770</v>
      </c>
      <c r="F1173" t="s">
        <v>771</v>
      </c>
      <c r="G1173" t="s">
        <v>1854</v>
      </c>
      <c r="J1173" t="s">
        <v>783</v>
      </c>
      <c r="K1173" t="s">
        <v>1862</v>
      </c>
      <c r="L1173" t="s">
        <v>1505</v>
      </c>
      <c r="M1173" t="s">
        <v>53</v>
      </c>
      <c r="N1173" t="s">
        <v>770</v>
      </c>
      <c r="O1173">
        <v>1</v>
      </c>
      <c r="P1173" t="s">
        <v>776</v>
      </c>
      <c r="Q1173">
        <v>32.9</v>
      </c>
      <c r="R1173">
        <v>5.93</v>
      </c>
      <c r="Y1173" t="s">
        <v>1893</v>
      </c>
      <c r="Z1173" t="s">
        <v>1869</v>
      </c>
      <c r="AA1173">
        <v>10138</v>
      </c>
      <c r="AB1173" t="s">
        <v>11</v>
      </c>
    </row>
    <row r="1174" spans="1:28" x14ac:dyDescent="0.25">
      <c r="A1174" t="s">
        <v>5491</v>
      </c>
      <c r="B1174" t="s">
        <v>5491</v>
      </c>
      <c r="C1174" t="s">
        <v>5492</v>
      </c>
      <c r="D1174" t="s">
        <v>5493</v>
      </c>
      <c r="E1174" t="s">
        <v>770</v>
      </c>
      <c r="F1174" t="s">
        <v>771</v>
      </c>
      <c r="G1174" t="s">
        <v>1854</v>
      </c>
      <c r="J1174" t="s">
        <v>783</v>
      </c>
      <c r="K1174" t="s">
        <v>2712</v>
      </c>
      <c r="L1174" t="s">
        <v>1800</v>
      </c>
      <c r="M1174" t="s">
        <v>14</v>
      </c>
      <c r="N1174" t="s">
        <v>770</v>
      </c>
      <c r="O1174">
        <v>1</v>
      </c>
      <c r="P1174" t="s">
        <v>776</v>
      </c>
      <c r="Q1174">
        <v>14.9</v>
      </c>
      <c r="R1174">
        <v>2.69</v>
      </c>
      <c r="Y1174" t="s">
        <v>1875</v>
      </c>
      <c r="Z1174" t="s">
        <v>1875</v>
      </c>
      <c r="AA1174">
        <v>20147</v>
      </c>
      <c r="AB1174" t="s">
        <v>11</v>
      </c>
    </row>
    <row r="1175" spans="1:28" x14ac:dyDescent="0.25">
      <c r="A1175" t="s">
        <v>5494</v>
      </c>
      <c r="B1175" t="s">
        <v>5494</v>
      </c>
      <c r="C1175" t="s">
        <v>5495</v>
      </c>
      <c r="D1175" t="s">
        <v>5496</v>
      </c>
      <c r="E1175" t="s">
        <v>770</v>
      </c>
      <c r="F1175" t="s">
        <v>771</v>
      </c>
      <c r="G1175" t="s">
        <v>1854</v>
      </c>
      <c r="J1175" t="s">
        <v>783</v>
      </c>
      <c r="K1175" t="s">
        <v>1855</v>
      </c>
      <c r="L1175" t="s">
        <v>1856</v>
      </c>
      <c r="M1175" t="s">
        <v>12</v>
      </c>
      <c r="N1175" t="s">
        <v>770</v>
      </c>
      <c r="O1175">
        <v>2</v>
      </c>
      <c r="P1175" t="s">
        <v>776</v>
      </c>
      <c r="Q1175">
        <v>39.799999999999997</v>
      </c>
      <c r="R1175">
        <v>7.18</v>
      </c>
      <c r="Y1175" t="s">
        <v>5497</v>
      </c>
      <c r="Z1175" t="s">
        <v>3113</v>
      </c>
      <c r="AA1175">
        <v>80040</v>
      </c>
      <c r="AB1175" t="s">
        <v>11</v>
      </c>
    </row>
    <row r="1176" spans="1:28" x14ac:dyDescent="0.25">
      <c r="A1176" t="s">
        <v>5498</v>
      </c>
      <c r="B1176" t="s">
        <v>5498</v>
      </c>
      <c r="C1176" t="s">
        <v>5499</v>
      </c>
      <c r="D1176" t="s">
        <v>5500</v>
      </c>
      <c r="E1176" t="s">
        <v>770</v>
      </c>
      <c r="F1176" t="s">
        <v>771</v>
      </c>
      <c r="G1176" t="s">
        <v>1854</v>
      </c>
      <c r="J1176" t="s">
        <v>783</v>
      </c>
      <c r="K1176" t="s">
        <v>1862</v>
      </c>
      <c r="L1176" t="s">
        <v>1505</v>
      </c>
      <c r="M1176" t="s">
        <v>53</v>
      </c>
      <c r="N1176" t="s">
        <v>770</v>
      </c>
      <c r="O1176">
        <v>1</v>
      </c>
      <c r="P1176" t="s">
        <v>776</v>
      </c>
      <c r="Q1176">
        <v>32.9</v>
      </c>
      <c r="R1176">
        <v>5.93</v>
      </c>
      <c r="Y1176" t="s">
        <v>5501</v>
      </c>
      <c r="Z1176" t="s">
        <v>4692</v>
      </c>
      <c r="AA1176">
        <v>60019</v>
      </c>
      <c r="AB1176" t="s">
        <v>11</v>
      </c>
    </row>
    <row r="1177" spans="1:28" x14ac:dyDescent="0.25">
      <c r="A1177" t="s">
        <v>5502</v>
      </c>
      <c r="B1177" t="s">
        <v>5502</v>
      </c>
      <c r="C1177" t="s">
        <v>5503</v>
      </c>
      <c r="D1177" t="s">
        <v>5504</v>
      </c>
      <c r="E1177" t="s">
        <v>770</v>
      </c>
      <c r="F1177" t="s">
        <v>771</v>
      </c>
      <c r="G1177" t="s">
        <v>1854</v>
      </c>
      <c r="J1177" t="s">
        <v>783</v>
      </c>
      <c r="K1177" t="s">
        <v>1873</v>
      </c>
      <c r="L1177" t="s">
        <v>840</v>
      </c>
      <c r="M1177" t="s">
        <v>26</v>
      </c>
      <c r="N1177" t="s">
        <v>770</v>
      </c>
      <c r="O1177">
        <v>1</v>
      </c>
      <c r="P1177" t="s">
        <v>776</v>
      </c>
      <c r="Q1177">
        <v>34.9</v>
      </c>
      <c r="R1177">
        <v>6.29</v>
      </c>
      <c r="Y1177" t="s">
        <v>1908</v>
      </c>
      <c r="Z1177" t="s">
        <v>2025</v>
      </c>
      <c r="AA1177">
        <v>80126</v>
      </c>
      <c r="AB1177" t="s">
        <v>11</v>
      </c>
    </row>
    <row r="1178" spans="1:28" x14ac:dyDescent="0.25">
      <c r="A1178" t="s">
        <v>5505</v>
      </c>
      <c r="B1178" t="s">
        <v>5505</v>
      </c>
      <c r="C1178" t="s">
        <v>5506</v>
      </c>
      <c r="D1178" t="s">
        <v>5507</v>
      </c>
      <c r="E1178" t="s">
        <v>770</v>
      </c>
      <c r="F1178" t="s">
        <v>771</v>
      </c>
      <c r="G1178" t="s">
        <v>1854</v>
      </c>
      <c r="J1178" t="s">
        <v>783</v>
      </c>
      <c r="K1178" t="s">
        <v>1862</v>
      </c>
      <c r="L1178" t="s">
        <v>1505</v>
      </c>
      <c r="M1178" t="s">
        <v>53</v>
      </c>
      <c r="N1178" t="s">
        <v>770</v>
      </c>
      <c r="O1178">
        <v>1</v>
      </c>
      <c r="P1178" t="s">
        <v>776</v>
      </c>
      <c r="Q1178">
        <v>32.9</v>
      </c>
      <c r="R1178">
        <v>5.93</v>
      </c>
      <c r="Y1178" t="s">
        <v>5508</v>
      </c>
      <c r="Z1178" t="s">
        <v>3080</v>
      </c>
      <c r="AA1178">
        <v>30141</v>
      </c>
      <c r="AB1178" t="s">
        <v>11</v>
      </c>
    </row>
    <row r="1179" spans="1:28" x14ac:dyDescent="0.25">
      <c r="A1179" t="s">
        <v>5509</v>
      </c>
      <c r="B1179" t="s">
        <v>5509</v>
      </c>
      <c r="C1179" t="s">
        <v>5510</v>
      </c>
      <c r="D1179" t="s">
        <v>5511</v>
      </c>
      <c r="E1179" t="s">
        <v>770</v>
      </c>
      <c r="F1179" t="s">
        <v>771</v>
      </c>
      <c r="G1179" t="s">
        <v>1854</v>
      </c>
      <c r="J1179" t="s">
        <v>783</v>
      </c>
      <c r="K1179" t="s">
        <v>1862</v>
      </c>
      <c r="L1179" t="s">
        <v>1505</v>
      </c>
      <c r="M1179" t="s">
        <v>53</v>
      </c>
      <c r="N1179" t="s">
        <v>770</v>
      </c>
      <c r="O1179">
        <v>1</v>
      </c>
      <c r="P1179" t="s">
        <v>776</v>
      </c>
      <c r="Q1179">
        <v>32.9</v>
      </c>
      <c r="R1179">
        <v>5.93</v>
      </c>
      <c r="Y1179" t="s">
        <v>5512</v>
      </c>
      <c r="Z1179" t="s">
        <v>2126</v>
      </c>
      <c r="AA1179">
        <v>81020</v>
      </c>
      <c r="AB1179" t="s">
        <v>11</v>
      </c>
    </row>
    <row r="1180" spans="1:28" x14ac:dyDescent="0.25">
      <c r="A1180" t="s">
        <v>5513</v>
      </c>
      <c r="B1180" t="s">
        <v>5513</v>
      </c>
      <c r="C1180" t="s">
        <v>5514</v>
      </c>
      <c r="D1180" t="s">
        <v>5515</v>
      </c>
      <c r="E1180" t="s">
        <v>770</v>
      </c>
      <c r="F1180" t="s">
        <v>771</v>
      </c>
      <c r="G1180" t="s">
        <v>1854</v>
      </c>
      <c r="J1180" t="s">
        <v>783</v>
      </c>
      <c r="K1180" t="s">
        <v>1855</v>
      </c>
      <c r="L1180" t="s">
        <v>1856</v>
      </c>
      <c r="M1180" t="s">
        <v>12</v>
      </c>
      <c r="N1180" t="s">
        <v>770</v>
      </c>
      <c r="O1180">
        <v>1</v>
      </c>
      <c r="P1180" t="s">
        <v>776</v>
      </c>
      <c r="Q1180">
        <v>19.899999999999999</v>
      </c>
      <c r="R1180">
        <v>3.59</v>
      </c>
      <c r="Y1180" t="s">
        <v>5516</v>
      </c>
      <c r="Z1180" t="s">
        <v>2463</v>
      </c>
      <c r="AA1180">
        <v>6034</v>
      </c>
      <c r="AB1180" t="s">
        <v>11</v>
      </c>
    </row>
    <row r="1181" spans="1:28" x14ac:dyDescent="0.25">
      <c r="A1181" t="s">
        <v>5517</v>
      </c>
      <c r="B1181" t="s">
        <v>5517</v>
      </c>
      <c r="C1181" t="s">
        <v>5518</v>
      </c>
      <c r="D1181" t="s">
        <v>5519</v>
      </c>
      <c r="E1181" t="s">
        <v>782</v>
      </c>
      <c r="F1181" t="s">
        <v>771</v>
      </c>
      <c r="G1181" t="s">
        <v>1854</v>
      </c>
      <c r="J1181" t="s">
        <v>783</v>
      </c>
      <c r="K1181" t="s">
        <v>1930</v>
      </c>
      <c r="L1181" t="s">
        <v>775</v>
      </c>
      <c r="M1181" t="s">
        <v>65</v>
      </c>
      <c r="N1181" t="s">
        <v>782</v>
      </c>
      <c r="O1181">
        <v>0</v>
      </c>
      <c r="Y1181" t="s">
        <v>5520</v>
      </c>
      <c r="Z1181" t="s">
        <v>2342</v>
      </c>
      <c r="AA1181">
        <v>90010</v>
      </c>
      <c r="AB1181" t="s">
        <v>11</v>
      </c>
    </row>
    <row r="1182" spans="1:28" x14ac:dyDescent="0.25">
      <c r="A1182" t="s">
        <v>5521</v>
      </c>
      <c r="B1182" t="s">
        <v>5521</v>
      </c>
      <c r="C1182" t="s">
        <v>5522</v>
      </c>
      <c r="D1182" t="s">
        <v>5523</v>
      </c>
      <c r="E1182" t="s">
        <v>770</v>
      </c>
      <c r="F1182" t="s">
        <v>771</v>
      </c>
      <c r="G1182" t="s">
        <v>1854</v>
      </c>
      <c r="J1182" t="s">
        <v>783</v>
      </c>
      <c r="K1182" t="s">
        <v>1873</v>
      </c>
      <c r="L1182" t="s">
        <v>840</v>
      </c>
      <c r="M1182" t="s">
        <v>26</v>
      </c>
      <c r="N1182" t="s">
        <v>770</v>
      </c>
      <c r="O1182">
        <v>1</v>
      </c>
      <c r="P1182" t="s">
        <v>776</v>
      </c>
      <c r="Q1182">
        <v>34.9</v>
      </c>
      <c r="R1182">
        <v>6.29</v>
      </c>
      <c r="Y1182" t="s">
        <v>1979</v>
      </c>
      <c r="Z1182" t="s">
        <v>1979</v>
      </c>
      <c r="AA1182">
        <v>92100</v>
      </c>
      <c r="AB1182" t="s">
        <v>11</v>
      </c>
    </row>
    <row r="1183" spans="1:28" x14ac:dyDescent="0.25">
      <c r="A1183" t="s">
        <v>5524</v>
      </c>
      <c r="B1183" t="s">
        <v>5524</v>
      </c>
      <c r="C1183" t="s">
        <v>5525</v>
      </c>
      <c r="D1183" t="s">
        <v>5526</v>
      </c>
      <c r="E1183" t="s">
        <v>770</v>
      </c>
      <c r="F1183" t="s">
        <v>771</v>
      </c>
      <c r="G1183" t="s">
        <v>1854</v>
      </c>
      <c r="J1183" t="s">
        <v>783</v>
      </c>
      <c r="K1183" t="s">
        <v>1855</v>
      </c>
      <c r="L1183" t="s">
        <v>1856</v>
      </c>
      <c r="M1183" t="s">
        <v>12</v>
      </c>
      <c r="N1183" t="s">
        <v>770</v>
      </c>
      <c r="O1183">
        <v>1</v>
      </c>
      <c r="P1183" t="s">
        <v>776</v>
      </c>
      <c r="Q1183">
        <v>19.899999999999999</v>
      </c>
      <c r="R1183">
        <v>3.59</v>
      </c>
      <c r="Y1183" t="s">
        <v>5527</v>
      </c>
      <c r="Z1183" t="s">
        <v>3121</v>
      </c>
      <c r="AA1183">
        <v>9096</v>
      </c>
      <c r="AB1183" t="s">
        <v>11</v>
      </c>
    </row>
    <row r="1184" spans="1:28" x14ac:dyDescent="0.25">
      <c r="A1184" t="s">
        <v>5528</v>
      </c>
      <c r="B1184" t="s">
        <v>5528</v>
      </c>
      <c r="C1184" t="s">
        <v>5529</v>
      </c>
      <c r="D1184" t="s">
        <v>5530</v>
      </c>
      <c r="E1184" t="s">
        <v>770</v>
      </c>
      <c r="F1184" t="s">
        <v>771</v>
      </c>
      <c r="G1184" t="s">
        <v>1854</v>
      </c>
      <c r="J1184" t="s">
        <v>783</v>
      </c>
      <c r="K1184" t="s">
        <v>1873</v>
      </c>
      <c r="L1184" t="s">
        <v>840</v>
      </c>
      <c r="M1184" t="s">
        <v>26</v>
      </c>
      <c r="N1184" t="s">
        <v>770</v>
      </c>
      <c r="O1184">
        <v>1</v>
      </c>
      <c r="P1184" t="s">
        <v>776</v>
      </c>
      <c r="Q1184">
        <v>34.9</v>
      </c>
      <c r="R1184">
        <v>6.29</v>
      </c>
      <c r="Y1184" t="s">
        <v>5531</v>
      </c>
      <c r="Z1184" t="s">
        <v>1893</v>
      </c>
      <c r="AA1184">
        <v>10095</v>
      </c>
      <c r="AB1184" t="s">
        <v>11</v>
      </c>
    </row>
    <row r="1185" spans="1:35" x14ac:dyDescent="0.25">
      <c r="A1185" t="s">
        <v>5532</v>
      </c>
      <c r="B1185" t="s">
        <v>5532</v>
      </c>
      <c r="C1185" t="s">
        <v>5533</v>
      </c>
      <c r="D1185" t="s">
        <v>5534</v>
      </c>
      <c r="E1185" t="s">
        <v>770</v>
      </c>
      <c r="F1185" t="s">
        <v>771</v>
      </c>
      <c r="G1185" t="s">
        <v>1854</v>
      </c>
      <c r="J1185" t="s">
        <v>783</v>
      </c>
      <c r="K1185" t="s">
        <v>1855</v>
      </c>
      <c r="L1185" t="s">
        <v>1856</v>
      </c>
      <c r="M1185" t="s">
        <v>12</v>
      </c>
      <c r="N1185" t="s">
        <v>770</v>
      </c>
      <c r="O1185">
        <v>1</v>
      </c>
      <c r="P1185" t="s">
        <v>776</v>
      </c>
      <c r="Q1185">
        <v>19.899999999999999</v>
      </c>
      <c r="R1185">
        <v>3.59</v>
      </c>
      <c r="S1185">
        <v>4.99</v>
      </c>
      <c r="T1185">
        <v>0.9</v>
      </c>
      <c r="Y1185" t="s">
        <v>5535</v>
      </c>
      <c r="Z1185" t="s">
        <v>2158</v>
      </c>
      <c r="AA1185">
        <v>24016</v>
      </c>
      <c r="AB1185" t="s">
        <v>11</v>
      </c>
    </row>
    <row r="1186" spans="1:35" x14ac:dyDescent="0.25">
      <c r="A1186" t="s">
        <v>5536</v>
      </c>
      <c r="B1186" t="s">
        <v>5536</v>
      </c>
      <c r="C1186" t="s">
        <v>5537</v>
      </c>
      <c r="D1186" t="s">
        <v>5538</v>
      </c>
      <c r="E1186" t="s">
        <v>770</v>
      </c>
      <c r="F1186" t="s">
        <v>771</v>
      </c>
      <c r="G1186" t="s">
        <v>1854</v>
      </c>
      <c r="J1186" t="s">
        <v>783</v>
      </c>
      <c r="K1186" t="s">
        <v>1855</v>
      </c>
      <c r="L1186" t="s">
        <v>1856</v>
      </c>
      <c r="M1186" t="s">
        <v>12</v>
      </c>
      <c r="N1186" t="s">
        <v>770</v>
      </c>
      <c r="O1186">
        <v>1</v>
      </c>
      <c r="P1186" t="s">
        <v>776</v>
      </c>
      <c r="Q1186">
        <v>19.899999999999999</v>
      </c>
      <c r="R1186">
        <v>3.59</v>
      </c>
      <c r="Y1186" t="s">
        <v>2192</v>
      </c>
      <c r="Z1186" t="s">
        <v>1937</v>
      </c>
      <c r="AA1186">
        <v>24018</v>
      </c>
      <c r="AB1186" t="s">
        <v>11</v>
      </c>
    </row>
    <row r="1187" spans="1:35" x14ac:dyDescent="0.25">
      <c r="A1187" t="s">
        <v>5539</v>
      </c>
      <c r="B1187" t="s">
        <v>5539</v>
      </c>
      <c r="C1187" t="s">
        <v>5540</v>
      </c>
      <c r="D1187" t="s">
        <v>5541</v>
      </c>
      <c r="E1187" t="s">
        <v>782</v>
      </c>
      <c r="F1187" t="s">
        <v>771</v>
      </c>
      <c r="G1187" t="s">
        <v>1854</v>
      </c>
      <c r="J1187" t="s">
        <v>783</v>
      </c>
      <c r="K1187" t="s">
        <v>1862</v>
      </c>
      <c r="L1187" t="s">
        <v>1505</v>
      </c>
      <c r="M1187" t="s">
        <v>53</v>
      </c>
      <c r="N1187" t="s">
        <v>782</v>
      </c>
      <c r="O1187">
        <v>0</v>
      </c>
      <c r="Y1187" t="s">
        <v>5542</v>
      </c>
      <c r="Z1187" t="s">
        <v>2165</v>
      </c>
      <c r="AA1187">
        <v>55016</v>
      </c>
      <c r="AB1187" t="s">
        <v>11</v>
      </c>
    </row>
    <row r="1188" spans="1:35" x14ac:dyDescent="0.25">
      <c r="A1188" t="s">
        <v>5543</v>
      </c>
      <c r="B1188" t="s">
        <v>5543</v>
      </c>
      <c r="C1188" t="s">
        <v>5544</v>
      </c>
      <c r="D1188" t="s">
        <v>5545</v>
      </c>
      <c r="E1188" t="s">
        <v>770</v>
      </c>
      <c r="F1188" t="s">
        <v>771</v>
      </c>
      <c r="G1188" t="s">
        <v>1854</v>
      </c>
      <c r="J1188" t="s">
        <v>783</v>
      </c>
      <c r="K1188" t="s">
        <v>1930</v>
      </c>
      <c r="L1188" t="s">
        <v>775</v>
      </c>
      <c r="M1188" t="s">
        <v>65</v>
      </c>
      <c r="N1188" t="s">
        <v>770</v>
      </c>
      <c r="O1188">
        <v>1</v>
      </c>
      <c r="P1188" t="s">
        <v>776</v>
      </c>
      <c r="Q1188">
        <v>29.9</v>
      </c>
      <c r="R1188">
        <v>5.39</v>
      </c>
      <c r="Y1188" t="s">
        <v>5546</v>
      </c>
      <c r="Z1188" t="s">
        <v>3089</v>
      </c>
      <c r="AA1188">
        <v>25017</v>
      </c>
      <c r="AB1188" t="s">
        <v>11</v>
      </c>
    </row>
    <row r="1189" spans="1:35" x14ac:dyDescent="0.25">
      <c r="A1189" t="s">
        <v>5547</v>
      </c>
      <c r="B1189" t="s">
        <v>5547</v>
      </c>
      <c r="C1189" t="s">
        <v>5548</v>
      </c>
      <c r="D1189" t="s">
        <v>5549</v>
      </c>
      <c r="E1189" t="s">
        <v>770</v>
      </c>
      <c r="F1189" t="s">
        <v>771</v>
      </c>
      <c r="G1189" t="s">
        <v>1854</v>
      </c>
      <c r="J1189" t="s">
        <v>783</v>
      </c>
      <c r="K1189" t="s">
        <v>1855</v>
      </c>
      <c r="L1189" t="s">
        <v>1856</v>
      </c>
      <c r="M1189" t="s">
        <v>12</v>
      </c>
      <c r="N1189" t="s">
        <v>770</v>
      </c>
      <c r="O1189">
        <v>1</v>
      </c>
      <c r="P1189" t="s">
        <v>776</v>
      </c>
      <c r="Q1189">
        <v>19.899999999999999</v>
      </c>
      <c r="R1189">
        <v>3.59</v>
      </c>
      <c r="Y1189" t="s">
        <v>3567</v>
      </c>
      <c r="Z1189" t="s">
        <v>3089</v>
      </c>
      <c r="AA1189">
        <v>25088</v>
      </c>
      <c r="AB1189" t="s">
        <v>11</v>
      </c>
    </row>
    <row r="1190" spans="1:35" x14ac:dyDescent="0.25">
      <c r="A1190" t="s">
        <v>5550</v>
      </c>
      <c r="B1190" t="s">
        <v>5550</v>
      </c>
      <c r="C1190" t="s">
        <v>5551</v>
      </c>
      <c r="D1190" t="s">
        <v>5552</v>
      </c>
      <c r="E1190" t="s">
        <v>782</v>
      </c>
      <c r="F1190" t="s">
        <v>771</v>
      </c>
      <c r="G1190" t="s">
        <v>1854</v>
      </c>
      <c r="J1190" t="s">
        <v>783</v>
      </c>
      <c r="K1190" t="s">
        <v>1879</v>
      </c>
      <c r="L1190" t="s">
        <v>1056</v>
      </c>
      <c r="M1190" t="s">
        <v>212</v>
      </c>
      <c r="N1190" t="s">
        <v>782</v>
      </c>
      <c r="O1190">
        <v>0</v>
      </c>
      <c r="Y1190" t="s">
        <v>5255</v>
      </c>
      <c r="Z1190" t="s">
        <v>2523</v>
      </c>
      <c r="AA1190">
        <v>87046</v>
      </c>
      <c r="AB1190" t="s">
        <v>11</v>
      </c>
    </row>
    <row r="1191" spans="1:35" x14ac:dyDescent="0.25">
      <c r="A1191" t="s">
        <v>5553</v>
      </c>
      <c r="B1191" t="s">
        <v>5553</v>
      </c>
      <c r="C1191" t="s">
        <v>5554</v>
      </c>
      <c r="D1191" t="s">
        <v>5555</v>
      </c>
      <c r="E1191" t="s">
        <v>770</v>
      </c>
      <c r="F1191" t="s">
        <v>771</v>
      </c>
      <c r="G1191" t="s">
        <v>1854</v>
      </c>
      <c r="J1191" t="s">
        <v>783</v>
      </c>
      <c r="K1191" t="s">
        <v>1873</v>
      </c>
      <c r="L1191" t="s">
        <v>840</v>
      </c>
      <c r="M1191" t="s">
        <v>26</v>
      </c>
      <c r="N1191" t="s">
        <v>770</v>
      </c>
      <c r="O1191">
        <v>1</v>
      </c>
      <c r="P1191" t="s">
        <v>776</v>
      </c>
      <c r="Q1191">
        <v>34.9</v>
      </c>
      <c r="R1191">
        <v>6.29</v>
      </c>
      <c r="S1191">
        <v>1.63</v>
      </c>
      <c r="X1191">
        <v>1.63</v>
      </c>
      <c r="Y1191" t="s">
        <v>5556</v>
      </c>
      <c r="Z1191" t="s">
        <v>2930</v>
      </c>
      <c r="AA1191">
        <v>39044</v>
      </c>
      <c r="AB1191" t="s">
        <v>11</v>
      </c>
    </row>
    <row r="1192" spans="1:35" x14ac:dyDescent="0.25">
      <c r="A1192" t="s">
        <v>5557</v>
      </c>
      <c r="B1192" t="s">
        <v>5557</v>
      </c>
      <c r="C1192" t="s">
        <v>5558</v>
      </c>
      <c r="D1192" t="s">
        <v>5559</v>
      </c>
      <c r="E1192" t="s">
        <v>770</v>
      </c>
      <c r="F1192" t="s">
        <v>771</v>
      </c>
      <c r="G1192" t="s">
        <v>1854</v>
      </c>
      <c r="J1192" t="s">
        <v>783</v>
      </c>
      <c r="K1192" t="s">
        <v>1873</v>
      </c>
      <c r="L1192" t="s">
        <v>840</v>
      </c>
      <c r="M1192" t="s">
        <v>26</v>
      </c>
      <c r="N1192" t="s">
        <v>770</v>
      </c>
      <c r="O1192">
        <v>1</v>
      </c>
      <c r="P1192" t="s">
        <v>776</v>
      </c>
      <c r="Q1192">
        <v>34.9</v>
      </c>
      <c r="R1192">
        <v>6.29</v>
      </c>
      <c r="Y1192" t="s">
        <v>5560</v>
      </c>
      <c r="Z1192" t="s">
        <v>2473</v>
      </c>
      <c r="AA1192">
        <v>70016</v>
      </c>
      <c r="AB1192" t="s">
        <v>11</v>
      </c>
    </row>
    <row r="1193" spans="1:35" x14ac:dyDescent="0.25">
      <c r="A1193" t="s">
        <v>5561</v>
      </c>
      <c r="B1193" t="s">
        <v>5561</v>
      </c>
      <c r="C1193" t="s">
        <v>5562</v>
      </c>
      <c r="D1193" t="s">
        <v>5563</v>
      </c>
      <c r="E1193" t="s">
        <v>770</v>
      </c>
      <c r="F1193" t="s">
        <v>771</v>
      </c>
      <c r="G1193" t="s">
        <v>1854</v>
      </c>
      <c r="J1193" t="s">
        <v>783</v>
      </c>
      <c r="K1193" t="s">
        <v>1930</v>
      </c>
      <c r="L1193" t="s">
        <v>775</v>
      </c>
      <c r="M1193" t="s">
        <v>65</v>
      </c>
      <c r="N1193" t="s">
        <v>770</v>
      </c>
      <c r="O1193">
        <v>1</v>
      </c>
      <c r="P1193" t="s">
        <v>776</v>
      </c>
      <c r="Q1193">
        <v>29.9</v>
      </c>
      <c r="R1193">
        <v>5.39</v>
      </c>
      <c r="Y1193" t="s">
        <v>5564</v>
      </c>
      <c r="Z1193" t="s">
        <v>5565</v>
      </c>
      <c r="AA1193">
        <v>41014</v>
      </c>
      <c r="AB1193" t="s">
        <v>11</v>
      </c>
    </row>
    <row r="1194" spans="1:35" x14ac:dyDescent="0.25">
      <c r="A1194" t="s">
        <v>5566</v>
      </c>
      <c r="C1194" t="s">
        <v>5567</v>
      </c>
      <c r="D1194" t="s">
        <v>5568</v>
      </c>
      <c r="E1194" t="s">
        <v>770</v>
      </c>
      <c r="F1194" t="s">
        <v>1884</v>
      </c>
      <c r="G1194" t="s">
        <v>1854</v>
      </c>
      <c r="H1194" t="s">
        <v>1885</v>
      </c>
      <c r="J1194" t="s">
        <v>773</v>
      </c>
      <c r="K1194" t="s">
        <v>2210</v>
      </c>
      <c r="L1194" t="s">
        <v>64</v>
      </c>
      <c r="M1194" t="s">
        <v>63</v>
      </c>
      <c r="N1194" t="s">
        <v>770</v>
      </c>
      <c r="O1194">
        <v>1</v>
      </c>
      <c r="P1194" t="s">
        <v>776</v>
      </c>
      <c r="Q1194">
        <v>70.900000000000006</v>
      </c>
      <c r="R1194">
        <v>12.79</v>
      </c>
      <c r="S1194">
        <v>3</v>
      </c>
      <c r="T1194">
        <v>0.54</v>
      </c>
      <c r="Y1194" t="s">
        <v>2602</v>
      </c>
      <c r="Z1194" t="s">
        <v>2602</v>
      </c>
      <c r="AA1194">
        <v>16139</v>
      </c>
      <c r="AB1194" t="s">
        <v>11</v>
      </c>
      <c r="AG1194">
        <v>2523970990</v>
      </c>
      <c r="AH1194" t="s">
        <v>11</v>
      </c>
      <c r="AI1194" t="s">
        <v>1258</v>
      </c>
    </row>
    <row r="1195" spans="1:35" x14ac:dyDescent="0.25">
      <c r="A1195" t="s">
        <v>5569</v>
      </c>
      <c r="B1195" t="s">
        <v>5569</v>
      </c>
      <c r="C1195" t="s">
        <v>5570</v>
      </c>
      <c r="D1195" t="s">
        <v>5571</v>
      </c>
      <c r="E1195" t="s">
        <v>770</v>
      </c>
      <c r="F1195" t="s">
        <v>771</v>
      </c>
      <c r="G1195" t="s">
        <v>1854</v>
      </c>
      <c r="J1195" t="s">
        <v>783</v>
      </c>
      <c r="K1195" t="s">
        <v>3363</v>
      </c>
      <c r="L1195" t="s">
        <v>5572</v>
      </c>
      <c r="M1195" t="s">
        <v>71</v>
      </c>
      <c r="N1195" t="s">
        <v>770</v>
      </c>
      <c r="O1195">
        <v>1</v>
      </c>
      <c r="P1195" t="s">
        <v>776</v>
      </c>
      <c r="Q1195">
        <v>29.9</v>
      </c>
      <c r="R1195">
        <v>5.39</v>
      </c>
      <c r="Y1195" t="s">
        <v>3117</v>
      </c>
      <c r="Z1195" t="s">
        <v>1997</v>
      </c>
      <c r="AA1195">
        <v>50018</v>
      </c>
      <c r="AB1195" t="s">
        <v>11</v>
      </c>
    </row>
    <row r="1196" spans="1:35" x14ac:dyDescent="0.25">
      <c r="A1196" t="s">
        <v>5573</v>
      </c>
      <c r="B1196" t="s">
        <v>5573</v>
      </c>
      <c r="C1196" t="s">
        <v>5574</v>
      </c>
      <c r="D1196" t="s">
        <v>5575</v>
      </c>
      <c r="E1196" t="s">
        <v>770</v>
      </c>
      <c r="F1196" t="s">
        <v>771</v>
      </c>
      <c r="G1196" t="s">
        <v>1854</v>
      </c>
      <c r="J1196" t="s">
        <v>783</v>
      </c>
      <c r="K1196" t="s">
        <v>1862</v>
      </c>
      <c r="L1196" t="s">
        <v>1505</v>
      </c>
      <c r="M1196" t="s">
        <v>53</v>
      </c>
      <c r="N1196" t="s">
        <v>770</v>
      </c>
      <c r="O1196">
        <v>1</v>
      </c>
      <c r="P1196" t="s">
        <v>776</v>
      </c>
      <c r="Q1196">
        <v>32.9</v>
      </c>
      <c r="R1196">
        <v>5.93</v>
      </c>
      <c r="Y1196" t="s">
        <v>2188</v>
      </c>
      <c r="Z1196" t="s">
        <v>2807</v>
      </c>
      <c r="AA1196">
        <v>64100</v>
      </c>
      <c r="AB1196" t="s">
        <v>11</v>
      </c>
    </row>
    <row r="1197" spans="1:35" x14ac:dyDescent="0.25">
      <c r="A1197" t="s">
        <v>5576</v>
      </c>
      <c r="B1197" t="s">
        <v>5576</v>
      </c>
      <c r="C1197" t="s">
        <v>5577</v>
      </c>
      <c r="D1197" t="s">
        <v>5578</v>
      </c>
      <c r="E1197" t="s">
        <v>770</v>
      </c>
      <c r="F1197" t="s">
        <v>771</v>
      </c>
      <c r="G1197" t="s">
        <v>1854</v>
      </c>
      <c r="J1197" t="s">
        <v>783</v>
      </c>
      <c r="K1197" t="s">
        <v>2055</v>
      </c>
      <c r="L1197" t="s">
        <v>806</v>
      </c>
      <c r="M1197" t="s">
        <v>202</v>
      </c>
      <c r="N1197" t="s">
        <v>770</v>
      </c>
      <c r="O1197">
        <v>1</v>
      </c>
      <c r="P1197" t="s">
        <v>776</v>
      </c>
      <c r="Q1197">
        <v>14.9</v>
      </c>
      <c r="R1197">
        <v>2.69</v>
      </c>
      <c r="Y1197" t="s">
        <v>1997</v>
      </c>
      <c r="Z1197" t="s">
        <v>5579</v>
      </c>
      <c r="AA1197">
        <v>50031</v>
      </c>
      <c r="AB1197" t="s">
        <v>11</v>
      </c>
    </row>
    <row r="1198" spans="1:35" x14ac:dyDescent="0.25">
      <c r="A1198" t="s">
        <v>5580</v>
      </c>
      <c r="B1198" t="s">
        <v>5580</v>
      </c>
      <c r="C1198" t="s">
        <v>5581</v>
      </c>
      <c r="D1198" t="s">
        <v>5582</v>
      </c>
      <c r="E1198" t="s">
        <v>770</v>
      </c>
      <c r="F1198" t="s">
        <v>771</v>
      </c>
      <c r="G1198" t="s">
        <v>1854</v>
      </c>
      <c r="I1198" t="s">
        <v>2692</v>
      </c>
      <c r="J1198" t="s">
        <v>783</v>
      </c>
      <c r="K1198" t="s">
        <v>2712</v>
      </c>
      <c r="L1198" t="s">
        <v>1800</v>
      </c>
      <c r="M1198" t="s">
        <v>14</v>
      </c>
      <c r="N1198" t="s">
        <v>770</v>
      </c>
      <c r="O1198">
        <v>1</v>
      </c>
      <c r="P1198" t="s">
        <v>776</v>
      </c>
      <c r="Q1198">
        <v>14.9</v>
      </c>
      <c r="R1198">
        <v>2.69</v>
      </c>
      <c r="Y1198" t="s">
        <v>3817</v>
      </c>
      <c r="Z1198" t="s">
        <v>3818</v>
      </c>
      <c r="AA1198">
        <v>2032</v>
      </c>
      <c r="AB1198" t="s">
        <v>11</v>
      </c>
    </row>
    <row r="1199" spans="1:35" x14ac:dyDescent="0.25">
      <c r="A1199" t="s">
        <v>5583</v>
      </c>
      <c r="B1199" t="s">
        <v>5583</v>
      </c>
      <c r="C1199" t="s">
        <v>5584</v>
      </c>
      <c r="D1199" t="s">
        <v>5585</v>
      </c>
      <c r="E1199" t="s">
        <v>770</v>
      </c>
      <c r="F1199" t="s">
        <v>771</v>
      </c>
      <c r="G1199" t="s">
        <v>1854</v>
      </c>
      <c r="J1199" t="s">
        <v>783</v>
      </c>
      <c r="K1199" t="s">
        <v>1930</v>
      </c>
      <c r="L1199" t="s">
        <v>775</v>
      </c>
      <c r="M1199" t="s">
        <v>65</v>
      </c>
      <c r="N1199" t="s">
        <v>770</v>
      </c>
      <c r="O1199">
        <v>1</v>
      </c>
      <c r="P1199" t="s">
        <v>776</v>
      </c>
      <c r="Q1199">
        <v>29.9</v>
      </c>
      <c r="R1199">
        <v>5.39</v>
      </c>
      <c r="Y1199" t="s">
        <v>5586</v>
      </c>
      <c r="Z1199" t="s">
        <v>4653</v>
      </c>
      <c r="AA1199">
        <v>54038</v>
      </c>
      <c r="AB1199" t="s">
        <v>11</v>
      </c>
    </row>
    <row r="1200" spans="1:35" x14ac:dyDescent="0.25">
      <c r="A1200" t="s">
        <v>5587</v>
      </c>
      <c r="B1200" t="s">
        <v>5587</v>
      </c>
      <c r="C1200" t="s">
        <v>5588</v>
      </c>
      <c r="D1200" t="s">
        <v>5589</v>
      </c>
      <c r="E1200" t="s">
        <v>770</v>
      </c>
      <c r="F1200" t="s">
        <v>771</v>
      </c>
      <c r="G1200" t="s">
        <v>1854</v>
      </c>
      <c r="J1200" t="s">
        <v>783</v>
      </c>
      <c r="K1200" t="s">
        <v>1855</v>
      </c>
      <c r="L1200" t="s">
        <v>1856</v>
      </c>
      <c r="M1200" t="s">
        <v>12</v>
      </c>
      <c r="N1200" t="s">
        <v>770</v>
      </c>
      <c r="O1200">
        <v>2</v>
      </c>
      <c r="P1200" t="s">
        <v>776</v>
      </c>
      <c r="Q1200">
        <v>39.799999999999997</v>
      </c>
      <c r="R1200">
        <v>7.18</v>
      </c>
      <c r="Y1200" t="s">
        <v>5590</v>
      </c>
      <c r="Z1200" t="s">
        <v>2143</v>
      </c>
      <c r="AA1200">
        <v>3029</v>
      </c>
      <c r="AB1200" t="s">
        <v>11</v>
      </c>
    </row>
    <row r="1201" spans="1:28" x14ac:dyDescent="0.25">
      <c r="A1201" t="s">
        <v>5591</v>
      </c>
      <c r="B1201" t="s">
        <v>5591</v>
      </c>
      <c r="C1201" t="s">
        <v>5592</v>
      </c>
      <c r="D1201" t="s">
        <v>5593</v>
      </c>
      <c r="E1201" t="s">
        <v>770</v>
      </c>
      <c r="F1201" t="s">
        <v>771</v>
      </c>
      <c r="G1201" t="s">
        <v>1854</v>
      </c>
      <c r="J1201" t="s">
        <v>783</v>
      </c>
      <c r="K1201" t="s">
        <v>1855</v>
      </c>
      <c r="L1201" t="s">
        <v>1856</v>
      </c>
      <c r="M1201" t="s">
        <v>12</v>
      </c>
      <c r="N1201" t="s">
        <v>770</v>
      </c>
      <c r="O1201">
        <v>1</v>
      </c>
      <c r="P1201" t="s">
        <v>776</v>
      </c>
      <c r="Q1201">
        <v>19.899999999999999</v>
      </c>
      <c r="R1201">
        <v>3.59</v>
      </c>
      <c r="Y1201" t="s">
        <v>5516</v>
      </c>
      <c r="Z1201" t="s">
        <v>2464</v>
      </c>
      <c r="AA1201">
        <v>6034</v>
      </c>
      <c r="AB1201" t="s">
        <v>11</v>
      </c>
    </row>
    <row r="1202" spans="1:28" x14ac:dyDescent="0.25">
      <c r="A1202" t="s">
        <v>5594</v>
      </c>
      <c r="C1202" t="s">
        <v>5595</v>
      </c>
      <c r="D1202" t="s">
        <v>5596</v>
      </c>
      <c r="E1202" t="s">
        <v>770</v>
      </c>
      <c r="F1202" t="s">
        <v>1884</v>
      </c>
      <c r="G1202" t="s">
        <v>1854</v>
      </c>
      <c r="H1202" t="s">
        <v>1885</v>
      </c>
      <c r="J1202" t="s">
        <v>773</v>
      </c>
      <c r="K1202" t="s">
        <v>3042</v>
      </c>
      <c r="L1202" s="2">
        <v>90825</v>
      </c>
      <c r="M1202" t="s">
        <v>320</v>
      </c>
      <c r="N1202" t="s">
        <v>770</v>
      </c>
      <c r="O1202">
        <v>1</v>
      </c>
      <c r="P1202" t="s">
        <v>776</v>
      </c>
      <c r="Q1202">
        <v>46.9</v>
      </c>
      <c r="R1202">
        <v>8.4600000000000009</v>
      </c>
      <c r="S1202">
        <v>3</v>
      </c>
      <c r="T1202">
        <v>0.54</v>
      </c>
      <c r="Y1202" t="s">
        <v>2720</v>
      </c>
      <c r="Z1202" t="s">
        <v>2720</v>
      </c>
      <c r="AA1202">
        <v>27100</v>
      </c>
      <c r="AB1202" t="s">
        <v>11</v>
      </c>
    </row>
    <row r="1203" spans="1:28" x14ac:dyDescent="0.25">
      <c r="A1203" t="s">
        <v>5597</v>
      </c>
      <c r="B1203" t="s">
        <v>5597</v>
      </c>
      <c r="C1203" t="s">
        <v>5598</v>
      </c>
      <c r="D1203" t="s">
        <v>5599</v>
      </c>
      <c r="E1203" t="s">
        <v>770</v>
      </c>
      <c r="F1203" t="s">
        <v>771</v>
      </c>
      <c r="G1203" t="s">
        <v>1854</v>
      </c>
      <c r="J1203" t="s">
        <v>783</v>
      </c>
      <c r="K1203" t="s">
        <v>1960</v>
      </c>
      <c r="L1203" t="s">
        <v>1047</v>
      </c>
      <c r="M1203" t="s">
        <v>21</v>
      </c>
      <c r="N1203" t="s">
        <v>770</v>
      </c>
      <c r="O1203">
        <v>1</v>
      </c>
      <c r="P1203" t="s">
        <v>776</v>
      </c>
      <c r="Q1203">
        <v>29.9</v>
      </c>
      <c r="R1203">
        <v>5.39</v>
      </c>
      <c r="Y1203" t="s">
        <v>1875</v>
      </c>
      <c r="Z1203" t="s">
        <v>1875</v>
      </c>
      <c r="AA1203">
        <v>20122</v>
      </c>
      <c r="AB1203" t="s">
        <v>11</v>
      </c>
    </row>
    <row r="1204" spans="1:28" x14ac:dyDescent="0.25">
      <c r="A1204" t="s">
        <v>5600</v>
      </c>
      <c r="B1204" t="s">
        <v>5600</v>
      </c>
      <c r="C1204" t="s">
        <v>5601</v>
      </c>
      <c r="D1204" t="s">
        <v>5602</v>
      </c>
      <c r="E1204" t="s">
        <v>770</v>
      </c>
      <c r="F1204" t="s">
        <v>771</v>
      </c>
      <c r="G1204" t="s">
        <v>1854</v>
      </c>
      <c r="I1204" t="s">
        <v>2692</v>
      </c>
      <c r="J1204" t="s">
        <v>783</v>
      </c>
      <c r="K1204" t="s">
        <v>2712</v>
      </c>
      <c r="L1204" t="s">
        <v>1800</v>
      </c>
      <c r="M1204" t="s">
        <v>14</v>
      </c>
      <c r="N1204" t="s">
        <v>770</v>
      </c>
      <c r="O1204">
        <v>2</v>
      </c>
      <c r="P1204" t="s">
        <v>776</v>
      </c>
      <c r="Q1204">
        <v>29.8</v>
      </c>
      <c r="R1204">
        <v>5.38</v>
      </c>
      <c r="Y1204" t="s">
        <v>3817</v>
      </c>
      <c r="Z1204" t="s">
        <v>3818</v>
      </c>
      <c r="AA1204">
        <v>2032</v>
      </c>
      <c r="AB1204" t="s">
        <v>11</v>
      </c>
    </row>
    <row r="1205" spans="1:28" x14ac:dyDescent="0.25">
      <c r="A1205" t="s">
        <v>5603</v>
      </c>
      <c r="B1205" t="s">
        <v>5603</v>
      </c>
      <c r="C1205" t="s">
        <v>5604</v>
      </c>
      <c r="D1205" t="s">
        <v>5605</v>
      </c>
      <c r="E1205" t="s">
        <v>770</v>
      </c>
      <c r="F1205" t="s">
        <v>771</v>
      </c>
      <c r="G1205" t="s">
        <v>1854</v>
      </c>
      <c r="J1205" t="s">
        <v>783</v>
      </c>
      <c r="K1205" t="s">
        <v>1855</v>
      </c>
      <c r="L1205" t="s">
        <v>1856</v>
      </c>
      <c r="M1205" t="s">
        <v>12</v>
      </c>
      <c r="N1205" t="s">
        <v>770</v>
      </c>
      <c r="O1205">
        <v>1</v>
      </c>
      <c r="P1205" t="s">
        <v>776</v>
      </c>
      <c r="Q1205">
        <v>19.899999999999999</v>
      </c>
      <c r="R1205">
        <v>3.59</v>
      </c>
      <c r="Y1205" t="s">
        <v>5225</v>
      </c>
      <c r="Z1205" t="s">
        <v>1913</v>
      </c>
      <c r="AA1205">
        <v>55</v>
      </c>
      <c r="AB1205" t="s">
        <v>11</v>
      </c>
    </row>
    <row r="1206" spans="1:28" x14ac:dyDescent="0.25">
      <c r="A1206" t="s">
        <v>5606</v>
      </c>
      <c r="B1206" t="s">
        <v>5606</v>
      </c>
      <c r="C1206" t="s">
        <v>5607</v>
      </c>
      <c r="D1206" t="s">
        <v>5608</v>
      </c>
      <c r="E1206" t="s">
        <v>782</v>
      </c>
      <c r="F1206" t="s">
        <v>771</v>
      </c>
      <c r="G1206" t="s">
        <v>1854</v>
      </c>
      <c r="J1206" t="s">
        <v>783</v>
      </c>
      <c r="K1206" t="s">
        <v>1855</v>
      </c>
      <c r="L1206" t="s">
        <v>1856</v>
      </c>
      <c r="M1206" t="s">
        <v>12</v>
      </c>
      <c r="N1206" t="s">
        <v>782</v>
      </c>
      <c r="O1206">
        <v>0</v>
      </c>
      <c r="Y1206" t="s">
        <v>1913</v>
      </c>
      <c r="Z1206" t="s">
        <v>1913</v>
      </c>
      <c r="AA1206">
        <v>139</v>
      </c>
      <c r="AB1206" t="s">
        <v>11</v>
      </c>
    </row>
    <row r="1207" spans="1:28" x14ac:dyDescent="0.25">
      <c r="A1207" t="s">
        <v>5609</v>
      </c>
      <c r="B1207" t="s">
        <v>5609</v>
      </c>
      <c r="C1207" t="s">
        <v>5610</v>
      </c>
      <c r="D1207" t="s">
        <v>5611</v>
      </c>
      <c r="E1207" t="s">
        <v>770</v>
      </c>
      <c r="F1207" t="s">
        <v>771</v>
      </c>
      <c r="G1207" t="s">
        <v>1854</v>
      </c>
      <c r="J1207" t="s">
        <v>783</v>
      </c>
      <c r="K1207" t="s">
        <v>1873</v>
      </c>
      <c r="L1207" t="s">
        <v>840</v>
      </c>
      <c r="M1207" t="s">
        <v>26</v>
      </c>
      <c r="N1207" t="s">
        <v>770</v>
      </c>
      <c r="O1207">
        <v>1</v>
      </c>
      <c r="P1207" t="s">
        <v>776</v>
      </c>
      <c r="Q1207">
        <v>34.9</v>
      </c>
      <c r="R1207">
        <v>6.29</v>
      </c>
      <c r="S1207">
        <v>4.99</v>
      </c>
      <c r="T1207">
        <v>0.9</v>
      </c>
      <c r="Y1207" t="s">
        <v>4213</v>
      </c>
      <c r="Z1207" t="s">
        <v>2025</v>
      </c>
      <c r="AA1207">
        <v>80017</v>
      </c>
      <c r="AB1207" t="s">
        <v>11</v>
      </c>
    </row>
    <row r="1208" spans="1:28" x14ac:dyDescent="0.25">
      <c r="A1208" t="s">
        <v>5612</v>
      </c>
      <c r="B1208" t="s">
        <v>5612</v>
      </c>
      <c r="C1208" t="s">
        <v>5613</v>
      </c>
      <c r="D1208" t="s">
        <v>5614</v>
      </c>
      <c r="E1208" t="s">
        <v>770</v>
      </c>
      <c r="F1208" t="s">
        <v>771</v>
      </c>
      <c r="G1208" t="s">
        <v>1854</v>
      </c>
      <c r="J1208" t="s">
        <v>783</v>
      </c>
      <c r="K1208" t="s">
        <v>1855</v>
      </c>
      <c r="L1208" t="s">
        <v>1856</v>
      </c>
      <c r="M1208" t="s">
        <v>12</v>
      </c>
      <c r="N1208" t="s">
        <v>770</v>
      </c>
      <c r="O1208">
        <v>1</v>
      </c>
      <c r="P1208" t="s">
        <v>776</v>
      </c>
      <c r="Q1208">
        <v>19.899999999999999</v>
      </c>
      <c r="R1208">
        <v>3.59</v>
      </c>
      <c r="Y1208" t="s">
        <v>5615</v>
      </c>
      <c r="Z1208" t="s">
        <v>2602</v>
      </c>
      <c r="AA1208">
        <v>16038</v>
      </c>
      <c r="AB1208" t="s">
        <v>11</v>
      </c>
    </row>
    <row r="1209" spans="1:28" x14ac:dyDescent="0.25">
      <c r="A1209" t="s">
        <v>5616</v>
      </c>
      <c r="B1209" t="s">
        <v>5616</v>
      </c>
      <c r="C1209" t="s">
        <v>5617</v>
      </c>
      <c r="D1209" t="s">
        <v>5618</v>
      </c>
      <c r="E1209" t="s">
        <v>770</v>
      </c>
      <c r="F1209" t="s">
        <v>771</v>
      </c>
      <c r="G1209" t="s">
        <v>1854</v>
      </c>
      <c r="J1209" t="s">
        <v>783</v>
      </c>
      <c r="K1209" t="s">
        <v>2055</v>
      </c>
      <c r="L1209" t="s">
        <v>806</v>
      </c>
      <c r="M1209" t="s">
        <v>202</v>
      </c>
      <c r="N1209" t="s">
        <v>770</v>
      </c>
      <c r="O1209">
        <v>1</v>
      </c>
      <c r="P1209" t="s">
        <v>776</v>
      </c>
      <c r="Q1209">
        <v>14.9</v>
      </c>
      <c r="R1209">
        <v>2.69</v>
      </c>
      <c r="Y1209" t="s">
        <v>5619</v>
      </c>
      <c r="Z1209" t="s">
        <v>2101</v>
      </c>
      <c r="AA1209">
        <v>47853</v>
      </c>
      <c r="AB1209" t="s">
        <v>11</v>
      </c>
    </row>
    <row r="1210" spans="1:28" x14ac:dyDescent="0.25">
      <c r="A1210" t="s">
        <v>5620</v>
      </c>
      <c r="B1210" t="s">
        <v>5620</v>
      </c>
      <c r="C1210" t="s">
        <v>5621</v>
      </c>
      <c r="D1210" t="s">
        <v>5622</v>
      </c>
      <c r="E1210" t="s">
        <v>770</v>
      </c>
      <c r="F1210" t="s">
        <v>771</v>
      </c>
      <c r="G1210" t="s">
        <v>1854</v>
      </c>
      <c r="J1210" t="s">
        <v>783</v>
      </c>
      <c r="K1210" t="s">
        <v>2652</v>
      </c>
      <c r="L1210" t="s">
        <v>1831</v>
      </c>
      <c r="M1210" t="s">
        <v>51</v>
      </c>
      <c r="N1210" t="s">
        <v>770</v>
      </c>
      <c r="O1210">
        <v>1</v>
      </c>
      <c r="P1210" t="s">
        <v>776</v>
      </c>
      <c r="Q1210">
        <v>24.9</v>
      </c>
      <c r="R1210">
        <v>4.49</v>
      </c>
      <c r="Y1210" t="s">
        <v>1913</v>
      </c>
      <c r="Z1210" t="s">
        <v>2548</v>
      </c>
      <c r="AA1210">
        <v>177</v>
      </c>
      <c r="AB1210" t="s">
        <v>11</v>
      </c>
    </row>
    <row r="1211" spans="1:28" x14ac:dyDescent="0.25">
      <c r="A1211" t="s">
        <v>5623</v>
      </c>
      <c r="B1211" t="s">
        <v>5623</v>
      </c>
      <c r="C1211" t="s">
        <v>5624</v>
      </c>
      <c r="D1211" t="s">
        <v>5625</v>
      </c>
      <c r="E1211" t="s">
        <v>770</v>
      </c>
      <c r="F1211" t="s">
        <v>771</v>
      </c>
      <c r="G1211" t="s">
        <v>1854</v>
      </c>
      <c r="J1211" t="s">
        <v>783</v>
      </c>
      <c r="K1211" t="s">
        <v>1855</v>
      </c>
      <c r="L1211" t="s">
        <v>1856</v>
      </c>
      <c r="M1211" t="s">
        <v>12</v>
      </c>
      <c r="N1211" t="s">
        <v>770</v>
      </c>
      <c r="O1211">
        <v>1</v>
      </c>
      <c r="P1211" t="s">
        <v>776</v>
      </c>
      <c r="Q1211">
        <v>19.899999999999999</v>
      </c>
      <c r="R1211">
        <v>3.59</v>
      </c>
      <c r="Y1211" t="s">
        <v>5626</v>
      </c>
      <c r="Z1211" t="s">
        <v>5627</v>
      </c>
      <c r="AA1211">
        <v>26812</v>
      </c>
      <c r="AB1211" t="s">
        <v>11</v>
      </c>
    </row>
    <row r="1212" spans="1:28" x14ac:dyDescent="0.25">
      <c r="A1212" t="s">
        <v>5628</v>
      </c>
      <c r="B1212" t="s">
        <v>5628</v>
      </c>
      <c r="C1212" t="s">
        <v>5629</v>
      </c>
      <c r="D1212" t="s">
        <v>5630</v>
      </c>
      <c r="E1212" t="s">
        <v>770</v>
      </c>
      <c r="F1212" t="s">
        <v>771</v>
      </c>
      <c r="G1212" t="s">
        <v>1854</v>
      </c>
      <c r="J1212" t="s">
        <v>783</v>
      </c>
      <c r="K1212" t="s">
        <v>1855</v>
      </c>
      <c r="L1212" t="s">
        <v>1856</v>
      </c>
      <c r="M1212" t="s">
        <v>12</v>
      </c>
      <c r="N1212" t="s">
        <v>770</v>
      </c>
      <c r="O1212">
        <v>1</v>
      </c>
      <c r="P1212" t="s">
        <v>776</v>
      </c>
      <c r="Q1212">
        <v>19.899999999999999</v>
      </c>
      <c r="R1212">
        <v>3.59</v>
      </c>
      <c r="Y1212" t="s">
        <v>5631</v>
      </c>
      <c r="Z1212" t="s">
        <v>2481</v>
      </c>
      <c r="AA1212">
        <v>88811</v>
      </c>
      <c r="AB1212" t="s">
        <v>11</v>
      </c>
    </row>
    <row r="1213" spans="1:28" x14ac:dyDescent="0.25">
      <c r="A1213" t="s">
        <v>5632</v>
      </c>
      <c r="B1213" t="s">
        <v>5632</v>
      </c>
      <c r="C1213" t="s">
        <v>5633</v>
      </c>
      <c r="D1213" t="s">
        <v>5634</v>
      </c>
      <c r="E1213" t="s">
        <v>770</v>
      </c>
      <c r="F1213" t="s">
        <v>771</v>
      </c>
      <c r="G1213" t="s">
        <v>1854</v>
      </c>
      <c r="J1213" t="s">
        <v>783</v>
      </c>
      <c r="K1213" t="s">
        <v>1855</v>
      </c>
      <c r="L1213" t="s">
        <v>1856</v>
      </c>
      <c r="M1213" t="s">
        <v>12</v>
      </c>
      <c r="N1213" t="s">
        <v>770</v>
      </c>
      <c r="O1213">
        <v>1</v>
      </c>
      <c r="P1213" t="s">
        <v>776</v>
      </c>
      <c r="Q1213">
        <v>19.899999999999999</v>
      </c>
      <c r="R1213">
        <v>3.59</v>
      </c>
      <c r="S1213">
        <v>1.0900000000000001</v>
      </c>
      <c r="X1213">
        <v>1.0900000000000001</v>
      </c>
      <c r="Y1213" t="s">
        <v>5635</v>
      </c>
      <c r="Z1213" t="s">
        <v>5636</v>
      </c>
      <c r="AA1213">
        <v>80033</v>
      </c>
      <c r="AB1213" t="s">
        <v>11</v>
      </c>
    </row>
    <row r="1214" spans="1:28" x14ac:dyDescent="0.25">
      <c r="A1214" t="s">
        <v>5637</v>
      </c>
      <c r="B1214" t="s">
        <v>5637</v>
      </c>
      <c r="C1214" t="s">
        <v>5638</v>
      </c>
      <c r="D1214" t="s">
        <v>5639</v>
      </c>
      <c r="E1214" t="s">
        <v>770</v>
      </c>
      <c r="F1214" t="s">
        <v>771</v>
      </c>
      <c r="G1214" t="s">
        <v>1854</v>
      </c>
      <c r="J1214" t="s">
        <v>783</v>
      </c>
      <c r="K1214" t="s">
        <v>1855</v>
      </c>
      <c r="L1214" t="s">
        <v>1856</v>
      </c>
      <c r="M1214" t="s">
        <v>12</v>
      </c>
      <c r="N1214" t="s">
        <v>770</v>
      </c>
      <c r="O1214">
        <v>1</v>
      </c>
      <c r="P1214" t="s">
        <v>776</v>
      </c>
      <c r="Q1214">
        <v>19.899999999999999</v>
      </c>
      <c r="R1214">
        <v>3.59</v>
      </c>
      <c r="Y1214" t="s">
        <v>2009</v>
      </c>
      <c r="Z1214" t="s">
        <v>2025</v>
      </c>
      <c r="AA1214">
        <v>80014</v>
      </c>
      <c r="AB1214" t="s">
        <v>11</v>
      </c>
    </row>
    <row r="1215" spans="1:28" x14ac:dyDescent="0.25">
      <c r="A1215" t="s">
        <v>5640</v>
      </c>
      <c r="B1215" t="s">
        <v>5640</v>
      </c>
      <c r="C1215" t="s">
        <v>5641</v>
      </c>
      <c r="D1215" t="s">
        <v>5642</v>
      </c>
      <c r="E1215" t="s">
        <v>770</v>
      </c>
      <c r="F1215" t="s">
        <v>771</v>
      </c>
      <c r="G1215" t="s">
        <v>1854</v>
      </c>
      <c r="J1215" t="s">
        <v>783</v>
      </c>
      <c r="K1215" t="s">
        <v>1930</v>
      </c>
      <c r="L1215" t="s">
        <v>775</v>
      </c>
      <c r="M1215" t="s">
        <v>65</v>
      </c>
      <c r="N1215" t="s">
        <v>770</v>
      </c>
      <c r="O1215">
        <v>1</v>
      </c>
      <c r="P1215" t="s">
        <v>776</v>
      </c>
      <c r="Q1215">
        <v>29.9</v>
      </c>
      <c r="R1215">
        <v>5.39</v>
      </c>
      <c r="Y1215" t="s">
        <v>5643</v>
      </c>
      <c r="Z1215" t="s">
        <v>3080</v>
      </c>
      <c r="AA1215">
        <v>30038</v>
      </c>
      <c r="AB1215" t="s">
        <v>11</v>
      </c>
    </row>
    <row r="1216" spans="1:28" x14ac:dyDescent="0.25">
      <c r="A1216" t="s">
        <v>5644</v>
      </c>
      <c r="B1216" t="s">
        <v>5644</v>
      </c>
      <c r="C1216" t="s">
        <v>5645</v>
      </c>
      <c r="D1216" t="s">
        <v>5646</v>
      </c>
      <c r="E1216" t="s">
        <v>770</v>
      </c>
      <c r="F1216" t="s">
        <v>771</v>
      </c>
      <c r="G1216" t="s">
        <v>1854</v>
      </c>
      <c r="J1216" t="s">
        <v>783</v>
      </c>
      <c r="K1216" t="s">
        <v>1855</v>
      </c>
      <c r="L1216" t="s">
        <v>1856</v>
      </c>
      <c r="M1216" t="s">
        <v>12</v>
      </c>
      <c r="N1216" t="s">
        <v>770</v>
      </c>
      <c r="O1216">
        <v>2</v>
      </c>
      <c r="P1216" t="s">
        <v>776</v>
      </c>
      <c r="Q1216">
        <v>39.799999999999997</v>
      </c>
      <c r="R1216">
        <v>7.18</v>
      </c>
      <c r="Y1216" t="s">
        <v>5647</v>
      </c>
      <c r="Z1216" t="s">
        <v>3577</v>
      </c>
      <c r="AA1216">
        <v>28010</v>
      </c>
      <c r="AB1216" t="s">
        <v>11</v>
      </c>
    </row>
    <row r="1217" spans="1:28" x14ac:dyDescent="0.25">
      <c r="A1217" t="s">
        <v>5648</v>
      </c>
      <c r="B1217" t="s">
        <v>5648</v>
      </c>
      <c r="C1217" t="s">
        <v>5649</v>
      </c>
      <c r="D1217" t="s">
        <v>5650</v>
      </c>
      <c r="E1217" t="s">
        <v>782</v>
      </c>
      <c r="F1217" t="s">
        <v>771</v>
      </c>
      <c r="G1217" t="s">
        <v>1854</v>
      </c>
      <c r="J1217" t="s">
        <v>783</v>
      </c>
      <c r="K1217" t="s">
        <v>1855</v>
      </c>
      <c r="L1217" t="s">
        <v>1856</v>
      </c>
      <c r="M1217" t="s">
        <v>12</v>
      </c>
      <c r="N1217" t="s">
        <v>782</v>
      </c>
      <c r="O1217">
        <v>0</v>
      </c>
      <c r="Y1217" t="s">
        <v>5651</v>
      </c>
      <c r="Z1217" t="s">
        <v>2850</v>
      </c>
      <c r="AA1217">
        <v>81030</v>
      </c>
      <c r="AB1217" t="s">
        <v>11</v>
      </c>
    </row>
    <row r="1218" spans="1:28" x14ac:dyDescent="0.25">
      <c r="A1218" t="s">
        <v>5652</v>
      </c>
      <c r="B1218" t="s">
        <v>5652</v>
      </c>
      <c r="C1218" t="s">
        <v>5653</v>
      </c>
      <c r="D1218" t="s">
        <v>5654</v>
      </c>
      <c r="E1218" t="s">
        <v>770</v>
      </c>
      <c r="F1218" t="s">
        <v>771</v>
      </c>
      <c r="G1218" t="s">
        <v>1854</v>
      </c>
      <c r="J1218" t="s">
        <v>783</v>
      </c>
      <c r="K1218" t="s">
        <v>1855</v>
      </c>
      <c r="L1218" t="s">
        <v>1856</v>
      </c>
      <c r="M1218" t="s">
        <v>12</v>
      </c>
      <c r="N1218" t="s">
        <v>770</v>
      </c>
      <c r="O1218">
        <v>1</v>
      </c>
      <c r="P1218" t="s">
        <v>776</v>
      </c>
      <c r="Q1218">
        <v>19.899999999999999</v>
      </c>
      <c r="R1218">
        <v>3.59</v>
      </c>
      <c r="Y1218" t="s">
        <v>5655</v>
      </c>
      <c r="Z1218" t="s">
        <v>3024</v>
      </c>
      <c r="AA1218">
        <v>16014</v>
      </c>
      <c r="AB1218" t="s">
        <v>11</v>
      </c>
    </row>
    <row r="1219" spans="1:28" x14ac:dyDescent="0.25">
      <c r="A1219" t="s">
        <v>5656</v>
      </c>
      <c r="B1219" t="s">
        <v>5656</v>
      </c>
      <c r="C1219" t="s">
        <v>5657</v>
      </c>
      <c r="D1219" t="s">
        <v>5658</v>
      </c>
      <c r="E1219" t="s">
        <v>770</v>
      </c>
      <c r="F1219" t="s">
        <v>771</v>
      </c>
      <c r="G1219" t="s">
        <v>1854</v>
      </c>
      <c r="J1219" t="s">
        <v>783</v>
      </c>
      <c r="K1219" t="s">
        <v>1855</v>
      </c>
      <c r="L1219" t="s">
        <v>1856</v>
      </c>
      <c r="M1219" t="s">
        <v>12</v>
      </c>
      <c r="N1219" t="s">
        <v>770</v>
      </c>
      <c r="O1219">
        <v>1</v>
      </c>
      <c r="P1219" t="s">
        <v>776</v>
      </c>
      <c r="Q1219">
        <v>19.899999999999999</v>
      </c>
      <c r="R1219">
        <v>3.59</v>
      </c>
      <c r="S1219">
        <v>4.99</v>
      </c>
      <c r="T1219">
        <v>0.9</v>
      </c>
      <c r="Y1219" t="s">
        <v>5659</v>
      </c>
      <c r="Z1219" t="s">
        <v>5660</v>
      </c>
      <c r="AA1219">
        <v>57021</v>
      </c>
      <c r="AB1219" t="s">
        <v>11</v>
      </c>
    </row>
    <row r="1220" spans="1:28" x14ac:dyDescent="0.25">
      <c r="A1220" t="s">
        <v>5661</v>
      </c>
      <c r="B1220" t="s">
        <v>5661</v>
      </c>
      <c r="C1220" t="s">
        <v>5662</v>
      </c>
      <c r="D1220" t="s">
        <v>5663</v>
      </c>
      <c r="E1220" t="s">
        <v>770</v>
      </c>
      <c r="F1220" t="s">
        <v>771</v>
      </c>
      <c r="G1220" t="s">
        <v>1854</v>
      </c>
      <c r="J1220" t="s">
        <v>783</v>
      </c>
      <c r="K1220" t="s">
        <v>1855</v>
      </c>
      <c r="L1220" t="s">
        <v>1856</v>
      </c>
      <c r="M1220" t="s">
        <v>12</v>
      </c>
      <c r="N1220" t="s">
        <v>770</v>
      </c>
      <c r="O1220">
        <v>1</v>
      </c>
      <c r="P1220" t="s">
        <v>776</v>
      </c>
      <c r="Q1220">
        <v>19.899999999999999</v>
      </c>
      <c r="R1220">
        <v>3.59</v>
      </c>
      <c r="Y1220" t="s">
        <v>1888</v>
      </c>
      <c r="Z1220" t="s">
        <v>1888</v>
      </c>
      <c r="AA1220">
        <v>40133</v>
      </c>
      <c r="AB1220" t="s">
        <v>11</v>
      </c>
    </row>
    <row r="1221" spans="1:28" x14ac:dyDescent="0.25">
      <c r="A1221" t="s">
        <v>5664</v>
      </c>
      <c r="B1221" t="s">
        <v>5664</v>
      </c>
      <c r="C1221" t="s">
        <v>5665</v>
      </c>
      <c r="D1221" t="s">
        <v>5666</v>
      </c>
      <c r="E1221" t="s">
        <v>770</v>
      </c>
      <c r="F1221" t="s">
        <v>771</v>
      </c>
      <c r="G1221" t="s">
        <v>1854</v>
      </c>
      <c r="J1221" t="s">
        <v>783</v>
      </c>
      <c r="K1221" t="s">
        <v>1855</v>
      </c>
      <c r="L1221" t="s">
        <v>1856</v>
      </c>
      <c r="M1221" t="s">
        <v>12</v>
      </c>
      <c r="N1221" t="s">
        <v>770</v>
      </c>
      <c r="O1221">
        <v>1</v>
      </c>
      <c r="P1221" t="s">
        <v>776</v>
      </c>
      <c r="Q1221">
        <v>19.899999999999999</v>
      </c>
      <c r="R1221">
        <v>3.59</v>
      </c>
      <c r="Y1221" t="s">
        <v>5667</v>
      </c>
      <c r="Z1221" t="s">
        <v>1908</v>
      </c>
      <c r="AA1221">
        <v>80020</v>
      </c>
      <c r="AB1221" t="s">
        <v>11</v>
      </c>
    </row>
    <row r="1222" spans="1:28" x14ac:dyDescent="0.25">
      <c r="A1222" t="s">
        <v>5668</v>
      </c>
      <c r="B1222" t="s">
        <v>5668</v>
      </c>
      <c r="C1222" t="s">
        <v>5669</v>
      </c>
      <c r="D1222" t="s">
        <v>5670</v>
      </c>
      <c r="E1222" t="s">
        <v>770</v>
      </c>
      <c r="F1222" t="s">
        <v>771</v>
      </c>
      <c r="G1222" t="s">
        <v>1854</v>
      </c>
      <c r="J1222" t="s">
        <v>783</v>
      </c>
      <c r="K1222" t="s">
        <v>1930</v>
      </c>
      <c r="L1222" t="s">
        <v>775</v>
      </c>
      <c r="M1222" t="s">
        <v>65</v>
      </c>
      <c r="N1222" t="s">
        <v>770</v>
      </c>
      <c r="O1222">
        <v>2</v>
      </c>
      <c r="P1222" t="s">
        <v>776</v>
      </c>
      <c r="Q1222">
        <v>59.8</v>
      </c>
      <c r="R1222">
        <v>10.78</v>
      </c>
      <c r="Y1222" t="s">
        <v>5173</v>
      </c>
      <c r="Z1222" t="s">
        <v>2503</v>
      </c>
      <c r="AA1222">
        <v>48018</v>
      </c>
      <c r="AB1222" t="s">
        <v>11</v>
      </c>
    </row>
    <row r="1223" spans="1:28" x14ac:dyDescent="0.25">
      <c r="A1223" t="s">
        <v>5671</v>
      </c>
      <c r="B1223" t="s">
        <v>5671</v>
      </c>
      <c r="C1223" t="s">
        <v>5672</v>
      </c>
      <c r="D1223" t="s">
        <v>5673</v>
      </c>
      <c r="E1223" t="s">
        <v>770</v>
      </c>
      <c r="F1223" t="s">
        <v>771</v>
      </c>
      <c r="G1223" t="s">
        <v>1854</v>
      </c>
      <c r="J1223" t="s">
        <v>783</v>
      </c>
      <c r="K1223" t="s">
        <v>1855</v>
      </c>
      <c r="L1223" t="s">
        <v>1856</v>
      </c>
      <c r="M1223" t="s">
        <v>12</v>
      </c>
      <c r="N1223" t="s">
        <v>770</v>
      </c>
      <c r="O1223">
        <v>1</v>
      </c>
      <c r="P1223" t="s">
        <v>776</v>
      </c>
      <c r="Q1223">
        <v>19.899999999999999</v>
      </c>
      <c r="R1223">
        <v>3.59</v>
      </c>
      <c r="Y1223" t="s">
        <v>3572</v>
      </c>
      <c r="Z1223" t="s">
        <v>1913</v>
      </c>
      <c r="AA1223">
        <v>49</v>
      </c>
      <c r="AB1223" t="s">
        <v>11</v>
      </c>
    </row>
    <row r="1224" spans="1:28" x14ac:dyDescent="0.25">
      <c r="A1224" t="s">
        <v>5674</v>
      </c>
      <c r="B1224" t="s">
        <v>5674</v>
      </c>
      <c r="C1224" t="s">
        <v>5675</v>
      </c>
      <c r="D1224" t="s">
        <v>5676</v>
      </c>
      <c r="E1224" t="s">
        <v>782</v>
      </c>
      <c r="F1224" t="s">
        <v>771</v>
      </c>
      <c r="G1224" t="s">
        <v>1854</v>
      </c>
      <c r="J1224" t="s">
        <v>783</v>
      </c>
      <c r="K1224" t="s">
        <v>1855</v>
      </c>
      <c r="L1224" t="s">
        <v>1856</v>
      </c>
      <c r="M1224" t="s">
        <v>12</v>
      </c>
      <c r="N1224" t="s">
        <v>782</v>
      </c>
      <c r="O1224">
        <v>0</v>
      </c>
      <c r="Y1224" t="s">
        <v>3572</v>
      </c>
      <c r="Z1224" t="s">
        <v>1913</v>
      </c>
      <c r="AA1224">
        <v>49</v>
      </c>
      <c r="AB1224" t="s">
        <v>11</v>
      </c>
    </row>
    <row r="1225" spans="1:28" x14ac:dyDescent="0.25">
      <c r="A1225" t="s">
        <v>5677</v>
      </c>
      <c r="B1225" t="s">
        <v>5677</v>
      </c>
      <c r="C1225" t="s">
        <v>5678</v>
      </c>
      <c r="D1225" t="s">
        <v>5679</v>
      </c>
      <c r="E1225" t="s">
        <v>770</v>
      </c>
      <c r="F1225" t="s">
        <v>771</v>
      </c>
      <c r="G1225" t="s">
        <v>1854</v>
      </c>
      <c r="J1225" t="s">
        <v>783</v>
      </c>
      <c r="K1225" t="s">
        <v>1873</v>
      </c>
      <c r="L1225" t="s">
        <v>840</v>
      </c>
      <c r="M1225" t="s">
        <v>26</v>
      </c>
      <c r="N1225" t="s">
        <v>770</v>
      </c>
      <c r="O1225">
        <v>1</v>
      </c>
      <c r="P1225" t="s">
        <v>776</v>
      </c>
      <c r="Q1225">
        <v>34.9</v>
      </c>
      <c r="R1225">
        <v>6.29</v>
      </c>
      <c r="Y1225" t="s">
        <v>1997</v>
      </c>
      <c r="Z1225" t="s">
        <v>2219</v>
      </c>
      <c r="AA1225">
        <v>50122</v>
      </c>
      <c r="AB1225" t="s">
        <v>11</v>
      </c>
    </row>
    <row r="1226" spans="1:28" x14ac:dyDescent="0.25">
      <c r="A1226" t="s">
        <v>5680</v>
      </c>
      <c r="B1226" t="s">
        <v>5680</v>
      </c>
      <c r="C1226" t="s">
        <v>5681</v>
      </c>
      <c r="D1226" t="s">
        <v>5682</v>
      </c>
      <c r="E1226" t="s">
        <v>770</v>
      </c>
      <c r="F1226" t="s">
        <v>771</v>
      </c>
      <c r="G1226" t="s">
        <v>1854</v>
      </c>
      <c r="J1226" t="s">
        <v>783</v>
      </c>
      <c r="K1226" t="s">
        <v>1873</v>
      </c>
      <c r="L1226" t="s">
        <v>840</v>
      </c>
      <c r="M1226" t="s">
        <v>26</v>
      </c>
      <c r="N1226" t="s">
        <v>770</v>
      </c>
      <c r="O1226">
        <v>1</v>
      </c>
      <c r="P1226" t="s">
        <v>776</v>
      </c>
      <c r="Q1226">
        <v>34.9</v>
      </c>
      <c r="R1226">
        <v>6.29</v>
      </c>
      <c r="Y1226" t="s">
        <v>5683</v>
      </c>
      <c r="Z1226" t="s">
        <v>1864</v>
      </c>
      <c r="AA1226">
        <v>20090</v>
      </c>
      <c r="AB1226" t="s">
        <v>11</v>
      </c>
    </row>
    <row r="1227" spans="1:28" x14ac:dyDescent="0.25">
      <c r="A1227" t="s">
        <v>5684</v>
      </c>
      <c r="B1227" t="s">
        <v>5684</v>
      </c>
      <c r="C1227" t="s">
        <v>5685</v>
      </c>
      <c r="D1227" t="s">
        <v>5686</v>
      </c>
      <c r="E1227" t="s">
        <v>782</v>
      </c>
      <c r="F1227" t="s">
        <v>771</v>
      </c>
      <c r="G1227" t="s">
        <v>1854</v>
      </c>
      <c r="J1227" t="s">
        <v>783</v>
      </c>
      <c r="K1227" t="s">
        <v>1873</v>
      </c>
      <c r="L1227" t="s">
        <v>840</v>
      </c>
      <c r="M1227" t="s">
        <v>26</v>
      </c>
      <c r="N1227" t="s">
        <v>782</v>
      </c>
      <c r="O1227">
        <v>0</v>
      </c>
      <c r="Y1227" t="s">
        <v>5683</v>
      </c>
      <c r="Z1227" t="s">
        <v>1864</v>
      </c>
      <c r="AA1227">
        <v>20090</v>
      </c>
      <c r="AB1227" t="s">
        <v>11</v>
      </c>
    </row>
    <row r="1228" spans="1:28" x14ac:dyDescent="0.25">
      <c r="A1228" t="s">
        <v>5687</v>
      </c>
      <c r="B1228" t="s">
        <v>5687</v>
      </c>
      <c r="C1228" t="s">
        <v>5688</v>
      </c>
      <c r="D1228" t="s">
        <v>5689</v>
      </c>
      <c r="E1228" t="s">
        <v>770</v>
      </c>
      <c r="F1228" t="s">
        <v>771</v>
      </c>
      <c r="G1228" t="s">
        <v>1854</v>
      </c>
      <c r="J1228" t="s">
        <v>783</v>
      </c>
      <c r="K1228" t="s">
        <v>2652</v>
      </c>
      <c r="L1228" t="s">
        <v>1831</v>
      </c>
      <c r="M1228" t="s">
        <v>51</v>
      </c>
      <c r="N1228" t="s">
        <v>770</v>
      </c>
      <c r="O1228">
        <v>1</v>
      </c>
      <c r="P1228" t="s">
        <v>776</v>
      </c>
      <c r="Q1228">
        <v>24.9</v>
      </c>
      <c r="R1228">
        <v>4.49</v>
      </c>
      <c r="Y1228" t="s">
        <v>5690</v>
      </c>
      <c r="Z1228" t="s">
        <v>2602</v>
      </c>
      <c r="AA1228">
        <v>16036</v>
      </c>
      <c r="AB1228" t="s">
        <v>11</v>
      </c>
    </row>
    <row r="1229" spans="1:28" x14ac:dyDescent="0.25">
      <c r="A1229" t="s">
        <v>5691</v>
      </c>
      <c r="B1229" t="s">
        <v>5691</v>
      </c>
      <c r="C1229" t="s">
        <v>5692</v>
      </c>
      <c r="D1229" t="s">
        <v>5693</v>
      </c>
      <c r="E1229" t="s">
        <v>770</v>
      </c>
      <c r="F1229" t="s">
        <v>771</v>
      </c>
      <c r="G1229" t="s">
        <v>1854</v>
      </c>
      <c r="J1229" t="s">
        <v>783</v>
      </c>
      <c r="K1229" t="s">
        <v>1862</v>
      </c>
      <c r="L1229" t="s">
        <v>1505</v>
      </c>
      <c r="M1229" t="s">
        <v>53</v>
      </c>
      <c r="N1229" t="s">
        <v>770</v>
      </c>
      <c r="O1229">
        <v>1</v>
      </c>
      <c r="P1229" t="s">
        <v>776</v>
      </c>
      <c r="Q1229">
        <v>32.9</v>
      </c>
      <c r="R1229">
        <v>5.93</v>
      </c>
      <c r="Y1229" t="s">
        <v>1880</v>
      </c>
      <c r="Z1229" t="s">
        <v>1880</v>
      </c>
      <c r="AA1229">
        <v>41122</v>
      </c>
      <c r="AB1229" t="s">
        <v>11</v>
      </c>
    </row>
    <row r="1230" spans="1:28" x14ac:dyDescent="0.25">
      <c r="A1230" t="s">
        <v>5694</v>
      </c>
      <c r="B1230" t="s">
        <v>5694</v>
      </c>
      <c r="C1230" t="s">
        <v>5695</v>
      </c>
      <c r="D1230" t="s">
        <v>5696</v>
      </c>
      <c r="E1230" t="s">
        <v>770</v>
      </c>
      <c r="F1230" t="s">
        <v>771</v>
      </c>
      <c r="G1230" t="s">
        <v>1854</v>
      </c>
      <c r="J1230" t="s">
        <v>783</v>
      </c>
      <c r="K1230" t="s">
        <v>2055</v>
      </c>
      <c r="L1230" t="s">
        <v>806</v>
      </c>
      <c r="M1230" t="s">
        <v>202</v>
      </c>
      <c r="N1230" t="s">
        <v>770</v>
      </c>
      <c r="O1230">
        <v>1</v>
      </c>
      <c r="P1230" t="s">
        <v>776</v>
      </c>
      <c r="Q1230">
        <v>14.9</v>
      </c>
      <c r="R1230">
        <v>2.69</v>
      </c>
      <c r="Y1230" t="s">
        <v>5697</v>
      </c>
      <c r="Z1230" t="s">
        <v>2463</v>
      </c>
      <c r="AA1230">
        <v>6081</v>
      </c>
      <c r="AB1230" t="s">
        <v>11</v>
      </c>
    </row>
    <row r="1231" spans="1:28" x14ac:dyDescent="0.25">
      <c r="A1231" t="s">
        <v>5698</v>
      </c>
      <c r="B1231" t="s">
        <v>5698</v>
      </c>
      <c r="C1231" t="s">
        <v>5699</v>
      </c>
      <c r="D1231" t="s">
        <v>5700</v>
      </c>
      <c r="E1231" t="s">
        <v>770</v>
      </c>
      <c r="F1231" t="s">
        <v>771</v>
      </c>
      <c r="G1231" t="s">
        <v>1854</v>
      </c>
      <c r="J1231" t="s">
        <v>783</v>
      </c>
      <c r="K1231" t="s">
        <v>2712</v>
      </c>
      <c r="L1231" t="s">
        <v>1800</v>
      </c>
      <c r="M1231" t="s">
        <v>14</v>
      </c>
      <c r="N1231" t="s">
        <v>770</v>
      </c>
      <c r="O1231">
        <v>1</v>
      </c>
      <c r="P1231" t="s">
        <v>776</v>
      </c>
      <c r="Q1231">
        <v>14.9</v>
      </c>
      <c r="R1231">
        <v>2.69</v>
      </c>
      <c r="Y1231" t="s">
        <v>5701</v>
      </c>
      <c r="Z1231" t="s">
        <v>2386</v>
      </c>
      <c r="AA1231">
        <v>48013</v>
      </c>
      <c r="AB1231" t="s">
        <v>11</v>
      </c>
    </row>
    <row r="1232" spans="1:28" x14ac:dyDescent="0.25">
      <c r="A1232" t="s">
        <v>5702</v>
      </c>
      <c r="B1232" t="s">
        <v>5702</v>
      </c>
      <c r="C1232" t="s">
        <v>5703</v>
      </c>
      <c r="D1232" t="s">
        <v>5704</v>
      </c>
      <c r="E1232" t="s">
        <v>770</v>
      </c>
      <c r="F1232" t="s">
        <v>771</v>
      </c>
      <c r="G1232" t="s">
        <v>1854</v>
      </c>
      <c r="J1232" t="s">
        <v>783</v>
      </c>
      <c r="K1232" t="s">
        <v>1855</v>
      </c>
      <c r="L1232" t="s">
        <v>1856</v>
      </c>
      <c r="M1232" t="s">
        <v>12</v>
      </c>
      <c r="N1232" t="s">
        <v>770</v>
      </c>
      <c r="O1232">
        <v>1</v>
      </c>
      <c r="P1232" t="s">
        <v>776</v>
      </c>
      <c r="Q1232">
        <v>19.899999999999999</v>
      </c>
      <c r="R1232">
        <v>3.59</v>
      </c>
      <c r="Y1232" t="s">
        <v>1875</v>
      </c>
      <c r="Z1232" t="s">
        <v>1864</v>
      </c>
      <c r="AA1232">
        <v>20151</v>
      </c>
      <c r="AB1232" t="s">
        <v>11</v>
      </c>
    </row>
    <row r="1233" spans="1:35" x14ac:dyDescent="0.25">
      <c r="A1233" t="s">
        <v>5705</v>
      </c>
      <c r="B1233" t="s">
        <v>5705</v>
      </c>
      <c r="C1233" t="s">
        <v>5706</v>
      </c>
      <c r="D1233" t="s">
        <v>5696</v>
      </c>
      <c r="E1233" t="s">
        <v>770</v>
      </c>
      <c r="F1233" t="s">
        <v>771</v>
      </c>
      <c r="G1233" t="s">
        <v>1854</v>
      </c>
      <c r="J1233" t="s">
        <v>783</v>
      </c>
      <c r="K1233" t="s">
        <v>2162</v>
      </c>
      <c r="L1233" t="s">
        <v>2163</v>
      </c>
      <c r="M1233" t="s">
        <v>59</v>
      </c>
      <c r="N1233" t="s">
        <v>770</v>
      </c>
      <c r="O1233">
        <v>1</v>
      </c>
      <c r="P1233" t="s">
        <v>776</v>
      </c>
      <c r="Q1233">
        <v>29.9</v>
      </c>
      <c r="R1233">
        <v>5.39</v>
      </c>
      <c r="S1233">
        <v>4.99</v>
      </c>
      <c r="T1233">
        <v>0.9</v>
      </c>
      <c r="Y1233" t="s">
        <v>5707</v>
      </c>
      <c r="Z1233" t="s">
        <v>2463</v>
      </c>
      <c r="AA1233">
        <v>6055</v>
      </c>
      <c r="AB1233" t="s">
        <v>11</v>
      </c>
    </row>
    <row r="1234" spans="1:35" x14ac:dyDescent="0.25">
      <c r="A1234" t="s">
        <v>5708</v>
      </c>
      <c r="B1234" t="s">
        <v>5708</v>
      </c>
      <c r="C1234" t="s">
        <v>5709</v>
      </c>
      <c r="D1234" t="s">
        <v>5710</v>
      </c>
      <c r="E1234" t="s">
        <v>770</v>
      </c>
      <c r="F1234" t="s">
        <v>771</v>
      </c>
      <c r="G1234" t="s">
        <v>1854</v>
      </c>
      <c r="J1234" t="s">
        <v>783</v>
      </c>
      <c r="K1234" t="s">
        <v>1930</v>
      </c>
      <c r="L1234" t="s">
        <v>775</v>
      </c>
      <c r="M1234" t="s">
        <v>65</v>
      </c>
      <c r="N1234" t="s">
        <v>770</v>
      </c>
      <c r="O1234">
        <v>1</v>
      </c>
      <c r="P1234" t="s">
        <v>776</v>
      </c>
      <c r="Q1234">
        <v>29.9</v>
      </c>
      <c r="R1234">
        <v>5.39</v>
      </c>
      <c r="Y1234" t="s">
        <v>5711</v>
      </c>
      <c r="Z1234" t="s">
        <v>1869</v>
      </c>
      <c r="AA1234">
        <v>10064</v>
      </c>
      <c r="AB1234" t="s">
        <v>11</v>
      </c>
    </row>
    <row r="1235" spans="1:35" x14ac:dyDescent="0.25">
      <c r="A1235" t="s">
        <v>5712</v>
      </c>
      <c r="B1235" t="s">
        <v>5712</v>
      </c>
      <c r="C1235" t="s">
        <v>5713</v>
      </c>
      <c r="D1235" t="s">
        <v>5714</v>
      </c>
      <c r="E1235" t="s">
        <v>770</v>
      </c>
      <c r="F1235" t="s">
        <v>771</v>
      </c>
      <c r="G1235" t="s">
        <v>1854</v>
      </c>
      <c r="J1235" t="s">
        <v>783</v>
      </c>
      <c r="K1235" t="s">
        <v>2162</v>
      </c>
      <c r="L1235" t="s">
        <v>2163</v>
      </c>
      <c r="M1235" t="s">
        <v>59</v>
      </c>
      <c r="N1235" t="s">
        <v>770</v>
      </c>
      <c r="O1235">
        <v>1</v>
      </c>
      <c r="P1235" t="s">
        <v>776</v>
      </c>
      <c r="Q1235">
        <v>29.9</v>
      </c>
      <c r="R1235">
        <v>5.39</v>
      </c>
      <c r="S1235">
        <v>4.99</v>
      </c>
      <c r="T1235">
        <v>0.9</v>
      </c>
      <c r="Y1235" t="s">
        <v>5715</v>
      </c>
      <c r="Z1235" t="s">
        <v>5716</v>
      </c>
      <c r="AA1235">
        <v>56043</v>
      </c>
      <c r="AB1235" t="s">
        <v>11</v>
      </c>
    </row>
    <row r="1236" spans="1:35" x14ac:dyDescent="0.25">
      <c r="A1236" t="s">
        <v>5717</v>
      </c>
      <c r="B1236" t="s">
        <v>5717</v>
      </c>
      <c r="C1236" t="s">
        <v>5718</v>
      </c>
      <c r="D1236" t="s">
        <v>5719</v>
      </c>
      <c r="E1236" t="s">
        <v>770</v>
      </c>
      <c r="F1236" t="s">
        <v>771</v>
      </c>
      <c r="G1236" t="s">
        <v>1854</v>
      </c>
      <c r="J1236" t="s">
        <v>783</v>
      </c>
      <c r="K1236" t="s">
        <v>1930</v>
      </c>
      <c r="L1236" t="s">
        <v>775</v>
      </c>
      <c r="M1236" t="s">
        <v>65</v>
      </c>
      <c r="N1236" t="s">
        <v>770</v>
      </c>
      <c r="O1236">
        <v>1</v>
      </c>
      <c r="P1236" t="s">
        <v>776</v>
      </c>
      <c r="Q1236">
        <v>29.9</v>
      </c>
      <c r="R1236">
        <v>5.39</v>
      </c>
      <c r="Y1236" t="s">
        <v>5720</v>
      </c>
      <c r="Z1236" t="s">
        <v>2286</v>
      </c>
      <c r="AA1236">
        <v>56028</v>
      </c>
      <c r="AB1236" t="s">
        <v>11</v>
      </c>
    </row>
    <row r="1237" spans="1:35" x14ac:dyDescent="0.25">
      <c r="A1237" t="s">
        <v>5721</v>
      </c>
      <c r="B1237" t="s">
        <v>5721</v>
      </c>
      <c r="C1237" t="s">
        <v>5722</v>
      </c>
      <c r="D1237" t="s">
        <v>5723</v>
      </c>
      <c r="E1237" t="s">
        <v>770</v>
      </c>
      <c r="F1237" t="s">
        <v>771</v>
      </c>
      <c r="G1237" t="s">
        <v>1854</v>
      </c>
      <c r="J1237" t="s">
        <v>783</v>
      </c>
      <c r="K1237" t="s">
        <v>1862</v>
      </c>
      <c r="L1237" t="s">
        <v>1505</v>
      </c>
      <c r="M1237" t="s">
        <v>53</v>
      </c>
      <c r="N1237" t="s">
        <v>770</v>
      </c>
      <c r="O1237">
        <v>1</v>
      </c>
      <c r="P1237" t="s">
        <v>776</v>
      </c>
      <c r="Q1237">
        <v>32.9</v>
      </c>
      <c r="R1237">
        <v>5.93</v>
      </c>
      <c r="Y1237" t="s">
        <v>1875</v>
      </c>
      <c r="Z1237" t="s">
        <v>3031</v>
      </c>
      <c r="AA1237">
        <v>20146</v>
      </c>
      <c r="AB1237" t="s">
        <v>11</v>
      </c>
    </row>
    <row r="1238" spans="1:35" x14ac:dyDescent="0.25">
      <c r="A1238" t="s">
        <v>5724</v>
      </c>
      <c r="B1238" t="s">
        <v>5724</v>
      </c>
      <c r="C1238" t="s">
        <v>5725</v>
      </c>
      <c r="D1238" t="s">
        <v>5726</v>
      </c>
      <c r="E1238" t="s">
        <v>770</v>
      </c>
      <c r="F1238" t="s">
        <v>771</v>
      </c>
      <c r="G1238" t="s">
        <v>1854</v>
      </c>
      <c r="J1238" t="s">
        <v>783</v>
      </c>
      <c r="K1238" t="s">
        <v>1855</v>
      </c>
      <c r="L1238" t="s">
        <v>1856</v>
      </c>
      <c r="M1238" t="s">
        <v>12</v>
      </c>
      <c r="N1238" t="s">
        <v>770</v>
      </c>
      <c r="O1238">
        <v>1</v>
      </c>
      <c r="P1238" t="s">
        <v>776</v>
      </c>
      <c r="Q1238">
        <v>19.899999999999999</v>
      </c>
      <c r="R1238">
        <v>3.59</v>
      </c>
      <c r="Y1238" t="s">
        <v>1893</v>
      </c>
      <c r="Z1238" t="s">
        <v>1869</v>
      </c>
      <c r="AA1238">
        <v>10138</v>
      </c>
      <c r="AB1238" t="s">
        <v>11</v>
      </c>
      <c r="AG1238">
        <v>2690060807</v>
      </c>
      <c r="AH1238" t="s">
        <v>11</v>
      </c>
      <c r="AI1238" t="s">
        <v>1258</v>
      </c>
    </row>
    <row r="1239" spans="1:35" x14ac:dyDescent="0.25">
      <c r="A1239" t="s">
        <v>5727</v>
      </c>
      <c r="B1239" t="s">
        <v>5727</v>
      </c>
      <c r="C1239" t="s">
        <v>5728</v>
      </c>
      <c r="D1239" t="s">
        <v>5729</v>
      </c>
      <c r="E1239" t="s">
        <v>770</v>
      </c>
      <c r="F1239" t="s">
        <v>771</v>
      </c>
      <c r="G1239" t="s">
        <v>1854</v>
      </c>
      <c r="J1239" t="s">
        <v>783</v>
      </c>
      <c r="K1239" t="s">
        <v>1855</v>
      </c>
      <c r="L1239" t="s">
        <v>1856</v>
      </c>
      <c r="M1239" t="s">
        <v>12</v>
      </c>
      <c r="N1239" t="s">
        <v>770</v>
      </c>
      <c r="O1239">
        <v>1</v>
      </c>
      <c r="P1239" t="s">
        <v>776</v>
      </c>
      <c r="Q1239">
        <v>19.899999999999999</v>
      </c>
      <c r="R1239">
        <v>3.59</v>
      </c>
      <c r="Y1239" t="s">
        <v>5730</v>
      </c>
      <c r="Z1239" t="s">
        <v>5731</v>
      </c>
      <c r="AA1239">
        <v>93012</v>
      </c>
      <c r="AB1239" t="s">
        <v>11</v>
      </c>
    </row>
    <row r="1240" spans="1:35" x14ac:dyDescent="0.25">
      <c r="A1240" t="s">
        <v>5732</v>
      </c>
      <c r="C1240" t="s">
        <v>5733</v>
      </c>
      <c r="D1240" t="s">
        <v>5734</v>
      </c>
      <c r="E1240" t="s">
        <v>770</v>
      </c>
      <c r="F1240" t="s">
        <v>1884</v>
      </c>
      <c r="G1240" t="s">
        <v>1854</v>
      </c>
      <c r="H1240" t="s">
        <v>1885</v>
      </c>
      <c r="J1240" t="s">
        <v>773</v>
      </c>
      <c r="K1240" t="s">
        <v>3042</v>
      </c>
      <c r="L1240" s="2">
        <v>90825</v>
      </c>
      <c r="M1240" t="s">
        <v>320</v>
      </c>
      <c r="N1240" t="s">
        <v>770</v>
      </c>
      <c r="O1240">
        <v>1</v>
      </c>
      <c r="P1240" t="s">
        <v>776</v>
      </c>
      <c r="Q1240">
        <v>46.9</v>
      </c>
      <c r="R1240">
        <v>8.4600000000000009</v>
      </c>
      <c r="S1240">
        <v>3</v>
      </c>
      <c r="T1240">
        <v>0.54</v>
      </c>
      <c r="Y1240" t="s">
        <v>5735</v>
      </c>
      <c r="Z1240" t="s">
        <v>3126</v>
      </c>
      <c r="AA1240">
        <v>20847</v>
      </c>
      <c r="AB1240" t="s">
        <v>11</v>
      </c>
    </row>
    <row r="1241" spans="1:35" x14ac:dyDescent="0.25">
      <c r="A1241" t="s">
        <v>5736</v>
      </c>
      <c r="B1241" t="s">
        <v>5736</v>
      </c>
      <c r="C1241" t="s">
        <v>5737</v>
      </c>
      <c r="D1241" t="s">
        <v>5738</v>
      </c>
      <c r="E1241" t="s">
        <v>770</v>
      </c>
      <c r="F1241" t="s">
        <v>771</v>
      </c>
      <c r="G1241" t="s">
        <v>1854</v>
      </c>
      <c r="J1241" t="s">
        <v>783</v>
      </c>
      <c r="K1241" t="s">
        <v>2712</v>
      </c>
      <c r="L1241" t="s">
        <v>1800</v>
      </c>
      <c r="M1241" t="s">
        <v>14</v>
      </c>
      <c r="N1241" t="s">
        <v>770</v>
      </c>
      <c r="O1241">
        <v>1</v>
      </c>
      <c r="P1241" t="s">
        <v>776</v>
      </c>
      <c r="Q1241">
        <v>14.9</v>
      </c>
      <c r="R1241">
        <v>2.69</v>
      </c>
      <c r="Y1241" t="s">
        <v>5739</v>
      </c>
      <c r="Z1241" t="s">
        <v>5740</v>
      </c>
      <c r="AA1241">
        <v>20882</v>
      </c>
      <c r="AB1241" t="s">
        <v>11</v>
      </c>
    </row>
    <row r="1242" spans="1:35" x14ac:dyDescent="0.25">
      <c r="A1242" t="s">
        <v>5741</v>
      </c>
      <c r="B1242" t="s">
        <v>5741</v>
      </c>
      <c r="C1242" t="s">
        <v>5742</v>
      </c>
      <c r="D1242" t="s">
        <v>5743</v>
      </c>
      <c r="E1242" t="s">
        <v>770</v>
      </c>
      <c r="F1242" t="s">
        <v>771</v>
      </c>
      <c r="G1242" t="s">
        <v>1854</v>
      </c>
      <c r="J1242" t="s">
        <v>783</v>
      </c>
      <c r="K1242" t="s">
        <v>1930</v>
      </c>
      <c r="L1242" t="s">
        <v>775</v>
      </c>
      <c r="M1242" t="s">
        <v>65</v>
      </c>
      <c r="N1242" t="s">
        <v>770</v>
      </c>
      <c r="O1242">
        <v>1</v>
      </c>
      <c r="P1242" t="s">
        <v>776</v>
      </c>
      <c r="Q1242">
        <v>29.9</v>
      </c>
      <c r="R1242">
        <v>5.39</v>
      </c>
      <c r="Y1242" t="s">
        <v>5744</v>
      </c>
      <c r="Z1242" t="s">
        <v>1922</v>
      </c>
      <c r="AA1242">
        <v>31040</v>
      </c>
      <c r="AB1242" t="s">
        <v>11</v>
      </c>
    </row>
    <row r="1243" spans="1:35" x14ac:dyDescent="0.25">
      <c r="A1243" t="s">
        <v>5745</v>
      </c>
      <c r="B1243" t="s">
        <v>5745</v>
      </c>
      <c r="C1243" t="s">
        <v>5746</v>
      </c>
      <c r="D1243" t="s">
        <v>5747</v>
      </c>
      <c r="E1243" t="s">
        <v>782</v>
      </c>
      <c r="F1243" t="s">
        <v>771</v>
      </c>
      <c r="G1243" t="s">
        <v>1854</v>
      </c>
      <c r="J1243" t="s">
        <v>783</v>
      </c>
      <c r="K1243" t="s">
        <v>1855</v>
      </c>
      <c r="L1243" t="s">
        <v>1856</v>
      </c>
      <c r="M1243" t="s">
        <v>12</v>
      </c>
      <c r="N1243" t="s">
        <v>782</v>
      </c>
      <c r="O1243">
        <v>0</v>
      </c>
      <c r="Y1243" t="s">
        <v>2051</v>
      </c>
      <c r="Z1243" t="s">
        <v>5748</v>
      </c>
      <c r="AA1243">
        <v>95040</v>
      </c>
      <c r="AB1243" t="s">
        <v>11</v>
      </c>
    </row>
    <row r="1244" spans="1:35" x14ac:dyDescent="0.25">
      <c r="A1244" t="s">
        <v>5749</v>
      </c>
      <c r="B1244" t="s">
        <v>5749</v>
      </c>
      <c r="C1244" t="s">
        <v>5750</v>
      </c>
      <c r="D1244" t="s">
        <v>5751</v>
      </c>
      <c r="E1244" t="s">
        <v>782</v>
      </c>
      <c r="F1244" t="s">
        <v>771</v>
      </c>
      <c r="G1244" t="s">
        <v>1854</v>
      </c>
      <c r="J1244" t="s">
        <v>783</v>
      </c>
      <c r="K1244" t="s">
        <v>1855</v>
      </c>
      <c r="L1244" t="s">
        <v>1856</v>
      </c>
      <c r="M1244" t="s">
        <v>12</v>
      </c>
      <c r="N1244" t="s">
        <v>782</v>
      </c>
      <c r="O1244">
        <v>0</v>
      </c>
      <c r="Y1244" t="s">
        <v>5752</v>
      </c>
      <c r="Z1244" t="s">
        <v>5748</v>
      </c>
      <c r="AA1244">
        <v>95040</v>
      </c>
      <c r="AB1244" t="s">
        <v>11</v>
      </c>
    </row>
    <row r="1245" spans="1:35" x14ac:dyDescent="0.25">
      <c r="A1245" t="s">
        <v>5753</v>
      </c>
      <c r="B1245" t="s">
        <v>5753</v>
      </c>
      <c r="C1245" t="s">
        <v>5754</v>
      </c>
      <c r="D1245" t="s">
        <v>5755</v>
      </c>
      <c r="E1245" t="s">
        <v>770</v>
      </c>
      <c r="F1245" t="s">
        <v>771</v>
      </c>
      <c r="G1245" t="s">
        <v>1854</v>
      </c>
      <c r="J1245" t="s">
        <v>783</v>
      </c>
      <c r="K1245" t="s">
        <v>2652</v>
      </c>
      <c r="L1245" t="s">
        <v>1831</v>
      </c>
      <c r="M1245" t="s">
        <v>51</v>
      </c>
      <c r="N1245" t="s">
        <v>770</v>
      </c>
      <c r="O1245">
        <v>1</v>
      </c>
      <c r="P1245" t="s">
        <v>776</v>
      </c>
      <c r="Q1245">
        <v>24.9</v>
      </c>
      <c r="R1245">
        <v>4.49</v>
      </c>
      <c r="Y1245" t="s">
        <v>1913</v>
      </c>
      <c r="Z1245" t="s">
        <v>1926</v>
      </c>
      <c r="AA1245">
        <v>132</v>
      </c>
      <c r="AB1245" t="s">
        <v>11</v>
      </c>
    </row>
    <row r="1246" spans="1:35" x14ac:dyDescent="0.25">
      <c r="A1246" t="s">
        <v>5756</v>
      </c>
      <c r="B1246" t="s">
        <v>5756</v>
      </c>
      <c r="C1246" t="s">
        <v>5757</v>
      </c>
      <c r="D1246" t="s">
        <v>5758</v>
      </c>
      <c r="E1246" t="s">
        <v>770</v>
      </c>
      <c r="F1246" t="s">
        <v>771</v>
      </c>
      <c r="G1246" t="s">
        <v>1854</v>
      </c>
      <c r="J1246" t="s">
        <v>783</v>
      </c>
      <c r="K1246" t="s">
        <v>1855</v>
      </c>
      <c r="L1246" t="s">
        <v>1856</v>
      </c>
      <c r="M1246" t="s">
        <v>12</v>
      </c>
      <c r="N1246" t="s">
        <v>770</v>
      </c>
      <c r="O1246">
        <v>1</v>
      </c>
      <c r="P1246" t="s">
        <v>776</v>
      </c>
      <c r="Q1246">
        <v>19.899999999999999</v>
      </c>
      <c r="R1246">
        <v>3.59</v>
      </c>
      <c r="S1246">
        <v>4.99</v>
      </c>
      <c r="T1246">
        <v>0.9</v>
      </c>
      <c r="Y1246" t="s">
        <v>1908</v>
      </c>
      <c r="Z1246" t="s">
        <v>3113</v>
      </c>
      <c r="AA1246">
        <v>80121</v>
      </c>
      <c r="AB1246" t="s">
        <v>11</v>
      </c>
    </row>
    <row r="1247" spans="1:35" x14ac:dyDescent="0.25">
      <c r="A1247" t="s">
        <v>5759</v>
      </c>
      <c r="B1247" t="s">
        <v>5759</v>
      </c>
      <c r="C1247" t="s">
        <v>5760</v>
      </c>
      <c r="D1247" t="s">
        <v>5761</v>
      </c>
      <c r="E1247" t="s">
        <v>770</v>
      </c>
      <c r="F1247" t="s">
        <v>771</v>
      </c>
      <c r="G1247" t="s">
        <v>1854</v>
      </c>
      <c r="J1247" t="s">
        <v>783</v>
      </c>
      <c r="K1247" t="s">
        <v>1855</v>
      </c>
      <c r="L1247" t="s">
        <v>1856</v>
      </c>
      <c r="M1247" t="s">
        <v>12</v>
      </c>
      <c r="N1247" t="s">
        <v>770</v>
      </c>
      <c r="O1247">
        <v>1</v>
      </c>
      <c r="P1247" t="s">
        <v>776</v>
      </c>
      <c r="Q1247">
        <v>19.899999999999999</v>
      </c>
      <c r="R1247">
        <v>3.59</v>
      </c>
      <c r="S1247">
        <v>3.99</v>
      </c>
      <c r="T1247">
        <v>0.72</v>
      </c>
      <c r="Y1247" t="s">
        <v>1913</v>
      </c>
      <c r="Z1247" t="s">
        <v>1926</v>
      </c>
      <c r="AA1247">
        <v>176</v>
      </c>
      <c r="AB1247" t="s">
        <v>11</v>
      </c>
    </row>
    <row r="1248" spans="1:35" x14ac:dyDescent="0.25">
      <c r="A1248" t="s">
        <v>5762</v>
      </c>
      <c r="B1248" t="s">
        <v>5762</v>
      </c>
      <c r="C1248" t="s">
        <v>5763</v>
      </c>
      <c r="D1248" t="s">
        <v>5764</v>
      </c>
      <c r="E1248" t="s">
        <v>770</v>
      </c>
      <c r="F1248" t="s">
        <v>771</v>
      </c>
      <c r="G1248" t="s">
        <v>1854</v>
      </c>
      <c r="J1248" t="s">
        <v>783</v>
      </c>
      <c r="K1248" t="s">
        <v>5765</v>
      </c>
      <c r="L1248" t="s">
        <v>5766</v>
      </c>
      <c r="M1248" t="s">
        <v>152</v>
      </c>
      <c r="N1248" t="s">
        <v>770</v>
      </c>
      <c r="O1248">
        <v>1</v>
      </c>
      <c r="P1248" t="s">
        <v>776</v>
      </c>
      <c r="Q1248">
        <v>24.9</v>
      </c>
      <c r="R1248">
        <v>4.49</v>
      </c>
      <c r="Y1248" t="s">
        <v>5767</v>
      </c>
      <c r="Z1248" t="s">
        <v>1922</v>
      </c>
      <c r="AA1248">
        <v>31015</v>
      </c>
      <c r="AB1248" t="s">
        <v>11</v>
      </c>
    </row>
    <row r="1249" spans="1:35" x14ac:dyDescent="0.25">
      <c r="A1249" t="s">
        <v>5768</v>
      </c>
      <c r="B1249" t="s">
        <v>5768</v>
      </c>
      <c r="C1249" t="s">
        <v>5769</v>
      </c>
      <c r="D1249" t="s">
        <v>5770</v>
      </c>
      <c r="E1249" t="s">
        <v>770</v>
      </c>
      <c r="F1249" t="s">
        <v>771</v>
      </c>
      <c r="G1249" t="s">
        <v>1854</v>
      </c>
      <c r="J1249" t="s">
        <v>783</v>
      </c>
      <c r="K1249" t="s">
        <v>1855</v>
      </c>
      <c r="L1249" t="s">
        <v>1856</v>
      </c>
      <c r="M1249" t="s">
        <v>12</v>
      </c>
      <c r="N1249" t="s">
        <v>770</v>
      </c>
      <c r="O1249">
        <v>1</v>
      </c>
      <c r="P1249" t="s">
        <v>776</v>
      </c>
      <c r="Q1249">
        <v>19.899999999999999</v>
      </c>
      <c r="R1249">
        <v>3.59</v>
      </c>
      <c r="Y1249" t="s">
        <v>5771</v>
      </c>
      <c r="Z1249" t="s">
        <v>3645</v>
      </c>
      <c r="AA1249">
        <v>35010</v>
      </c>
      <c r="AB1249" t="s">
        <v>11</v>
      </c>
    </row>
    <row r="1250" spans="1:35" x14ac:dyDescent="0.25">
      <c r="A1250" t="s">
        <v>5772</v>
      </c>
      <c r="C1250" t="s">
        <v>5773</v>
      </c>
      <c r="D1250" t="s">
        <v>5423</v>
      </c>
      <c r="E1250" t="s">
        <v>770</v>
      </c>
      <c r="F1250" t="s">
        <v>1884</v>
      </c>
      <c r="G1250" t="s">
        <v>1854</v>
      </c>
      <c r="H1250" t="s">
        <v>1885</v>
      </c>
      <c r="J1250" t="s">
        <v>773</v>
      </c>
      <c r="K1250" t="s">
        <v>1886</v>
      </c>
      <c r="L1250" t="s">
        <v>18</v>
      </c>
      <c r="M1250" t="s">
        <v>17</v>
      </c>
      <c r="N1250" t="s">
        <v>770</v>
      </c>
      <c r="O1250">
        <v>1</v>
      </c>
      <c r="P1250" t="s">
        <v>776</v>
      </c>
      <c r="Q1250">
        <v>22.9</v>
      </c>
      <c r="R1250">
        <v>4.13</v>
      </c>
      <c r="S1250">
        <v>3</v>
      </c>
      <c r="T1250">
        <v>0.54</v>
      </c>
      <c r="Y1250" t="s">
        <v>5774</v>
      </c>
      <c r="Z1250" t="s">
        <v>3190</v>
      </c>
      <c r="AA1250">
        <v>31020</v>
      </c>
      <c r="AB1250" t="s">
        <v>11</v>
      </c>
    </row>
    <row r="1251" spans="1:35" x14ac:dyDescent="0.25">
      <c r="A1251" t="s">
        <v>5775</v>
      </c>
      <c r="B1251" t="s">
        <v>5775</v>
      </c>
      <c r="C1251" t="s">
        <v>5776</v>
      </c>
      <c r="D1251" t="s">
        <v>5777</v>
      </c>
      <c r="E1251" t="s">
        <v>770</v>
      </c>
      <c r="F1251" t="s">
        <v>771</v>
      </c>
      <c r="G1251" t="s">
        <v>1854</v>
      </c>
      <c r="J1251" t="s">
        <v>783</v>
      </c>
      <c r="K1251" t="s">
        <v>2712</v>
      </c>
      <c r="L1251" t="s">
        <v>1800</v>
      </c>
      <c r="M1251" t="s">
        <v>14</v>
      </c>
      <c r="N1251" t="s">
        <v>770</v>
      </c>
      <c r="O1251">
        <v>1</v>
      </c>
      <c r="P1251" t="s">
        <v>776</v>
      </c>
      <c r="Q1251">
        <v>14.9</v>
      </c>
      <c r="R1251">
        <v>2.69</v>
      </c>
      <c r="Y1251" t="s">
        <v>5778</v>
      </c>
      <c r="Z1251" t="s">
        <v>5779</v>
      </c>
      <c r="AA1251">
        <v>9013</v>
      </c>
      <c r="AB1251" t="s">
        <v>11</v>
      </c>
      <c r="AG1251" t="s">
        <v>5780</v>
      </c>
      <c r="AH1251" t="s">
        <v>11</v>
      </c>
      <c r="AI1251" t="s">
        <v>2459</v>
      </c>
    </row>
    <row r="1252" spans="1:35" x14ac:dyDescent="0.25">
      <c r="A1252" t="s">
        <v>5781</v>
      </c>
      <c r="B1252" t="s">
        <v>5781</v>
      </c>
      <c r="C1252" t="s">
        <v>5782</v>
      </c>
      <c r="D1252" t="s">
        <v>5783</v>
      </c>
      <c r="E1252" t="s">
        <v>770</v>
      </c>
      <c r="F1252" t="s">
        <v>771</v>
      </c>
      <c r="G1252" t="s">
        <v>1854</v>
      </c>
      <c r="J1252" t="s">
        <v>783</v>
      </c>
      <c r="K1252" t="s">
        <v>1855</v>
      </c>
      <c r="L1252" t="s">
        <v>1856</v>
      </c>
      <c r="M1252" t="s">
        <v>12</v>
      </c>
      <c r="N1252" t="s">
        <v>770</v>
      </c>
      <c r="O1252">
        <v>1</v>
      </c>
      <c r="P1252" t="s">
        <v>776</v>
      </c>
      <c r="Q1252">
        <v>19.899999999999999</v>
      </c>
      <c r="R1252">
        <v>3.59</v>
      </c>
      <c r="Y1252" t="s">
        <v>5784</v>
      </c>
      <c r="Z1252" t="s">
        <v>2030</v>
      </c>
      <c r="AA1252">
        <v>38052</v>
      </c>
      <c r="AB1252" t="s">
        <v>11</v>
      </c>
    </row>
    <row r="1253" spans="1:35" x14ac:dyDescent="0.25">
      <c r="A1253" t="s">
        <v>5785</v>
      </c>
      <c r="B1253" t="s">
        <v>5785</v>
      </c>
      <c r="C1253" t="s">
        <v>5786</v>
      </c>
      <c r="D1253" t="s">
        <v>5787</v>
      </c>
      <c r="E1253" t="s">
        <v>770</v>
      </c>
      <c r="F1253" t="s">
        <v>771</v>
      </c>
      <c r="G1253" t="s">
        <v>1854</v>
      </c>
      <c r="J1253" t="s">
        <v>783</v>
      </c>
      <c r="K1253" t="s">
        <v>1855</v>
      </c>
      <c r="L1253" t="s">
        <v>1856</v>
      </c>
      <c r="M1253" t="s">
        <v>12</v>
      </c>
      <c r="N1253" t="s">
        <v>770</v>
      </c>
      <c r="O1253">
        <v>1</v>
      </c>
      <c r="P1253" t="s">
        <v>776</v>
      </c>
      <c r="Q1253">
        <v>19.899999999999999</v>
      </c>
      <c r="R1253">
        <v>3.59</v>
      </c>
      <c r="Y1253" t="s">
        <v>2342</v>
      </c>
      <c r="Z1253" t="s">
        <v>2343</v>
      </c>
      <c r="AA1253">
        <v>90143</v>
      </c>
      <c r="AB1253" t="s">
        <v>11</v>
      </c>
    </row>
    <row r="1254" spans="1:35" x14ac:dyDescent="0.25">
      <c r="A1254" t="s">
        <v>5788</v>
      </c>
      <c r="B1254" t="s">
        <v>5788</v>
      </c>
      <c r="C1254" t="s">
        <v>5789</v>
      </c>
      <c r="D1254" t="s">
        <v>5790</v>
      </c>
      <c r="E1254" t="s">
        <v>782</v>
      </c>
      <c r="F1254" t="s">
        <v>771</v>
      </c>
      <c r="G1254" t="s">
        <v>1854</v>
      </c>
      <c r="J1254" t="s">
        <v>783</v>
      </c>
      <c r="K1254" t="s">
        <v>1862</v>
      </c>
      <c r="L1254" t="s">
        <v>1505</v>
      </c>
      <c r="M1254" t="s">
        <v>53</v>
      </c>
      <c r="N1254" t="s">
        <v>782</v>
      </c>
      <c r="O1254">
        <v>0</v>
      </c>
    </row>
    <row r="1255" spans="1:35" x14ac:dyDescent="0.25">
      <c r="A1255" t="s">
        <v>5791</v>
      </c>
      <c r="B1255" t="s">
        <v>5791</v>
      </c>
      <c r="C1255" t="s">
        <v>5792</v>
      </c>
      <c r="D1255" t="s">
        <v>5793</v>
      </c>
      <c r="E1255" t="s">
        <v>770</v>
      </c>
      <c r="F1255" t="s">
        <v>771</v>
      </c>
      <c r="G1255" t="s">
        <v>1854</v>
      </c>
      <c r="J1255" t="s">
        <v>783</v>
      </c>
      <c r="K1255" t="s">
        <v>1855</v>
      </c>
      <c r="L1255" t="s">
        <v>1856</v>
      </c>
      <c r="M1255" t="s">
        <v>12</v>
      </c>
      <c r="N1255" t="s">
        <v>770</v>
      </c>
      <c r="O1255">
        <v>1</v>
      </c>
      <c r="P1255" t="s">
        <v>776</v>
      </c>
      <c r="Q1255">
        <v>19.899999999999999</v>
      </c>
      <c r="R1255">
        <v>3.59</v>
      </c>
      <c r="Y1255" t="s">
        <v>5794</v>
      </c>
      <c r="Z1255" t="s">
        <v>2523</v>
      </c>
      <c r="AA1255">
        <v>87040</v>
      </c>
      <c r="AB1255" t="s">
        <v>11</v>
      </c>
    </row>
    <row r="1256" spans="1:35" x14ac:dyDescent="0.25">
      <c r="A1256" t="s">
        <v>5795</v>
      </c>
      <c r="B1256" t="s">
        <v>5795</v>
      </c>
      <c r="C1256" t="s">
        <v>5796</v>
      </c>
      <c r="D1256" t="s">
        <v>5797</v>
      </c>
      <c r="E1256" t="s">
        <v>770</v>
      </c>
      <c r="F1256" t="s">
        <v>771</v>
      </c>
      <c r="G1256" t="s">
        <v>1854</v>
      </c>
      <c r="J1256" t="s">
        <v>783</v>
      </c>
      <c r="K1256" t="s">
        <v>1855</v>
      </c>
      <c r="L1256" t="s">
        <v>1856</v>
      </c>
      <c r="M1256" t="s">
        <v>12</v>
      </c>
      <c r="N1256" t="s">
        <v>770</v>
      </c>
      <c r="O1256">
        <v>1</v>
      </c>
      <c r="P1256" t="s">
        <v>776</v>
      </c>
      <c r="Q1256">
        <v>19.899999999999999</v>
      </c>
      <c r="R1256">
        <v>3.59</v>
      </c>
      <c r="Y1256" t="s">
        <v>1913</v>
      </c>
      <c r="Z1256" t="s">
        <v>1913</v>
      </c>
      <c r="AA1256">
        <v>177</v>
      </c>
      <c r="AB1256" t="s">
        <v>11</v>
      </c>
    </row>
    <row r="1257" spans="1:35" x14ac:dyDescent="0.25">
      <c r="A1257" t="s">
        <v>5798</v>
      </c>
      <c r="B1257" t="s">
        <v>5798</v>
      </c>
      <c r="C1257" t="s">
        <v>5799</v>
      </c>
      <c r="D1257" t="s">
        <v>5800</v>
      </c>
      <c r="E1257" t="s">
        <v>770</v>
      </c>
      <c r="F1257" t="s">
        <v>771</v>
      </c>
      <c r="G1257" t="s">
        <v>1854</v>
      </c>
      <c r="J1257" t="s">
        <v>783</v>
      </c>
      <c r="K1257" t="s">
        <v>1930</v>
      </c>
      <c r="L1257" t="s">
        <v>775</v>
      </c>
      <c r="M1257" t="s">
        <v>65</v>
      </c>
      <c r="N1257" t="s">
        <v>770</v>
      </c>
      <c r="O1257">
        <v>1</v>
      </c>
      <c r="P1257" t="s">
        <v>776</v>
      </c>
      <c r="Q1257">
        <v>29.9</v>
      </c>
      <c r="R1257">
        <v>5.39</v>
      </c>
      <c r="Y1257" t="s">
        <v>5801</v>
      </c>
      <c r="Z1257" t="s">
        <v>2621</v>
      </c>
      <c r="AA1257">
        <v>21010</v>
      </c>
      <c r="AB1257" t="s">
        <v>11</v>
      </c>
    </row>
    <row r="1258" spans="1:35" x14ac:dyDescent="0.25">
      <c r="A1258" t="s">
        <v>5802</v>
      </c>
      <c r="B1258" t="s">
        <v>5802</v>
      </c>
      <c r="C1258" t="s">
        <v>5803</v>
      </c>
      <c r="D1258" t="s">
        <v>5804</v>
      </c>
      <c r="E1258" t="s">
        <v>770</v>
      </c>
      <c r="F1258" t="s">
        <v>771</v>
      </c>
      <c r="G1258" t="s">
        <v>1854</v>
      </c>
      <c r="J1258" t="s">
        <v>783</v>
      </c>
      <c r="K1258" t="s">
        <v>1855</v>
      </c>
      <c r="L1258" t="s">
        <v>1856</v>
      </c>
      <c r="M1258" t="s">
        <v>12</v>
      </c>
      <c r="N1258" t="s">
        <v>770</v>
      </c>
      <c r="O1258">
        <v>1</v>
      </c>
      <c r="P1258" t="s">
        <v>776</v>
      </c>
      <c r="Q1258">
        <v>19.899999999999999</v>
      </c>
      <c r="R1258">
        <v>3.59</v>
      </c>
      <c r="Y1258" t="s">
        <v>5805</v>
      </c>
      <c r="Z1258" t="s">
        <v>5487</v>
      </c>
      <c r="AA1258">
        <v>70126</v>
      </c>
      <c r="AB1258" t="s">
        <v>11</v>
      </c>
    </row>
    <row r="1259" spans="1:35" x14ac:dyDescent="0.25">
      <c r="A1259" t="s">
        <v>5806</v>
      </c>
      <c r="C1259" t="s">
        <v>5807</v>
      </c>
      <c r="D1259" t="s">
        <v>5808</v>
      </c>
      <c r="E1259" t="s">
        <v>770</v>
      </c>
      <c r="F1259" t="s">
        <v>1884</v>
      </c>
      <c r="G1259" t="s">
        <v>1854</v>
      </c>
      <c r="H1259" t="s">
        <v>1885</v>
      </c>
      <c r="J1259" t="s">
        <v>773</v>
      </c>
      <c r="K1259" t="s">
        <v>2652</v>
      </c>
      <c r="L1259" t="s">
        <v>52</v>
      </c>
      <c r="M1259" t="s">
        <v>51</v>
      </c>
      <c r="N1259" t="s">
        <v>770</v>
      </c>
      <c r="O1259">
        <v>1</v>
      </c>
      <c r="P1259" t="s">
        <v>776</v>
      </c>
      <c r="Q1259">
        <v>24.9</v>
      </c>
      <c r="R1259">
        <v>4.49</v>
      </c>
      <c r="S1259">
        <v>3</v>
      </c>
      <c r="T1259">
        <v>0.54</v>
      </c>
      <c r="Y1259" t="s">
        <v>5809</v>
      </c>
      <c r="Z1259" t="s">
        <v>5810</v>
      </c>
      <c r="AA1259">
        <v>7051</v>
      </c>
      <c r="AB1259" t="s">
        <v>11</v>
      </c>
    </row>
    <row r="1260" spans="1:35" x14ac:dyDescent="0.25">
      <c r="A1260" t="s">
        <v>5811</v>
      </c>
      <c r="B1260" t="s">
        <v>5811</v>
      </c>
      <c r="C1260" t="s">
        <v>5812</v>
      </c>
      <c r="D1260" t="s">
        <v>5813</v>
      </c>
      <c r="E1260" t="s">
        <v>770</v>
      </c>
      <c r="F1260" t="s">
        <v>771</v>
      </c>
      <c r="G1260" t="s">
        <v>1854</v>
      </c>
      <c r="J1260" t="s">
        <v>783</v>
      </c>
      <c r="K1260" t="s">
        <v>1930</v>
      </c>
      <c r="L1260" t="s">
        <v>775</v>
      </c>
      <c r="M1260" t="s">
        <v>65</v>
      </c>
      <c r="N1260" t="s">
        <v>770</v>
      </c>
      <c r="O1260">
        <v>1</v>
      </c>
      <c r="P1260" t="s">
        <v>776</v>
      </c>
      <c r="Q1260">
        <v>29.9</v>
      </c>
      <c r="R1260">
        <v>5.39</v>
      </c>
      <c r="Y1260" t="s">
        <v>5814</v>
      </c>
      <c r="Z1260" t="s">
        <v>2971</v>
      </c>
      <c r="AA1260">
        <v>26010</v>
      </c>
      <c r="AB1260" t="s">
        <v>11</v>
      </c>
    </row>
    <row r="1261" spans="1:35" x14ac:dyDescent="0.25">
      <c r="A1261" t="s">
        <v>5815</v>
      </c>
      <c r="B1261" t="s">
        <v>5815</v>
      </c>
      <c r="C1261" t="s">
        <v>5816</v>
      </c>
      <c r="D1261" t="s">
        <v>5817</v>
      </c>
      <c r="E1261" t="s">
        <v>770</v>
      </c>
      <c r="F1261" t="s">
        <v>771</v>
      </c>
      <c r="G1261" t="s">
        <v>1854</v>
      </c>
      <c r="J1261" t="s">
        <v>783</v>
      </c>
      <c r="K1261" t="s">
        <v>1873</v>
      </c>
      <c r="L1261" t="s">
        <v>840</v>
      </c>
      <c r="M1261" t="s">
        <v>26</v>
      </c>
      <c r="N1261" t="s">
        <v>770</v>
      </c>
      <c r="O1261">
        <v>1</v>
      </c>
      <c r="P1261" t="s">
        <v>776</v>
      </c>
      <c r="Q1261">
        <v>34.9</v>
      </c>
      <c r="R1261">
        <v>6.29</v>
      </c>
      <c r="Y1261" t="s">
        <v>5818</v>
      </c>
      <c r="Z1261" t="s">
        <v>1716</v>
      </c>
      <c r="AA1261">
        <v>66043</v>
      </c>
      <c r="AB1261" t="s">
        <v>11</v>
      </c>
    </row>
    <row r="1262" spans="1:35" x14ac:dyDescent="0.25">
      <c r="A1262" t="s">
        <v>5819</v>
      </c>
      <c r="B1262" t="s">
        <v>5819</v>
      </c>
      <c r="C1262" t="s">
        <v>5820</v>
      </c>
      <c r="D1262" t="s">
        <v>5821</v>
      </c>
      <c r="E1262" t="s">
        <v>770</v>
      </c>
      <c r="F1262" t="s">
        <v>771</v>
      </c>
      <c r="G1262" t="s">
        <v>1854</v>
      </c>
      <c r="J1262" t="s">
        <v>783</v>
      </c>
      <c r="K1262" t="s">
        <v>1930</v>
      </c>
      <c r="L1262" t="s">
        <v>775</v>
      </c>
      <c r="M1262" t="s">
        <v>65</v>
      </c>
      <c r="N1262" t="s">
        <v>770</v>
      </c>
      <c r="O1262">
        <v>1</v>
      </c>
      <c r="P1262" t="s">
        <v>776</v>
      </c>
      <c r="Q1262">
        <v>29.9</v>
      </c>
      <c r="R1262">
        <v>5.39</v>
      </c>
      <c r="Y1262" t="s">
        <v>1893</v>
      </c>
      <c r="Z1262" t="s">
        <v>1893</v>
      </c>
      <c r="AA1262">
        <v>10128</v>
      </c>
      <c r="AB1262" t="s">
        <v>11</v>
      </c>
    </row>
    <row r="1263" spans="1:35" x14ac:dyDescent="0.25">
      <c r="A1263" t="s">
        <v>5822</v>
      </c>
      <c r="B1263" t="s">
        <v>5822</v>
      </c>
      <c r="C1263" t="s">
        <v>5823</v>
      </c>
      <c r="D1263" t="s">
        <v>5824</v>
      </c>
      <c r="E1263" t="s">
        <v>782</v>
      </c>
      <c r="F1263" t="s">
        <v>771</v>
      </c>
      <c r="G1263" t="s">
        <v>1854</v>
      </c>
      <c r="J1263" t="s">
        <v>783</v>
      </c>
      <c r="K1263" t="s">
        <v>1862</v>
      </c>
      <c r="L1263" t="s">
        <v>1505</v>
      </c>
      <c r="M1263" t="s">
        <v>53</v>
      </c>
      <c r="N1263" t="s">
        <v>782</v>
      </c>
      <c r="O1263">
        <v>0</v>
      </c>
      <c r="Y1263" t="s">
        <v>5169</v>
      </c>
      <c r="Z1263" t="s">
        <v>4540</v>
      </c>
      <c r="AA1263">
        <v>28887</v>
      </c>
      <c r="AB1263" t="s">
        <v>11</v>
      </c>
    </row>
    <row r="1264" spans="1:35" x14ac:dyDescent="0.25">
      <c r="A1264" t="s">
        <v>5825</v>
      </c>
      <c r="C1264" t="s">
        <v>5826</v>
      </c>
      <c r="D1264" t="s">
        <v>5827</v>
      </c>
      <c r="E1264" t="s">
        <v>770</v>
      </c>
      <c r="F1264" t="s">
        <v>1884</v>
      </c>
      <c r="G1264" t="s">
        <v>1854</v>
      </c>
      <c r="H1264" t="s">
        <v>1885</v>
      </c>
      <c r="J1264" t="s">
        <v>773</v>
      </c>
      <c r="K1264" t="s">
        <v>1855</v>
      </c>
      <c r="L1264" t="s">
        <v>13</v>
      </c>
      <c r="M1264" t="s">
        <v>12</v>
      </c>
      <c r="N1264" t="s">
        <v>770</v>
      </c>
      <c r="O1264">
        <v>1</v>
      </c>
      <c r="P1264" t="s">
        <v>776</v>
      </c>
      <c r="Q1264">
        <v>19.899999999999999</v>
      </c>
      <c r="R1264">
        <v>3.59</v>
      </c>
      <c r="S1264">
        <v>3</v>
      </c>
      <c r="T1264">
        <v>0.54</v>
      </c>
      <c r="Y1264" t="s">
        <v>5828</v>
      </c>
      <c r="Z1264" t="s">
        <v>5829</v>
      </c>
      <c r="AA1264">
        <v>71010</v>
      </c>
      <c r="AB1264" t="s">
        <v>11</v>
      </c>
    </row>
    <row r="1265" spans="1:28" x14ac:dyDescent="0.25">
      <c r="A1265" t="s">
        <v>5830</v>
      </c>
      <c r="B1265" t="s">
        <v>5830</v>
      </c>
      <c r="C1265" t="s">
        <v>5831</v>
      </c>
      <c r="D1265" t="s">
        <v>5832</v>
      </c>
      <c r="E1265" t="s">
        <v>770</v>
      </c>
      <c r="F1265" t="s">
        <v>771</v>
      </c>
      <c r="G1265" t="s">
        <v>1854</v>
      </c>
      <c r="J1265" t="s">
        <v>783</v>
      </c>
      <c r="K1265" t="s">
        <v>1930</v>
      </c>
      <c r="L1265" t="s">
        <v>775</v>
      </c>
      <c r="M1265" t="s">
        <v>65</v>
      </c>
      <c r="N1265" t="s">
        <v>770</v>
      </c>
      <c r="O1265">
        <v>1</v>
      </c>
      <c r="P1265" t="s">
        <v>776</v>
      </c>
      <c r="Q1265">
        <v>29.9</v>
      </c>
      <c r="R1265">
        <v>5.39</v>
      </c>
      <c r="Y1265" t="s">
        <v>5833</v>
      </c>
      <c r="Z1265" t="s">
        <v>3393</v>
      </c>
      <c r="AA1265">
        <v>65010</v>
      </c>
      <c r="AB1265" t="s">
        <v>11</v>
      </c>
    </row>
    <row r="1266" spans="1:28" x14ac:dyDescent="0.25">
      <c r="A1266" t="s">
        <v>5834</v>
      </c>
      <c r="B1266" t="s">
        <v>5834</v>
      </c>
      <c r="C1266" t="s">
        <v>5835</v>
      </c>
      <c r="D1266" t="s">
        <v>5836</v>
      </c>
      <c r="E1266" t="s">
        <v>770</v>
      </c>
      <c r="F1266" t="s">
        <v>771</v>
      </c>
      <c r="G1266" t="s">
        <v>1854</v>
      </c>
      <c r="J1266" t="s">
        <v>783</v>
      </c>
      <c r="K1266" t="s">
        <v>1855</v>
      </c>
      <c r="L1266" t="s">
        <v>1856</v>
      </c>
      <c r="M1266" t="s">
        <v>12</v>
      </c>
      <c r="N1266" t="s">
        <v>770</v>
      </c>
      <c r="O1266">
        <v>1</v>
      </c>
      <c r="P1266" t="s">
        <v>776</v>
      </c>
      <c r="Q1266">
        <v>19.899999999999999</v>
      </c>
      <c r="R1266">
        <v>3.59</v>
      </c>
      <c r="Y1266" t="s">
        <v>2998</v>
      </c>
      <c r="Z1266" t="s">
        <v>5837</v>
      </c>
      <c r="AA1266">
        <v>76125</v>
      </c>
      <c r="AB1266" t="s">
        <v>11</v>
      </c>
    </row>
    <row r="1267" spans="1:28" x14ac:dyDescent="0.25">
      <c r="A1267" t="s">
        <v>5838</v>
      </c>
      <c r="B1267" t="s">
        <v>5838</v>
      </c>
      <c r="C1267" t="s">
        <v>5839</v>
      </c>
      <c r="D1267" t="s">
        <v>5840</v>
      </c>
      <c r="E1267" t="s">
        <v>770</v>
      </c>
      <c r="F1267" t="s">
        <v>771</v>
      </c>
      <c r="G1267" t="s">
        <v>1854</v>
      </c>
      <c r="J1267" t="s">
        <v>783</v>
      </c>
      <c r="K1267" t="s">
        <v>1862</v>
      </c>
      <c r="L1267" t="s">
        <v>1505</v>
      </c>
      <c r="M1267" t="s">
        <v>53</v>
      </c>
      <c r="N1267" t="s">
        <v>770</v>
      </c>
      <c r="O1267">
        <v>1</v>
      </c>
      <c r="P1267" t="s">
        <v>776</v>
      </c>
      <c r="Q1267">
        <v>32.9</v>
      </c>
      <c r="R1267">
        <v>5.93</v>
      </c>
      <c r="Y1267" t="s">
        <v>5841</v>
      </c>
      <c r="Z1267" t="s">
        <v>3685</v>
      </c>
      <c r="AA1267">
        <v>81020</v>
      </c>
      <c r="AB1267" t="s">
        <v>11</v>
      </c>
    </row>
    <row r="1268" spans="1:28" x14ac:dyDescent="0.25">
      <c r="A1268" t="s">
        <v>5842</v>
      </c>
      <c r="B1268" t="s">
        <v>5842</v>
      </c>
      <c r="C1268" t="s">
        <v>5843</v>
      </c>
      <c r="D1268" t="s">
        <v>5844</v>
      </c>
      <c r="E1268" t="s">
        <v>770</v>
      </c>
      <c r="F1268" t="s">
        <v>771</v>
      </c>
      <c r="G1268" t="s">
        <v>1854</v>
      </c>
      <c r="I1268" t="s">
        <v>2692</v>
      </c>
      <c r="J1268" t="s">
        <v>783</v>
      </c>
      <c r="K1268" t="s">
        <v>1862</v>
      </c>
      <c r="L1268" t="s">
        <v>1505</v>
      </c>
      <c r="M1268" t="s">
        <v>53</v>
      </c>
      <c r="N1268" t="s">
        <v>770</v>
      </c>
      <c r="O1268">
        <v>1</v>
      </c>
      <c r="P1268" t="s">
        <v>776</v>
      </c>
      <c r="Q1268">
        <v>32.9</v>
      </c>
      <c r="R1268">
        <v>5.93</v>
      </c>
      <c r="Y1268" t="s">
        <v>2693</v>
      </c>
      <c r="Z1268" t="s">
        <v>2148</v>
      </c>
      <c r="AA1268">
        <v>45020</v>
      </c>
      <c r="AB1268" t="s">
        <v>11</v>
      </c>
    </row>
    <row r="1269" spans="1:28" x14ac:dyDescent="0.25">
      <c r="A1269" t="s">
        <v>5845</v>
      </c>
      <c r="B1269" t="s">
        <v>5845</v>
      </c>
      <c r="C1269" t="s">
        <v>5846</v>
      </c>
      <c r="D1269" t="s">
        <v>5847</v>
      </c>
      <c r="E1269" t="s">
        <v>770</v>
      </c>
      <c r="F1269" t="s">
        <v>771</v>
      </c>
      <c r="G1269" t="s">
        <v>1854</v>
      </c>
      <c r="I1269" t="s">
        <v>2692</v>
      </c>
      <c r="J1269" t="s">
        <v>783</v>
      </c>
      <c r="K1269" t="s">
        <v>2712</v>
      </c>
      <c r="L1269" t="s">
        <v>1800</v>
      </c>
      <c r="M1269" t="s">
        <v>14</v>
      </c>
      <c r="N1269" t="s">
        <v>770</v>
      </c>
      <c r="O1269">
        <v>1</v>
      </c>
      <c r="P1269" t="s">
        <v>776</v>
      </c>
      <c r="Q1269">
        <v>14.9</v>
      </c>
      <c r="R1269">
        <v>2.69</v>
      </c>
      <c r="Y1269" t="s">
        <v>3817</v>
      </c>
      <c r="Z1269" t="s">
        <v>3818</v>
      </c>
      <c r="AA1269">
        <v>2032</v>
      </c>
      <c r="AB1269" t="s">
        <v>11</v>
      </c>
    </row>
    <row r="1270" spans="1:28" x14ac:dyDescent="0.25">
      <c r="A1270" t="s">
        <v>5848</v>
      </c>
      <c r="B1270" t="s">
        <v>5848</v>
      </c>
      <c r="C1270" t="s">
        <v>5849</v>
      </c>
      <c r="D1270" t="s">
        <v>5850</v>
      </c>
      <c r="E1270" t="s">
        <v>770</v>
      </c>
      <c r="F1270" t="s">
        <v>771</v>
      </c>
      <c r="G1270" t="s">
        <v>1854</v>
      </c>
      <c r="J1270" t="s">
        <v>783</v>
      </c>
      <c r="K1270" t="s">
        <v>1862</v>
      </c>
      <c r="L1270" t="s">
        <v>1505</v>
      </c>
      <c r="M1270" t="s">
        <v>53</v>
      </c>
      <c r="N1270" t="s">
        <v>770</v>
      </c>
      <c r="O1270">
        <v>1</v>
      </c>
      <c r="P1270" t="s">
        <v>776</v>
      </c>
      <c r="Q1270">
        <v>32.9</v>
      </c>
      <c r="R1270">
        <v>5.93</v>
      </c>
      <c r="Y1270" t="s">
        <v>5851</v>
      </c>
      <c r="Z1270" t="s">
        <v>2860</v>
      </c>
      <c r="AA1270">
        <v>36075</v>
      </c>
      <c r="AB1270" t="s">
        <v>11</v>
      </c>
    </row>
    <row r="1271" spans="1:28" x14ac:dyDescent="0.25">
      <c r="A1271" t="s">
        <v>5852</v>
      </c>
      <c r="B1271" t="s">
        <v>5852</v>
      </c>
      <c r="C1271" t="s">
        <v>5853</v>
      </c>
      <c r="D1271" t="s">
        <v>5854</v>
      </c>
      <c r="E1271" t="s">
        <v>770</v>
      </c>
      <c r="F1271" t="s">
        <v>771</v>
      </c>
      <c r="G1271" t="s">
        <v>1854</v>
      </c>
      <c r="J1271" t="s">
        <v>783</v>
      </c>
      <c r="K1271" t="s">
        <v>1855</v>
      </c>
      <c r="L1271" t="s">
        <v>1856</v>
      </c>
      <c r="M1271" t="s">
        <v>12</v>
      </c>
      <c r="N1271" t="s">
        <v>770</v>
      </c>
      <c r="O1271">
        <v>1</v>
      </c>
      <c r="P1271" t="s">
        <v>776</v>
      </c>
      <c r="Q1271">
        <v>19.899999999999999</v>
      </c>
      <c r="R1271">
        <v>3.59</v>
      </c>
      <c r="Y1271" t="s">
        <v>5855</v>
      </c>
      <c r="Z1271" t="s">
        <v>2433</v>
      </c>
      <c r="AA1271">
        <v>37044</v>
      </c>
      <c r="AB1271" t="s">
        <v>11</v>
      </c>
    </row>
    <row r="1272" spans="1:28" x14ac:dyDescent="0.25">
      <c r="A1272" t="s">
        <v>5856</v>
      </c>
      <c r="B1272" t="s">
        <v>5856</v>
      </c>
      <c r="C1272" t="s">
        <v>5857</v>
      </c>
      <c r="D1272" t="s">
        <v>5858</v>
      </c>
      <c r="E1272" t="s">
        <v>770</v>
      </c>
      <c r="F1272" t="s">
        <v>771</v>
      </c>
      <c r="G1272" t="s">
        <v>1854</v>
      </c>
      <c r="J1272" t="s">
        <v>783</v>
      </c>
      <c r="K1272" t="s">
        <v>1930</v>
      </c>
      <c r="L1272" t="s">
        <v>775</v>
      </c>
      <c r="M1272" t="s">
        <v>65</v>
      </c>
      <c r="N1272" t="s">
        <v>770</v>
      </c>
      <c r="O1272">
        <v>1</v>
      </c>
      <c r="P1272" t="s">
        <v>776</v>
      </c>
      <c r="Q1272">
        <v>29.9</v>
      </c>
      <c r="R1272">
        <v>5.39</v>
      </c>
      <c r="Y1272" t="s">
        <v>5859</v>
      </c>
      <c r="Z1272" t="s">
        <v>2075</v>
      </c>
      <c r="AA1272">
        <v>22077</v>
      </c>
      <c r="AB1272" t="s">
        <v>11</v>
      </c>
    </row>
    <row r="1273" spans="1:28" x14ac:dyDescent="0.25">
      <c r="A1273" t="s">
        <v>5860</v>
      </c>
      <c r="B1273" t="s">
        <v>5860</v>
      </c>
      <c r="C1273" t="s">
        <v>5861</v>
      </c>
      <c r="D1273" t="s">
        <v>5862</v>
      </c>
      <c r="E1273" t="s">
        <v>770</v>
      </c>
      <c r="F1273" t="s">
        <v>771</v>
      </c>
      <c r="G1273" t="s">
        <v>1854</v>
      </c>
      <c r="J1273" t="s">
        <v>783</v>
      </c>
      <c r="K1273" t="s">
        <v>1855</v>
      </c>
      <c r="L1273" t="s">
        <v>1856</v>
      </c>
      <c r="M1273" t="s">
        <v>12</v>
      </c>
      <c r="N1273" t="s">
        <v>770</v>
      </c>
      <c r="O1273">
        <v>1</v>
      </c>
      <c r="P1273" t="s">
        <v>776</v>
      </c>
      <c r="Q1273">
        <v>19.899999999999999</v>
      </c>
      <c r="R1273">
        <v>3.59</v>
      </c>
      <c r="Y1273" t="s">
        <v>5863</v>
      </c>
      <c r="Z1273" t="s">
        <v>2281</v>
      </c>
      <c r="AA1273">
        <v>73024</v>
      </c>
      <c r="AB1273" t="s">
        <v>11</v>
      </c>
    </row>
    <row r="1274" spans="1:28" x14ac:dyDescent="0.25">
      <c r="A1274" t="s">
        <v>5864</v>
      </c>
      <c r="B1274" t="s">
        <v>5864</v>
      </c>
      <c r="C1274" t="s">
        <v>5865</v>
      </c>
      <c r="D1274" t="s">
        <v>5866</v>
      </c>
      <c r="E1274" t="s">
        <v>770</v>
      </c>
      <c r="F1274" t="s">
        <v>771</v>
      </c>
      <c r="G1274" t="s">
        <v>1854</v>
      </c>
      <c r="J1274" t="s">
        <v>783</v>
      </c>
      <c r="K1274" t="s">
        <v>1855</v>
      </c>
      <c r="L1274" t="s">
        <v>1856</v>
      </c>
      <c r="M1274" t="s">
        <v>12</v>
      </c>
      <c r="N1274" t="s">
        <v>770</v>
      </c>
      <c r="O1274">
        <v>1</v>
      </c>
      <c r="P1274" t="s">
        <v>776</v>
      </c>
      <c r="Q1274">
        <v>19.899999999999999</v>
      </c>
      <c r="R1274">
        <v>3.59</v>
      </c>
      <c r="Y1274" t="s">
        <v>5867</v>
      </c>
      <c r="Z1274" t="s">
        <v>3500</v>
      </c>
      <c r="AA1274">
        <v>4019</v>
      </c>
      <c r="AB1274" t="s">
        <v>11</v>
      </c>
    </row>
    <row r="1275" spans="1:28" x14ac:dyDescent="0.25">
      <c r="A1275" t="s">
        <v>5868</v>
      </c>
      <c r="B1275" t="s">
        <v>5868</v>
      </c>
      <c r="C1275" t="s">
        <v>5869</v>
      </c>
      <c r="D1275" t="s">
        <v>5870</v>
      </c>
      <c r="E1275" t="s">
        <v>770</v>
      </c>
      <c r="F1275" t="s">
        <v>771</v>
      </c>
      <c r="G1275" t="s">
        <v>1854</v>
      </c>
      <c r="J1275" t="s">
        <v>783</v>
      </c>
      <c r="K1275" t="s">
        <v>1855</v>
      </c>
      <c r="L1275" t="s">
        <v>1856</v>
      </c>
      <c r="M1275" t="s">
        <v>12</v>
      </c>
      <c r="N1275" t="s">
        <v>770</v>
      </c>
      <c r="O1275">
        <v>1</v>
      </c>
      <c r="P1275" t="s">
        <v>776</v>
      </c>
      <c r="Q1275">
        <v>19.899999999999999</v>
      </c>
      <c r="R1275">
        <v>3.59</v>
      </c>
      <c r="S1275">
        <v>4.99</v>
      </c>
      <c r="T1275">
        <v>0.9</v>
      </c>
      <c r="Y1275" t="s">
        <v>5871</v>
      </c>
      <c r="Z1275" t="s">
        <v>3080</v>
      </c>
      <c r="AA1275">
        <v>30010</v>
      </c>
      <c r="AB1275" t="s">
        <v>11</v>
      </c>
    </row>
    <row r="1276" spans="1:28" x14ac:dyDescent="0.25">
      <c r="A1276" t="s">
        <v>5872</v>
      </c>
      <c r="B1276" t="s">
        <v>5872</v>
      </c>
      <c r="C1276" t="s">
        <v>5873</v>
      </c>
      <c r="D1276" t="s">
        <v>5874</v>
      </c>
      <c r="E1276" t="s">
        <v>770</v>
      </c>
      <c r="F1276" t="s">
        <v>771</v>
      </c>
      <c r="G1276" t="s">
        <v>1854</v>
      </c>
      <c r="J1276" t="s">
        <v>783</v>
      </c>
      <c r="K1276" t="s">
        <v>1855</v>
      </c>
      <c r="L1276" t="s">
        <v>1856</v>
      </c>
      <c r="M1276" t="s">
        <v>12</v>
      </c>
      <c r="N1276" t="s">
        <v>770</v>
      </c>
      <c r="O1276">
        <v>1</v>
      </c>
      <c r="P1276" t="s">
        <v>776</v>
      </c>
      <c r="Q1276">
        <v>19.899999999999999</v>
      </c>
      <c r="R1276">
        <v>3.59</v>
      </c>
      <c r="Y1276" t="s">
        <v>4570</v>
      </c>
      <c r="Z1276" t="s">
        <v>3024</v>
      </c>
      <c r="AA1276">
        <v>16127</v>
      </c>
      <c r="AB1276" t="s">
        <v>11</v>
      </c>
    </row>
    <row r="1277" spans="1:28" x14ac:dyDescent="0.25">
      <c r="A1277" t="s">
        <v>5875</v>
      </c>
      <c r="B1277" t="s">
        <v>5875</v>
      </c>
      <c r="C1277" t="s">
        <v>5876</v>
      </c>
      <c r="D1277" t="s">
        <v>5877</v>
      </c>
      <c r="E1277" t="s">
        <v>770</v>
      </c>
      <c r="F1277" t="s">
        <v>771</v>
      </c>
      <c r="G1277" t="s">
        <v>1854</v>
      </c>
      <c r="J1277" t="s">
        <v>783</v>
      </c>
      <c r="K1277" t="s">
        <v>1855</v>
      </c>
      <c r="L1277" t="s">
        <v>1856</v>
      </c>
      <c r="M1277" t="s">
        <v>12</v>
      </c>
      <c r="N1277" t="s">
        <v>770</v>
      </c>
      <c r="O1277">
        <v>1</v>
      </c>
      <c r="P1277" t="s">
        <v>776</v>
      </c>
      <c r="Q1277">
        <v>19.899999999999999</v>
      </c>
      <c r="R1277">
        <v>3.59</v>
      </c>
      <c r="Y1277" t="s">
        <v>5878</v>
      </c>
      <c r="Z1277" t="s">
        <v>2597</v>
      </c>
      <c r="AA1277">
        <v>70024</v>
      </c>
      <c r="AB1277" t="s">
        <v>11</v>
      </c>
    </row>
    <row r="1278" spans="1:28" x14ac:dyDescent="0.25">
      <c r="A1278" t="s">
        <v>5879</v>
      </c>
      <c r="B1278" t="s">
        <v>5879</v>
      </c>
      <c r="C1278" t="s">
        <v>5880</v>
      </c>
      <c r="D1278" t="s">
        <v>5881</v>
      </c>
      <c r="E1278" t="s">
        <v>770</v>
      </c>
      <c r="F1278" t="s">
        <v>771</v>
      </c>
      <c r="G1278" t="s">
        <v>1854</v>
      </c>
      <c r="J1278" t="s">
        <v>783</v>
      </c>
      <c r="K1278" t="s">
        <v>2652</v>
      </c>
      <c r="L1278" t="s">
        <v>1831</v>
      </c>
      <c r="M1278" t="s">
        <v>51</v>
      </c>
      <c r="N1278" t="s">
        <v>770</v>
      </c>
      <c r="O1278">
        <v>1</v>
      </c>
      <c r="P1278" t="s">
        <v>776</v>
      </c>
      <c r="Q1278">
        <v>24.9</v>
      </c>
      <c r="R1278">
        <v>4.49</v>
      </c>
      <c r="Y1278" t="s">
        <v>5882</v>
      </c>
      <c r="Z1278" t="s">
        <v>5883</v>
      </c>
      <c r="AA1278">
        <v>89844</v>
      </c>
      <c r="AB1278" t="s">
        <v>11</v>
      </c>
    </row>
    <row r="1279" spans="1:28" x14ac:dyDescent="0.25">
      <c r="A1279" t="s">
        <v>5884</v>
      </c>
      <c r="C1279" t="s">
        <v>5885</v>
      </c>
      <c r="D1279" t="s">
        <v>5886</v>
      </c>
      <c r="E1279" t="s">
        <v>770</v>
      </c>
      <c r="F1279" t="s">
        <v>1884</v>
      </c>
      <c r="G1279" t="s">
        <v>1854</v>
      </c>
      <c r="H1279" t="s">
        <v>1885</v>
      </c>
      <c r="J1279" t="s">
        <v>773</v>
      </c>
      <c r="K1279" t="s">
        <v>1886</v>
      </c>
      <c r="L1279" t="s">
        <v>18</v>
      </c>
      <c r="M1279" t="s">
        <v>17</v>
      </c>
      <c r="N1279" t="s">
        <v>770</v>
      </c>
      <c r="O1279">
        <v>1</v>
      </c>
      <c r="P1279" t="s">
        <v>776</v>
      </c>
      <c r="Q1279">
        <v>22.9</v>
      </c>
      <c r="R1279">
        <v>4.13</v>
      </c>
      <c r="S1279">
        <v>3</v>
      </c>
      <c r="T1279">
        <v>0.54</v>
      </c>
      <c r="Y1279" t="s">
        <v>5887</v>
      </c>
      <c r="Z1279" t="s">
        <v>1875</v>
      </c>
      <c r="AA1279">
        <v>20018</v>
      </c>
      <c r="AB1279" t="s">
        <v>11</v>
      </c>
    </row>
    <row r="1280" spans="1:28" x14ac:dyDescent="0.25">
      <c r="A1280" t="s">
        <v>5888</v>
      </c>
      <c r="B1280" t="s">
        <v>5888</v>
      </c>
      <c r="C1280" t="s">
        <v>5889</v>
      </c>
      <c r="D1280" t="s">
        <v>5890</v>
      </c>
      <c r="E1280" t="s">
        <v>770</v>
      </c>
      <c r="F1280" t="s">
        <v>771</v>
      </c>
      <c r="G1280" t="s">
        <v>1854</v>
      </c>
      <c r="J1280" t="s">
        <v>783</v>
      </c>
      <c r="K1280" t="s">
        <v>1873</v>
      </c>
      <c r="L1280" t="s">
        <v>840</v>
      </c>
      <c r="M1280" t="s">
        <v>26</v>
      </c>
      <c r="N1280" t="s">
        <v>770</v>
      </c>
      <c r="O1280">
        <v>1</v>
      </c>
      <c r="P1280" t="s">
        <v>776</v>
      </c>
      <c r="Q1280">
        <v>34.9</v>
      </c>
      <c r="R1280">
        <v>6.29</v>
      </c>
      <c r="Y1280" t="s">
        <v>3453</v>
      </c>
      <c r="Z1280" t="s">
        <v>5891</v>
      </c>
      <c r="AA1280">
        <v>33100</v>
      </c>
      <c r="AB1280" t="s">
        <v>11</v>
      </c>
    </row>
    <row r="1281" spans="1:28" x14ac:dyDescent="0.25">
      <c r="A1281" t="s">
        <v>5892</v>
      </c>
      <c r="B1281" t="s">
        <v>5892</v>
      </c>
      <c r="C1281" t="s">
        <v>5893</v>
      </c>
      <c r="D1281" t="s">
        <v>5894</v>
      </c>
      <c r="E1281" t="s">
        <v>770</v>
      </c>
      <c r="F1281" t="s">
        <v>771</v>
      </c>
      <c r="G1281" t="s">
        <v>1854</v>
      </c>
      <c r="J1281" t="s">
        <v>783</v>
      </c>
      <c r="K1281" t="s">
        <v>1930</v>
      </c>
      <c r="L1281" t="s">
        <v>775</v>
      </c>
      <c r="M1281" t="s">
        <v>65</v>
      </c>
      <c r="N1281" t="s">
        <v>770</v>
      </c>
      <c r="O1281">
        <v>1</v>
      </c>
      <c r="P1281" t="s">
        <v>776</v>
      </c>
      <c r="Q1281">
        <v>29.9</v>
      </c>
      <c r="R1281">
        <v>5.39</v>
      </c>
      <c r="Y1281" t="s">
        <v>5895</v>
      </c>
      <c r="Z1281" t="s">
        <v>5896</v>
      </c>
      <c r="AA1281">
        <v>14100</v>
      </c>
      <c r="AB1281" t="s">
        <v>11</v>
      </c>
    </row>
    <row r="1282" spans="1:28" x14ac:dyDescent="0.25">
      <c r="A1282" t="s">
        <v>5897</v>
      </c>
      <c r="B1282" t="s">
        <v>5897</v>
      </c>
      <c r="C1282" t="s">
        <v>5898</v>
      </c>
      <c r="D1282" t="s">
        <v>5899</v>
      </c>
      <c r="E1282" t="s">
        <v>770</v>
      </c>
      <c r="F1282" t="s">
        <v>771</v>
      </c>
      <c r="G1282" t="s">
        <v>1854</v>
      </c>
      <c r="J1282" t="s">
        <v>783</v>
      </c>
      <c r="K1282" t="s">
        <v>1855</v>
      </c>
      <c r="L1282" t="s">
        <v>1856</v>
      </c>
      <c r="M1282" t="s">
        <v>12</v>
      </c>
      <c r="N1282" t="s">
        <v>770</v>
      </c>
      <c r="O1282">
        <v>1</v>
      </c>
      <c r="P1282" t="s">
        <v>776</v>
      </c>
      <c r="Q1282">
        <v>19.899999999999999</v>
      </c>
      <c r="R1282">
        <v>3.59</v>
      </c>
      <c r="Y1282" t="s">
        <v>5900</v>
      </c>
      <c r="Z1282" t="s">
        <v>5130</v>
      </c>
      <c r="AA1282">
        <v>70026</v>
      </c>
      <c r="AB1282" t="s">
        <v>11</v>
      </c>
    </row>
    <row r="1283" spans="1:28" x14ac:dyDescent="0.25">
      <c r="A1283" t="s">
        <v>5901</v>
      </c>
      <c r="B1283" t="s">
        <v>5901</v>
      </c>
      <c r="C1283" t="s">
        <v>5902</v>
      </c>
      <c r="D1283" t="s">
        <v>5903</v>
      </c>
      <c r="E1283" t="s">
        <v>770</v>
      </c>
      <c r="F1283" t="s">
        <v>771</v>
      </c>
      <c r="G1283" t="s">
        <v>1854</v>
      </c>
      <c r="J1283" t="s">
        <v>783</v>
      </c>
      <c r="K1283" t="s">
        <v>2055</v>
      </c>
      <c r="L1283" t="s">
        <v>806</v>
      </c>
      <c r="M1283" t="s">
        <v>202</v>
      </c>
      <c r="N1283" t="s">
        <v>770</v>
      </c>
      <c r="O1283">
        <v>1</v>
      </c>
      <c r="P1283" t="s">
        <v>776</v>
      </c>
      <c r="Q1283">
        <v>14.9</v>
      </c>
      <c r="R1283">
        <v>2.69</v>
      </c>
      <c r="Y1283" t="s">
        <v>5904</v>
      </c>
      <c r="Z1283" t="s">
        <v>5083</v>
      </c>
      <c r="AA1283">
        <v>53045</v>
      </c>
      <c r="AB1283" t="s">
        <v>11</v>
      </c>
    </row>
    <row r="1284" spans="1:28" x14ac:dyDescent="0.25">
      <c r="A1284" t="s">
        <v>5905</v>
      </c>
      <c r="B1284" t="s">
        <v>5905</v>
      </c>
      <c r="C1284" t="s">
        <v>5906</v>
      </c>
      <c r="D1284" t="s">
        <v>5907</v>
      </c>
      <c r="E1284" t="s">
        <v>770</v>
      </c>
      <c r="F1284" t="s">
        <v>771</v>
      </c>
      <c r="G1284" t="s">
        <v>1854</v>
      </c>
      <c r="J1284" t="s">
        <v>783</v>
      </c>
      <c r="K1284" t="s">
        <v>1855</v>
      </c>
      <c r="L1284" t="s">
        <v>1856</v>
      </c>
      <c r="M1284" t="s">
        <v>12</v>
      </c>
      <c r="N1284" t="s">
        <v>770</v>
      </c>
      <c r="O1284">
        <v>1</v>
      </c>
      <c r="P1284" t="s">
        <v>776</v>
      </c>
      <c r="Q1284">
        <v>19.899999999999999</v>
      </c>
      <c r="R1284">
        <v>3.59</v>
      </c>
      <c r="Y1284" t="s">
        <v>5908</v>
      </c>
      <c r="Z1284" t="s">
        <v>2621</v>
      </c>
      <c r="AA1284">
        <v>21052</v>
      </c>
      <c r="AB1284" t="s">
        <v>11</v>
      </c>
    </row>
    <row r="1285" spans="1:28" x14ac:dyDescent="0.25">
      <c r="A1285" t="s">
        <v>5909</v>
      </c>
      <c r="B1285" t="s">
        <v>5909</v>
      </c>
      <c r="C1285" t="s">
        <v>5910</v>
      </c>
      <c r="D1285" t="s">
        <v>5911</v>
      </c>
      <c r="E1285" t="s">
        <v>770</v>
      </c>
      <c r="F1285" t="s">
        <v>771</v>
      </c>
      <c r="G1285" t="s">
        <v>1854</v>
      </c>
      <c r="J1285" t="s">
        <v>783</v>
      </c>
      <c r="K1285" t="s">
        <v>1855</v>
      </c>
      <c r="L1285" t="s">
        <v>1856</v>
      </c>
      <c r="M1285" t="s">
        <v>12</v>
      </c>
      <c r="N1285" t="s">
        <v>770</v>
      </c>
      <c r="O1285">
        <v>1</v>
      </c>
      <c r="P1285" t="s">
        <v>776</v>
      </c>
      <c r="Q1285">
        <v>19.899999999999999</v>
      </c>
      <c r="R1285">
        <v>3.59</v>
      </c>
      <c r="Y1285" t="s">
        <v>5912</v>
      </c>
      <c r="Z1285" t="s">
        <v>2257</v>
      </c>
      <c r="AA1285">
        <v>40033</v>
      </c>
      <c r="AB1285" t="s">
        <v>11</v>
      </c>
    </row>
    <row r="1286" spans="1:28" x14ac:dyDescent="0.25">
      <c r="A1286" t="s">
        <v>5913</v>
      </c>
      <c r="B1286" t="s">
        <v>5913</v>
      </c>
      <c r="C1286" t="s">
        <v>5914</v>
      </c>
      <c r="D1286" t="s">
        <v>5915</v>
      </c>
      <c r="E1286" t="s">
        <v>770</v>
      </c>
      <c r="F1286" t="s">
        <v>771</v>
      </c>
      <c r="G1286" t="s">
        <v>1854</v>
      </c>
      <c r="J1286" t="s">
        <v>783</v>
      </c>
      <c r="K1286" t="s">
        <v>1855</v>
      </c>
      <c r="L1286" t="s">
        <v>1856</v>
      </c>
      <c r="M1286" t="s">
        <v>12</v>
      </c>
      <c r="N1286" t="s">
        <v>770</v>
      </c>
      <c r="O1286">
        <v>1</v>
      </c>
      <c r="P1286" t="s">
        <v>776</v>
      </c>
      <c r="Q1286">
        <v>19.899999999999999</v>
      </c>
      <c r="R1286">
        <v>3.59</v>
      </c>
      <c r="Y1286" t="s">
        <v>5916</v>
      </c>
      <c r="Z1286" t="s">
        <v>5111</v>
      </c>
      <c r="AA1286">
        <v>30174</v>
      </c>
      <c r="AB1286" t="s">
        <v>11</v>
      </c>
    </row>
    <row r="1287" spans="1:28" x14ac:dyDescent="0.25">
      <c r="A1287" t="s">
        <v>5917</v>
      </c>
      <c r="C1287" t="s">
        <v>5918</v>
      </c>
      <c r="D1287" t="s">
        <v>5919</v>
      </c>
      <c r="E1287" t="s">
        <v>770</v>
      </c>
      <c r="F1287" t="s">
        <v>1884</v>
      </c>
      <c r="G1287" t="s">
        <v>1854</v>
      </c>
      <c r="H1287" t="s">
        <v>1885</v>
      </c>
      <c r="J1287" t="s">
        <v>773</v>
      </c>
      <c r="K1287" t="s">
        <v>1930</v>
      </c>
      <c r="L1287" t="s">
        <v>66</v>
      </c>
      <c r="M1287" t="s">
        <v>65</v>
      </c>
      <c r="N1287" t="s">
        <v>770</v>
      </c>
      <c r="O1287">
        <v>1</v>
      </c>
      <c r="P1287" t="s">
        <v>776</v>
      </c>
      <c r="Q1287">
        <v>29.9</v>
      </c>
      <c r="R1287">
        <v>5.39</v>
      </c>
      <c r="S1287">
        <v>3</v>
      </c>
      <c r="T1287">
        <v>0.54</v>
      </c>
      <c r="Y1287" t="s">
        <v>5920</v>
      </c>
      <c r="Z1287" t="s">
        <v>3374</v>
      </c>
      <c r="AA1287">
        <v>11026</v>
      </c>
      <c r="AB1287" t="s">
        <v>11</v>
      </c>
    </row>
    <row r="1288" spans="1:28" x14ac:dyDescent="0.25">
      <c r="A1288" t="s">
        <v>5921</v>
      </c>
      <c r="B1288" t="s">
        <v>5921</v>
      </c>
      <c r="C1288" t="s">
        <v>5922</v>
      </c>
      <c r="D1288" t="s">
        <v>5923</v>
      </c>
      <c r="E1288" t="s">
        <v>782</v>
      </c>
      <c r="F1288" t="s">
        <v>771</v>
      </c>
      <c r="G1288" t="s">
        <v>1854</v>
      </c>
      <c r="J1288" t="s">
        <v>783</v>
      </c>
      <c r="K1288" t="s">
        <v>1873</v>
      </c>
      <c r="L1288" t="s">
        <v>840</v>
      </c>
      <c r="M1288" t="s">
        <v>26</v>
      </c>
      <c r="N1288" t="s">
        <v>782</v>
      </c>
      <c r="O1288">
        <v>0</v>
      </c>
      <c r="Y1288" t="s">
        <v>1913</v>
      </c>
      <c r="Z1288" t="s">
        <v>1926</v>
      </c>
      <c r="AA1288">
        <v>144</v>
      </c>
      <c r="AB1288" t="s">
        <v>11</v>
      </c>
    </row>
    <row r="1289" spans="1:28" x14ac:dyDescent="0.25">
      <c r="A1289" t="s">
        <v>5924</v>
      </c>
      <c r="B1289" t="s">
        <v>5924</v>
      </c>
      <c r="C1289" t="s">
        <v>5925</v>
      </c>
      <c r="D1289" t="s">
        <v>5926</v>
      </c>
      <c r="E1289" t="s">
        <v>770</v>
      </c>
      <c r="F1289" t="s">
        <v>771</v>
      </c>
      <c r="G1289" t="s">
        <v>1854</v>
      </c>
      <c r="J1289" t="s">
        <v>783</v>
      </c>
      <c r="K1289" t="s">
        <v>1855</v>
      </c>
      <c r="L1289" t="s">
        <v>1856</v>
      </c>
      <c r="M1289" t="s">
        <v>12</v>
      </c>
      <c r="N1289" t="s">
        <v>770</v>
      </c>
      <c r="O1289">
        <v>1</v>
      </c>
      <c r="P1289" t="s">
        <v>776</v>
      </c>
      <c r="Q1289">
        <v>19.899999999999999</v>
      </c>
      <c r="R1289">
        <v>3.59</v>
      </c>
      <c r="Y1289" t="s">
        <v>2601</v>
      </c>
      <c r="Z1289" t="s">
        <v>2601</v>
      </c>
      <c r="AA1289">
        <v>16162</v>
      </c>
      <c r="AB1289" t="s">
        <v>11</v>
      </c>
    </row>
    <row r="1290" spans="1:28" x14ac:dyDescent="0.25">
      <c r="A1290" t="s">
        <v>5927</v>
      </c>
      <c r="B1290" t="s">
        <v>5927</v>
      </c>
      <c r="C1290" t="s">
        <v>5928</v>
      </c>
      <c r="D1290" t="s">
        <v>5929</v>
      </c>
      <c r="E1290" t="s">
        <v>782</v>
      </c>
      <c r="F1290" t="s">
        <v>771</v>
      </c>
      <c r="G1290" t="s">
        <v>1854</v>
      </c>
      <c r="J1290" t="s">
        <v>783</v>
      </c>
      <c r="K1290" t="s">
        <v>1855</v>
      </c>
      <c r="L1290" t="s">
        <v>1856</v>
      </c>
      <c r="M1290" t="s">
        <v>12</v>
      </c>
      <c r="N1290" t="s">
        <v>782</v>
      </c>
      <c r="O1290">
        <v>0</v>
      </c>
      <c r="Y1290" t="s">
        <v>5930</v>
      </c>
      <c r="Z1290" t="s">
        <v>2143</v>
      </c>
      <c r="AA1290">
        <v>3012</v>
      </c>
      <c r="AB1290" t="s">
        <v>11</v>
      </c>
    </row>
    <row r="1291" spans="1:28" x14ac:dyDescent="0.25">
      <c r="A1291" t="s">
        <v>5931</v>
      </c>
      <c r="B1291" t="s">
        <v>5931</v>
      </c>
      <c r="C1291" t="s">
        <v>5932</v>
      </c>
      <c r="D1291" t="s">
        <v>5933</v>
      </c>
      <c r="E1291" t="s">
        <v>770</v>
      </c>
      <c r="F1291" t="s">
        <v>771</v>
      </c>
      <c r="G1291" t="s">
        <v>1854</v>
      </c>
      <c r="J1291" t="s">
        <v>783</v>
      </c>
      <c r="K1291" t="s">
        <v>1855</v>
      </c>
      <c r="L1291" t="s">
        <v>1856</v>
      </c>
      <c r="M1291" t="s">
        <v>12</v>
      </c>
      <c r="N1291" t="s">
        <v>770</v>
      </c>
      <c r="O1291">
        <v>1</v>
      </c>
      <c r="P1291" t="s">
        <v>776</v>
      </c>
      <c r="Q1291">
        <v>19.899999999999999</v>
      </c>
      <c r="R1291">
        <v>3.59</v>
      </c>
      <c r="Y1291" t="s">
        <v>1875</v>
      </c>
      <c r="Z1291" t="s">
        <v>1875</v>
      </c>
      <c r="AA1291">
        <v>20157</v>
      </c>
      <c r="AB1291" t="s">
        <v>11</v>
      </c>
    </row>
    <row r="1292" spans="1:28" x14ac:dyDescent="0.25">
      <c r="A1292" t="s">
        <v>5934</v>
      </c>
      <c r="B1292" t="s">
        <v>5934</v>
      </c>
      <c r="C1292" t="s">
        <v>5935</v>
      </c>
      <c r="D1292" t="s">
        <v>5936</v>
      </c>
      <c r="E1292" t="s">
        <v>770</v>
      </c>
      <c r="F1292" t="s">
        <v>771</v>
      </c>
      <c r="G1292" t="s">
        <v>1854</v>
      </c>
      <c r="J1292" t="s">
        <v>783</v>
      </c>
      <c r="K1292" t="s">
        <v>2652</v>
      </c>
      <c r="L1292" t="s">
        <v>1831</v>
      </c>
      <c r="M1292" t="s">
        <v>51</v>
      </c>
      <c r="N1292" t="s">
        <v>770</v>
      </c>
      <c r="O1292">
        <v>1</v>
      </c>
      <c r="P1292" t="s">
        <v>776</v>
      </c>
      <c r="Q1292">
        <v>24.9</v>
      </c>
      <c r="R1292">
        <v>4.49</v>
      </c>
      <c r="Y1292" t="s">
        <v>2143</v>
      </c>
      <c r="Z1292" t="s">
        <v>28</v>
      </c>
      <c r="AA1292">
        <v>3100</v>
      </c>
      <c r="AB1292" t="s">
        <v>11</v>
      </c>
    </row>
    <row r="1293" spans="1:28" x14ac:dyDescent="0.25">
      <c r="A1293" t="s">
        <v>5937</v>
      </c>
      <c r="B1293" t="s">
        <v>5937</v>
      </c>
      <c r="C1293" t="s">
        <v>5938</v>
      </c>
      <c r="D1293" t="s">
        <v>5939</v>
      </c>
      <c r="E1293" t="s">
        <v>770</v>
      </c>
      <c r="F1293" t="s">
        <v>771</v>
      </c>
      <c r="G1293" t="s">
        <v>1854</v>
      </c>
      <c r="J1293" t="s">
        <v>783</v>
      </c>
      <c r="K1293" t="s">
        <v>1862</v>
      </c>
      <c r="L1293" t="s">
        <v>1505</v>
      </c>
      <c r="M1293" t="s">
        <v>53</v>
      </c>
      <c r="N1293" t="s">
        <v>770</v>
      </c>
      <c r="O1293">
        <v>1</v>
      </c>
      <c r="P1293" t="s">
        <v>776</v>
      </c>
      <c r="Q1293">
        <v>32.9</v>
      </c>
      <c r="R1293">
        <v>5.93</v>
      </c>
      <c r="Y1293" t="s">
        <v>4708</v>
      </c>
      <c r="Z1293" t="s">
        <v>3304</v>
      </c>
      <c r="AA1293">
        <v>15048</v>
      </c>
      <c r="AB1293" t="s">
        <v>11</v>
      </c>
    </row>
    <row r="1294" spans="1:28" x14ac:dyDescent="0.25">
      <c r="A1294" t="s">
        <v>5940</v>
      </c>
      <c r="B1294" t="s">
        <v>5940</v>
      </c>
      <c r="C1294" t="s">
        <v>5941</v>
      </c>
      <c r="D1294" t="s">
        <v>5942</v>
      </c>
      <c r="E1294" t="s">
        <v>770</v>
      </c>
      <c r="F1294" t="s">
        <v>771</v>
      </c>
      <c r="G1294" t="s">
        <v>1854</v>
      </c>
      <c r="J1294" t="s">
        <v>783</v>
      </c>
      <c r="K1294" t="s">
        <v>1855</v>
      </c>
      <c r="L1294" t="s">
        <v>1856</v>
      </c>
      <c r="M1294" t="s">
        <v>12</v>
      </c>
      <c r="N1294" t="s">
        <v>770</v>
      </c>
      <c r="O1294">
        <v>1</v>
      </c>
      <c r="P1294" t="s">
        <v>776</v>
      </c>
      <c r="Q1294">
        <v>19.899999999999999</v>
      </c>
      <c r="R1294">
        <v>3.59</v>
      </c>
      <c r="Y1294" t="s">
        <v>5943</v>
      </c>
      <c r="Z1294" t="s">
        <v>2597</v>
      </c>
      <c r="AA1294">
        <v>70029</v>
      </c>
      <c r="AB1294" t="s">
        <v>11</v>
      </c>
    </row>
    <row r="1295" spans="1:28" x14ac:dyDescent="0.25">
      <c r="A1295" t="s">
        <v>5944</v>
      </c>
      <c r="B1295" t="s">
        <v>5944</v>
      </c>
      <c r="C1295" t="s">
        <v>5945</v>
      </c>
      <c r="D1295" t="s">
        <v>5946</v>
      </c>
      <c r="E1295" t="s">
        <v>770</v>
      </c>
      <c r="F1295" t="s">
        <v>771</v>
      </c>
      <c r="G1295" t="s">
        <v>1854</v>
      </c>
      <c r="J1295" t="s">
        <v>783</v>
      </c>
      <c r="K1295" t="s">
        <v>1855</v>
      </c>
      <c r="L1295" t="s">
        <v>1856</v>
      </c>
      <c r="M1295" t="s">
        <v>12</v>
      </c>
      <c r="N1295" t="s">
        <v>770</v>
      </c>
      <c r="O1295">
        <v>1</v>
      </c>
      <c r="P1295" t="s">
        <v>776</v>
      </c>
      <c r="Q1295">
        <v>19.899999999999999</v>
      </c>
      <c r="R1295">
        <v>3.59</v>
      </c>
      <c r="Y1295" t="s">
        <v>5947</v>
      </c>
      <c r="Z1295" t="s">
        <v>3874</v>
      </c>
      <c r="AA1295">
        <v>57025</v>
      </c>
      <c r="AB1295" t="s">
        <v>11</v>
      </c>
    </row>
    <row r="1296" spans="1:28" x14ac:dyDescent="0.25">
      <c r="A1296" t="s">
        <v>5948</v>
      </c>
      <c r="B1296" t="s">
        <v>5948</v>
      </c>
      <c r="C1296" t="s">
        <v>5949</v>
      </c>
      <c r="D1296" t="s">
        <v>5950</v>
      </c>
      <c r="E1296" t="s">
        <v>770</v>
      </c>
      <c r="F1296" t="s">
        <v>771</v>
      </c>
      <c r="G1296" t="s">
        <v>1854</v>
      </c>
      <c r="J1296" t="s">
        <v>783</v>
      </c>
      <c r="K1296" t="s">
        <v>1873</v>
      </c>
      <c r="L1296" t="s">
        <v>840</v>
      </c>
      <c r="M1296" t="s">
        <v>26</v>
      </c>
      <c r="N1296" t="s">
        <v>770</v>
      </c>
      <c r="O1296">
        <v>1</v>
      </c>
      <c r="P1296" t="s">
        <v>776</v>
      </c>
      <c r="Q1296">
        <v>34.9</v>
      </c>
      <c r="R1296">
        <v>6.29</v>
      </c>
      <c r="Y1296" t="s">
        <v>5951</v>
      </c>
      <c r="Z1296" t="s">
        <v>2675</v>
      </c>
      <c r="AA1296">
        <v>20875</v>
      </c>
      <c r="AB1296" t="s">
        <v>11</v>
      </c>
    </row>
    <row r="1297" spans="1:28" x14ac:dyDescent="0.25">
      <c r="A1297" t="s">
        <v>5952</v>
      </c>
      <c r="B1297" t="s">
        <v>5952</v>
      </c>
      <c r="C1297" t="s">
        <v>5953</v>
      </c>
      <c r="D1297" t="s">
        <v>5954</v>
      </c>
      <c r="E1297" t="s">
        <v>770</v>
      </c>
      <c r="F1297" t="s">
        <v>771</v>
      </c>
      <c r="G1297" t="s">
        <v>1854</v>
      </c>
      <c r="J1297" t="s">
        <v>783</v>
      </c>
      <c r="K1297" t="s">
        <v>1855</v>
      </c>
      <c r="L1297" t="s">
        <v>1856</v>
      </c>
      <c r="M1297" t="s">
        <v>12</v>
      </c>
      <c r="N1297" t="s">
        <v>770</v>
      </c>
      <c r="O1297">
        <v>1</v>
      </c>
      <c r="P1297" t="s">
        <v>776</v>
      </c>
      <c r="Q1297">
        <v>19.899999999999999</v>
      </c>
      <c r="R1297">
        <v>3.59</v>
      </c>
      <c r="Y1297" t="s">
        <v>2153</v>
      </c>
      <c r="Z1297" t="s">
        <v>2197</v>
      </c>
      <c r="AA1297">
        <v>84127</v>
      </c>
      <c r="AB1297" t="s">
        <v>11</v>
      </c>
    </row>
    <row r="1298" spans="1:28" x14ac:dyDescent="0.25">
      <c r="A1298" t="s">
        <v>5955</v>
      </c>
      <c r="B1298" t="s">
        <v>5955</v>
      </c>
      <c r="C1298" t="s">
        <v>5956</v>
      </c>
      <c r="D1298" t="s">
        <v>5957</v>
      </c>
      <c r="E1298" t="s">
        <v>770</v>
      </c>
      <c r="F1298" t="s">
        <v>771</v>
      </c>
      <c r="G1298" t="s">
        <v>1854</v>
      </c>
      <c r="J1298" t="s">
        <v>783</v>
      </c>
      <c r="K1298" t="s">
        <v>1873</v>
      </c>
      <c r="L1298" t="s">
        <v>840</v>
      </c>
      <c r="M1298" t="s">
        <v>26</v>
      </c>
      <c r="N1298" t="s">
        <v>770</v>
      </c>
      <c r="O1298">
        <v>1</v>
      </c>
      <c r="P1298" t="s">
        <v>776</v>
      </c>
      <c r="Q1298">
        <v>34.9</v>
      </c>
      <c r="R1298">
        <v>6.29</v>
      </c>
      <c r="Y1298" t="s">
        <v>5958</v>
      </c>
      <c r="Z1298" t="s">
        <v>2720</v>
      </c>
      <c r="AA1298">
        <v>27010</v>
      </c>
      <c r="AB1298" t="s">
        <v>11</v>
      </c>
    </row>
    <row r="1299" spans="1:28" x14ac:dyDescent="0.25">
      <c r="A1299" t="s">
        <v>5959</v>
      </c>
      <c r="B1299" t="s">
        <v>5959</v>
      </c>
      <c r="C1299" t="s">
        <v>5960</v>
      </c>
      <c r="D1299" t="s">
        <v>5961</v>
      </c>
      <c r="E1299" t="s">
        <v>770</v>
      </c>
      <c r="F1299" t="s">
        <v>771</v>
      </c>
      <c r="G1299" t="s">
        <v>1854</v>
      </c>
      <c r="J1299" t="s">
        <v>783</v>
      </c>
      <c r="K1299" t="s">
        <v>1855</v>
      </c>
      <c r="L1299" t="s">
        <v>1856</v>
      </c>
      <c r="M1299" t="s">
        <v>12</v>
      </c>
      <c r="N1299" t="s">
        <v>770</v>
      </c>
      <c r="O1299">
        <v>1</v>
      </c>
      <c r="P1299" t="s">
        <v>776</v>
      </c>
      <c r="Q1299">
        <v>19.899999999999999</v>
      </c>
      <c r="R1299">
        <v>3.59</v>
      </c>
      <c r="Y1299" t="s">
        <v>5962</v>
      </c>
      <c r="Z1299" t="s">
        <v>1869</v>
      </c>
      <c r="AA1299">
        <v>10010</v>
      </c>
      <c r="AB1299" t="s">
        <v>11</v>
      </c>
    </row>
    <row r="1300" spans="1:28" x14ac:dyDescent="0.25">
      <c r="A1300" t="s">
        <v>5963</v>
      </c>
      <c r="B1300" t="s">
        <v>5963</v>
      </c>
      <c r="C1300" t="s">
        <v>5964</v>
      </c>
      <c r="D1300" t="s">
        <v>5965</v>
      </c>
      <c r="E1300" t="s">
        <v>770</v>
      </c>
      <c r="F1300" t="s">
        <v>771</v>
      </c>
      <c r="G1300" t="s">
        <v>1854</v>
      </c>
      <c r="J1300" t="s">
        <v>783</v>
      </c>
      <c r="K1300" t="s">
        <v>1855</v>
      </c>
      <c r="L1300" t="s">
        <v>1856</v>
      </c>
      <c r="M1300" t="s">
        <v>12</v>
      </c>
      <c r="N1300" t="s">
        <v>770</v>
      </c>
      <c r="O1300">
        <v>1</v>
      </c>
      <c r="P1300" t="s">
        <v>776</v>
      </c>
      <c r="Q1300">
        <v>19.899999999999999</v>
      </c>
      <c r="R1300">
        <v>3.59</v>
      </c>
      <c r="S1300">
        <v>0.81</v>
      </c>
      <c r="X1300">
        <v>0.81</v>
      </c>
      <c r="Y1300" t="s">
        <v>1913</v>
      </c>
      <c r="Z1300" t="s">
        <v>2548</v>
      </c>
      <c r="AA1300">
        <v>148</v>
      </c>
      <c r="AB1300" t="s">
        <v>11</v>
      </c>
    </row>
    <row r="1301" spans="1:28" x14ac:dyDescent="0.25">
      <c r="A1301" t="s">
        <v>5966</v>
      </c>
      <c r="B1301" t="s">
        <v>5966</v>
      </c>
      <c r="C1301" t="s">
        <v>5967</v>
      </c>
      <c r="D1301" t="s">
        <v>5968</v>
      </c>
      <c r="E1301" t="s">
        <v>770</v>
      </c>
      <c r="F1301" t="s">
        <v>771</v>
      </c>
      <c r="G1301" t="s">
        <v>1854</v>
      </c>
      <c r="J1301" t="s">
        <v>783</v>
      </c>
      <c r="K1301" t="s">
        <v>1855</v>
      </c>
      <c r="L1301" t="s">
        <v>1856</v>
      </c>
      <c r="M1301" t="s">
        <v>12</v>
      </c>
      <c r="N1301" t="s">
        <v>770</v>
      </c>
      <c r="O1301">
        <v>1</v>
      </c>
      <c r="P1301" t="s">
        <v>776</v>
      </c>
      <c r="Q1301">
        <v>19.899999999999999</v>
      </c>
      <c r="R1301">
        <v>3.59</v>
      </c>
      <c r="Y1301" t="s">
        <v>5969</v>
      </c>
      <c r="Z1301" t="s">
        <v>2720</v>
      </c>
      <c r="AA1301">
        <v>27027</v>
      </c>
      <c r="AB1301" t="s">
        <v>11</v>
      </c>
    </row>
    <row r="1302" spans="1:28" x14ac:dyDescent="0.25">
      <c r="A1302" t="s">
        <v>5970</v>
      </c>
      <c r="B1302" t="s">
        <v>5970</v>
      </c>
      <c r="C1302" t="s">
        <v>5971</v>
      </c>
      <c r="D1302" t="s">
        <v>5972</v>
      </c>
      <c r="E1302" t="s">
        <v>782</v>
      </c>
      <c r="F1302" t="s">
        <v>771</v>
      </c>
      <c r="G1302" t="s">
        <v>1854</v>
      </c>
      <c r="J1302" t="s">
        <v>783</v>
      </c>
      <c r="K1302" t="s">
        <v>1862</v>
      </c>
      <c r="L1302" t="s">
        <v>1505</v>
      </c>
      <c r="M1302" t="s">
        <v>53</v>
      </c>
      <c r="N1302" t="s">
        <v>782</v>
      </c>
      <c r="O1302">
        <v>0</v>
      </c>
      <c r="Y1302" t="s">
        <v>5973</v>
      </c>
      <c r="Z1302" t="s">
        <v>5974</v>
      </c>
      <c r="AA1302">
        <v>9015</v>
      </c>
      <c r="AB1302" t="s">
        <v>11</v>
      </c>
    </row>
    <row r="1303" spans="1:28" x14ac:dyDescent="0.25">
      <c r="A1303" t="s">
        <v>5975</v>
      </c>
      <c r="B1303" t="s">
        <v>5975</v>
      </c>
      <c r="C1303" t="s">
        <v>5976</v>
      </c>
      <c r="D1303" t="s">
        <v>5977</v>
      </c>
      <c r="E1303" t="s">
        <v>770</v>
      </c>
      <c r="F1303" t="s">
        <v>771</v>
      </c>
      <c r="G1303" t="s">
        <v>1854</v>
      </c>
      <c r="J1303" t="s">
        <v>783</v>
      </c>
      <c r="K1303" t="s">
        <v>1873</v>
      </c>
      <c r="L1303" t="s">
        <v>840</v>
      </c>
      <c r="M1303" t="s">
        <v>26</v>
      </c>
      <c r="N1303" t="s">
        <v>770</v>
      </c>
      <c r="O1303">
        <v>1</v>
      </c>
      <c r="P1303" t="s">
        <v>776</v>
      </c>
      <c r="Q1303">
        <v>34.9</v>
      </c>
      <c r="R1303">
        <v>6.29</v>
      </c>
      <c r="Y1303" t="s">
        <v>2134</v>
      </c>
      <c r="Z1303" t="s">
        <v>1913</v>
      </c>
      <c r="AA1303">
        <v>159</v>
      </c>
      <c r="AB1303" t="s">
        <v>11</v>
      </c>
    </row>
    <row r="1304" spans="1:28" x14ac:dyDescent="0.25">
      <c r="A1304" t="s">
        <v>5978</v>
      </c>
      <c r="B1304" t="s">
        <v>5978</v>
      </c>
      <c r="C1304" t="s">
        <v>5979</v>
      </c>
      <c r="D1304" t="s">
        <v>5980</v>
      </c>
      <c r="E1304" t="s">
        <v>770</v>
      </c>
      <c r="F1304" t="s">
        <v>771</v>
      </c>
      <c r="G1304" t="s">
        <v>1854</v>
      </c>
      <c r="J1304" t="s">
        <v>783</v>
      </c>
      <c r="K1304" t="s">
        <v>1855</v>
      </c>
      <c r="L1304" t="s">
        <v>1856</v>
      </c>
      <c r="M1304" t="s">
        <v>12</v>
      </c>
      <c r="N1304" t="s">
        <v>770</v>
      </c>
      <c r="O1304">
        <v>1</v>
      </c>
      <c r="P1304" t="s">
        <v>776</v>
      </c>
      <c r="Q1304">
        <v>19.899999999999999</v>
      </c>
      <c r="R1304">
        <v>3.59</v>
      </c>
      <c r="Y1304" t="s">
        <v>2398</v>
      </c>
      <c r="Z1304" t="s">
        <v>2398</v>
      </c>
      <c r="AA1304">
        <v>26900</v>
      </c>
      <c r="AB1304" t="s">
        <v>11</v>
      </c>
    </row>
    <row r="1305" spans="1:28" x14ac:dyDescent="0.25">
      <c r="A1305" t="s">
        <v>5981</v>
      </c>
      <c r="B1305" t="s">
        <v>5981</v>
      </c>
      <c r="C1305" t="s">
        <v>5982</v>
      </c>
      <c r="D1305" t="s">
        <v>5983</v>
      </c>
      <c r="E1305" t="s">
        <v>782</v>
      </c>
      <c r="F1305" t="s">
        <v>771</v>
      </c>
      <c r="G1305" t="s">
        <v>1854</v>
      </c>
      <c r="J1305" t="s">
        <v>783</v>
      </c>
      <c r="K1305" t="s">
        <v>1855</v>
      </c>
      <c r="L1305" t="s">
        <v>1856</v>
      </c>
      <c r="M1305" t="s">
        <v>12</v>
      </c>
      <c r="N1305" t="s">
        <v>782</v>
      </c>
      <c r="O1305">
        <v>0</v>
      </c>
      <c r="Y1305" t="s">
        <v>1875</v>
      </c>
      <c r="AA1305">
        <v>20158</v>
      </c>
      <c r="AB1305" t="s">
        <v>11</v>
      </c>
    </row>
    <row r="1306" spans="1:28" x14ac:dyDescent="0.25">
      <c r="A1306" t="s">
        <v>5984</v>
      </c>
      <c r="B1306" t="s">
        <v>5984</v>
      </c>
      <c r="C1306" t="s">
        <v>5985</v>
      </c>
      <c r="D1306" t="s">
        <v>5986</v>
      </c>
      <c r="E1306" t="s">
        <v>770</v>
      </c>
      <c r="F1306" t="s">
        <v>771</v>
      </c>
      <c r="G1306" t="s">
        <v>1854</v>
      </c>
      <c r="J1306" t="s">
        <v>783</v>
      </c>
      <c r="K1306" t="s">
        <v>1873</v>
      </c>
      <c r="L1306" t="s">
        <v>840</v>
      </c>
      <c r="M1306" t="s">
        <v>26</v>
      </c>
      <c r="N1306" t="s">
        <v>770</v>
      </c>
      <c r="O1306">
        <v>1</v>
      </c>
      <c r="P1306" t="s">
        <v>776</v>
      </c>
      <c r="Q1306">
        <v>34.9</v>
      </c>
      <c r="R1306">
        <v>6.29</v>
      </c>
      <c r="S1306">
        <v>3.99</v>
      </c>
      <c r="T1306">
        <v>0.72</v>
      </c>
      <c r="Y1306" t="s">
        <v>5987</v>
      </c>
      <c r="Z1306" t="s">
        <v>5988</v>
      </c>
      <c r="AA1306">
        <v>52048</v>
      </c>
      <c r="AB1306" t="s">
        <v>11</v>
      </c>
    </row>
    <row r="1307" spans="1:28" x14ac:dyDescent="0.25">
      <c r="A1307" t="s">
        <v>5989</v>
      </c>
      <c r="B1307" t="s">
        <v>5989</v>
      </c>
      <c r="C1307" t="s">
        <v>5990</v>
      </c>
      <c r="D1307" t="s">
        <v>5991</v>
      </c>
      <c r="E1307" t="s">
        <v>770</v>
      </c>
      <c r="F1307" t="s">
        <v>771</v>
      </c>
      <c r="G1307" t="s">
        <v>1854</v>
      </c>
      <c r="J1307" t="s">
        <v>783</v>
      </c>
      <c r="K1307" t="s">
        <v>2652</v>
      </c>
      <c r="L1307" t="s">
        <v>1831</v>
      </c>
      <c r="M1307" t="s">
        <v>51</v>
      </c>
      <c r="N1307" t="s">
        <v>770</v>
      </c>
      <c r="O1307">
        <v>1</v>
      </c>
      <c r="P1307" t="s">
        <v>776</v>
      </c>
      <c r="Q1307">
        <v>24.9</v>
      </c>
      <c r="R1307">
        <v>4.49</v>
      </c>
      <c r="Y1307" t="s">
        <v>3287</v>
      </c>
      <c r="Z1307" t="s">
        <v>3916</v>
      </c>
      <c r="AA1307">
        <v>23900</v>
      </c>
      <c r="AB1307" t="s">
        <v>11</v>
      </c>
    </row>
    <row r="1308" spans="1:28" x14ac:dyDescent="0.25">
      <c r="A1308" t="s">
        <v>5992</v>
      </c>
      <c r="B1308" t="s">
        <v>5992</v>
      </c>
      <c r="C1308" t="s">
        <v>5993</v>
      </c>
      <c r="D1308" t="s">
        <v>5994</v>
      </c>
      <c r="E1308" t="s">
        <v>782</v>
      </c>
      <c r="F1308" t="s">
        <v>771</v>
      </c>
      <c r="G1308" t="s">
        <v>1854</v>
      </c>
      <c r="J1308" t="s">
        <v>783</v>
      </c>
      <c r="K1308" t="s">
        <v>1855</v>
      </c>
      <c r="L1308" t="s">
        <v>1856</v>
      </c>
      <c r="M1308" t="s">
        <v>12</v>
      </c>
      <c r="N1308" t="s">
        <v>782</v>
      </c>
      <c r="O1308">
        <v>0</v>
      </c>
      <c r="Y1308" t="s">
        <v>1875</v>
      </c>
      <c r="AA1308">
        <v>20158</v>
      </c>
      <c r="AB1308" t="s">
        <v>11</v>
      </c>
    </row>
    <row r="1309" spans="1:28" x14ac:dyDescent="0.25">
      <c r="A1309" t="s">
        <v>5995</v>
      </c>
      <c r="B1309" t="s">
        <v>5995</v>
      </c>
      <c r="C1309" t="s">
        <v>5996</v>
      </c>
      <c r="D1309" t="s">
        <v>5997</v>
      </c>
      <c r="E1309" t="s">
        <v>770</v>
      </c>
      <c r="F1309" t="s">
        <v>771</v>
      </c>
      <c r="G1309" t="s">
        <v>1854</v>
      </c>
      <c r="J1309" t="s">
        <v>783</v>
      </c>
      <c r="K1309" t="s">
        <v>1855</v>
      </c>
      <c r="L1309" t="s">
        <v>1856</v>
      </c>
      <c r="M1309" t="s">
        <v>12</v>
      </c>
      <c r="N1309" t="s">
        <v>770</v>
      </c>
      <c r="O1309">
        <v>1</v>
      </c>
      <c r="P1309" t="s">
        <v>776</v>
      </c>
      <c r="Q1309">
        <v>19.899999999999999</v>
      </c>
      <c r="R1309">
        <v>3.59</v>
      </c>
      <c r="Y1309" t="s">
        <v>5998</v>
      </c>
      <c r="Z1309" t="s">
        <v>3645</v>
      </c>
      <c r="AA1309">
        <v>35020</v>
      </c>
      <c r="AB1309" t="s">
        <v>11</v>
      </c>
    </row>
    <row r="1310" spans="1:28" x14ac:dyDescent="0.25">
      <c r="A1310" t="s">
        <v>5999</v>
      </c>
      <c r="B1310" t="s">
        <v>5999</v>
      </c>
      <c r="C1310" t="s">
        <v>6000</v>
      </c>
      <c r="D1310" t="s">
        <v>6001</v>
      </c>
      <c r="E1310" t="s">
        <v>782</v>
      </c>
      <c r="F1310" t="s">
        <v>771</v>
      </c>
      <c r="G1310" t="s">
        <v>1854</v>
      </c>
      <c r="J1310" t="s">
        <v>783</v>
      </c>
      <c r="K1310" t="s">
        <v>1873</v>
      </c>
      <c r="L1310" t="s">
        <v>840</v>
      </c>
      <c r="M1310" t="s">
        <v>26</v>
      </c>
      <c r="N1310" t="s">
        <v>782</v>
      </c>
      <c r="O1310">
        <v>0</v>
      </c>
      <c r="Y1310" t="s">
        <v>1917</v>
      </c>
      <c r="Z1310" t="s">
        <v>1917</v>
      </c>
      <c r="AA1310">
        <v>20124</v>
      </c>
      <c r="AB1310" t="s">
        <v>11</v>
      </c>
    </row>
    <row r="1311" spans="1:28" x14ac:dyDescent="0.25">
      <c r="A1311" t="s">
        <v>6002</v>
      </c>
      <c r="B1311" t="s">
        <v>6002</v>
      </c>
      <c r="C1311" t="s">
        <v>6003</v>
      </c>
      <c r="D1311" t="s">
        <v>6004</v>
      </c>
      <c r="E1311" t="s">
        <v>770</v>
      </c>
      <c r="F1311" t="s">
        <v>771</v>
      </c>
      <c r="G1311" t="s">
        <v>1854</v>
      </c>
      <c r="J1311" t="s">
        <v>783</v>
      </c>
      <c r="K1311" t="s">
        <v>1930</v>
      </c>
      <c r="L1311" t="s">
        <v>775</v>
      </c>
      <c r="M1311" t="s">
        <v>65</v>
      </c>
      <c r="N1311" t="s">
        <v>770</v>
      </c>
      <c r="O1311">
        <v>1</v>
      </c>
      <c r="P1311" t="s">
        <v>776</v>
      </c>
      <c r="Q1311">
        <v>29.9</v>
      </c>
      <c r="R1311">
        <v>5.39</v>
      </c>
      <c r="Y1311" t="s">
        <v>2040</v>
      </c>
      <c r="Z1311" t="s">
        <v>4810</v>
      </c>
      <c r="AA1311">
        <v>65129</v>
      </c>
      <c r="AB1311" t="s">
        <v>11</v>
      </c>
    </row>
    <row r="1312" spans="1:28" x14ac:dyDescent="0.25">
      <c r="A1312" t="s">
        <v>6005</v>
      </c>
      <c r="B1312" t="s">
        <v>6005</v>
      </c>
      <c r="C1312" t="s">
        <v>6006</v>
      </c>
      <c r="D1312" t="s">
        <v>6007</v>
      </c>
      <c r="E1312" t="s">
        <v>770</v>
      </c>
      <c r="F1312" t="s">
        <v>771</v>
      </c>
      <c r="G1312" t="s">
        <v>1854</v>
      </c>
      <c r="J1312" t="s">
        <v>783</v>
      </c>
      <c r="K1312" t="s">
        <v>1862</v>
      </c>
      <c r="L1312" t="s">
        <v>1505</v>
      </c>
      <c r="M1312" t="s">
        <v>53</v>
      </c>
      <c r="N1312" t="s">
        <v>770</v>
      </c>
      <c r="O1312">
        <v>1</v>
      </c>
      <c r="P1312" t="s">
        <v>776</v>
      </c>
      <c r="Q1312">
        <v>32.9</v>
      </c>
      <c r="R1312">
        <v>5.93</v>
      </c>
      <c r="Y1312" t="s">
        <v>2134</v>
      </c>
      <c r="Z1312" t="s">
        <v>1913</v>
      </c>
      <c r="AA1312">
        <v>175</v>
      </c>
      <c r="AB1312" t="s">
        <v>11</v>
      </c>
    </row>
    <row r="1313" spans="1:28" x14ac:dyDescent="0.25">
      <c r="A1313" t="s">
        <v>6008</v>
      </c>
      <c r="B1313" t="s">
        <v>6008</v>
      </c>
      <c r="C1313" t="s">
        <v>6009</v>
      </c>
      <c r="D1313" t="s">
        <v>6010</v>
      </c>
      <c r="E1313" t="s">
        <v>770</v>
      </c>
      <c r="F1313" t="s">
        <v>771</v>
      </c>
      <c r="G1313" t="s">
        <v>1854</v>
      </c>
      <c r="J1313" t="s">
        <v>783</v>
      </c>
      <c r="K1313" t="s">
        <v>1862</v>
      </c>
      <c r="L1313" t="s">
        <v>1505</v>
      </c>
      <c r="M1313" t="s">
        <v>53</v>
      </c>
      <c r="N1313" t="s">
        <v>770</v>
      </c>
      <c r="O1313">
        <v>1</v>
      </c>
      <c r="P1313" t="s">
        <v>776</v>
      </c>
      <c r="Q1313">
        <v>32.9</v>
      </c>
      <c r="R1313">
        <v>5.93</v>
      </c>
      <c r="Y1313" t="s">
        <v>1913</v>
      </c>
      <c r="Z1313" t="s">
        <v>1926</v>
      </c>
      <c r="AA1313">
        <v>183</v>
      </c>
      <c r="AB1313" t="s">
        <v>11</v>
      </c>
    </row>
    <row r="1314" spans="1:28" x14ac:dyDescent="0.25">
      <c r="A1314" t="s">
        <v>6011</v>
      </c>
      <c r="B1314" t="s">
        <v>6011</v>
      </c>
      <c r="C1314" t="s">
        <v>6012</v>
      </c>
      <c r="D1314" t="s">
        <v>6013</v>
      </c>
      <c r="E1314" t="s">
        <v>770</v>
      </c>
      <c r="F1314" t="s">
        <v>771</v>
      </c>
      <c r="G1314" t="s">
        <v>1854</v>
      </c>
      <c r="J1314" t="s">
        <v>783</v>
      </c>
      <c r="K1314" t="s">
        <v>1862</v>
      </c>
      <c r="L1314" t="s">
        <v>1505</v>
      </c>
      <c r="M1314" t="s">
        <v>53</v>
      </c>
      <c r="N1314" t="s">
        <v>770</v>
      </c>
      <c r="O1314">
        <v>1</v>
      </c>
      <c r="P1314" t="s">
        <v>776</v>
      </c>
      <c r="Q1314">
        <v>32.9</v>
      </c>
      <c r="R1314">
        <v>5.93</v>
      </c>
      <c r="Y1314" t="s">
        <v>6014</v>
      </c>
      <c r="Z1314" t="s">
        <v>2126</v>
      </c>
      <c r="AA1314">
        <v>81020</v>
      </c>
      <c r="AB1314" t="s">
        <v>11</v>
      </c>
    </row>
    <row r="1315" spans="1:28" x14ac:dyDescent="0.25">
      <c r="A1315" t="s">
        <v>6015</v>
      </c>
      <c r="B1315" t="s">
        <v>6015</v>
      </c>
      <c r="C1315" t="s">
        <v>6016</v>
      </c>
      <c r="D1315" t="s">
        <v>6017</v>
      </c>
      <c r="E1315" t="s">
        <v>770</v>
      </c>
      <c r="F1315" t="s">
        <v>771</v>
      </c>
      <c r="G1315" t="s">
        <v>1854</v>
      </c>
      <c r="J1315" t="s">
        <v>783</v>
      </c>
      <c r="K1315" t="s">
        <v>1873</v>
      </c>
      <c r="L1315" t="s">
        <v>840</v>
      </c>
      <c r="M1315" t="s">
        <v>26</v>
      </c>
      <c r="N1315" t="s">
        <v>770</v>
      </c>
      <c r="O1315">
        <v>1</v>
      </c>
      <c r="P1315" t="s">
        <v>776</v>
      </c>
      <c r="Q1315">
        <v>34.9</v>
      </c>
      <c r="R1315">
        <v>6.29</v>
      </c>
      <c r="Y1315" t="s">
        <v>6018</v>
      </c>
      <c r="Z1315" t="s">
        <v>1913</v>
      </c>
      <c r="AA1315">
        <v>48</v>
      </c>
      <c r="AB1315" t="s">
        <v>11</v>
      </c>
    </row>
    <row r="1316" spans="1:28" x14ac:dyDescent="0.25">
      <c r="A1316" t="s">
        <v>6019</v>
      </c>
      <c r="B1316" t="s">
        <v>6019</v>
      </c>
      <c r="C1316" t="s">
        <v>6020</v>
      </c>
      <c r="D1316" t="s">
        <v>6021</v>
      </c>
      <c r="E1316" t="s">
        <v>770</v>
      </c>
      <c r="F1316" t="s">
        <v>771</v>
      </c>
      <c r="G1316" t="s">
        <v>1854</v>
      </c>
      <c r="J1316" t="s">
        <v>783</v>
      </c>
      <c r="K1316" t="s">
        <v>1855</v>
      </c>
      <c r="L1316" t="s">
        <v>1856</v>
      </c>
      <c r="M1316" t="s">
        <v>12</v>
      </c>
      <c r="N1316" t="s">
        <v>770</v>
      </c>
      <c r="O1316">
        <v>1</v>
      </c>
      <c r="P1316" t="s">
        <v>776</v>
      </c>
      <c r="Q1316">
        <v>19.899999999999999</v>
      </c>
      <c r="R1316">
        <v>3.59</v>
      </c>
      <c r="Y1316" t="s">
        <v>6022</v>
      </c>
      <c r="Z1316" t="s">
        <v>4046</v>
      </c>
      <c r="AA1316">
        <v>82034</v>
      </c>
      <c r="AB1316" t="s">
        <v>11</v>
      </c>
    </row>
    <row r="1317" spans="1:28" x14ac:dyDescent="0.25">
      <c r="A1317" t="s">
        <v>6023</v>
      </c>
      <c r="C1317" t="s">
        <v>6024</v>
      </c>
      <c r="D1317" t="s">
        <v>6025</v>
      </c>
      <c r="E1317" t="s">
        <v>770</v>
      </c>
      <c r="F1317" t="s">
        <v>1884</v>
      </c>
      <c r="G1317" t="s">
        <v>1854</v>
      </c>
      <c r="H1317" t="s">
        <v>1885</v>
      </c>
      <c r="J1317" t="s">
        <v>773</v>
      </c>
      <c r="K1317" t="s">
        <v>2889</v>
      </c>
      <c r="L1317" t="s">
        <v>135</v>
      </c>
      <c r="M1317" t="s">
        <v>134</v>
      </c>
      <c r="N1317" t="s">
        <v>770</v>
      </c>
      <c r="O1317">
        <v>1</v>
      </c>
      <c r="P1317" t="s">
        <v>776</v>
      </c>
      <c r="Q1317">
        <v>59.9</v>
      </c>
      <c r="R1317">
        <v>10.8</v>
      </c>
      <c r="S1317">
        <v>3</v>
      </c>
      <c r="T1317">
        <v>0.54</v>
      </c>
      <c r="Y1317" t="s">
        <v>2174</v>
      </c>
      <c r="Z1317" t="s">
        <v>1908</v>
      </c>
      <c r="AA1317">
        <v>80131</v>
      </c>
      <c r="AB1317" t="s">
        <v>11</v>
      </c>
    </row>
    <row r="1318" spans="1:28" x14ac:dyDescent="0.25">
      <c r="A1318" t="s">
        <v>6026</v>
      </c>
      <c r="B1318" t="s">
        <v>6026</v>
      </c>
      <c r="C1318" t="s">
        <v>6027</v>
      </c>
      <c r="D1318" t="s">
        <v>6028</v>
      </c>
      <c r="E1318" t="s">
        <v>770</v>
      </c>
      <c r="F1318" t="s">
        <v>771</v>
      </c>
      <c r="G1318" t="s">
        <v>1854</v>
      </c>
      <c r="J1318" t="s">
        <v>783</v>
      </c>
      <c r="K1318" t="s">
        <v>1855</v>
      </c>
      <c r="L1318" t="s">
        <v>1856</v>
      </c>
      <c r="M1318" t="s">
        <v>12</v>
      </c>
      <c r="N1318" t="s">
        <v>770</v>
      </c>
      <c r="O1318">
        <v>1</v>
      </c>
      <c r="P1318" t="s">
        <v>776</v>
      </c>
      <c r="Q1318">
        <v>19.899999999999999</v>
      </c>
      <c r="R1318">
        <v>3.59</v>
      </c>
      <c r="Y1318" t="s">
        <v>6029</v>
      </c>
      <c r="Z1318" t="s">
        <v>6030</v>
      </c>
      <c r="AA1318">
        <v>93014</v>
      </c>
      <c r="AB1318" t="s">
        <v>11</v>
      </c>
    </row>
    <row r="1319" spans="1:28" x14ac:dyDescent="0.25">
      <c r="A1319" t="s">
        <v>6031</v>
      </c>
      <c r="B1319" t="s">
        <v>6031</v>
      </c>
      <c r="C1319" t="s">
        <v>6032</v>
      </c>
      <c r="D1319" t="s">
        <v>6033</v>
      </c>
      <c r="E1319" t="s">
        <v>770</v>
      </c>
      <c r="F1319" t="s">
        <v>771</v>
      </c>
      <c r="G1319" t="s">
        <v>1854</v>
      </c>
      <c r="J1319" t="s">
        <v>783</v>
      </c>
      <c r="K1319" t="s">
        <v>1855</v>
      </c>
      <c r="L1319" t="s">
        <v>1856</v>
      </c>
      <c r="M1319" t="s">
        <v>12</v>
      </c>
      <c r="N1319" t="s">
        <v>770</v>
      </c>
      <c r="O1319">
        <v>1</v>
      </c>
      <c r="P1319" t="s">
        <v>776</v>
      </c>
      <c r="Q1319">
        <v>19.899999999999999</v>
      </c>
      <c r="R1319">
        <v>3.59</v>
      </c>
      <c r="Y1319" t="s">
        <v>1917</v>
      </c>
      <c r="Z1319" t="s">
        <v>6034</v>
      </c>
      <c r="AA1319">
        <v>20139</v>
      </c>
      <c r="AB1319" t="s">
        <v>11</v>
      </c>
    </row>
    <row r="1320" spans="1:28" x14ac:dyDescent="0.25">
      <c r="A1320" t="s">
        <v>6035</v>
      </c>
      <c r="B1320" t="s">
        <v>6035</v>
      </c>
      <c r="C1320" t="s">
        <v>6036</v>
      </c>
      <c r="D1320" t="s">
        <v>6037</v>
      </c>
      <c r="E1320" t="s">
        <v>770</v>
      </c>
      <c r="F1320" t="s">
        <v>771</v>
      </c>
      <c r="G1320" t="s">
        <v>1854</v>
      </c>
      <c r="J1320" t="s">
        <v>783</v>
      </c>
      <c r="K1320" t="s">
        <v>1855</v>
      </c>
      <c r="L1320" t="s">
        <v>1856</v>
      </c>
      <c r="M1320" t="s">
        <v>12</v>
      </c>
      <c r="N1320" t="s">
        <v>770</v>
      </c>
      <c r="O1320">
        <v>1</v>
      </c>
      <c r="P1320" t="s">
        <v>776</v>
      </c>
      <c r="Q1320">
        <v>19.899999999999999</v>
      </c>
      <c r="R1320">
        <v>3.59</v>
      </c>
      <c r="Y1320" t="s">
        <v>6038</v>
      </c>
      <c r="Z1320" t="s">
        <v>4631</v>
      </c>
      <c r="AA1320">
        <v>26010</v>
      </c>
      <c r="AB1320" t="s">
        <v>11</v>
      </c>
    </row>
    <row r="1321" spans="1:28" x14ac:dyDescent="0.25">
      <c r="A1321" t="s">
        <v>6039</v>
      </c>
      <c r="C1321" t="s">
        <v>6040</v>
      </c>
      <c r="D1321" t="s">
        <v>6041</v>
      </c>
      <c r="E1321" t="s">
        <v>770</v>
      </c>
      <c r="F1321" t="s">
        <v>1884</v>
      </c>
      <c r="G1321" t="s">
        <v>1854</v>
      </c>
      <c r="H1321" t="s">
        <v>1885</v>
      </c>
      <c r="J1321" t="s">
        <v>773</v>
      </c>
      <c r="K1321" t="s">
        <v>2889</v>
      </c>
      <c r="L1321" t="s">
        <v>135</v>
      </c>
      <c r="M1321" t="s">
        <v>134</v>
      </c>
      <c r="N1321" t="s">
        <v>770</v>
      </c>
      <c r="O1321">
        <v>1</v>
      </c>
      <c r="P1321" t="s">
        <v>776</v>
      </c>
      <c r="Q1321">
        <v>59.9</v>
      </c>
      <c r="R1321">
        <v>10.8</v>
      </c>
      <c r="S1321">
        <v>3</v>
      </c>
      <c r="T1321">
        <v>0.54</v>
      </c>
      <c r="Y1321" t="s">
        <v>6042</v>
      </c>
      <c r="Z1321" t="s">
        <v>1913</v>
      </c>
      <c r="AA1321">
        <v>72</v>
      </c>
      <c r="AB1321" t="s">
        <v>11</v>
      </c>
    </row>
    <row r="1322" spans="1:28" x14ac:dyDescent="0.25">
      <c r="A1322" t="s">
        <v>6043</v>
      </c>
      <c r="B1322" t="s">
        <v>6043</v>
      </c>
      <c r="C1322" t="s">
        <v>6044</v>
      </c>
      <c r="D1322" t="s">
        <v>6045</v>
      </c>
      <c r="E1322" t="s">
        <v>770</v>
      </c>
      <c r="F1322" t="s">
        <v>771</v>
      </c>
      <c r="G1322" t="s">
        <v>1854</v>
      </c>
      <c r="J1322" t="s">
        <v>783</v>
      </c>
      <c r="K1322" t="s">
        <v>1855</v>
      </c>
      <c r="L1322" t="s">
        <v>1856</v>
      </c>
      <c r="M1322" t="s">
        <v>12</v>
      </c>
      <c r="N1322" t="s">
        <v>770</v>
      </c>
      <c r="O1322">
        <v>1</v>
      </c>
      <c r="P1322" t="s">
        <v>776</v>
      </c>
      <c r="Q1322">
        <v>19.899999999999999</v>
      </c>
      <c r="R1322">
        <v>3.59</v>
      </c>
      <c r="S1322">
        <v>4.99</v>
      </c>
      <c r="T1322">
        <v>0.9</v>
      </c>
      <c r="Y1322" t="s">
        <v>6046</v>
      </c>
      <c r="Z1322" t="s">
        <v>1937</v>
      </c>
      <c r="AA1322">
        <v>24020</v>
      </c>
      <c r="AB1322" t="s">
        <v>11</v>
      </c>
    </row>
    <row r="1323" spans="1:28" x14ac:dyDescent="0.25">
      <c r="A1323" t="s">
        <v>6047</v>
      </c>
      <c r="B1323" t="s">
        <v>6047</v>
      </c>
      <c r="C1323" t="s">
        <v>6048</v>
      </c>
      <c r="D1323" t="s">
        <v>6049</v>
      </c>
      <c r="E1323" t="s">
        <v>770</v>
      </c>
      <c r="F1323" t="s">
        <v>771</v>
      </c>
      <c r="G1323" t="s">
        <v>1854</v>
      </c>
      <c r="J1323" t="s">
        <v>783</v>
      </c>
      <c r="K1323" t="s">
        <v>1930</v>
      </c>
      <c r="L1323" t="s">
        <v>775</v>
      </c>
      <c r="M1323" t="s">
        <v>65</v>
      </c>
      <c r="N1323" t="s">
        <v>770</v>
      </c>
      <c r="O1323">
        <v>1</v>
      </c>
      <c r="P1323" t="s">
        <v>776</v>
      </c>
      <c r="Q1323">
        <v>29.9</v>
      </c>
      <c r="R1323">
        <v>5.39</v>
      </c>
      <c r="Y1323" t="s">
        <v>6050</v>
      </c>
      <c r="Z1323" t="s">
        <v>2827</v>
      </c>
      <c r="AA1323">
        <v>25055</v>
      </c>
      <c r="AB1323" t="s">
        <v>11</v>
      </c>
    </row>
    <row r="1324" spans="1:28" x14ac:dyDescent="0.25">
      <c r="A1324" t="s">
        <v>6051</v>
      </c>
      <c r="B1324" t="s">
        <v>6051</v>
      </c>
      <c r="C1324" t="s">
        <v>6052</v>
      </c>
      <c r="D1324" t="s">
        <v>6053</v>
      </c>
      <c r="E1324" t="s">
        <v>770</v>
      </c>
      <c r="F1324" t="s">
        <v>771</v>
      </c>
      <c r="G1324" t="s">
        <v>1854</v>
      </c>
      <c r="J1324" t="s">
        <v>783</v>
      </c>
      <c r="K1324" t="s">
        <v>1930</v>
      </c>
      <c r="L1324" t="s">
        <v>775</v>
      </c>
      <c r="M1324" t="s">
        <v>65</v>
      </c>
      <c r="N1324" t="s">
        <v>770</v>
      </c>
      <c r="O1324">
        <v>1</v>
      </c>
      <c r="P1324" t="s">
        <v>776</v>
      </c>
      <c r="Q1324">
        <v>29.9</v>
      </c>
      <c r="R1324">
        <v>5.39</v>
      </c>
      <c r="S1324">
        <v>1</v>
      </c>
      <c r="T1324">
        <v>0.18</v>
      </c>
      <c r="Y1324" t="s">
        <v>6054</v>
      </c>
      <c r="Z1324" t="s">
        <v>5130</v>
      </c>
      <c r="AA1324">
        <v>70020</v>
      </c>
      <c r="AB1324" t="s">
        <v>11</v>
      </c>
    </row>
    <row r="1325" spans="1:28" x14ac:dyDescent="0.25">
      <c r="A1325" t="s">
        <v>6055</v>
      </c>
      <c r="B1325" t="s">
        <v>6055</v>
      </c>
      <c r="C1325" t="s">
        <v>6056</v>
      </c>
      <c r="D1325" t="s">
        <v>6057</v>
      </c>
      <c r="E1325" t="s">
        <v>770</v>
      </c>
      <c r="F1325" t="s">
        <v>771</v>
      </c>
      <c r="G1325" t="s">
        <v>1854</v>
      </c>
      <c r="J1325" t="s">
        <v>783</v>
      </c>
      <c r="K1325" t="s">
        <v>1930</v>
      </c>
      <c r="L1325" t="s">
        <v>775</v>
      </c>
      <c r="M1325" t="s">
        <v>65</v>
      </c>
      <c r="N1325" t="s">
        <v>770</v>
      </c>
      <c r="O1325">
        <v>1</v>
      </c>
      <c r="P1325" t="s">
        <v>776</v>
      </c>
      <c r="Q1325">
        <v>29.9</v>
      </c>
      <c r="R1325">
        <v>5.39</v>
      </c>
      <c r="Y1325" t="s">
        <v>2644</v>
      </c>
      <c r="Z1325" t="s">
        <v>2644</v>
      </c>
      <c r="AA1325">
        <v>57122</v>
      </c>
      <c r="AB1325" t="s">
        <v>11</v>
      </c>
    </row>
    <row r="1326" spans="1:28" x14ac:dyDescent="0.25">
      <c r="A1326" t="s">
        <v>6058</v>
      </c>
      <c r="B1326" t="s">
        <v>6058</v>
      </c>
      <c r="C1326" t="s">
        <v>6059</v>
      </c>
      <c r="D1326" t="s">
        <v>6060</v>
      </c>
      <c r="E1326" t="s">
        <v>770</v>
      </c>
      <c r="F1326" t="s">
        <v>771</v>
      </c>
      <c r="G1326" t="s">
        <v>1854</v>
      </c>
      <c r="J1326" t="s">
        <v>783</v>
      </c>
      <c r="K1326" t="s">
        <v>1873</v>
      </c>
      <c r="L1326" t="s">
        <v>840</v>
      </c>
      <c r="M1326" t="s">
        <v>26</v>
      </c>
      <c r="N1326" t="s">
        <v>770</v>
      </c>
      <c r="O1326">
        <v>1</v>
      </c>
      <c r="P1326" t="s">
        <v>776</v>
      </c>
      <c r="Q1326">
        <v>34.9</v>
      </c>
      <c r="R1326">
        <v>6.29</v>
      </c>
      <c r="Y1326" t="s">
        <v>6061</v>
      </c>
      <c r="Z1326" t="s">
        <v>2625</v>
      </c>
      <c r="AA1326">
        <v>51034</v>
      </c>
      <c r="AB1326" t="s">
        <v>11</v>
      </c>
    </row>
    <row r="1327" spans="1:28" x14ac:dyDescent="0.25">
      <c r="A1327" t="s">
        <v>6062</v>
      </c>
      <c r="B1327" t="s">
        <v>6062</v>
      </c>
      <c r="C1327" t="s">
        <v>6063</v>
      </c>
      <c r="D1327" t="s">
        <v>6064</v>
      </c>
      <c r="E1327" t="s">
        <v>770</v>
      </c>
      <c r="F1327" t="s">
        <v>771</v>
      </c>
      <c r="G1327" t="s">
        <v>1854</v>
      </c>
      <c r="J1327" t="s">
        <v>783</v>
      </c>
      <c r="K1327" t="s">
        <v>1855</v>
      </c>
      <c r="L1327" t="s">
        <v>1856</v>
      </c>
      <c r="M1327" t="s">
        <v>12</v>
      </c>
      <c r="N1327" t="s">
        <v>770</v>
      </c>
      <c r="O1327">
        <v>1</v>
      </c>
      <c r="P1327" t="s">
        <v>776</v>
      </c>
      <c r="Q1327">
        <v>19.899999999999999</v>
      </c>
      <c r="R1327">
        <v>3.59</v>
      </c>
      <c r="Y1327" t="s">
        <v>1917</v>
      </c>
      <c r="AA1327">
        <v>20154</v>
      </c>
      <c r="AB1327" t="s">
        <v>11</v>
      </c>
    </row>
    <row r="1328" spans="1:28" x14ac:dyDescent="0.25">
      <c r="A1328" t="s">
        <v>6065</v>
      </c>
      <c r="C1328" t="s">
        <v>6066</v>
      </c>
      <c r="D1328" t="s">
        <v>6067</v>
      </c>
      <c r="E1328" t="s">
        <v>770</v>
      </c>
      <c r="F1328" t="s">
        <v>1884</v>
      </c>
      <c r="G1328" t="s">
        <v>1854</v>
      </c>
      <c r="H1328" t="s">
        <v>1885</v>
      </c>
      <c r="J1328" t="s">
        <v>773</v>
      </c>
      <c r="K1328" t="s">
        <v>2252</v>
      </c>
      <c r="L1328" t="s">
        <v>74</v>
      </c>
      <c r="M1328" t="s">
        <v>73</v>
      </c>
      <c r="N1328" t="s">
        <v>770</v>
      </c>
      <c r="O1328">
        <v>5</v>
      </c>
      <c r="P1328" t="s">
        <v>776</v>
      </c>
      <c r="Q1328">
        <v>74.5</v>
      </c>
      <c r="R1328">
        <v>13.45</v>
      </c>
      <c r="S1328">
        <v>15</v>
      </c>
      <c r="T1328">
        <v>2.7</v>
      </c>
      <c r="Y1328" t="s">
        <v>6068</v>
      </c>
      <c r="Z1328" t="s">
        <v>2111</v>
      </c>
      <c r="AA1328">
        <v>42049</v>
      </c>
      <c r="AB1328" t="s">
        <v>11</v>
      </c>
    </row>
    <row r="1329" spans="1:35" x14ac:dyDescent="0.25">
      <c r="A1329" t="s">
        <v>6069</v>
      </c>
      <c r="B1329" t="s">
        <v>6069</v>
      </c>
      <c r="C1329" t="s">
        <v>6070</v>
      </c>
      <c r="D1329" t="s">
        <v>6071</v>
      </c>
      <c r="E1329" t="s">
        <v>770</v>
      </c>
      <c r="F1329" t="s">
        <v>771</v>
      </c>
      <c r="G1329" t="s">
        <v>1854</v>
      </c>
      <c r="J1329" t="s">
        <v>783</v>
      </c>
      <c r="K1329" t="s">
        <v>1855</v>
      </c>
      <c r="L1329" t="s">
        <v>1856</v>
      </c>
      <c r="M1329" t="s">
        <v>12</v>
      </c>
      <c r="N1329" t="s">
        <v>770</v>
      </c>
      <c r="O1329">
        <v>1</v>
      </c>
      <c r="P1329" t="s">
        <v>776</v>
      </c>
      <c r="Q1329">
        <v>19.899999999999999</v>
      </c>
      <c r="R1329">
        <v>3.59</v>
      </c>
      <c r="Y1329" t="s">
        <v>6072</v>
      </c>
      <c r="AA1329">
        <v>24060</v>
      </c>
      <c r="AB1329" t="s">
        <v>11</v>
      </c>
    </row>
    <row r="1330" spans="1:35" x14ac:dyDescent="0.25">
      <c r="A1330" t="s">
        <v>6073</v>
      </c>
      <c r="B1330" t="s">
        <v>6073</v>
      </c>
      <c r="C1330" t="s">
        <v>6074</v>
      </c>
      <c r="D1330" t="s">
        <v>6075</v>
      </c>
      <c r="E1330" t="s">
        <v>770</v>
      </c>
      <c r="F1330" t="s">
        <v>771</v>
      </c>
      <c r="G1330" t="s">
        <v>1854</v>
      </c>
      <c r="J1330" t="s">
        <v>783</v>
      </c>
      <c r="K1330" t="s">
        <v>1855</v>
      </c>
      <c r="L1330" t="s">
        <v>1856</v>
      </c>
      <c r="M1330" t="s">
        <v>12</v>
      </c>
      <c r="N1330" t="s">
        <v>770</v>
      </c>
      <c r="O1330">
        <v>1</v>
      </c>
      <c r="P1330" t="s">
        <v>776</v>
      </c>
      <c r="Q1330">
        <v>19.899999999999999</v>
      </c>
      <c r="R1330">
        <v>3.59</v>
      </c>
      <c r="Y1330" t="s">
        <v>4082</v>
      </c>
      <c r="AA1330">
        <v>10147</v>
      </c>
      <c r="AB1330" t="s">
        <v>11</v>
      </c>
    </row>
    <row r="1331" spans="1:35" x14ac:dyDescent="0.25">
      <c r="A1331" t="s">
        <v>6076</v>
      </c>
      <c r="C1331" t="s">
        <v>6077</v>
      </c>
      <c r="D1331" t="s">
        <v>6025</v>
      </c>
      <c r="E1331" t="s">
        <v>770</v>
      </c>
      <c r="F1331" t="s">
        <v>1884</v>
      </c>
      <c r="G1331" t="s">
        <v>1854</v>
      </c>
      <c r="H1331" t="s">
        <v>1885</v>
      </c>
      <c r="J1331" t="s">
        <v>773</v>
      </c>
      <c r="K1331" t="s">
        <v>2396</v>
      </c>
      <c r="L1331" t="s">
        <v>89</v>
      </c>
      <c r="M1331" t="s">
        <v>88</v>
      </c>
      <c r="N1331" t="s">
        <v>770</v>
      </c>
      <c r="O1331">
        <v>1</v>
      </c>
      <c r="P1331" t="s">
        <v>776</v>
      </c>
      <c r="Q1331">
        <v>59.9</v>
      </c>
      <c r="R1331">
        <v>10.8</v>
      </c>
      <c r="S1331">
        <v>3</v>
      </c>
      <c r="T1331">
        <v>0.54</v>
      </c>
      <c r="Y1331" t="s">
        <v>6078</v>
      </c>
      <c r="Z1331" t="s">
        <v>2786</v>
      </c>
      <c r="AA1331">
        <v>23013</v>
      </c>
      <c r="AB1331" t="s">
        <v>11</v>
      </c>
    </row>
    <row r="1332" spans="1:35" x14ac:dyDescent="0.25">
      <c r="A1332" t="s">
        <v>6079</v>
      </c>
      <c r="C1332" t="s">
        <v>6080</v>
      </c>
      <c r="D1332" t="s">
        <v>6081</v>
      </c>
      <c r="E1332" t="s">
        <v>782</v>
      </c>
      <c r="F1332" t="s">
        <v>1884</v>
      </c>
      <c r="G1332" t="s">
        <v>1854</v>
      </c>
      <c r="H1332" t="s">
        <v>1885</v>
      </c>
      <c r="J1332" t="s">
        <v>773</v>
      </c>
      <c r="K1332" t="s">
        <v>2162</v>
      </c>
      <c r="L1332" t="s">
        <v>6082</v>
      </c>
      <c r="M1332" t="s">
        <v>59</v>
      </c>
      <c r="O1332">
        <v>0</v>
      </c>
      <c r="Y1332" t="s">
        <v>6083</v>
      </c>
      <c r="Z1332" t="s">
        <v>6084</v>
      </c>
      <c r="AA1332">
        <v>89843</v>
      </c>
      <c r="AB1332" t="s">
        <v>11</v>
      </c>
    </row>
    <row r="1333" spans="1:35" x14ac:dyDescent="0.25">
      <c r="A1333" t="s">
        <v>6085</v>
      </c>
      <c r="B1333" t="s">
        <v>6085</v>
      </c>
      <c r="C1333" t="s">
        <v>6086</v>
      </c>
      <c r="D1333" t="s">
        <v>6087</v>
      </c>
      <c r="E1333" t="s">
        <v>770</v>
      </c>
      <c r="F1333" t="s">
        <v>771</v>
      </c>
      <c r="G1333" t="s">
        <v>1854</v>
      </c>
      <c r="J1333" t="s">
        <v>783</v>
      </c>
      <c r="K1333" t="s">
        <v>3328</v>
      </c>
      <c r="L1333" t="s">
        <v>3329</v>
      </c>
      <c r="M1333" t="s">
        <v>35</v>
      </c>
      <c r="N1333" t="s">
        <v>770</v>
      </c>
      <c r="O1333">
        <v>1</v>
      </c>
      <c r="P1333" t="s">
        <v>776</v>
      </c>
      <c r="Q1333">
        <v>24.9</v>
      </c>
      <c r="R1333">
        <v>4.49</v>
      </c>
      <c r="Y1333" t="s">
        <v>6088</v>
      </c>
      <c r="AA1333">
        <v>20846</v>
      </c>
      <c r="AB1333" t="s">
        <v>11</v>
      </c>
    </row>
    <row r="1334" spans="1:35" x14ac:dyDescent="0.25">
      <c r="A1334" t="s">
        <v>6089</v>
      </c>
      <c r="C1334" t="s">
        <v>6090</v>
      </c>
      <c r="D1334" t="s">
        <v>6091</v>
      </c>
      <c r="E1334" t="s">
        <v>770</v>
      </c>
      <c r="F1334" t="s">
        <v>1884</v>
      </c>
      <c r="G1334" t="s">
        <v>1854</v>
      </c>
      <c r="H1334" t="s">
        <v>1885</v>
      </c>
      <c r="J1334" t="s">
        <v>773</v>
      </c>
      <c r="K1334" t="s">
        <v>3363</v>
      </c>
      <c r="L1334" s="2">
        <v>40490</v>
      </c>
      <c r="M1334" t="s">
        <v>71</v>
      </c>
      <c r="N1334" t="s">
        <v>770</v>
      </c>
      <c r="O1334">
        <v>8</v>
      </c>
      <c r="P1334" t="s">
        <v>776</v>
      </c>
      <c r="Q1334">
        <v>239.2</v>
      </c>
      <c r="R1334">
        <v>43.12</v>
      </c>
      <c r="S1334">
        <v>24</v>
      </c>
      <c r="T1334">
        <v>4.32</v>
      </c>
      <c r="Y1334" t="s">
        <v>6092</v>
      </c>
      <c r="Z1334" t="s">
        <v>2367</v>
      </c>
      <c r="AA1334">
        <v>67037</v>
      </c>
      <c r="AB1334" t="s">
        <v>11</v>
      </c>
      <c r="AG1334">
        <v>2165350667</v>
      </c>
      <c r="AH1334" t="s">
        <v>11</v>
      </c>
      <c r="AI1334" t="s">
        <v>1258</v>
      </c>
    </row>
    <row r="1335" spans="1:35" x14ac:dyDescent="0.25">
      <c r="A1335" t="s">
        <v>6093</v>
      </c>
      <c r="B1335" t="s">
        <v>6093</v>
      </c>
      <c r="C1335" t="s">
        <v>6094</v>
      </c>
      <c r="D1335" t="s">
        <v>6095</v>
      </c>
      <c r="E1335" t="s">
        <v>770</v>
      </c>
      <c r="F1335" t="s">
        <v>771</v>
      </c>
      <c r="G1335" t="s">
        <v>1854</v>
      </c>
      <c r="J1335" t="s">
        <v>783</v>
      </c>
      <c r="K1335" t="s">
        <v>1873</v>
      </c>
      <c r="L1335" t="s">
        <v>840</v>
      </c>
      <c r="M1335" t="s">
        <v>26</v>
      </c>
      <c r="N1335" t="s">
        <v>770</v>
      </c>
      <c r="O1335">
        <v>1</v>
      </c>
      <c r="P1335" t="s">
        <v>776</v>
      </c>
      <c r="Q1335">
        <v>34.9</v>
      </c>
      <c r="R1335">
        <v>6.29</v>
      </c>
      <c r="S1335">
        <v>1.63</v>
      </c>
      <c r="X1335">
        <v>1.63</v>
      </c>
      <c r="Y1335" t="s">
        <v>5556</v>
      </c>
      <c r="Z1335" t="s">
        <v>2930</v>
      </c>
      <c r="AA1335">
        <v>39044</v>
      </c>
      <c r="AB1335" t="s">
        <v>11</v>
      </c>
    </row>
    <row r="1336" spans="1:35" x14ac:dyDescent="0.25">
      <c r="A1336" t="s">
        <v>6096</v>
      </c>
      <c r="B1336" t="s">
        <v>6096</v>
      </c>
      <c r="C1336" t="s">
        <v>6097</v>
      </c>
      <c r="D1336" t="s">
        <v>6098</v>
      </c>
      <c r="E1336" t="s">
        <v>770</v>
      </c>
      <c r="F1336" t="s">
        <v>771</v>
      </c>
      <c r="G1336" t="s">
        <v>1854</v>
      </c>
      <c r="J1336" t="s">
        <v>783</v>
      </c>
      <c r="K1336" t="s">
        <v>2044</v>
      </c>
      <c r="L1336" t="s">
        <v>1489</v>
      </c>
      <c r="M1336" t="s">
        <v>75</v>
      </c>
      <c r="N1336" t="s">
        <v>770</v>
      </c>
      <c r="O1336">
        <v>1</v>
      </c>
      <c r="P1336" t="s">
        <v>776</v>
      </c>
      <c r="Q1336">
        <v>49.9</v>
      </c>
      <c r="R1336">
        <v>9</v>
      </c>
      <c r="Y1336" t="s">
        <v>6099</v>
      </c>
      <c r="Z1336" t="s">
        <v>1937</v>
      </c>
      <c r="AA1336">
        <v>24030</v>
      </c>
      <c r="AB1336" t="s">
        <v>11</v>
      </c>
    </row>
    <row r="1337" spans="1:35" x14ac:dyDescent="0.25">
      <c r="A1337" t="s">
        <v>6100</v>
      </c>
      <c r="B1337" t="s">
        <v>6100</v>
      </c>
      <c r="C1337" t="s">
        <v>6101</v>
      </c>
      <c r="D1337" t="s">
        <v>6102</v>
      </c>
      <c r="E1337" t="s">
        <v>770</v>
      </c>
      <c r="F1337" t="s">
        <v>771</v>
      </c>
      <c r="G1337" t="s">
        <v>1854</v>
      </c>
      <c r="J1337" t="s">
        <v>783</v>
      </c>
      <c r="K1337" t="s">
        <v>1873</v>
      </c>
      <c r="L1337" t="s">
        <v>840</v>
      </c>
      <c r="M1337" t="s">
        <v>26</v>
      </c>
      <c r="N1337" t="s">
        <v>770</v>
      </c>
      <c r="O1337">
        <v>1</v>
      </c>
      <c r="P1337" t="s">
        <v>776</v>
      </c>
      <c r="Q1337">
        <v>34.9</v>
      </c>
      <c r="R1337">
        <v>6.29</v>
      </c>
      <c r="Y1337" t="s">
        <v>2134</v>
      </c>
      <c r="AA1337">
        <v>142</v>
      </c>
      <c r="AB1337" t="s">
        <v>11</v>
      </c>
    </row>
    <row r="1338" spans="1:35" x14ac:dyDescent="0.25">
      <c r="A1338" t="s">
        <v>6103</v>
      </c>
      <c r="B1338" t="s">
        <v>6103</v>
      </c>
      <c r="C1338" t="s">
        <v>6104</v>
      </c>
      <c r="D1338" t="s">
        <v>6105</v>
      </c>
      <c r="E1338" t="s">
        <v>770</v>
      </c>
      <c r="F1338" t="s">
        <v>771</v>
      </c>
      <c r="G1338" t="s">
        <v>1854</v>
      </c>
      <c r="J1338" t="s">
        <v>783</v>
      </c>
      <c r="K1338" t="s">
        <v>1855</v>
      </c>
      <c r="L1338" t="s">
        <v>1856</v>
      </c>
      <c r="M1338" t="s">
        <v>12</v>
      </c>
      <c r="N1338" t="s">
        <v>770</v>
      </c>
      <c r="O1338">
        <v>1</v>
      </c>
      <c r="P1338" t="s">
        <v>776</v>
      </c>
      <c r="Q1338">
        <v>19.899999999999999</v>
      </c>
      <c r="R1338">
        <v>3.59</v>
      </c>
      <c r="S1338">
        <v>1.0900000000000001</v>
      </c>
      <c r="X1338">
        <v>1.0900000000000001</v>
      </c>
      <c r="Y1338" t="s">
        <v>6106</v>
      </c>
      <c r="Z1338" t="s">
        <v>2030</v>
      </c>
      <c r="AA1338">
        <v>38045</v>
      </c>
      <c r="AB1338" t="s">
        <v>11</v>
      </c>
    </row>
    <row r="1339" spans="1:35" x14ac:dyDescent="0.25">
      <c r="A1339" t="s">
        <v>6107</v>
      </c>
      <c r="B1339" t="s">
        <v>6107</v>
      </c>
      <c r="C1339" t="s">
        <v>6108</v>
      </c>
      <c r="D1339" t="s">
        <v>6109</v>
      </c>
      <c r="E1339" t="s">
        <v>770</v>
      </c>
      <c r="F1339" t="s">
        <v>771</v>
      </c>
      <c r="G1339" t="s">
        <v>1854</v>
      </c>
      <c r="J1339" t="s">
        <v>783</v>
      </c>
      <c r="K1339" t="s">
        <v>1855</v>
      </c>
      <c r="L1339" t="s">
        <v>1856</v>
      </c>
      <c r="M1339" t="s">
        <v>12</v>
      </c>
      <c r="N1339" t="s">
        <v>770</v>
      </c>
      <c r="O1339">
        <v>1</v>
      </c>
      <c r="P1339" t="s">
        <v>776</v>
      </c>
      <c r="Q1339">
        <v>19.899999999999999</v>
      </c>
      <c r="R1339">
        <v>3.59</v>
      </c>
      <c r="Y1339" t="s">
        <v>6110</v>
      </c>
      <c r="Z1339" t="s">
        <v>6111</v>
      </c>
      <c r="AA1339">
        <v>30027</v>
      </c>
      <c r="AB1339" t="s">
        <v>11</v>
      </c>
    </row>
    <row r="1340" spans="1:35" x14ac:dyDescent="0.25">
      <c r="A1340" t="s">
        <v>6112</v>
      </c>
      <c r="B1340" t="s">
        <v>6112</v>
      </c>
      <c r="C1340" t="s">
        <v>6113</v>
      </c>
      <c r="D1340" t="s">
        <v>6114</v>
      </c>
      <c r="E1340" t="s">
        <v>770</v>
      </c>
      <c r="F1340" t="s">
        <v>771</v>
      </c>
      <c r="G1340" t="s">
        <v>1854</v>
      </c>
      <c r="J1340" t="s">
        <v>783</v>
      </c>
      <c r="K1340" t="s">
        <v>1873</v>
      </c>
      <c r="L1340" t="s">
        <v>840</v>
      </c>
      <c r="M1340" t="s">
        <v>26</v>
      </c>
      <c r="N1340" t="s">
        <v>770</v>
      </c>
      <c r="O1340">
        <v>1</v>
      </c>
      <c r="P1340" t="s">
        <v>776</v>
      </c>
      <c r="Q1340">
        <v>34.9</v>
      </c>
      <c r="R1340">
        <v>6.29</v>
      </c>
      <c r="Y1340" t="s">
        <v>1880</v>
      </c>
      <c r="Z1340" t="s">
        <v>3696</v>
      </c>
      <c r="AA1340">
        <v>41124</v>
      </c>
      <c r="AB1340" t="s">
        <v>11</v>
      </c>
    </row>
    <row r="1341" spans="1:35" x14ac:dyDescent="0.25">
      <c r="A1341" t="s">
        <v>6115</v>
      </c>
      <c r="B1341" t="s">
        <v>6115</v>
      </c>
      <c r="C1341" t="s">
        <v>6116</v>
      </c>
      <c r="D1341" t="s">
        <v>6117</v>
      </c>
      <c r="E1341" t="s">
        <v>770</v>
      </c>
      <c r="F1341" t="s">
        <v>771</v>
      </c>
      <c r="G1341" t="s">
        <v>1854</v>
      </c>
      <c r="J1341" t="s">
        <v>783</v>
      </c>
      <c r="K1341" t="s">
        <v>1855</v>
      </c>
      <c r="L1341" t="s">
        <v>1856</v>
      </c>
      <c r="M1341" t="s">
        <v>12</v>
      </c>
      <c r="N1341" t="s">
        <v>770</v>
      </c>
      <c r="O1341">
        <v>1</v>
      </c>
      <c r="P1341" t="s">
        <v>776</v>
      </c>
      <c r="Q1341">
        <v>19.899999999999999</v>
      </c>
      <c r="R1341">
        <v>3.59</v>
      </c>
      <c r="Y1341" t="s">
        <v>6118</v>
      </c>
      <c r="Z1341" t="s">
        <v>1880</v>
      </c>
      <c r="AA1341">
        <v>41124</v>
      </c>
      <c r="AB1341" t="s">
        <v>11</v>
      </c>
    </row>
    <row r="1342" spans="1:35" x14ac:dyDescent="0.25">
      <c r="A1342" t="s">
        <v>6119</v>
      </c>
      <c r="B1342" t="s">
        <v>6119</v>
      </c>
      <c r="C1342" t="s">
        <v>6120</v>
      </c>
      <c r="D1342" t="s">
        <v>6121</v>
      </c>
      <c r="E1342" t="s">
        <v>770</v>
      </c>
      <c r="F1342" t="s">
        <v>771</v>
      </c>
      <c r="G1342" t="s">
        <v>1854</v>
      </c>
      <c r="J1342" t="s">
        <v>783</v>
      </c>
      <c r="K1342" t="s">
        <v>1873</v>
      </c>
      <c r="L1342" t="s">
        <v>840</v>
      </c>
      <c r="M1342" t="s">
        <v>26</v>
      </c>
      <c r="N1342" t="s">
        <v>770</v>
      </c>
      <c r="O1342">
        <v>1</v>
      </c>
      <c r="P1342" t="s">
        <v>776</v>
      </c>
      <c r="Q1342">
        <v>34.9</v>
      </c>
      <c r="R1342">
        <v>6.29</v>
      </c>
      <c r="Y1342" t="s">
        <v>6122</v>
      </c>
      <c r="Z1342" t="s">
        <v>4233</v>
      </c>
      <c r="AA1342">
        <v>98028</v>
      </c>
      <c r="AB1342" t="s">
        <v>11</v>
      </c>
    </row>
    <row r="1343" spans="1:35" x14ac:dyDescent="0.25">
      <c r="A1343" t="s">
        <v>6123</v>
      </c>
      <c r="B1343" t="s">
        <v>6123</v>
      </c>
      <c r="C1343" t="s">
        <v>6124</v>
      </c>
      <c r="D1343" t="s">
        <v>6125</v>
      </c>
      <c r="E1343" t="s">
        <v>770</v>
      </c>
      <c r="F1343" t="s">
        <v>771</v>
      </c>
      <c r="G1343" t="s">
        <v>1854</v>
      </c>
      <c r="J1343" t="s">
        <v>783</v>
      </c>
      <c r="K1343" t="s">
        <v>1873</v>
      </c>
      <c r="L1343" t="s">
        <v>840</v>
      </c>
      <c r="M1343" t="s">
        <v>26</v>
      </c>
      <c r="N1343" t="s">
        <v>770</v>
      </c>
      <c r="O1343">
        <v>1</v>
      </c>
      <c r="P1343" t="s">
        <v>776</v>
      </c>
      <c r="Q1343">
        <v>34.9</v>
      </c>
      <c r="R1343">
        <v>6.29</v>
      </c>
      <c r="Y1343" t="s">
        <v>6126</v>
      </c>
      <c r="Z1343" t="s">
        <v>6127</v>
      </c>
      <c r="AA1343">
        <v>31059</v>
      </c>
      <c r="AB1343" t="s">
        <v>11</v>
      </c>
    </row>
    <row r="1344" spans="1:35" x14ac:dyDescent="0.25">
      <c r="A1344" t="s">
        <v>6128</v>
      </c>
      <c r="C1344" t="s">
        <v>6129</v>
      </c>
      <c r="D1344" t="s">
        <v>6130</v>
      </c>
      <c r="E1344" t="s">
        <v>770</v>
      </c>
      <c r="F1344" t="s">
        <v>1884</v>
      </c>
      <c r="G1344" t="s">
        <v>1854</v>
      </c>
      <c r="H1344" t="s">
        <v>1885</v>
      </c>
      <c r="J1344" t="s">
        <v>773</v>
      </c>
      <c r="K1344" t="s">
        <v>2652</v>
      </c>
      <c r="L1344" t="s">
        <v>52</v>
      </c>
      <c r="M1344" t="s">
        <v>51</v>
      </c>
      <c r="N1344" t="s">
        <v>770</v>
      </c>
      <c r="O1344">
        <v>1</v>
      </c>
      <c r="P1344" t="s">
        <v>776</v>
      </c>
      <c r="Q1344">
        <v>24.9</v>
      </c>
      <c r="R1344">
        <v>4.49</v>
      </c>
      <c r="S1344">
        <v>3</v>
      </c>
      <c r="T1344">
        <v>0.54</v>
      </c>
      <c r="Y1344" t="s">
        <v>1903</v>
      </c>
      <c r="Z1344" t="s">
        <v>1903</v>
      </c>
      <c r="AA1344">
        <v>39100</v>
      </c>
      <c r="AB1344" t="s">
        <v>11</v>
      </c>
    </row>
    <row r="1345" spans="1:28" x14ac:dyDescent="0.25">
      <c r="A1345" t="s">
        <v>6131</v>
      </c>
      <c r="B1345" t="s">
        <v>6131</v>
      </c>
      <c r="C1345" t="s">
        <v>6132</v>
      </c>
      <c r="D1345" t="s">
        <v>6133</v>
      </c>
      <c r="E1345" t="s">
        <v>770</v>
      </c>
      <c r="F1345" t="s">
        <v>771</v>
      </c>
      <c r="G1345" t="s">
        <v>1854</v>
      </c>
      <c r="J1345" t="s">
        <v>783</v>
      </c>
      <c r="K1345" t="s">
        <v>1855</v>
      </c>
      <c r="L1345" t="s">
        <v>1856</v>
      </c>
      <c r="M1345" t="s">
        <v>12</v>
      </c>
      <c r="N1345" t="s">
        <v>770</v>
      </c>
      <c r="O1345">
        <v>2</v>
      </c>
      <c r="P1345" t="s">
        <v>776</v>
      </c>
      <c r="Q1345">
        <v>39.799999999999997</v>
      </c>
      <c r="R1345">
        <v>7.18</v>
      </c>
      <c r="Y1345" t="s">
        <v>6134</v>
      </c>
      <c r="Z1345" t="s">
        <v>1869</v>
      </c>
      <c r="AA1345">
        <v>10090</v>
      </c>
      <c r="AB1345" t="s">
        <v>11</v>
      </c>
    </row>
    <row r="1346" spans="1:28" x14ac:dyDescent="0.25">
      <c r="A1346" t="s">
        <v>6135</v>
      </c>
      <c r="C1346" t="s">
        <v>6136</v>
      </c>
      <c r="D1346" t="s">
        <v>6137</v>
      </c>
      <c r="E1346" t="s">
        <v>770</v>
      </c>
      <c r="F1346" t="s">
        <v>1884</v>
      </c>
      <c r="G1346" t="s">
        <v>1854</v>
      </c>
      <c r="H1346" t="s">
        <v>1885</v>
      </c>
      <c r="J1346" t="s">
        <v>773</v>
      </c>
      <c r="K1346" t="s">
        <v>1873</v>
      </c>
      <c r="L1346" t="s">
        <v>27</v>
      </c>
      <c r="M1346" t="s">
        <v>26</v>
      </c>
      <c r="N1346" t="s">
        <v>770</v>
      </c>
      <c r="O1346">
        <v>1</v>
      </c>
      <c r="P1346" t="s">
        <v>776</v>
      </c>
      <c r="Q1346">
        <v>34.9</v>
      </c>
      <c r="R1346">
        <v>6.29</v>
      </c>
      <c r="S1346">
        <v>3</v>
      </c>
      <c r="T1346">
        <v>0.54</v>
      </c>
      <c r="Y1346" t="s">
        <v>1875</v>
      </c>
      <c r="Z1346" t="s">
        <v>1864</v>
      </c>
      <c r="AA1346">
        <v>20142</v>
      </c>
      <c r="AB1346" t="s">
        <v>11</v>
      </c>
    </row>
    <row r="1347" spans="1:28" x14ac:dyDescent="0.25">
      <c r="A1347" t="s">
        <v>6138</v>
      </c>
      <c r="B1347" t="s">
        <v>6138</v>
      </c>
      <c r="C1347" t="s">
        <v>6139</v>
      </c>
      <c r="D1347" t="s">
        <v>6140</v>
      </c>
      <c r="E1347" t="s">
        <v>770</v>
      </c>
      <c r="F1347" t="s">
        <v>771</v>
      </c>
      <c r="G1347" t="s">
        <v>1854</v>
      </c>
      <c r="J1347" t="s">
        <v>783</v>
      </c>
      <c r="K1347" t="s">
        <v>1862</v>
      </c>
      <c r="L1347" t="s">
        <v>1505</v>
      </c>
      <c r="M1347" t="s">
        <v>53</v>
      </c>
      <c r="N1347" t="s">
        <v>770</v>
      </c>
      <c r="O1347">
        <v>1</v>
      </c>
      <c r="P1347" t="s">
        <v>776</v>
      </c>
      <c r="Q1347">
        <v>32.9</v>
      </c>
      <c r="R1347">
        <v>5.93</v>
      </c>
      <c r="Y1347" t="s">
        <v>6141</v>
      </c>
      <c r="Z1347" t="s">
        <v>2626</v>
      </c>
      <c r="AA1347">
        <v>51037</v>
      </c>
      <c r="AB1347" t="s">
        <v>11</v>
      </c>
    </row>
    <row r="1348" spans="1:28" x14ac:dyDescent="0.25">
      <c r="A1348" t="s">
        <v>6142</v>
      </c>
      <c r="B1348" t="s">
        <v>6142</v>
      </c>
      <c r="C1348" t="s">
        <v>6143</v>
      </c>
      <c r="D1348" t="s">
        <v>6144</v>
      </c>
      <c r="E1348" t="s">
        <v>770</v>
      </c>
      <c r="F1348" t="s">
        <v>771</v>
      </c>
      <c r="G1348" t="s">
        <v>1854</v>
      </c>
      <c r="J1348" t="s">
        <v>783</v>
      </c>
      <c r="K1348" t="s">
        <v>1873</v>
      </c>
      <c r="L1348" t="s">
        <v>840</v>
      </c>
      <c r="M1348" t="s">
        <v>26</v>
      </c>
      <c r="N1348" t="s">
        <v>770</v>
      </c>
      <c r="O1348">
        <v>1</v>
      </c>
      <c r="P1348" t="s">
        <v>776</v>
      </c>
      <c r="Q1348">
        <v>34.9</v>
      </c>
      <c r="R1348">
        <v>6.29</v>
      </c>
      <c r="S1348">
        <v>4.99</v>
      </c>
      <c r="T1348">
        <v>0.9</v>
      </c>
      <c r="Y1348" t="s">
        <v>4234</v>
      </c>
      <c r="Z1348" t="s">
        <v>2088</v>
      </c>
      <c r="AA1348">
        <v>98122</v>
      </c>
      <c r="AB1348" t="s">
        <v>11</v>
      </c>
    </row>
    <row r="1349" spans="1:28" x14ac:dyDescent="0.25">
      <c r="A1349" t="s">
        <v>6145</v>
      </c>
      <c r="B1349" t="s">
        <v>6145</v>
      </c>
      <c r="C1349" t="s">
        <v>6146</v>
      </c>
      <c r="D1349" t="s">
        <v>6147</v>
      </c>
      <c r="E1349" t="s">
        <v>770</v>
      </c>
      <c r="F1349" t="s">
        <v>771</v>
      </c>
      <c r="G1349" t="s">
        <v>1854</v>
      </c>
      <c r="J1349" t="s">
        <v>783</v>
      </c>
      <c r="K1349" t="s">
        <v>1855</v>
      </c>
      <c r="L1349" t="s">
        <v>1856</v>
      </c>
      <c r="M1349" t="s">
        <v>12</v>
      </c>
      <c r="N1349" t="s">
        <v>770</v>
      </c>
      <c r="O1349">
        <v>1</v>
      </c>
      <c r="P1349" t="s">
        <v>776</v>
      </c>
      <c r="Q1349">
        <v>19.899999999999999</v>
      </c>
      <c r="R1349">
        <v>3.59</v>
      </c>
      <c r="Y1349" t="s">
        <v>6148</v>
      </c>
      <c r="Z1349" t="s">
        <v>1880</v>
      </c>
      <c r="AA1349">
        <v>41043</v>
      </c>
      <c r="AB1349" t="s">
        <v>11</v>
      </c>
    </row>
    <row r="1350" spans="1:28" x14ac:dyDescent="0.25">
      <c r="A1350" t="s">
        <v>6149</v>
      </c>
      <c r="B1350" t="s">
        <v>6149</v>
      </c>
      <c r="C1350" t="s">
        <v>6150</v>
      </c>
      <c r="D1350" t="s">
        <v>6151</v>
      </c>
      <c r="E1350" t="s">
        <v>770</v>
      </c>
      <c r="F1350" t="s">
        <v>771</v>
      </c>
      <c r="G1350" t="s">
        <v>1854</v>
      </c>
      <c r="J1350" t="s">
        <v>783</v>
      </c>
      <c r="K1350" t="s">
        <v>1855</v>
      </c>
      <c r="L1350" t="s">
        <v>1856</v>
      </c>
      <c r="M1350" t="s">
        <v>12</v>
      </c>
      <c r="N1350" t="s">
        <v>770</v>
      </c>
      <c r="O1350">
        <v>1</v>
      </c>
      <c r="P1350" t="s">
        <v>776</v>
      </c>
      <c r="Q1350">
        <v>19.899999999999999</v>
      </c>
      <c r="R1350">
        <v>3.59</v>
      </c>
      <c r="Y1350" t="s">
        <v>6152</v>
      </c>
      <c r="Z1350" t="s">
        <v>3685</v>
      </c>
      <c r="AA1350">
        <v>81030</v>
      </c>
      <c r="AB1350" t="s">
        <v>11</v>
      </c>
    </row>
    <row r="1351" spans="1:28" x14ac:dyDescent="0.25">
      <c r="A1351" t="s">
        <v>6153</v>
      </c>
      <c r="B1351" t="s">
        <v>6153</v>
      </c>
      <c r="C1351" t="s">
        <v>6154</v>
      </c>
      <c r="D1351" t="s">
        <v>6155</v>
      </c>
      <c r="E1351" t="s">
        <v>770</v>
      </c>
      <c r="F1351" t="s">
        <v>771</v>
      </c>
      <c r="G1351" t="s">
        <v>1854</v>
      </c>
      <c r="J1351" t="s">
        <v>783</v>
      </c>
      <c r="K1351" t="s">
        <v>1855</v>
      </c>
      <c r="L1351" t="s">
        <v>1856</v>
      </c>
      <c r="M1351" t="s">
        <v>12</v>
      </c>
      <c r="N1351" t="s">
        <v>770</v>
      </c>
      <c r="O1351">
        <v>1</v>
      </c>
      <c r="P1351" t="s">
        <v>776</v>
      </c>
      <c r="Q1351">
        <v>19.899999999999999</v>
      </c>
      <c r="R1351">
        <v>3.59</v>
      </c>
      <c r="Y1351" t="s">
        <v>6156</v>
      </c>
      <c r="Z1351" t="s">
        <v>6157</v>
      </c>
      <c r="AA1351">
        <v>50012</v>
      </c>
      <c r="AB1351" t="s">
        <v>11</v>
      </c>
    </row>
    <row r="1352" spans="1:28" x14ac:dyDescent="0.25">
      <c r="A1352" t="s">
        <v>6158</v>
      </c>
      <c r="B1352" t="s">
        <v>6158</v>
      </c>
      <c r="C1352" t="s">
        <v>6159</v>
      </c>
      <c r="D1352" t="s">
        <v>6160</v>
      </c>
      <c r="E1352" t="s">
        <v>770</v>
      </c>
      <c r="F1352" t="s">
        <v>771</v>
      </c>
      <c r="G1352" t="s">
        <v>1854</v>
      </c>
      <c r="J1352" t="s">
        <v>783</v>
      </c>
      <c r="K1352" t="s">
        <v>1855</v>
      </c>
      <c r="L1352" t="s">
        <v>1856</v>
      </c>
      <c r="M1352" t="s">
        <v>12</v>
      </c>
      <c r="N1352" t="s">
        <v>770</v>
      </c>
      <c r="O1352">
        <v>1</v>
      </c>
      <c r="P1352" t="s">
        <v>776</v>
      </c>
      <c r="Q1352">
        <v>19.899999999999999</v>
      </c>
      <c r="R1352">
        <v>3.59</v>
      </c>
      <c r="Y1352" t="s">
        <v>6161</v>
      </c>
      <c r="Z1352" t="s">
        <v>6162</v>
      </c>
      <c r="AA1352">
        <v>91022</v>
      </c>
      <c r="AB1352" t="s">
        <v>11</v>
      </c>
    </row>
    <row r="1353" spans="1:28" x14ac:dyDescent="0.25">
      <c r="A1353" t="s">
        <v>6163</v>
      </c>
      <c r="B1353" t="s">
        <v>6163</v>
      </c>
      <c r="C1353" t="s">
        <v>6164</v>
      </c>
      <c r="D1353" t="s">
        <v>6165</v>
      </c>
      <c r="E1353" t="s">
        <v>770</v>
      </c>
      <c r="F1353" t="s">
        <v>771</v>
      </c>
      <c r="G1353" t="s">
        <v>1854</v>
      </c>
      <c r="J1353" t="s">
        <v>783</v>
      </c>
      <c r="K1353" t="s">
        <v>1862</v>
      </c>
      <c r="L1353" t="s">
        <v>1505</v>
      </c>
      <c r="M1353" t="s">
        <v>53</v>
      </c>
      <c r="N1353" t="s">
        <v>770</v>
      </c>
      <c r="O1353">
        <v>1</v>
      </c>
      <c r="P1353" t="s">
        <v>776</v>
      </c>
      <c r="Q1353">
        <v>32.9</v>
      </c>
      <c r="R1353">
        <v>5.93</v>
      </c>
      <c r="Y1353" t="s">
        <v>6166</v>
      </c>
      <c r="Z1353" t="s">
        <v>2538</v>
      </c>
      <c r="AA1353">
        <v>1010</v>
      </c>
      <c r="AB1353" t="s">
        <v>11</v>
      </c>
    </row>
    <row r="1354" spans="1:28" x14ac:dyDescent="0.25">
      <c r="A1354" t="s">
        <v>6167</v>
      </c>
      <c r="B1354" t="s">
        <v>6167</v>
      </c>
      <c r="C1354" t="s">
        <v>6168</v>
      </c>
      <c r="D1354" t="s">
        <v>6169</v>
      </c>
      <c r="E1354" t="s">
        <v>782</v>
      </c>
      <c r="F1354" t="s">
        <v>771</v>
      </c>
      <c r="G1354" t="s">
        <v>1854</v>
      </c>
      <c r="J1354" t="s">
        <v>783</v>
      </c>
      <c r="K1354" t="s">
        <v>1862</v>
      </c>
      <c r="L1354" t="s">
        <v>1505</v>
      </c>
      <c r="M1354" t="s">
        <v>53</v>
      </c>
      <c r="N1354" t="s">
        <v>782</v>
      </c>
      <c r="O1354">
        <v>0</v>
      </c>
      <c r="Y1354" t="s">
        <v>1913</v>
      </c>
      <c r="Z1354" t="s">
        <v>1926</v>
      </c>
      <c r="AA1354">
        <v>183</v>
      </c>
      <c r="AB1354" t="s">
        <v>11</v>
      </c>
    </row>
    <row r="1355" spans="1:28" x14ac:dyDescent="0.25">
      <c r="A1355" t="s">
        <v>6170</v>
      </c>
      <c r="B1355" t="s">
        <v>6170</v>
      </c>
      <c r="C1355" t="s">
        <v>6171</v>
      </c>
      <c r="D1355" t="s">
        <v>6172</v>
      </c>
      <c r="E1355" t="s">
        <v>770</v>
      </c>
      <c r="F1355" t="s">
        <v>771</v>
      </c>
      <c r="G1355" t="s">
        <v>1854</v>
      </c>
      <c r="J1355" t="s">
        <v>783</v>
      </c>
      <c r="K1355" t="s">
        <v>1855</v>
      </c>
      <c r="L1355" t="s">
        <v>1856</v>
      </c>
      <c r="M1355" t="s">
        <v>12</v>
      </c>
      <c r="N1355" t="s">
        <v>770</v>
      </c>
      <c r="O1355">
        <v>1</v>
      </c>
      <c r="P1355" t="s">
        <v>776</v>
      </c>
      <c r="Q1355">
        <v>19.899999999999999</v>
      </c>
      <c r="R1355">
        <v>3.59</v>
      </c>
      <c r="Y1355" t="s">
        <v>6173</v>
      </c>
      <c r="Z1355" t="s">
        <v>2333</v>
      </c>
      <c r="AA1355">
        <v>4100</v>
      </c>
      <c r="AB1355" t="s">
        <v>11</v>
      </c>
    </row>
    <row r="1356" spans="1:28" x14ac:dyDescent="0.25">
      <c r="A1356" t="s">
        <v>6174</v>
      </c>
      <c r="B1356" t="s">
        <v>6174</v>
      </c>
      <c r="C1356" t="s">
        <v>6175</v>
      </c>
      <c r="D1356" t="s">
        <v>6176</v>
      </c>
      <c r="E1356" t="s">
        <v>770</v>
      </c>
      <c r="F1356" t="s">
        <v>771</v>
      </c>
      <c r="G1356" t="s">
        <v>1854</v>
      </c>
      <c r="J1356" t="s">
        <v>783</v>
      </c>
      <c r="K1356" t="s">
        <v>1855</v>
      </c>
      <c r="L1356" t="s">
        <v>1856</v>
      </c>
      <c r="M1356" t="s">
        <v>12</v>
      </c>
      <c r="N1356" t="s">
        <v>770</v>
      </c>
      <c r="O1356">
        <v>1</v>
      </c>
      <c r="P1356" t="s">
        <v>776</v>
      </c>
      <c r="Q1356">
        <v>19.899999999999999</v>
      </c>
      <c r="R1356">
        <v>3.59</v>
      </c>
      <c r="S1356">
        <v>4.99</v>
      </c>
      <c r="T1356">
        <v>0.9</v>
      </c>
      <c r="Y1356" t="s">
        <v>6177</v>
      </c>
      <c r="Z1356" t="s">
        <v>2040</v>
      </c>
      <c r="AA1356">
        <v>65010</v>
      </c>
      <c r="AB1356" t="s">
        <v>11</v>
      </c>
    </row>
    <row r="1357" spans="1:28" x14ac:dyDescent="0.25">
      <c r="A1357" t="s">
        <v>6178</v>
      </c>
      <c r="B1357" t="s">
        <v>6178</v>
      </c>
      <c r="C1357" t="s">
        <v>6179</v>
      </c>
      <c r="D1357" t="s">
        <v>6180</v>
      </c>
      <c r="E1357" t="s">
        <v>770</v>
      </c>
      <c r="F1357" t="s">
        <v>771</v>
      </c>
      <c r="G1357" t="s">
        <v>1854</v>
      </c>
      <c r="J1357" t="s">
        <v>783</v>
      </c>
      <c r="K1357" t="s">
        <v>1873</v>
      </c>
      <c r="L1357" t="s">
        <v>840</v>
      </c>
      <c r="M1357" t="s">
        <v>26</v>
      </c>
      <c r="N1357" t="s">
        <v>770</v>
      </c>
      <c r="O1357">
        <v>1</v>
      </c>
      <c r="P1357" t="s">
        <v>776</v>
      </c>
      <c r="Q1357">
        <v>34.9</v>
      </c>
      <c r="R1357">
        <v>6.29</v>
      </c>
      <c r="Y1357" t="s">
        <v>4233</v>
      </c>
      <c r="Z1357" t="s">
        <v>4233</v>
      </c>
      <c r="AA1357">
        <v>98168</v>
      </c>
      <c r="AB1357" t="s">
        <v>11</v>
      </c>
    </row>
    <row r="1358" spans="1:28" x14ac:dyDescent="0.25">
      <c r="A1358" t="s">
        <v>6181</v>
      </c>
      <c r="B1358" t="s">
        <v>6181</v>
      </c>
      <c r="C1358" t="s">
        <v>6182</v>
      </c>
      <c r="D1358" t="s">
        <v>6183</v>
      </c>
      <c r="E1358" t="s">
        <v>770</v>
      </c>
      <c r="F1358" t="s">
        <v>771</v>
      </c>
      <c r="G1358" t="s">
        <v>1854</v>
      </c>
      <c r="J1358" t="s">
        <v>783</v>
      </c>
      <c r="K1358" t="s">
        <v>1855</v>
      </c>
      <c r="L1358" t="s">
        <v>1856</v>
      </c>
      <c r="M1358" t="s">
        <v>12</v>
      </c>
      <c r="N1358" t="s">
        <v>770</v>
      </c>
      <c r="O1358">
        <v>1</v>
      </c>
      <c r="P1358" t="s">
        <v>776</v>
      </c>
      <c r="Q1358">
        <v>19.899999999999999</v>
      </c>
      <c r="R1358">
        <v>3.59</v>
      </c>
      <c r="Y1358" t="s">
        <v>2134</v>
      </c>
      <c r="AA1358">
        <v>175</v>
      </c>
      <c r="AB1358" t="s">
        <v>11</v>
      </c>
    </row>
    <row r="1359" spans="1:28" x14ac:dyDescent="0.25">
      <c r="A1359" t="s">
        <v>6184</v>
      </c>
      <c r="B1359" t="s">
        <v>6184</v>
      </c>
      <c r="C1359" t="s">
        <v>6185</v>
      </c>
      <c r="D1359" t="s">
        <v>6186</v>
      </c>
      <c r="E1359" t="s">
        <v>770</v>
      </c>
      <c r="F1359" t="s">
        <v>771</v>
      </c>
      <c r="G1359" t="s">
        <v>1854</v>
      </c>
      <c r="J1359" t="s">
        <v>783</v>
      </c>
      <c r="K1359" t="s">
        <v>1862</v>
      </c>
      <c r="L1359" t="s">
        <v>1505</v>
      </c>
      <c r="M1359" t="s">
        <v>53</v>
      </c>
      <c r="N1359" t="s">
        <v>770</v>
      </c>
      <c r="O1359">
        <v>1</v>
      </c>
      <c r="P1359" t="s">
        <v>776</v>
      </c>
      <c r="Q1359">
        <v>32.9</v>
      </c>
      <c r="R1359">
        <v>5.93</v>
      </c>
      <c r="Y1359" t="s">
        <v>6187</v>
      </c>
      <c r="Z1359" t="s">
        <v>2644</v>
      </c>
      <c r="AA1359">
        <v>57023</v>
      </c>
      <c r="AB1359" t="s">
        <v>11</v>
      </c>
    </row>
    <row r="1360" spans="1:28" x14ac:dyDescent="0.25">
      <c r="A1360" t="s">
        <v>6188</v>
      </c>
      <c r="B1360" t="s">
        <v>6188</v>
      </c>
      <c r="C1360" t="s">
        <v>6189</v>
      </c>
      <c r="D1360" t="s">
        <v>6190</v>
      </c>
      <c r="E1360" t="s">
        <v>770</v>
      </c>
      <c r="F1360" t="s">
        <v>771</v>
      </c>
      <c r="G1360" t="s">
        <v>1854</v>
      </c>
      <c r="J1360" t="s">
        <v>783</v>
      </c>
      <c r="K1360" t="s">
        <v>1855</v>
      </c>
      <c r="L1360" t="s">
        <v>1856</v>
      </c>
      <c r="M1360" t="s">
        <v>12</v>
      </c>
      <c r="N1360" t="s">
        <v>770</v>
      </c>
      <c r="O1360">
        <v>1</v>
      </c>
      <c r="P1360" t="s">
        <v>776</v>
      </c>
      <c r="Q1360">
        <v>19.899999999999999</v>
      </c>
      <c r="R1360">
        <v>3.59</v>
      </c>
      <c r="Y1360" t="s">
        <v>1965</v>
      </c>
      <c r="Z1360" t="s">
        <v>3126</v>
      </c>
      <c r="AA1360">
        <v>20900</v>
      </c>
      <c r="AB1360" t="s">
        <v>11</v>
      </c>
    </row>
    <row r="1361" spans="1:35" x14ac:dyDescent="0.25">
      <c r="A1361" t="s">
        <v>6191</v>
      </c>
      <c r="B1361" t="s">
        <v>6191</v>
      </c>
      <c r="C1361" t="s">
        <v>6192</v>
      </c>
      <c r="D1361" t="s">
        <v>6193</v>
      </c>
      <c r="E1361" t="s">
        <v>770</v>
      </c>
      <c r="F1361" t="s">
        <v>771</v>
      </c>
      <c r="G1361" t="s">
        <v>1854</v>
      </c>
      <c r="J1361" t="s">
        <v>783</v>
      </c>
      <c r="K1361" t="s">
        <v>1855</v>
      </c>
      <c r="L1361" t="s">
        <v>1856</v>
      </c>
      <c r="M1361" t="s">
        <v>12</v>
      </c>
      <c r="N1361" t="s">
        <v>770</v>
      </c>
      <c r="O1361">
        <v>1</v>
      </c>
      <c r="P1361" t="s">
        <v>776</v>
      </c>
      <c r="Q1361">
        <v>19.899999999999999</v>
      </c>
      <c r="R1361">
        <v>3.59</v>
      </c>
      <c r="Y1361" t="s">
        <v>6194</v>
      </c>
      <c r="Z1361" t="s">
        <v>4498</v>
      </c>
      <c r="AA1361">
        <v>72021</v>
      </c>
      <c r="AB1361" t="s">
        <v>11</v>
      </c>
    </row>
    <row r="1362" spans="1:35" x14ac:dyDescent="0.25">
      <c r="A1362" t="s">
        <v>6195</v>
      </c>
      <c r="B1362" t="s">
        <v>6195</v>
      </c>
      <c r="C1362" t="s">
        <v>6196</v>
      </c>
      <c r="D1362" t="s">
        <v>6197</v>
      </c>
      <c r="E1362" t="s">
        <v>770</v>
      </c>
      <c r="F1362" t="s">
        <v>771</v>
      </c>
      <c r="G1362" t="s">
        <v>1854</v>
      </c>
      <c r="J1362" t="s">
        <v>783</v>
      </c>
      <c r="K1362" t="s">
        <v>1930</v>
      </c>
      <c r="L1362" t="s">
        <v>775</v>
      </c>
      <c r="M1362" t="s">
        <v>65</v>
      </c>
      <c r="N1362" t="s">
        <v>770</v>
      </c>
      <c r="O1362">
        <v>1</v>
      </c>
      <c r="P1362" t="s">
        <v>776</v>
      </c>
      <c r="Q1362">
        <v>29.9</v>
      </c>
      <c r="R1362">
        <v>5.39</v>
      </c>
      <c r="Y1362" t="s">
        <v>6198</v>
      </c>
      <c r="Z1362" t="s">
        <v>2597</v>
      </c>
      <c r="AA1362">
        <v>70014</v>
      </c>
      <c r="AB1362" t="s">
        <v>11</v>
      </c>
    </row>
    <row r="1363" spans="1:35" x14ac:dyDescent="0.25">
      <c r="A1363" t="s">
        <v>6199</v>
      </c>
      <c r="C1363" t="s">
        <v>6200</v>
      </c>
      <c r="D1363" t="s">
        <v>6201</v>
      </c>
      <c r="E1363" t="s">
        <v>770</v>
      </c>
      <c r="F1363" t="s">
        <v>1884</v>
      </c>
      <c r="G1363" t="s">
        <v>1854</v>
      </c>
      <c r="H1363" t="s">
        <v>1885</v>
      </c>
      <c r="J1363" t="s">
        <v>773</v>
      </c>
      <c r="K1363" t="s">
        <v>1855</v>
      </c>
      <c r="L1363" t="s">
        <v>13</v>
      </c>
      <c r="M1363" t="s">
        <v>12</v>
      </c>
      <c r="N1363" t="s">
        <v>770</v>
      </c>
      <c r="O1363">
        <v>1</v>
      </c>
      <c r="P1363" t="s">
        <v>776</v>
      </c>
      <c r="Q1363">
        <v>19.899999999999999</v>
      </c>
      <c r="R1363">
        <v>3.59</v>
      </c>
      <c r="S1363">
        <v>3</v>
      </c>
      <c r="T1363">
        <v>0.54</v>
      </c>
      <c r="Y1363" t="s">
        <v>6202</v>
      </c>
      <c r="Z1363" t="s">
        <v>3105</v>
      </c>
      <c r="AA1363">
        <v>62010</v>
      </c>
      <c r="AB1363" t="s">
        <v>11</v>
      </c>
    </row>
    <row r="1364" spans="1:35" x14ac:dyDescent="0.25">
      <c r="A1364" t="s">
        <v>6203</v>
      </c>
      <c r="B1364" t="s">
        <v>6203</v>
      </c>
      <c r="C1364" t="s">
        <v>6204</v>
      </c>
      <c r="D1364" t="s">
        <v>6205</v>
      </c>
      <c r="E1364" t="s">
        <v>770</v>
      </c>
      <c r="F1364" t="s">
        <v>771</v>
      </c>
      <c r="G1364" t="s">
        <v>1854</v>
      </c>
      <c r="J1364" t="s">
        <v>783</v>
      </c>
      <c r="K1364" t="s">
        <v>1930</v>
      </c>
      <c r="L1364" t="s">
        <v>775</v>
      </c>
      <c r="M1364" t="s">
        <v>65</v>
      </c>
      <c r="N1364" t="s">
        <v>770</v>
      </c>
      <c r="O1364">
        <v>1</v>
      </c>
      <c r="P1364" t="s">
        <v>776</v>
      </c>
      <c r="Q1364">
        <v>29.9</v>
      </c>
      <c r="R1364">
        <v>5.39</v>
      </c>
      <c r="Y1364" t="s">
        <v>6206</v>
      </c>
      <c r="Z1364" t="s">
        <v>2915</v>
      </c>
      <c r="AA1364">
        <v>34126</v>
      </c>
      <c r="AB1364" t="s">
        <v>11</v>
      </c>
    </row>
    <row r="1365" spans="1:35" x14ac:dyDescent="0.25">
      <c r="A1365" t="s">
        <v>6207</v>
      </c>
      <c r="C1365" t="s">
        <v>6208</v>
      </c>
      <c r="D1365" t="s">
        <v>6209</v>
      </c>
      <c r="E1365" t="s">
        <v>770</v>
      </c>
      <c r="F1365" t="s">
        <v>1884</v>
      </c>
      <c r="G1365" t="s">
        <v>1854</v>
      </c>
      <c r="H1365" t="s">
        <v>1885</v>
      </c>
      <c r="J1365" t="s">
        <v>773</v>
      </c>
      <c r="K1365" t="s">
        <v>4881</v>
      </c>
      <c r="L1365" s="2">
        <v>90882</v>
      </c>
      <c r="M1365" t="s">
        <v>232</v>
      </c>
      <c r="N1365" t="s">
        <v>770</v>
      </c>
      <c r="O1365">
        <v>1</v>
      </c>
      <c r="P1365" t="s">
        <v>776</v>
      </c>
      <c r="Q1365">
        <v>49.9</v>
      </c>
      <c r="R1365">
        <v>9</v>
      </c>
      <c r="S1365">
        <v>3</v>
      </c>
      <c r="T1365">
        <v>0.54</v>
      </c>
      <c r="Y1365" t="s">
        <v>6210</v>
      </c>
      <c r="Z1365" t="s">
        <v>3608</v>
      </c>
      <c r="AA1365">
        <v>21019</v>
      </c>
      <c r="AB1365" t="s">
        <v>11</v>
      </c>
    </row>
    <row r="1366" spans="1:35" x14ac:dyDescent="0.25">
      <c r="A1366" t="s">
        <v>6211</v>
      </c>
      <c r="B1366" t="s">
        <v>6211</v>
      </c>
      <c r="C1366" t="s">
        <v>6212</v>
      </c>
      <c r="D1366" t="s">
        <v>6213</v>
      </c>
      <c r="E1366" t="s">
        <v>770</v>
      </c>
      <c r="F1366" t="s">
        <v>771</v>
      </c>
      <c r="G1366" t="s">
        <v>1854</v>
      </c>
      <c r="J1366" t="s">
        <v>783</v>
      </c>
      <c r="K1366" t="s">
        <v>1930</v>
      </c>
      <c r="L1366" t="s">
        <v>775</v>
      </c>
      <c r="M1366" t="s">
        <v>65</v>
      </c>
      <c r="N1366" t="s">
        <v>770</v>
      </c>
      <c r="O1366">
        <v>1</v>
      </c>
      <c r="P1366" t="s">
        <v>776</v>
      </c>
      <c r="Q1366">
        <v>29.9</v>
      </c>
      <c r="R1366">
        <v>5.39</v>
      </c>
      <c r="Y1366" t="s">
        <v>6214</v>
      </c>
      <c r="Z1366" t="s">
        <v>2158</v>
      </c>
      <c r="AA1366">
        <v>24010</v>
      </c>
      <c r="AB1366" t="s">
        <v>11</v>
      </c>
    </row>
    <row r="1367" spans="1:35" x14ac:dyDescent="0.25">
      <c r="A1367" t="s">
        <v>6215</v>
      </c>
      <c r="B1367" t="s">
        <v>6215</v>
      </c>
      <c r="C1367" t="s">
        <v>6216</v>
      </c>
      <c r="D1367" t="s">
        <v>6217</v>
      </c>
      <c r="E1367" t="s">
        <v>770</v>
      </c>
      <c r="F1367" t="s">
        <v>771</v>
      </c>
      <c r="G1367" t="s">
        <v>1854</v>
      </c>
      <c r="J1367" t="s">
        <v>783</v>
      </c>
      <c r="K1367" t="s">
        <v>1855</v>
      </c>
      <c r="L1367" t="s">
        <v>1856</v>
      </c>
      <c r="M1367" t="s">
        <v>12</v>
      </c>
      <c r="N1367" t="s">
        <v>770</v>
      </c>
      <c r="O1367">
        <v>1</v>
      </c>
      <c r="P1367" t="s">
        <v>776</v>
      </c>
      <c r="Q1367">
        <v>19.899999999999999</v>
      </c>
      <c r="R1367">
        <v>3.59</v>
      </c>
      <c r="Y1367" t="s">
        <v>3684</v>
      </c>
      <c r="Z1367" t="s">
        <v>2126</v>
      </c>
      <c r="AA1367">
        <v>81031</v>
      </c>
      <c r="AB1367" t="s">
        <v>11</v>
      </c>
    </row>
    <row r="1368" spans="1:35" x14ac:dyDescent="0.25">
      <c r="A1368" t="s">
        <v>6218</v>
      </c>
      <c r="C1368" t="s">
        <v>6219</v>
      </c>
      <c r="D1368" t="s">
        <v>6220</v>
      </c>
      <c r="E1368" t="s">
        <v>782</v>
      </c>
      <c r="F1368" t="s">
        <v>1884</v>
      </c>
      <c r="G1368" t="s">
        <v>1854</v>
      </c>
      <c r="H1368" t="s">
        <v>1885</v>
      </c>
      <c r="J1368" t="s">
        <v>773</v>
      </c>
      <c r="K1368" t="s">
        <v>4881</v>
      </c>
      <c r="L1368" s="2">
        <v>90882</v>
      </c>
      <c r="M1368" t="s">
        <v>232</v>
      </c>
      <c r="O1368">
        <v>0</v>
      </c>
      <c r="Y1368" t="s">
        <v>6210</v>
      </c>
      <c r="Z1368" t="s">
        <v>3608</v>
      </c>
      <c r="AA1368">
        <v>21019</v>
      </c>
      <c r="AB1368" t="s">
        <v>11</v>
      </c>
    </row>
    <row r="1369" spans="1:35" x14ac:dyDescent="0.25">
      <c r="A1369" t="s">
        <v>6221</v>
      </c>
      <c r="B1369" t="s">
        <v>6221</v>
      </c>
      <c r="C1369" t="s">
        <v>6222</v>
      </c>
      <c r="D1369" t="s">
        <v>6223</v>
      </c>
      <c r="E1369" t="s">
        <v>770</v>
      </c>
      <c r="F1369" t="s">
        <v>771</v>
      </c>
      <c r="G1369" t="s">
        <v>1854</v>
      </c>
      <c r="J1369" t="s">
        <v>783</v>
      </c>
      <c r="K1369" t="s">
        <v>1855</v>
      </c>
      <c r="L1369" t="s">
        <v>1856</v>
      </c>
      <c r="M1369" t="s">
        <v>12</v>
      </c>
      <c r="N1369" t="s">
        <v>770</v>
      </c>
      <c r="O1369">
        <v>1</v>
      </c>
      <c r="P1369" t="s">
        <v>776</v>
      </c>
      <c r="Q1369">
        <v>19.899999999999999</v>
      </c>
      <c r="R1369">
        <v>3.59</v>
      </c>
      <c r="Y1369" t="s">
        <v>2134</v>
      </c>
      <c r="Z1369" t="s">
        <v>1926</v>
      </c>
      <c r="AA1369">
        <v>132</v>
      </c>
      <c r="AB1369" t="s">
        <v>11</v>
      </c>
    </row>
    <row r="1370" spans="1:35" x14ac:dyDescent="0.25">
      <c r="A1370" t="s">
        <v>6224</v>
      </c>
      <c r="B1370" t="s">
        <v>6224</v>
      </c>
      <c r="C1370" t="s">
        <v>6225</v>
      </c>
      <c r="D1370" t="s">
        <v>6226</v>
      </c>
      <c r="E1370" t="s">
        <v>770</v>
      </c>
      <c r="F1370" t="s">
        <v>771</v>
      </c>
      <c r="G1370" t="s">
        <v>1854</v>
      </c>
      <c r="J1370" t="s">
        <v>783</v>
      </c>
      <c r="K1370" t="s">
        <v>3363</v>
      </c>
      <c r="L1370" t="s">
        <v>5572</v>
      </c>
      <c r="M1370" t="s">
        <v>71</v>
      </c>
      <c r="N1370" t="s">
        <v>770</v>
      </c>
      <c r="O1370">
        <v>1</v>
      </c>
      <c r="P1370" t="s">
        <v>776</v>
      </c>
      <c r="Q1370">
        <v>29.9</v>
      </c>
      <c r="R1370">
        <v>5.39</v>
      </c>
      <c r="Y1370" t="s">
        <v>1956</v>
      </c>
      <c r="Z1370" t="s">
        <v>1956</v>
      </c>
      <c r="AA1370">
        <v>136</v>
      </c>
      <c r="AB1370" t="s">
        <v>11</v>
      </c>
      <c r="AG1370" t="s">
        <v>6227</v>
      </c>
      <c r="AH1370" t="s">
        <v>11</v>
      </c>
      <c r="AI1370" t="s">
        <v>1258</v>
      </c>
    </row>
    <row r="1371" spans="1:35" x14ac:dyDescent="0.25">
      <c r="A1371" t="s">
        <v>6228</v>
      </c>
      <c r="B1371" t="s">
        <v>6228</v>
      </c>
      <c r="C1371" t="s">
        <v>6229</v>
      </c>
      <c r="D1371" t="s">
        <v>6230</v>
      </c>
      <c r="E1371" t="s">
        <v>782</v>
      </c>
      <c r="F1371" t="s">
        <v>771</v>
      </c>
      <c r="G1371" t="s">
        <v>1854</v>
      </c>
      <c r="J1371" t="s">
        <v>783</v>
      </c>
      <c r="K1371" t="s">
        <v>1873</v>
      </c>
      <c r="L1371" t="s">
        <v>840</v>
      </c>
      <c r="M1371" t="s">
        <v>26</v>
      </c>
      <c r="N1371" t="s">
        <v>782</v>
      </c>
      <c r="O1371">
        <v>0</v>
      </c>
      <c r="Y1371" t="s">
        <v>6231</v>
      </c>
      <c r="Z1371" t="s">
        <v>2367</v>
      </c>
      <c r="AA1371">
        <v>67030</v>
      </c>
      <c r="AB1371" t="s">
        <v>11</v>
      </c>
    </row>
    <row r="1372" spans="1:35" x14ac:dyDescent="0.25">
      <c r="A1372" t="s">
        <v>6232</v>
      </c>
      <c r="B1372" t="s">
        <v>6232</v>
      </c>
      <c r="C1372" t="s">
        <v>6233</v>
      </c>
      <c r="D1372" t="s">
        <v>6234</v>
      </c>
      <c r="E1372" t="s">
        <v>770</v>
      </c>
      <c r="F1372" t="s">
        <v>771</v>
      </c>
      <c r="G1372" t="s">
        <v>1854</v>
      </c>
      <c r="J1372" t="s">
        <v>783</v>
      </c>
      <c r="K1372" t="s">
        <v>1862</v>
      </c>
      <c r="L1372" t="s">
        <v>1505</v>
      </c>
      <c r="M1372" t="s">
        <v>53</v>
      </c>
      <c r="N1372" t="s">
        <v>770</v>
      </c>
      <c r="O1372">
        <v>1</v>
      </c>
      <c r="P1372" t="s">
        <v>776</v>
      </c>
      <c r="Q1372">
        <v>32.9</v>
      </c>
      <c r="R1372">
        <v>5.93</v>
      </c>
      <c r="Y1372" t="s">
        <v>6235</v>
      </c>
      <c r="Z1372" t="s">
        <v>1989</v>
      </c>
      <c r="AA1372">
        <v>36075</v>
      </c>
      <c r="AB1372" t="s">
        <v>11</v>
      </c>
    </row>
    <row r="1373" spans="1:35" x14ac:dyDescent="0.25">
      <c r="A1373" t="s">
        <v>6236</v>
      </c>
      <c r="C1373" t="s">
        <v>6237</v>
      </c>
      <c r="D1373" t="s">
        <v>6238</v>
      </c>
      <c r="E1373" t="s">
        <v>770</v>
      </c>
      <c r="F1373" t="s">
        <v>1884</v>
      </c>
      <c r="G1373" t="s">
        <v>1854</v>
      </c>
      <c r="H1373" t="s">
        <v>1885</v>
      </c>
      <c r="J1373" t="s">
        <v>773</v>
      </c>
      <c r="K1373" t="s">
        <v>1886</v>
      </c>
      <c r="L1373" t="s">
        <v>18</v>
      </c>
      <c r="M1373" t="s">
        <v>17</v>
      </c>
      <c r="N1373" t="s">
        <v>770</v>
      </c>
      <c r="O1373">
        <v>1</v>
      </c>
      <c r="P1373" t="s">
        <v>776</v>
      </c>
      <c r="Q1373">
        <v>22.9</v>
      </c>
      <c r="R1373">
        <v>4.13</v>
      </c>
      <c r="S1373">
        <v>3</v>
      </c>
      <c r="T1373">
        <v>0.54</v>
      </c>
      <c r="Y1373" t="s">
        <v>1908</v>
      </c>
      <c r="Z1373" t="s">
        <v>1908</v>
      </c>
      <c r="AA1373">
        <v>80122</v>
      </c>
      <c r="AB1373" t="s">
        <v>11</v>
      </c>
    </row>
    <row r="1374" spans="1:35" x14ac:dyDescent="0.25">
      <c r="A1374" t="s">
        <v>6239</v>
      </c>
      <c r="B1374" t="s">
        <v>6239</v>
      </c>
      <c r="C1374" t="s">
        <v>6240</v>
      </c>
      <c r="D1374" t="s">
        <v>6241</v>
      </c>
      <c r="E1374" t="s">
        <v>770</v>
      </c>
      <c r="F1374" t="s">
        <v>771</v>
      </c>
      <c r="G1374" t="s">
        <v>1854</v>
      </c>
      <c r="J1374" t="s">
        <v>783</v>
      </c>
      <c r="K1374" t="s">
        <v>1855</v>
      </c>
      <c r="L1374" t="s">
        <v>1856</v>
      </c>
      <c r="M1374" t="s">
        <v>12</v>
      </c>
      <c r="N1374" t="s">
        <v>770</v>
      </c>
      <c r="O1374">
        <v>1</v>
      </c>
      <c r="P1374" t="s">
        <v>776</v>
      </c>
      <c r="Q1374">
        <v>19.899999999999999</v>
      </c>
      <c r="R1374">
        <v>3.59</v>
      </c>
      <c r="Y1374" t="s">
        <v>6242</v>
      </c>
      <c r="Z1374" t="s">
        <v>1864</v>
      </c>
      <c r="AA1374">
        <v>20094</v>
      </c>
      <c r="AB1374" t="s">
        <v>11</v>
      </c>
    </row>
    <row r="1375" spans="1:35" x14ac:dyDescent="0.25">
      <c r="A1375" t="s">
        <v>6243</v>
      </c>
      <c r="C1375" t="s">
        <v>6244</v>
      </c>
      <c r="D1375" t="s">
        <v>6245</v>
      </c>
      <c r="E1375" t="s">
        <v>782</v>
      </c>
      <c r="F1375" t="s">
        <v>1884</v>
      </c>
      <c r="G1375" t="s">
        <v>1854</v>
      </c>
      <c r="H1375" t="s">
        <v>1885</v>
      </c>
      <c r="J1375" t="s">
        <v>773</v>
      </c>
      <c r="K1375" t="s">
        <v>1886</v>
      </c>
      <c r="L1375" t="s">
        <v>18</v>
      </c>
      <c r="M1375" t="s">
        <v>17</v>
      </c>
      <c r="O1375">
        <v>0</v>
      </c>
      <c r="P1375" t="s">
        <v>776</v>
      </c>
      <c r="Q1375">
        <v>18.77</v>
      </c>
      <c r="R1375">
        <v>4.13</v>
      </c>
      <c r="S1375">
        <v>3</v>
      </c>
      <c r="T1375">
        <v>0.54</v>
      </c>
      <c r="Y1375" t="s">
        <v>6246</v>
      </c>
      <c r="Z1375" t="s">
        <v>3012</v>
      </c>
      <c r="AA1375">
        <v>12037</v>
      </c>
      <c r="AB1375" t="s">
        <v>11</v>
      </c>
    </row>
    <row r="1376" spans="1:35" x14ac:dyDescent="0.25">
      <c r="A1376" t="s">
        <v>6247</v>
      </c>
      <c r="B1376" t="s">
        <v>6247</v>
      </c>
      <c r="C1376" t="s">
        <v>6248</v>
      </c>
      <c r="D1376" t="s">
        <v>6249</v>
      </c>
      <c r="E1376" t="s">
        <v>770</v>
      </c>
      <c r="F1376" t="s">
        <v>771</v>
      </c>
      <c r="G1376" t="s">
        <v>1854</v>
      </c>
      <c r="J1376" t="s">
        <v>783</v>
      </c>
      <c r="K1376" t="s">
        <v>1862</v>
      </c>
      <c r="L1376" t="s">
        <v>1505</v>
      </c>
      <c r="M1376" t="s">
        <v>53</v>
      </c>
      <c r="N1376" t="s">
        <v>770</v>
      </c>
      <c r="O1376">
        <v>1</v>
      </c>
      <c r="P1376" t="s">
        <v>776</v>
      </c>
      <c r="Q1376">
        <v>32.9</v>
      </c>
      <c r="R1376">
        <v>5.93</v>
      </c>
      <c r="Y1376" t="s">
        <v>2165</v>
      </c>
      <c r="Z1376" t="s">
        <v>1067</v>
      </c>
      <c r="AA1376">
        <v>55100</v>
      </c>
      <c r="AB1376" t="s">
        <v>11</v>
      </c>
    </row>
    <row r="1377" spans="1:35" x14ac:dyDescent="0.25">
      <c r="A1377" t="s">
        <v>6250</v>
      </c>
      <c r="C1377" t="s">
        <v>6251</v>
      </c>
      <c r="D1377" t="s">
        <v>6252</v>
      </c>
      <c r="E1377" t="s">
        <v>770</v>
      </c>
      <c r="F1377" t="s">
        <v>1884</v>
      </c>
      <c r="G1377" t="s">
        <v>1854</v>
      </c>
      <c r="H1377" t="s">
        <v>1885</v>
      </c>
      <c r="J1377" t="s">
        <v>773</v>
      </c>
      <c r="K1377" t="s">
        <v>1855</v>
      </c>
      <c r="L1377" t="s">
        <v>13</v>
      </c>
      <c r="M1377" t="s">
        <v>12</v>
      </c>
      <c r="N1377" t="s">
        <v>770</v>
      </c>
      <c r="O1377">
        <v>1</v>
      </c>
      <c r="P1377" t="s">
        <v>776</v>
      </c>
      <c r="Q1377">
        <v>19.899999999999999</v>
      </c>
      <c r="R1377">
        <v>3.59</v>
      </c>
      <c r="S1377">
        <v>3</v>
      </c>
      <c r="T1377">
        <v>0.54</v>
      </c>
      <c r="Y1377" t="s">
        <v>6253</v>
      </c>
      <c r="Z1377" t="s">
        <v>1875</v>
      </c>
      <c r="AA1377">
        <v>20096</v>
      </c>
      <c r="AB1377" t="s">
        <v>11</v>
      </c>
    </row>
    <row r="1378" spans="1:35" x14ac:dyDescent="0.25">
      <c r="A1378" t="s">
        <v>6254</v>
      </c>
      <c r="B1378" t="s">
        <v>6254</v>
      </c>
      <c r="C1378" t="s">
        <v>6255</v>
      </c>
      <c r="D1378" t="s">
        <v>6256</v>
      </c>
      <c r="E1378" t="s">
        <v>770</v>
      </c>
      <c r="F1378" t="s">
        <v>771</v>
      </c>
      <c r="G1378" t="s">
        <v>1854</v>
      </c>
      <c r="J1378" t="s">
        <v>783</v>
      </c>
      <c r="K1378" t="s">
        <v>1930</v>
      </c>
      <c r="L1378" t="s">
        <v>775</v>
      </c>
      <c r="M1378" t="s">
        <v>65</v>
      </c>
      <c r="N1378" t="s">
        <v>770</v>
      </c>
      <c r="O1378">
        <v>1</v>
      </c>
      <c r="P1378" t="s">
        <v>776</v>
      </c>
      <c r="Q1378">
        <v>29.9</v>
      </c>
      <c r="R1378">
        <v>5.39</v>
      </c>
      <c r="S1378">
        <v>1.64</v>
      </c>
      <c r="X1378">
        <v>1.64</v>
      </c>
      <c r="Y1378" t="s">
        <v>2391</v>
      </c>
      <c r="Z1378" t="s">
        <v>3649</v>
      </c>
      <c r="AA1378">
        <v>9032</v>
      </c>
      <c r="AB1378" t="s">
        <v>11</v>
      </c>
    </row>
    <row r="1379" spans="1:35" x14ac:dyDescent="0.25">
      <c r="A1379" t="s">
        <v>6257</v>
      </c>
      <c r="B1379" t="s">
        <v>6257</v>
      </c>
      <c r="C1379" t="s">
        <v>6258</v>
      </c>
      <c r="D1379" t="s">
        <v>6259</v>
      </c>
      <c r="E1379" t="s">
        <v>770</v>
      </c>
      <c r="F1379" t="s">
        <v>771</v>
      </c>
      <c r="G1379" t="s">
        <v>1854</v>
      </c>
      <c r="J1379" t="s">
        <v>783</v>
      </c>
      <c r="K1379" t="s">
        <v>1855</v>
      </c>
      <c r="L1379" t="s">
        <v>1856</v>
      </c>
      <c r="M1379" t="s">
        <v>12</v>
      </c>
      <c r="N1379" t="s">
        <v>770</v>
      </c>
      <c r="O1379">
        <v>1</v>
      </c>
      <c r="P1379" t="s">
        <v>776</v>
      </c>
      <c r="Q1379">
        <v>19.899999999999999</v>
      </c>
      <c r="R1379">
        <v>3.59</v>
      </c>
      <c r="Y1379" t="s">
        <v>6260</v>
      </c>
      <c r="Z1379" t="s">
        <v>6261</v>
      </c>
      <c r="AA1379">
        <v>64013</v>
      </c>
      <c r="AB1379" t="s">
        <v>11</v>
      </c>
    </row>
    <row r="1380" spans="1:35" x14ac:dyDescent="0.25">
      <c r="A1380" t="s">
        <v>6262</v>
      </c>
      <c r="B1380" t="s">
        <v>6262</v>
      </c>
      <c r="C1380" t="s">
        <v>6263</v>
      </c>
      <c r="D1380" t="s">
        <v>6264</v>
      </c>
      <c r="E1380" t="s">
        <v>770</v>
      </c>
      <c r="F1380" t="s">
        <v>771</v>
      </c>
      <c r="G1380" t="s">
        <v>1854</v>
      </c>
      <c r="J1380" t="s">
        <v>783</v>
      </c>
      <c r="K1380" t="s">
        <v>1855</v>
      </c>
      <c r="L1380" t="s">
        <v>1856</v>
      </c>
      <c r="M1380" t="s">
        <v>12</v>
      </c>
      <c r="N1380" t="s">
        <v>770</v>
      </c>
      <c r="O1380">
        <v>1</v>
      </c>
      <c r="P1380" t="s">
        <v>776</v>
      </c>
      <c r="Q1380">
        <v>19.899999999999999</v>
      </c>
      <c r="R1380">
        <v>3.59</v>
      </c>
      <c r="Y1380" t="s">
        <v>6265</v>
      </c>
      <c r="Z1380" t="s">
        <v>3126</v>
      </c>
      <c r="AA1380">
        <v>20835</v>
      </c>
      <c r="AB1380" t="s">
        <v>11</v>
      </c>
    </row>
    <row r="1381" spans="1:35" x14ac:dyDescent="0.25">
      <c r="A1381" t="s">
        <v>6266</v>
      </c>
      <c r="C1381" t="s">
        <v>6267</v>
      </c>
      <c r="D1381" t="s">
        <v>6268</v>
      </c>
      <c r="E1381" t="s">
        <v>770</v>
      </c>
      <c r="F1381" t="s">
        <v>1884</v>
      </c>
      <c r="G1381" t="s">
        <v>1854</v>
      </c>
      <c r="H1381" t="s">
        <v>1885</v>
      </c>
      <c r="J1381" t="s">
        <v>773</v>
      </c>
      <c r="K1381" t="s">
        <v>3363</v>
      </c>
      <c r="L1381" s="2">
        <v>40490</v>
      </c>
      <c r="M1381" t="s">
        <v>71</v>
      </c>
      <c r="N1381" t="s">
        <v>770</v>
      </c>
      <c r="O1381">
        <v>4</v>
      </c>
      <c r="P1381" t="s">
        <v>776</v>
      </c>
      <c r="Q1381">
        <v>119.6</v>
      </c>
      <c r="R1381">
        <v>21.56</v>
      </c>
      <c r="S1381">
        <v>12</v>
      </c>
      <c r="T1381">
        <v>2.16</v>
      </c>
      <c r="Y1381" t="s">
        <v>6269</v>
      </c>
      <c r="Z1381" t="s">
        <v>1908</v>
      </c>
      <c r="AA1381">
        <v>80073</v>
      </c>
      <c r="AB1381" t="s">
        <v>11</v>
      </c>
      <c r="AG1381" t="s">
        <v>6270</v>
      </c>
      <c r="AH1381" t="s">
        <v>11</v>
      </c>
      <c r="AI1381" t="s">
        <v>1258</v>
      </c>
    </row>
    <row r="1382" spans="1:35" x14ac:dyDescent="0.25">
      <c r="A1382" t="s">
        <v>6271</v>
      </c>
      <c r="B1382" t="s">
        <v>6271</v>
      </c>
      <c r="C1382" t="s">
        <v>6272</v>
      </c>
      <c r="D1382" t="s">
        <v>6273</v>
      </c>
      <c r="E1382" t="s">
        <v>770</v>
      </c>
      <c r="F1382" t="s">
        <v>771</v>
      </c>
      <c r="G1382" t="s">
        <v>1854</v>
      </c>
      <c r="J1382" t="s">
        <v>783</v>
      </c>
      <c r="K1382" t="s">
        <v>1855</v>
      </c>
      <c r="L1382" t="s">
        <v>1856</v>
      </c>
      <c r="M1382" t="s">
        <v>12</v>
      </c>
      <c r="N1382" t="s">
        <v>770</v>
      </c>
      <c r="O1382">
        <v>1</v>
      </c>
      <c r="P1382" t="s">
        <v>776</v>
      </c>
      <c r="Q1382">
        <v>19.899999999999999</v>
      </c>
      <c r="R1382">
        <v>3.59</v>
      </c>
      <c r="Y1382" t="s">
        <v>6274</v>
      </c>
      <c r="Z1382" t="s">
        <v>1926</v>
      </c>
      <c r="AA1382">
        <v>72</v>
      </c>
      <c r="AB1382" t="s">
        <v>11</v>
      </c>
    </row>
    <row r="1383" spans="1:35" x14ac:dyDescent="0.25">
      <c r="A1383" t="s">
        <v>6275</v>
      </c>
      <c r="B1383" t="s">
        <v>6275</v>
      </c>
      <c r="C1383" t="s">
        <v>6276</v>
      </c>
      <c r="D1383" t="s">
        <v>6277</v>
      </c>
      <c r="E1383" t="s">
        <v>770</v>
      </c>
      <c r="F1383" t="s">
        <v>771</v>
      </c>
      <c r="G1383" t="s">
        <v>1854</v>
      </c>
      <c r="J1383" t="s">
        <v>783</v>
      </c>
      <c r="K1383" t="s">
        <v>2712</v>
      </c>
      <c r="L1383" t="s">
        <v>1800</v>
      </c>
      <c r="M1383" t="s">
        <v>14</v>
      </c>
      <c r="N1383" t="s">
        <v>770</v>
      </c>
      <c r="O1383">
        <v>1</v>
      </c>
      <c r="P1383" t="s">
        <v>776</v>
      </c>
      <c r="Q1383">
        <v>14.9</v>
      </c>
      <c r="R1383">
        <v>2.69</v>
      </c>
      <c r="Y1383" t="s">
        <v>1913</v>
      </c>
      <c r="Z1383" t="s">
        <v>1926</v>
      </c>
      <c r="AA1383">
        <v>175</v>
      </c>
      <c r="AB1383" t="s">
        <v>11</v>
      </c>
    </row>
    <row r="1384" spans="1:35" x14ac:dyDescent="0.25">
      <c r="A1384" t="s">
        <v>6278</v>
      </c>
      <c r="B1384" t="s">
        <v>6278</v>
      </c>
      <c r="C1384" t="s">
        <v>6279</v>
      </c>
      <c r="D1384" t="s">
        <v>6280</v>
      </c>
      <c r="E1384" t="s">
        <v>770</v>
      </c>
      <c r="F1384" t="s">
        <v>771</v>
      </c>
      <c r="G1384" t="s">
        <v>1854</v>
      </c>
      <c r="J1384" t="s">
        <v>783</v>
      </c>
      <c r="K1384" t="s">
        <v>1855</v>
      </c>
      <c r="L1384" t="s">
        <v>1856</v>
      </c>
      <c r="M1384" t="s">
        <v>12</v>
      </c>
      <c r="N1384" t="s">
        <v>770</v>
      </c>
      <c r="O1384">
        <v>1</v>
      </c>
      <c r="P1384" t="s">
        <v>776</v>
      </c>
      <c r="Q1384">
        <v>19.899999999999999</v>
      </c>
      <c r="R1384">
        <v>3.59</v>
      </c>
      <c r="Y1384" t="s">
        <v>4078</v>
      </c>
      <c r="Z1384" t="s">
        <v>2143</v>
      </c>
      <c r="AA1384">
        <v>3043</v>
      </c>
      <c r="AB1384" t="s">
        <v>11</v>
      </c>
    </row>
    <row r="1385" spans="1:35" x14ac:dyDescent="0.25">
      <c r="A1385" t="s">
        <v>6281</v>
      </c>
      <c r="C1385" t="s">
        <v>6282</v>
      </c>
      <c r="D1385" t="s">
        <v>6283</v>
      </c>
      <c r="E1385" t="s">
        <v>770</v>
      </c>
      <c r="F1385" t="s">
        <v>1884</v>
      </c>
      <c r="G1385" t="s">
        <v>1854</v>
      </c>
      <c r="H1385" t="s">
        <v>1885</v>
      </c>
      <c r="J1385" t="s">
        <v>773</v>
      </c>
      <c r="K1385" t="s">
        <v>2252</v>
      </c>
      <c r="L1385" t="s">
        <v>74</v>
      </c>
      <c r="M1385" t="s">
        <v>73</v>
      </c>
      <c r="N1385" t="s">
        <v>770</v>
      </c>
      <c r="O1385">
        <v>1</v>
      </c>
      <c r="P1385" t="s">
        <v>776</v>
      </c>
      <c r="Q1385">
        <v>14.9</v>
      </c>
      <c r="R1385">
        <v>2.69</v>
      </c>
      <c r="S1385">
        <v>3</v>
      </c>
      <c r="T1385">
        <v>0.54</v>
      </c>
      <c r="Y1385" t="s">
        <v>6284</v>
      </c>
      <c r="Z1385" t="s">
        <v>1937</v>
      </c>
      <c r="AA1385">
        <v>24058</v>
      </c>
      <c r="AB1385" t="s">
        <v>11</v>
      </c>
    </row>
    <row r="1386" spans="1:35" x14ac:dyDescent="0.25">
      <c r="A1386" t="s">
        <v>6285</v>
      </c>
      <c r="B1386" t="s">
        <v>6285</v>
      </c>
      <c r="C1386" t="s">
        <v>6286</v>
      </c>
      <c r="D1386" t="s">
        <v>6287</v>
      </c>
      <c r="E1386" t="s">
        <v>770</v>
      </c>
      <c r="F1386" t="s">
        <v>771</v>
      </c>
      <c r="G1386" t="s">
        <v>1854</v>
      </c>
      <c r="J1386" t="s">
        <v>783</v>
      </c>
      <c r="K1386" t="s">
        <v>1930</v>
      </c>
      <c r="L1386" t="s">
        <v>775</v>
      </c>
      <c r="M1386" t="s">
        <v>65</v>
      </c>
      <c r="N1386" t="s">
        <v>770</v>
      </c>
      <c r="O1386">
        <v>1</v>
      </c>
      <c r="P1386" t="s">
        <v>776</v>
      </c>
      <c r="Q1386">
        <v>29.9</v>
      </c>
      <c r="R1386">
        <v>5.39</v>
      </c>
      <c r="Y1386" t="s">
        <v>6288</v>
      </c>
      <c r="Z1386" t="s">
        <v>3608</v>
      </c>
      <c r="AA1386">
        <v>21041</v>
      </c>
      <c r="AB1386" t="s">
        <v>11</v>
      </c>
    </row>
    <row r="1387" spans="1:35" x14ac:dyDescent="0.25">
      <c r="A1387" t="s">
        <v>6289</v>
      </c>
      <c r="C1387" t="s">
        <v>6290</v>
      </c>
      <c r="D1387" t="s">
        <v>6291</v>
      </c>
      <c r="E1387" t="s">
        <v>770</v>
      </c>
      <c r="F1387" t="s">
        <v>1884</v>
      </c>
      <c r="G1387" t="s">
        <v>1854</v>
      </c>
      <c r="H1387" t="s">
        <v>1885</v>
      </c>
      <c r="J1387" t="s">
        <v>773</v>
      </c>
      <c r="K1387" t="s">
        <v>2210</v>
      </c>
      <c r="L1387" t="s">
        <v>64</v>
      </c>
      <c r="M1387" t="s">
        <v>63</v>
      </c>
      <c r="N1387" t="s">
        <v>770</v>
      </c>
      <c r="O1387">
        <v>1</v>
      </c>
      <c r="P1387" t="s">
        <v>776</v>
      </c>
      <c r="Q1387">
        <v>70.900000000000006</v>
      </c>
      <c r="R1387">
        <v>12.79</v>
      </c>
      <c r="S1387">
        <v>3</v>
      </c>
      <c r="T1387">
        <v>0.54</v>
      </c>
      <c r="Y1387" t="s">
        <v>6292</v>
      </c>
      <c r="Z1387" t="s">
        <v>1893</v>
      </c>
      <c r="AA1387">
        <v>10086</v>
      </c>
      <c r="AB1387" t="s">
        <v>11</v>
      </c>
    </row>
    <row r="1388" spans="1:35" x14ac:dyDescent="0.25">
      <c r="A1388" t="s">
        <v>6293</v>
      </c>
      <c r="C1388" t="s">
        <v>6294</v>
      </c>
      <c r="D1388" t="s">
        <v>6295</v>
      </c>
      <c r="E1388" t="s">
        <v>770</v>
      </c>
      <c r="F1388" t="s">
        <v>1884</v>
      </c>
      <c r="G1388" t="s">
        <v>1854</v>
      </c>
      <c r="H1388" t="s">
        <v>1885</v>
      </c>
      <c r="J1388" t="s">
        <v>773</v>
      </c>
      <c r="K1388" t="s">
        <v>2252</v>
      </c>
      <c r="L1388" t="s">
        <v>74</v>
      </c>
      <c r="M1388" t="s">
        <v>73</v>
      </c>
      <c r="N1388" t="s">
        <v>770</v>
      </c>
      <c r="O1388">
        <v>1</v>
      </c>
      <c r="P1388" t="s">
        <v>776</v>
      </c>
      <c r="Q1388">
        <v>14.9</v>
      </c>
      <c r="R1388">
        <v>2.69</v>
      </c>
      <c r="S1388">
        <v>3</v>
      </c>
      <c r="T1388">
        <v>0.54</v>
      </c>
      <c r="Y1388" t="s">
        <v>1875</v>
      </c>
      <c r="Z1388" t="s">
        <v>3031</v>
      </c>
      <c r="AA1388">
        <v>20122</v>
      </c>
      <c r="AB1388" t="s">
        <v>11</v>
      </c>
    </row>
    <row r="1389" spans="1:35" x14ac:dyDescent="0.25">
      <c r="A1389" t="s">
        <v>6296</v>
      </c>
      <c r="C1389" t="s">
        <v>6297</v>
      </c>
      <c r="D1389" t="s">
        <v>6298</v>
      </c>
      <c r="E1389" t="s">
        <v>770</v>
      </c>
      <c r="F1389" t="s">
        <v>1884</v>
      </c>
      <c r="G1389" t="s">
        <v>1854</v>
      </c>
      <c r="H1389" t="s">
        <v>1885</v>
      </c>
      <c r="J1389" t="s">
        <v>773</v>
      </c>
      <c r="K1389" t="s">
        <v>1855</v>
      </c>
      <c r="L1389" t="s">
        <v>13</v>
      </c>
      <c r="M1389" t="s">
        <v>12</v>
      </c>
      <c r="N1389" t="s">
        <v>770</v>
      </c>
      <c r="O1389">
        <v>1</v>
      </c>
      <c r="P1389" t="s">
        <v>776</v>
      </c>
      <c r="Q1389">
        <v>19.899999999999999</v>
      </c>
      <c r="R1389">
        <v>3.59</v>
      </c>
      <c r="S1389">
        <v>3</v>
      </c>
      <c r="T1389">
        <v>0.54</v>
      </c>
      <c r="Y1389" t="s">
        <v>1875</v>
      </c>
      <c r="Z1389" t="s">
        <v>1875</v>
      </c>
      <c r="AA1389">
        <v>20139</v>
      </c>
      <c r="AB1389" t="s">
        <v>11</v>
      </c>
    </row>
    <row r="1390" spans="1:35" x14ac:dyDescent="0.25">
      <c r="A1390" t="s">
        <v>6299</v>
      </c>
      <c r="B1390" t="s">
        <v>6299</v>
      </c>
      <c r="C1390" t="s">
        <v>6300</v>
      </c>
      <c r="D1390" t="s">
        <v>6301</v>
      </c>
      <c r="E1390" t="s">
        <v>770</v>
      </c>
      <c r="F1390" t="s">
        <v>771</v>
      </c>
      <c r="G1390" t="s">
        <v>1854</v>
      </c>
      <c r="J1390" t="s">
        <v>783</v>
      </c>
      <c r="K1390" t="s">
        <v>1862</v>
      </c>
      <c r="L1390" t="s">
        <v>1505</v>
      </c>
      <c r="M1390" t="s">
        <v>53</v>
      </c>
      <c r="N1390" t="s">
        <v>770</v>
      </c>
      <c r="O1390">
        <v>1</v>
      </c>
      <c r="P1390" t="s">
        <v>776</v>
      </c>
      <c r="Q1390">
        <v>32.9</v>
      </c>
      <c r="R1390">
        <v>5.93</v>
      </c>
      <c r="Y1390" t="s">
        <v>3684</v>
      </c>
      <c r="Z1390" t="s">
        <v>2126</v>
      </c>
      <c r="AA1390">
        <v>81031</v>
      </c>
      <c r="AB1390" t="s">
        <v>11</v>
      </c>
    </row>
    <row r="1391" spans="1:35" x14ac:dyDescent="0.25">
      <c r="A1391" t="s">
        <v>6302</v>
      </c>
      <c r="B1391" t="s">
        <v>6302</v>
      </c>
      <c r="C1391" t="s">
        <v>6303</v>
      </c>
      <c r="D1391" t="s">
        <v>6304</v>
      </c>
      <c r="E1391" t="s">
        <v>770</v>
      </c>
      <c r="F1391" t="s">
        <v>771</v>
      </c>
      <c r="G1391" t="s">
        <v>1854</v>
      </c>
      <c r="J1391" t="s">
        <v>783</v>
      </c>
      <c r="K1391" t="s">
        <v>2044</v>
      </c>
      <c r="L1391" t="s">
        <v>1489</v>
      </c>
      <c r="M1391" t="s">
        <v>75</v>
      </c>
      <c r="N1391" t="s">
        <v>770</v>
      </c>
      <c r="O1391">
        <v>1</v>
      </c>
      <c r="P1391" t="s">
        <v>776</v>
      </c>
      <c r="Q1391">
        <v>49.9</v>
      </c>
      <c r="R1391">
        <v>9</v>
      </c>
      <c r="Y1391" t="s">
        <v>6305</v>
      </c>
      <c r="Z1391" t="s">
        <v>1922</v>
      </c>
      <c r="AA1391">
        <v>31046</v>
      </c>
      <c r="AB1391" t="s">
        <v>11</v>
      </c>
    </row>
    <row r="1392" spans="1:35" x14ac:dyDescent="0.25">
      <c r="A1392" t="s">
        <v>6306</v>
      </c>
      <c r="B1392" t="s">
        <v>6306</v>
      </c>
      <c r="C1392" t="s">
        <v>6307</v>
      </c>
      <c r="D1392" t="s">
        <v>6308</v>
      </c>
      <c r="E1392" t="s">
        <v>770</v>
      </c>
      <c r="F1392" t="s">
        <v>771</v>
      </c>
      <c r="G1392" t="s">
        <v>1854</v>
      </c>
      <c r="J1392" t="s">
        <v>783</v>
      </c>
      <c r="K1392" t="s">
        <v>1862</v>
      </c>
      <c r="L1392" t="s">
        <v>1505</v>
      </c>
      <c r="M1392" t="s">
        <v>53</v>
      </c>
      <c r="N1392" t="s">
        <v>770</v>
      </c>
      <c r="O1392">
        <v>1</v>
      </c>
      <c r="P1392" t="s">
        <v>776</v>
      </c>
      <c r="Q1392">
        <v>32.9</v>
      </c>
      <c r="R1392">
        <v>5.93</v>
      </c>
      <c r="Y1392" t="s">
        <v>2342</v>
      </c>
      <c r="Z1392" t="s">
        <v>2343</v>
      </c>
      <c r="AA1392">
        <v>90139</v>
      </c>
      <c r="AB1392" t="s">
        <v>11</v>
      </c>
      <c r="AG1392" t="s">
        <v>6309</v>
      </c>
      <c r="AH1392" t="s">
        <v>11</v>
      </c>
      <c r="AI1392" t="s">
        <v>2459</v>
      </c>
    </row>
    <row r="1393" spans="1:29" x14ac:dyDescent="0.25">
      <c r="A1393" t="s">
        <v>6310</v>
      </c>
      <c r="B1393" t="s">
        <v>6310</v>
      </c>
      <c r="C1393" t="s">
        <v>6311</v>
      </c>
      <c r="D1393" t="s">
        <v>6312</v>
      </c>
      <c r="E1393" t="s">
        <v>770</v>
      </c>
      <c r="F1393" t="s">
        <v>771</v>
      </c>
      <c r="G1393" t="s">
        <v>1854</v>
      </c>
      <c r="J1393" t="s">
        <v>783</v>
      </c>
      <c r="K1393" t="s">
        <v>1862</v>
      </c>
      <c r="L1393" t="s">
        <v>1505</v>
      </c>
      <c r="M1393" t="s">
        <v>53</v>
      </c>
      <c r="N1393" t="s">
        <v>770</v>
      </c>
      <c r="O1393">
        <v>1</v>
      </c>
      <c r="P1393" t="s">
        <v>776</v>
      </c>
      <c r="Q1393">
        <v>32.9</v>
      </c>
      <c r="R1393">
        <v>5.93</v>
      </c>
      <c r="Y1393" t="s">
        <v>6018</v>
      </c>
      <c r="Z1393" t="s">
        <v>1926</v>
      </c>
      <c r="AA1393">
        <v>48</v>
      </c>
      <c r="AB1393" t="s">
        <v>11</v>
      </c>
    </row>
    <row r="1394" spans="1:29" x14ac:dyDescent="0.25">
      <c r="A1394" t="s">
        <v>6313</v>
      </c>
      <c r="C1394" t="s">
        <v>6314</v>
      </c>
      <c r="D1394" t="s">
        <v>6315</v>
      </c>
      <c r="E1394" t="s">
        <v>770</v>
      </c>
      <c r="F1394" t="s">
        <v>1884</v>
      </c>
      <c r="G1394" t="s">
        <v>1854</v>
      </c>
      <c r="H1394" t="s">
        <v>1885</v>
      </c>
      <c r="J1394" t="s">
        <v>773</v>
      </c>
      <c r="K1394" t="s">
        <v>1886</v>
      </c>
      <c r="L1394" t="s">
        <v>18</v>
      </c>
      <c r="M1394" t="s">
        <v>17</v>
      </c>
      <c r="N1394" t="s">
        <v>770</v>
      </c>
      <c r="O1394">
        <v>1</v>
      </c>
      <c r="P1394" t="s">
        <v>776</v>
      </c>
      <c r="Q1394">
        <v>22.9</v>
      </c>
      <c r="R1394">
        <v>4.13</v>
      </c>
      <c r="S1394">
        <v>3</v>
      </c>
      <c r="T1394">
        <v>0.54</v>
      </c>
      <c r="Y1394" t="s">
        <v>6316</v>
      </c>
      <c r="Z1394" t="s">
        <v>2433</v>
      </c>
      <c r="AA1394">
        <v>37024</v>
      </c>
      <c r="AB1394" t="s">
        <v>11</v>
      </c>
    </row>
    <row r="1395" spans="1:29" x14ac:dyDescent="0.25">
      <c r="A1395" t="s">
        <v>6317</v>
      </c>
      <c r="B1395" t="s">
        <v>6317</v>
      </c>
      <c r="C1395" t="s">
        <v>6318</v>
      </c>
      <c r="D1395" t="s">
        <v>6319</v>
      </c>
      <c r="E1395" t="s">
        <v>770</v>
      </c>
      <c r="F1395" t="s">
        <v>771</v>
      </c>
      <c r="G1395" t="s">
        <v>1854</v>
      </c>
      <c r="I1395" t="s">
        <v>2692</v>
      </c>
      <c r="J1395" t="s">
        <v>783</v>
      </c>
      <c r="K1395" t="s">
        <v>2712</v>
      </c>
      <c r="L1395" t="s">
        <v>1800</v>
      </c>
      <c r="M1395" t="s">
        <v>14</v>
      </c>
      <c r="N1395" t="s">
        <v>770</v>
      </c>
      <c r="O1395">
        <v>1</v>
      </c>
      <c r="P1395" t="s">
        <v>776</v>
      </c>
      <c r="Q1395">
        <v>14.9</v>
      </c>
      <c r="R1395">
        <v>2.69</v>
      </c>
      <c r="Y1395" t="s">
        <v>3817</v>
      </c>
      <c r="Z1395" t="s">
        <v>3818</v>
      </c>
      <c r="AA1395">
        <v>2032</v>
      </c>
      <c r="AB1395" t="s">
        <v>11</v>
      </c>
    </row>
    <row r="1396" spans="1:29" x14ac:dyDescent="0.25">
      <c r="A1396" t="s">
        <v>6320</v>
      </c>
      <c r="B1396" t="s">
        <v>6320</v>
      </c>
      <c r="C1396" t="s">
        <v>6321</v>
      </c>
      <c r="D1396" t="s">
        <v>6322</v>
      </c>
      <c r="E1396" t="s">
        <v>770</v>
      </c>
      <c r="F1396" t="s">
        <v>771</v>
      </c>
      <c r="G1396" t="s">
        <v>1854</v>
      </c>
      <c r="J1396" t="s">
        <v>783</v>
      </c>
      <c r="K1396" t="s">
        <v>1862</v>
      </c>
      <c r="L1396" t="s">
        <v>1505</v>
      </c>
      <c r="M1396" t="s">
        <v>53</v>
      </c>
      <c r="N1396" t="s">
        <v>770</v>
      </c>
      <c r="O1396">
        <v>1</v>
      </c>
      <c r="P1396" t="s">
        <v>776</v>
      </c>
      <c r="Q1396">
        <v>32.9</v>
      </c>
      <c r="R1396">
        <v>5.93</v>
      </c>
      <c r="Y1396" t="s">
        <v>2134</v>
      </c>
      <c r="Z1396" t="s">
        <v>1926</v>
      </c>
      <c r="AA1396">
        <v>179</v>
      </c>
      <c r="AB1396" t="s">
        <v>11</v>
      </c>
    </row>
    <row r="1397" spans="1:29" x14ac:dyDescent="0.25">
      <c r="A1397" t="s">
        <v>6323</v>
      </c>
      <c r="C1397" t="s">
        <v>6324</v>
      </c>
      <c r="D1397" t="s">
        <v>6325</v>
      </c>
      <c r="E1397" t="s">
        <v>770</v>
      </c>
      <c r="F1397" t="s">
        <v>1884</v>
      </c>
      <c r="G1397" t="s">
        <v>1854</v>
      </c>
      <c r="H1397" t="s">
        <v>1885</v>
      </c>
      <c r="J1397" t="s">
        <v>773</v>
      </c>
      <c r="K1397" t="s">
        <v>1855</v>
      </c>
      <c r="L1397" t="s">
        <v>13</v>
      </c>
      <c r="M1397" t="s">
        <v>12</v>
      </c>
      <c r="N1397" t="s">
        <v>770</v>
      </c>
      <c r="O1397">
        <v>1</v>
      </c>
      <c r="P1397" t="s">
        <v>776</v>
      </c>
      <c r="Q1397">
        <v>19.899999999999999</v>
      </c>
      <c r="R1397">
        <v>3.59</v>
      </c>
      <c r="S1397">
        <v>3</v>
      </c>
      <c r="T1397">
        <v>0.54</v>
      </c>
      <c r="Y1397" t="s">
        <v>6326</v>
      </c>
      <c r="Z1397" t="s">
        <v>1937</v>
      </c>
      <c r="AA1397">
        <v>24020</v>
      </c>
      <c r="AB1397" t="s">
        <v>11</v>
      </c>
    </row>
    <row r="1398" spans="1:29" x14ac:dyDescent="0.25">
      <c r="A1398" t="s">
        <v>6327</v>
      </c>
      <c r="B1398" t="s">
        <v>6327</v>
      </c>
      <c r="C1398" t="s">
        <v>6328</v>
      </c>
      <c r="D1398" t="s">
        <v>6329</v>
      </c>
      <c r="E1398" t="s">
        <v>770</v>
      </c>
      <c r="F1398" t="s">
        <v>771</v>
      </c>
      <c r="G1398" t="s">
        <v>1854</v>
      </c>
      <c r="J1398" t="s">
        <v>783</v>
      </c>
      <c r="K1398" t="s">
        <v>1873</v>
      </c>
      <c r="L1398" t="s">
        <v>840</v>
      </c>
      <c r="M1398" t="s">
        <v>26</v>
      </c>
      <c r="N1398" t="s">
        <v>770</v>
      </c>
      <c r="O1398">
        <v>2</v>
      </c>
      <c r="P1398" t="s">
        <v>776</v>
      </c>
      <c r="Q1398">
        <v>69.8</v>
      </c>
      <c r="R1398">
        <v>12.58</v>
      </c>
      <c r="S1398">
        <v>0.49</v>
      </c>
      <c r="X1398">
        <v>0.49</v>
      </c>
      <c r="Y1398" t="s">
        <v>6330</v>
      </c>
      <c r="Z1398" t="s">
        <v>2930</v>
      </c>
      <c r="AA1398">
        <v>39046</v>
      </c>
      <c r="AB1398" t="s">
        <v>11</v>
      </c>
    </row>
    <row r="1399" spans="1:29" x14ac:dyDescent="0.25">
      <c r="A1399" t="s">
        <v>6331</v>
      </c>
      <c r="B1399" t="s">
        <v>6331</v>
      </c>
      <c r="C1399" t="s">
        <v>6332</v>
      </c>
      <c r="D1399" t="s">
        <v>6333</v>
      </c>
      <c r="E1399" t="s">
        <v>770</v>
      </c>
      <c r="F1399" t="s">
        <v>771</v>
      </c>
      <c r="G1399" t="s">
        <v>1854</v>
      </c>
      <c r="J1399" t="s">
        <v>783</v>
      </c>
      <c r="K1399" t="s">
        <v>1930</v>
      </c>
      <c r="L1399" t="s">
        <v>775</v>
      </c>
      <c r="M1399" t="s">
        <v>65</v>
      </c>
      <c r="N1399" t="s">
        <v>770</v>
      </c>
      <c r="O1399">
        <v>1</v>
      </c>
      <c r="P1399" t="s">
        <v>776</v>
      </c>
      <c r="Q1399">
        <v>29.9</v>
      </c>
      <c r="R1399">
        <v>5.39</v>
      </c>
      <c r="Y1399" t="s">
        <v>6334</v>
      </c>
      <c r="Z1399" t="s">
        <v>2143</v>
      </c>
      <c r="AA1399">
        <v>3013</v>
      </c>
      <c r="AB1399" t="s">
        <v>11</v>
      </c>
    </row>
    <row r="1400" spans="1:29" x14ac:dyDescent="0.25">
      <c r="A1400" t="s">
        <v>6335</v>
      </c>
      <c r="B1400" t="s">
        <v>6335</v>
      </c>
      <c r="C1400" t="s">
        <v>6336</v>
      </c>
      <c r="D1400" t="s">
        <v>6337</v>
      </c>
      <c r="E1400" t="s">
        <v>770</v>
      </c>
      <c r="F1400" t="s">
        <v>771</v>
      </c>
      <c r="G1400" t="s">
        <v>1854</v>
      </c>
      <c r="J1400" t="s">
        <v>783</v>
      </c>
      <c r="K1400" t="s">
        <v>2162</v>
      </c>
      <c r="L1400" t="s">
        <v>2163</v>
      </c>
      <c r="M1400" t="s">
        <v>59</v>
      </c>
      <c r="N1400" t="s">
        <v>770</v>
      </c>
      <c r="O1400">
        <v>1</v>
      </c>
      <c r="P1400" t="s">
        <v>776</v>
      </c>
      <c r="Q1400">
        <v>29.9</v>
      </c>
      <c r="R1400">
        <v>5.39</v>
      </c>
      <c r="Y1400" t="s">
        <v>1913</v>
      </c>
      <c r="Z1400" t="s">
        <v>6338</v>
      </c>
      <c r="AA1400">
        <v>162</v>
      </c>
      <c r="AB1400" t="s">
        <v>11</v>
      </c>
    </row>
    <row r="1401" spans="1:29" x14ac:dyDescent="0.25">
      <c r="A1401" t="s">
        <v>6339</v>
      </c>
      <c r="B1401" t="s">
        <v>6339</v>
      </c>
      <c r="C1401" t="s">
        <v>6340</v>
      </c>
      <c r="D1401" t="s">
        <v>6341</v>
      </c>
      <c r="E1401" t="s">
        <v>782</v>
      </c>
      <c r="F1401" t="s">
        <v>771</v>
      </c>
      <c r="G1401" t="s">
        <v>1854</v>
      </c>
      <c r="I1401" t="s">
        <v>2692</v>
      </c>
      <c r="J1401" t="s">
        <v>783</v>
      </c>
      <c r="K1401" t="s">
        <v>2712</v>
      </c>
      <c r="L1401" t="s">
        <v>1800</v>
      </c>
      <c r="M1401" t="s">
        <v>14</v>
      </c>
      <c r="N1401" t="s">
        <v>782</v>
      </c>
      <c r="O1401">
        <v>0</v>
      </c>
      <c r="Y1401" t="s">
        <v>1875</v>
      </c>
      <c r="AA1401">
        <v>20124</v>
      </c>
      <c r="AB1401" t="s">
        <v>11</v>
      </c>
    </row>
    <row r="1402" spans="1:29" x14ac:dyDescent="0.25">
      <c r="A1402" t="s">
        <v>6342</v>
      </c>
      <c r="C1402" t="s">
        <v>6343</v>
      </c>
      <c r="D1402" t="s">
        <v>6291</v>
      </c>
      <c r="E1402" t="s">
        <v>770</v>
      </c>
      <c r="F1402" t="s">
        <v>1884</v>
      </c>
      <c r="G1402" t="s">
        <v>1854</v>
      </c>
      <c r="H1402" t="s">
        <v>1885</v>
      </c>
      <c r="J1402" t="s">
        <v>773</v>
      </c>
      <c r="K1402" t="s">
        <v>2396</v>
      </c>
      <c r="L1402" t="s">
        <v>89</v>
      </c>
      <c r="M1402" t="s">
        <v>88</v>
      </c>
      <c r="N1402" t="s">
        <v>770</v>
      </c>
      <c r="O1402">
        <v>1</v>
      </c>
      <c r="P1402" t="s">
        <v>776</v>
      </c>
      <c r="Q1402">
        <v>59.9</v>
      </c>
      <c r="R1402">
        <v>10.8</v>
      </c>
      <c r="S1402">
        <v>3</v>
      </c>
      <c r="T1402">
        <v>0.54</v>
      </c>
      <c r="Y1402" t="s">
        <v>6344</v>
      </c>
      <c r="Z1402" t="s">
        <v>2051</v>
      </c>
      <c r="AA1402">
        <v>95031</v>
      </c>
      <c r="AB1402" t="s">
        <v>11</v>
      </c>
    </row>
    <row r="1403" spans="1:29" x14ac:dyDescent="0.25">
      <c r="A1403" t="s">
        <v>6345</v>
      </c>
      <c r="B1403" t="s">
        <v>6345</v>
      </c>
      <c r="C1403" t="s">
        <v>6346</v>
      </c>
      <c r="D1403" t="s">
        <v>6347</v>
      </c>
      <c r="E1403" t="s">
        <v>770</v>
      </c>
      <c r="F1403" t="s">
        <v>771</v>
      </c>
      <c r="G1403" t="s">
        <v>1854</v>
      </c>
      <c r="J1403" t="s">
        <v>783</v>
      </c>
      <c r="K1403" t="s">
        <v>1960</v>
      </c>
      <c r="L1403" t="s">
        <v>1047</v>
      </c>
      <c r="M1403" t="s">
        <v>21</v>
      </c>
      <c r="N1403" t="s">
        <v>770</v>
      </c>
      <c r="O1403">
        <v>1</v>
      </c>
      <c r="P1403" t="s">
        <v>776</v>
      </c>
      <c r="Q1403">
        <v>29.9</v>
      </c>
      <c r="R1403">
        <v>5.39</v>
      </c>
      <c r="Y1403" t="s">
        <v>6348</v>
      </c>
      <c r="Z1403" t="s">
        <v>1864</v>
      </c>
      <c r="AA1403">
        <v>20073</v>
      </c>
      <c r="AB1403" t="s">
        <v>11</v>
      </c>
    </row>
    <row r="1404" spans="1:29" x14ac:dyDescent="0.25">
      <c r="A1404" t="s">
        <v>6349</v>
      </c>
      <c r="B1404" t="s">
        <v>6349</v>
      </c>
      <c r="C1404" t="s">
        <v>6350</v>
      </c>
      <c r="D1404" t="s">
        <v>6351</v>
      </c>
      <c r="E1404" t="s">
        <v>770</v>
      </c>
      <c r="F1404" t="s">
        <v>771</v>
      </c>
      <c r="G1404" t="s">
        <v>1854</v>
      </c>
      <c r="J1404" t="s">
        <v>783</v>
      </c>
      <c r="K1404" t="s">
        <v>1960</v>
      </c>
      <c r="L1404" t="s">
        <v>1047</v>
      </c>
      <c r="M1404" t="s">
        <v>21</v>
      </c>
      <c r="N1404" t="s">
        <v>770</v>
      </c>
      <c r="O1404">
        <v>1</v>
      </c>
      <c r="P1404" t="s">
        <v>776</v>
      </c>
      <c r="Q1404">
        <v>29.9</v>
      </c>
      <c r="R1404">
        <v>5.39</v>
      </c>
      <c r="Y1404" t="s">
        <v>2533</v>
      </c>
      <c r="Z1404" t="s">
        <v>3645</v>
      </c>
      <c r="AA1404">
        <v>35143</v>
      </c>
      <c r="AB1404" t="s">
        <v>11</v>
      </c>
    </row>
    <row r="1405" spans="1:29" x14ac:dyDescent="0.25">
      <c r="A1405" t="s">
        <v>6352</v>
      </c>
      <c r="B1405" t="s">
        <v>6352</v>
      </c>
      <c r="C1405" t="s">
        <v>6353</v>
      </c>
      <c r="D1405" t="s">
        <v>6354</v>
      </c>
      <c r="E1405" t="s">
        <v>770</v>
      </c>
      <c r="F1405" t="s">
        <v>771</v>
      </c>
      <c r="G1405" t="s">
        <v>1854</v>
      </c>
      <c r="J1405" t="s">
        <v>783</v>
      </c>
      <c r="K1405" t="s">
        <v>1930</v>
      </c>
      <c r="L1405" t="s">
        <v>775</v>
      </c>
      <c r="M1405" t="s">
        <v>65</v>
      </c>
      <c r="N1405" t="s">
        <v>770</v>
      </c>
      <c r="O1405">
        <v>1</v>
      </c>
      <c r="P1405" t="s">
        <v>776</v>
      </c>
      <c r="Q1405">
        <v>29.9</v>
      </c>
      <c r="R1405">
        <v>5.39</v>
      </c>
      <c r="Y1405" t="s">
        <v>6355</v>
      </c>
      <c r="Z1405" t="s">
        <v>3500</v>
      </c>
      <c r="AA1405">
        <v>4019</v>
      </c>
      <c r="AB1405" t="s">
        <v>11</v>
      </c>
    </row>
    <row r="1406" spans="1:29" x14ac:dyDescent="0.25">
      <c r="A1406" t="s">
        <v>6356</v>
      </c>
      <c r="B1406" t="s">
        <v>6356</v>
      </c>
      <c r="C1406" t="s">
        <v>6357</v>
      </c>
      <c r="D1406" t="s">
        <v>6358</v>
      </c>
      <c r="E1406" t="s">
        <v>770</v>
      </c>
      <c r="F1406" t="s">
        <v>771</v>
      </c>
      <c r="G1406" t="s">
        <v>1854</v>
      </c>
      <c r="J1406" t="s">
        <v>783</v>
      </c>
      <c r="K1406" t="s">
        <v>1930</v>
      </c>
      <c r="L1406" t="s">
        <v>775</v>
      </c>
      <c r="M1406" t="s">
        <v>65</v>
      </c>
      <c r="N1406" t="s">
        <v>770</v>
      </c>
      <c r="O1406">
        <v>1</v>
      </c>
      <c r="P1406" t="s">
        <v>776</v>
      </c>
      <c r="Q1406">
        <v>29.9</v>
      </c>
      <c r="R1406">
        <v>5.39</v>
      </c>
      <c r="Y1406" t="s">
        <v>3125</v>
      </c>
      <c r="Z1406" t="s">
        <v>2675</v>
      </c>
      <c r="AA1406">
        <v>20851</v>
      </c>
      <c r="AB1406" t="s">
        <v>11</v>
      </c>
    </row>
    <row r="1407" spans="1:29" x14ac:dyDescent="0.25">
      <c r="A1407" t="s">
        <v>6359</v>
      </c>
      <c r="B1407" t="s">
        <v>6359</v>
      </c>
      <c r="C1407" t="s">
        <v>6360</v>
      </c>
      <c r="D1407" t="s">
        <v>6361</v>
      </c>
      <c r="E1407" t="s">
        <v>770</v>
      </c>
      <c r="F1407" t="s">
        <v>771</v>
      </c>
      <c r="G1407" t="s">
        <v>1854</v>
      </c>
      <c r="I1407" t="s">
        <v>2692</v>
      </c>
      <c r="J1407" t="s">
        <v>773</v>
      </c>
      <c r="K1407" t="s">
        <v>2424</v>
      </c>
      <c r="L1407" t="s">
        <v>2425</v>
      </c>
      <c r="M1407" t="s">
        <v>86</v>
      </c>
      <c r="N1407" t="s">
        <v>770</v>
      </c>
      <c r="O1407">
        <v>1</v>
      </c>
      <c r="P1407" t="s">
        <v>776</v>
      </c>
      <c r="Q1407">
        <v>39.9</v>
      </c>
      <c r="R1407">
        <v>7.2</v>
      </c>
      <c r="Y1407" t="s">
        <v>2693</v>
      </c>
      <c r="Z1407" t="s">
        <v>2148</v>
      </c>
      <c r="AA1407">
        <v>45020</v>
      </c>
      <c r="AB1407" t="s">
        <v>11</v>
      </c>
      <c r="AC1407" t="s">
        <v>4754</v>
      </c>
    </row>
    <row r="1408" spans="1:29" x14ac:dyDescent="0.25">
      <c r="A1408" t="s">
        <v>6362</v>
      </c>
      <c r="B1408" t="s">
        <v>6362</v>
      </c>
      <c r="C1408" t="s">
        <v>6363</v>
      </c>
      <c r="D1408" t="s">
        <v>6364</v>
      </c>
      <c r="E1408" t="s">
        <v>770</v>
      </c>
      <c r="F1408" t="s">
        <v>771</v>
      </c>
      <c r="G1408" t="s">
        <v>1854</v>
      </c>
      <c r="J1408" t="s">
        <v>783</v>
      </c>
      <c r="K1408" t="s">
        <v>1862</v>
      </c>
      <c r="L1408" t="s">
        <v>1505</v>
      </c>
      <c r="M1408" t="s">
        <v>53</v>
      </c>
      <c r="N1408" t="s">
        <v>770</v>
      </c>
      <c r="O1408">
        <v>1</v>
      </c>
      <c r="P1408" t="s">
        <v>776</v>
      </c>
      <c r="Q1408">
        <v>32.9</v>
      </c>
      <c r="R1408">
        <v>5.93</v>
      </c>
      <c r="S1408">
        <v>1.63</v>
      </c>
      <c r="X1408">
        <v>1.63</v>
      </c>
      <c r="Y1408" t="s">
        <v>2051</v>
      </c>
      <c r="Z1408" t="s">
        <v>4393</v>
      </c>
      <c r="AA1408">
        <v>95124</v>
      </c>
      <c r="AB1408" t="s">
        <v>11</v>
      </c>
    </row>
    <row r="1409" spans="1:35" x14ac:dyDescent="0.25">
      <c r="A1409" t="s">
        <v>6365</v>
      </c>
      <c r="C1409" t="s">
        <v>6366</v>
      </c>
      <c r="D1409" t="s">
        <v>6367</v>
      </c>
      <c r="E1409" t="s">
        <v>770</v>
      </c>
      <c r="F1409" t="s">
        <v>1884</v>
      </c>
      <c r="G1409" t="s">
        <v>1854</v>
      </c>
      <c r="H1409" t="s">
        <v>1885</v>
      </c>
      <c r="J1409" t="s">
        <v>773</v>
      </c>
      <c r="K1409" t="s">
        <v>1855</v>
      </c>
      <c r="L1409" t="s">
        <v>13</v>
      </c>
      <c r="M1409" t="s">
        <v>12</v>
      </c>
      <c r="N1409" t="s">
        <v>770</v>
      </c>
      <c r="O1409">
        <v>1</v>
      </c>
      <c r="P1409" t="s">
        <v>776</v>
      </c>
      <c r="Q1409">
        <v>19.899999999999999</v>
      </c>
      <c r="R1409">
        <v>3.59</v>
      </c>
      <c r="S1409">
        <v>3</v>
      </c>
      <c r="T1409">
        <v>0.54</v>
      </c>
      <c r="Y1409" t="s">
        <v>6368</v>
      </c>
      <c r="Z1409" t="s">
        <v>1997</v>
      </c>
      <c r="AA1409">
        <v>50018</v>
      </c>
      <c r="AB1409" t="s">
        <v>11</v>
      </c>
    </row>
    <row r="1410" spans="1:35" x14ac:dyDescent="0.25">
      <c r="A1410" t="s">
        <v>6369</v>
      </c>
      <c r="C1410" t="s">
        <v>6370</v>
      </c>
      <c r="D1410" t="s">
        <v>6371</v>
      </c>
      <c r="E1410" t="s">
        <v>770</v>
      </c>
      <c r="F1410" t="s">
        <v>1884</v>
      </c>
      <c r="G1410" t="s">
        <v>1854</v>
      </c>
      <c r="H1410" t="s">
        <v>1885</v>
      </c>
      <c r="J1410" t="s">
        <v>773</v>
      </c>
      <c r="K1410" t="s">
        <v>2913</v>
      </c>
      <c r="L1410" t="s">
        <v>99</v>
      </c>
      <c r="M1410" t="s">
        <v>98</v>
      </c>
      <c r="N1410" t="s">
        <v>770</v>
      </c>
      <c r="O1410">
        <v>1</v>
      </c>
      <c r="P1410" t="s">
        <v>776</v>
      </c>
      <c r="Q1410">
        <v>29.9</v>
      </c>
      <c r="R1410">
        <v>5.39</v>
      </c>
      <c r="S1410">
        <v>3</v>
      </c>
      <c r="T1410">
        <v>0.54</v>
      </c>
      <c r="Y1410" t="s">
        <v>3453</v>
      </c>
      <c r="Z1410" t="s">
        <v>3453</v>
      </c>
      <c r="AA1410">
        <v>33100</v>
      </c>
      <c r="AB1410" t="s">
        <v>11</v>
      </c>
    </row>
    <row r="1411" spans="1:35" x14ac:dyDescent="0.25">
      <c r="A1411" t="s">
        <v>6372</v>
      </c>
      <c r="C1411" t="s">
        <v>6373</v>
      </c>
      <c r="D1411" t="s">
        <v>6374</v>
      </c>
      <c r="E1411" t="s">
        <v>770</v>
      </c>
      <c r="F1411" t="s">
        <v>1884</v>
      </c>
      <c r="G1411" t="s">
        <v>1854</v>
      </c>
      <c r="H1411" t="s">
        <v>1885</v>
      </c>
      <c r="J1411" t="s">
        <v>773</v>
      </c>
      <c r="K1411" t="s">
        <v>1855</v>
      </c>
      <c r="L1411" t="s">
        <v>13</v>
      </c>
      <c r="M1411" t="s">
        <v>12</v>
      </c>
      <c r="N1411" t="s">
        <v>770</v>
      </c>
      <c r="O1411">
        <v>1</v>
      </c>
      <c r="P1411" t="s">
        <v>776</v>
      </c>
      <c r="Q1411">
        <v>19.899999999999999</v>
      </c>
      <c r="R1411">
        <v>3.59</v>
      </c>
      <c r="S1411">
        <v>3</v>
      </c>
      <c r="T1411">
        <v>0.54</v>
      </c>
      <c r="Y1411" t="s">
        <v>6375</v>
      </c>
      <c r="Z1411" t="s">
        <v>6376</v>
      </c>
      <c r="AA1411">
        <v>8038</v>
      </c>
      <c r="AB1411" t="s">
        <v>11</v>
      </c>
    </row>
    <row r="1412" spans="1:35" x14ac:dyDescent="0.25">
      <c r="A1412" t="s">
        <v>6377</v>
      </c>
      <c r="C1412" t="s">
        <v>6378</v>
      </c>
      <c r="D1412" t="s">
        <v>6379</v>
      </c>
      <c r="E1412" t="s">
        <v>770</v>
      </c>
      <c r="F1412" t="s">
        <v>1884</v>
      </c>
      <c r="G1412" t="s">
        <v>1854</v>
      </c>
      <c r="H1412" t="s">
        <v>1885</v>
      </c>
      <c r="J1412" t="s">
        <v>773</v>
      </c>
      <c r="K1412" t="s">
        <v>2652</v>
      </c>
      <c r="L1412" t="s">
        <v>52</v>
      </c>
      <c r="M1412" t="s">
        <v>51</v>
      </c>
      <c r="N1412" t="s">
        <v>770</v>
      </c>
      <c r="O1412">
        <v>1</v>
      </c>
      <c r="P1412" t="s">
        <v>776</v>
      </c>
      <c r="Q1412">
        <v>24.9</v>
      </c>
      <c r="R1412">
        <v>4.49</v>
      </c>
      <c r="S1412">
        <v>3</v>
      </c>
      <c r="T1412">
        <v>0.54</v>
      </c>
      <c r="Y1412" t="s">
        <v>6380</v>
      </c>
      <c r="Z1412" t="s">
        <v>2075</v>
      </c>
      <c r="AA1412">
        <v>22070</v>
      </c>
      <c r="AB1412" t="s">
        <v>11</v>
      </c>
    </row>
    <row r="1413" spans="1:35" x14ac:dyDescent="0.25">
      <c r="A1413" t="s">
        <v>6381</v>
      </c>
      <c r="B1413" t="s">
        <v>6381</v>
      </c>
      <c r="C1413" t="s">
        <v>6382</v>
      </c>
      <c r="D1413" t="s">
        <v>6383</v>
      </c>
      <c r="E1413" t="s">
        <v>770</v>
      </c>
      <c r="F1413" t="s">
        <v>771</v>
      </c>
      <c r="G1413" t="s">
        <v>1854</v>
      </c>
      <c r="J1413" t="s">
        <v>783</v>
      </c>
      <c r="K1413" t="s">
        <v>1862</v>
      </c>
      <c r="L1413" t="s">
        <v>1505</v>
      </c>
      <c r="M1413" t="s">
        <v>53</v>
      </c>
      <c r="N1413" t="s">
        <v>770</v>
      </c>
      <c r="O1413">
        <v>1</v>
      </c>
      <c r="P1413" t="s">
        <v>776</v>
      </c>
      <c r="Q1413">
        <v>32.9</v>
      </c>
      <c r="R1413">
        <v>5.93</v>
      </c>
      <c r="Y1413" t="s">
        <v>1913</v>
      </c>
      <c r="Z1413" t="s">
        <v>1913</v>
      </c>
      <c r="AA1413">
        <v>156</v>
      </c>
      <c r="AB1413" t="s">
        <v>11</v>
      </c>
    </row>
    <row r="1414" spans="1:35" x14ac:dyDescent="0.25">
      <c r="A1414" t="s">
        <v>6384</v>
      </c>
      <c r="B1414" t="s">
        <v>6384</v>
      </c>
      <c r="C1414" t="s">
        <v>6385</v>
      </c>
      <c r="D1414" t="s">
        <v>6386</v>
      </c>
      <c r="E1414" t="s">
        <v>770</v>
      </c>
      <c r="F1414" t="s">
        <v>771</v>
      </c>
      <c r="G1414" t="s">
        <v>1854</v>
      </c>
      <c r="J1414" t="s">
        <v>783</v>
      </c>
      <c r="K1414" t="s">
        <v>1930</v>
      </c>
      <c r="L1414" t="s">
        <v>775</v>
      </c>
      <c r="M1414" t="s">
        <v>65</v>
      </c>
      <c r="N1414" t="s">
        <v>770</v>
      </c>
      <c r="O1414">
        <v>1</v>
      </c>
      <c r="P1414" t="s">
        <v>776</v>
      </c>
      <c r="Q1414">
        <v>29.9</v>
      </c>
      <c r="R1414">
        <v>5.39</v>
      </c>
      <c r="Y1414" t="s">
        <v>6387</v>
      </c>
      <c r="Z1414" t="s">
        <v>3964</v>
      </c>
      <c r="AA1414">
        <v>28868</v>
      </c>
      <c r="AB1414" t="s">
        <v>11</v>
      </c>
    </row>
    <row r="1415" spans="1:35" x14ac:dyDescent="0.25">
      <c r="A1415" t="s">
        <v>6388</v>
      </c>
      <c r="C1415" t="s">
        <v>6389</v>
      </c>
      <c r="D1415" t="s">
        <v>6390</v>
      </c>
      <c r="E1415" t="s">
        <v>770</v>
      </c>
      <c r="F1415" t="s">
        <v>1884</v>
      </c>
      <c r="G1415" t="s">
        <v>1854</v>
      </c>
      <c r="H1415" t="s">
        <v>1885</v>
      </c>
      <c r="J1415" t="s">
        <v>773</v>
      </c>
      <c r="K1415" t="s">
        <v>1855</v>
      </c>
      <c r="L1415" t="s">
        <v>13</v>
      </c>
      <c r="M1415" t="s">
        <v>12</v>
      </c>
      <c r="N1415" t="s">
        <v>770</v>
      </c>
      <c r="O1415">
        <v>1</v>
      </c>
      <c r="P1415" t="s">
        <v>776</v>
      </c>
      <c r="Q1415">
        <v>19.899999999999999</v>
      </c>
      <c r="R1415">
        <v>3.59</v>
      </c>
      <c r="S1415">
        <v>3</v>
      </c>
      <c r="T1415">
        <v>0.54</v>
      </c>
      <c r="Y1415" t="s">
        <v>6391</v>
      </c>
      <c r="Z1415" t="s">
        <v>3287</v>
      </c>
      <c r="AA1415">
        <v>23826</v>
      </c>
      <c r="AB1415" t="s">
        <v>11</v>
      </c>
    </row>
    <row r="1416" spans="1:35" x14ac:dyDescent="0.25">
      <c r="A1416" t="s">
        <v>6392</v>
      </c>
      <c r="C1416" t="s">
        <v>6393</v>
      </c>
      <c r="D1416" t="s">
        <v>6394</v>
      </c>
      <c r="E1416" t="s">
        <v>770</v>
      </c>
      <c r="F1416" t="s">
        <v>1884</v>
      </c>
      <c r="G1416" t="s">
        <v>1854</v>
      </c>
      <c r="H1416" t="s">
        <v>1885</v>
      </c>
      <c r="J1416" t="s">
        <v>773</v>
      </c>
      <c r="K1416" t="s">
        <v>1886</v>
      </c>
      <c r="L1416" t="s">
        <v>18</v>
      </c>
      <c r="M1416" t="s">
        <v>17</v>
      </c>
      <c r="N1416" t="s">
        <v>770</v>
      </c>
      <c r="O1416">
        <v>1</v>
      </c>
      <c r="P1416" t="s">
        <v>776</v>
      </c>
      <c r="Q1416">
        <v>22.9</v>
      </c>
      <c r="R1416">
        <v>4.13</v>
      </c>
      <c r="S1416">
        <v>3</v>
      </c>
      <c r="T1416">
        <v>0.54</v>
      </c>
      <c r="Y1416" t="s">
        <v>6395</v>
      </c>
      <c r="Z1416" t="s">
        <v>3453</v>
      </c>
      <c r="AA1416">
        <v>33010</v>
      </c>
      <c r="AB1416" t="s">
        <v>11</v>
      </c>
      <c r="AG1416">
        <v>2800690303</v>
      </c>
      <c r="AH1416" t="s">
        <v>11</v>
      </c>
      <c r="AI1416" t="s">
        <v>1258</v>
      </c>
    </row>
    <row r="1417" spans="1:35" x14ac:dyDescent="0.25">
      <c r="A1417" t="s">
        <v>6396</v>
      </c>
      <c r="C1417" t="s">
        <v>6397</v>
      </c>
      <c r="D1417" t="s">
        <v>6398</v>
      </c>
      <c r="E1417" t="s">
        <v>770</v>
      </c>
      <c r="F1417" t="s">
        <v>1884</v>
      </c>
      <c r="G1417" t="s">
        <v>1854</v>
      </c>
      <c r="H1417" t="s">
        <v>1885</v>
      </c>
      <c r="J1417" t="s">
        <v>773</v>
      </c>
      <c r="K1417" t="s">
        <v>2889</v>
      </c>
      <c r="L1417" t="s">
        <v>135</v>
      </c>
      <c r="M1417" t="s">
        <v>134</v>
      </c>
      <c r="N1417" t="s">
        <v>770</v>
      </c>
      <c r="O1417">
        <v>1</v>
      </c>
      <c r="P1417" t="s">
        <v>776</v>
      </c>
      <c r="Q1417">
        <v>59.9</v>
      </c>
      <c r="R1417">
        <v>10.8</v>
      </c>
      <c r="S1417">
        <v>3</v>
      </c>
      <c r="T1417">
        <v>0.54</v>
      </c>
      <c r="Y1417" t="s">
        <v>1913</v>
      </c>
      <c r="Z1417" t="s">
        <v>1926</v>
      </c>
      <c r="AA1417">
        <v>152</v>
      </c>
      <c r="AB1417" t="s">
        <v>11</v>
      </c>
    </row>
    <row r="1418" spans="1:35" x14ac:dyDescent="0.25">
      <c r="A1418" t="s">
        <v>6399</v>
      </c>
      <c r="C1418" t="s">
        <v>6400</v>
      </c>
      <c r="D1418" t="s">
        <v>6401</v>
      </c>
      <c r="E1418" t="s">
        <v>770</v>
      </c>
      <c r="F1418" t="s">
        <v>1884</v>
      </c>
      <c r="G1418" t="s">
        <v>1854</v>
      </c>
      <c r="H1418" t="s">
        <v>1885</v>
      </c>
      <c r="J1418" t="s">
        <v>773</v>
      </c>
      <c r="K1418" t="s">
        <v>2248</v>
      </c>
      <c r="L1418" t="s">
        <v>173</v>
      </c>
      <c r="M1418" t="s">
        <v>172</v>
      </c>
      <c r="N1418" t="s">
        <v>770</v>
      </c>
      <c r="O1418">
        <v>1</v>
      </c>
      <c r="P1418" t="s">
        <v>776</v>
      </c>
      <c r="Q1418">
        <v>39.9</v>
      </c>
      <c r="R1418">
        <v>7.2</v>
      </c>
      <c r="S1418">
        <v>3</v>
      </c>
      <c r="T1418">
        <v>0.54</v>
      </c>
      <c r="Y1418" t="s">
        <v>6402</v>
      </c>
      <c r="Z1418" t="s">
        <v>2675</v>
      </c>
      <c r="AA1418">
        <v>20833</v>
      </c>
      <c r="AB1418" t="s">
        <v>11</v>
      </c>
    </row>
    <row r="1419" spans="1:35" x14ac:dyDescent="0.25">
      <c r="A1419" t="s">
        <v>6403</v>
      </c>
      <c r="B1419" t="s">
        <v>6403</v>
      </c>
      <c r="C1419" t="s">
        <v>6404</v>
      </c>
      <c r="D1419" t="s">
        <v>6405</v>
      </c>
      <c r="E1419" t="s">
        <v>782</v>
      </c>
      <c r="F1419" t="s">
        <v>771</v>
      </c>
      <c r="G1419" t="s">
        <v>1854</v>
      </c>
      <c r="J1419" t="s">
        <v>783</v>
      </c>
      <c r="K1419" t="s">
        <v>1855</v>
      </c>
      <c r="L1419" t="s">
        <v>1856</v>
      </c>
      <c r="M1419" t="s">
        <v>12</v>
      </c>
      <c r="N1419" t="s">
        <v>782</v>
      </c>
      <c r="O1419">
        <v>0</v>
      </c>
      <c r="Y1419" t="s">
        <v>5871</v>
      </c>
      <c r="Z1419" t="s">
        <v>3080</v>
      </c>
      <c r="AA1419">
        <v>30010</v>
      </c>
      <c r="AB1419" t="s">
        <v>11</v>
      </c>
    </row>
    <row r="1420" spans="1:35" x14ac:dyDescent="0.25">
      <c r="A1420" t="s">
        <v>6406</v>
      </c>
      <c r="B1420" t="s">
        <v>6406</v>
      </c>
      <c r="C1420" t="s">
        <v>6407</v>
      </c>
      <c r="D1420" t="s">
        <v>6408</v>
      </c>
      <c r="E1420" t="s">
        <v>770</v>
      </c>
      <c r="F1420" t="s">
        <v>771</v>
      </c>
      <c r="G1420" t="s">
        <v>1854</v>
      </c>
      <c r="J1420" t="s">
        <v>783</v>
      </c>
      <c r="K1420" t="s">
        <v>1930</v>
      </c>
      <c r="L1420" t="s">
        <v>775</v>
      </c>
      <c r="M1420" t="s">
        <v>65</v>
      </c>
      <c r="N1420" t="s">
        <v>770</v>
      </c>
      <c r="O1420">
        <v>1</v>
      </c>
      <c r="P1420" t="s">
        <v>776</v>
      </c>
      <c r="Q1420">
        <v>29.9</v>
      </c>
      <c r="R1420">
        <v>5.39</v>
      </c>
      <c r="Y1420" t="s">
        <v>1913</v>
      </c>
      <c r="Z1420" t="s">
        <v>1926</v>
      </c>
      <c r="AA1420">
        <v>186</v>
      </c>
      <c r="AB1420" t="s">
        <v>11</v>
      </c>
    </row>
    <row r="1421" spans="1:35" x14ac:dyDescent="0.25">
      <c r="A1421" t="s">
        <v>6409</v>
      </c>
      <c r="B1421" t="s">
        <v>6409</v>
      </c>
      <c r="C1421" t="s">
        <v>6410</v>
      </c>
      <c r="D1421" t="s">
        <v>6411</v>
      </c>
      <c r="E1421" t="s">
        <v>770</v>
      </c>
      <c r="F1421" t="s">
        <v>771</v>
      </c>
      <c r="G1421" t="s">
        <v>1854</v>
      </c>
      <c r="J1421" t="s">
        <v>783</v>
      </c>
      <c r="K1421" t="s">
        <v>1930</v>
      </c>
      <c r="L1421" t="s">
        <v>775</v>
      </c>
      <c r="M1421" t="s">
        <v>65</v>
      </c>
      <c r="N1421" t="s">
        <v>770</v>
      </c>
      <c r="O1421">
        <v>1</v>
      </c>
      <c r="P1421" t="s">
        <v>776</v>
      </c>
      <c r="Q1421">
        <v>29.9</v>
      </c>
      <c r="R1421">
        <v>5.39</v>
      </c>
      <c r="Y1421" t="s">
        <v>6412</v>
      </c>
      <c r="Z1421" t="s">
        <v>3481</v>
      </c>
      <c r="AA1421">
        <v>29010</v>
      </c>
      <c r="AB1421" t="s">
        <v>11</v>
      </c>
    </row>
    <row r="1422" spans="1:35" x14ac:dyDescent="0.25">
      <c r="A1422" t="s">
        <v>6413</v>
      </c>
      <c r="C1422" t="s">
        <v>6414</v>
      </c>
      <c r="D1422" t="s">
        <v>6291</v>
      </c>
      <c r="E1422" t="s">
        <v>770</v>
      </c>
      <c r="F1422" t="s">
        <v>1884</v>
      </c>
      <c r="G1422" t="s">
        <v>1854</v>
      </c>
      <c r="H1422" t="s">
        <v>1885</v>
      </c>
      <c r="J1422" t="s">
        <v>773</v>
      </c>
      <c r="K1422" t="s">
        <v>1855</v>
      </c>
      <c r="L1422" t="s">
        <v>13</v>
      </c>
      <c r="M1422" t="s">
        <v>12</v>
      </c>
      <c r="N1422" t="s">
        <v>770</v>
      </c>
      <c r="O1422">
        <v>1</v>
      </c>
      <c r="P1422" t="s">
        <v>776</v>
      </c>
      <c r="Q1422">
        <v>19.899999999999999</v>
      </c>
      <c r="R1422">
        <v>3.59</v>
      </c>
      <c r="S1422">
        <v>3</v>
      </c>
      <c r="T1422">
        <v>0.54</v>
      </c>
      <c r="Y1422" t="s">
        <v>1893</v>
      </c>
      <c r="Z1422" t="s">
        <v>1893</v>
      </c>
      <c r="AA1422">
        <v>10134</v>
      </c>
      <c r="AB1422" t="s">
        <v>11</v>
      </c>
    </row>
    <row r="1423" spans="1:35" x14ac:dyDescent="0.25">
      <c r="A1423" t="s">
        <v>6415</v>
      </c>
      <c r="B1423" t="s">
        <v>6415</v>
      </c>
      <c r="C1423" t="s">
        <v>6416</v>
      </c>
      <c r="D1423" t="s">
        <v>6417</v>
      </c>
      <c r="E1423" t="s">
        <v>770</v>
      </c>
      <c r="F1423" t="s">
        <v>771</v>
      </c>
      <c r="G1423" t="s">
        <v>1854</v>
      </c>
      <c r="J1423" t="s">
        <v>783</v>
      </c>
      <c r="K1423" t="s">
        <v>2712</v>
      </c>
      <c r="L1423" t="s">
        <v>1800</v>
      </c>
      <c r="M1423" t="s">
        <v>14</v>
      </c>
      <c r="N1423" t="s">
        <v>770</v>
      </c>
      <c r="O1423">
        <v>1</v>
      </c>
      <c r="P1423" t="s">
        <v>776</v>
      </c>
      <c r="Q1423">
        <v>14.9</v>
      </c>
      <c r="R1423">
        <v>2.69</v>
      </c>
      <c r="Y1423" t="s">
        <v>2602</v>
      </c>
      <c r="Z1423" t="s">
        <v>2602</v>
      </c>
      <c r="AA1423">
        <v>16149</v>
      </c>
      <c r="AB1423" t="s">
        <v>11</v>
      </c>
      <c r="AG1423" t="s">
        <v>6418</v>
      </c>
      <c r="AH1423" t="s">
        <v>11</v>
      </c>
      <c r="AI1423" t="s">
        <v>1258</v>
      </c>
    </row>
    <row r="1424" spans="1:35" x14ac:dyDescent="0.25">
      <c r="A1424" t="s">
        <v>6419</v>
      </c>
      <c r="B1424" t="s">
        <v>6419</v>
      </c>
      <c r="C1424" t="s">
        <v>6420</v>
      </c>
      <c r="D1424" t="s">
        <v>6421</v>
      </c>
      <c r="E1424" t="s">
        <v>770</v>
      </c>
      <c r="F1424" t="s">
        <v>771</v>
      </c>
      <c r="G1424" t="s">
        <v>1854</v>
      </c>
      <c r="J1424" t="s">
        <v>783</v>
      </c>
      <c r="K1424" t="s">
        <v>1930</v>
      </c>
      <c r="L1424" t="s">
        <v>775</v>
      </c>
      <c r="M1424" t="s">
        <v>65</v>
      </c>
      <c r="N1424" t="s">
        <v>770</v>
      </c>
      <c r="O1424">
        <v>1</v>
      </c>
      <c r="P1424" t="s">
        <v>776</v>
      </c>
      <c r="Q1424">
        <v>29.9</v>
      </c>
      <c r="R1424">
        <v>5.39</v>
      </c>
      <c r="Y1424" t="s">
        <v>6422</v>
      </c>
      <c r="Z1424" t="s">
        <v>1997</v>
      </c>
      <c r="AA1424">
        <v>50039</v>
      </c>
      <c r="AB1424" t="s">
        <v>11</v>
      </c>
    </row>
    <row r="1425" spans="1:35" x14ac:dyDescent="0.25">
      <c r="A1425" t="s">
        <v>6423</v>
      </c>
      <c r="B1425" t="s">
        <v>6423</v>
      </c>
      <c r="C1425" t="s">
        <v>6424</v>
      </c>
      <c r="D1425" t="s">
        <v>6425</v>
      </c>
      <c r="E1425" t="s">
        <v>770</v>
      </c>
      <c r="F1425" t="s">
        <v>771</v>
      </c>
      <c r="G1425" t="s">
        <v>1854</v>
      </c>
      <c r="J1425" t="s">
        <v>783</v>
      </c>
      <c r="K1425" t="s">
        <v>1873</v>
      </c>
      <c r="L1425" t="s">
        <v>840</v>
      </c>
      <c r="M1425" t="s">
        <v>26</v>
      </c>
      <c r="N1425" t="s">
        <v>770</v>
      </c>
      <c r="O1425">
        <v>1</v>
      </c>
      <c r="P1425" t="s">
        <v>776</v>
      </c>
      <c r="Q1425">
        <v>34.9</v>
      </c>
      <c r="R1425">
        <v>6.29</v>
      </c>
      <c r="Y1425" t="s">
        <v>6426</v>
      </c>
      <c r="Z1425" t="s">
        <v>6427</v>
      </c>
      <c r="AA1425">
        <v>47032</v>
      </c>
      <c r="AB1425" t="s">
        <v>11</v>
      </c>
      <c r="AG1425" t="s">
        <v>6428</v>
      </c>
      <c r="AH1425" t="s">
        <v>11</v>
      </c>
      <c r="AI1425" t="s">
        <v>2459</v>
      </c>
    </row>
    <row r="1426" spans="1:35" x14ac:dyDescent="0.25">
      <c r="A1426" t="s">
        <v>6429</v>
      </c>
      <c r="C1426" t="s">
        <v>6430</v>
      </c>
      <c r="D1426" t="s">
        <v>6431</v>
      </c>
      <c r="E1426" t="s">
        <v>770</v>
      </c>
      <c r="F1426" t="s">
        <v>1884</v>
      </c>
      <c r="G1426" t="s">
        <v>1854</v>
      </c>
      <c r="H1426" t="s">
        <v>1885</v>
      </c>
      <c r="J1426" t="s">
        <v>773</v>
      </c>
      <c r="K1426" t="s">
        <v>1855</v>
      </c>
      <c r="L1426" t="s">
        <v>13</v>
      </c>
      <c r="M1426" t="s">
        <v>12</v>
      </c>
      <c r="N1426" t="s">
        <v>770</v>
      </c>
      <c r="O1426">
        <v>1</v>
      </c>
      <c r="P1426" t="s">
        <v>776</v>
      </c>
      <c r="Q1426">
        <v>19.899999999999999</v>
      </c>
      <c r="R1426">
        <v>3.59</v>
      </c>
      <c r="S1426">
        <v>3</v>
      </c>
      <c r="T1426">
        <v>0.54</v>
      </c>
      <c r="Y1426" t="s">
        <v>5016</v>
      </c>
      <c r="Z1426" t="s">
        <v>2111</v>
      </c>
      <c r="AA1426">
        <v>42124</v>
      </c>
      <c r="AB1426" t="s">
        <v>11</v>
      </c>
    </row>
    <row r="1427" spans="1:35" x14ac:dyDescent="0.25">
      <c r="A1427" t="s">
        <v>6432</v>
      </c>
      <c r="B1427" t="s">
        <v>6432</v>
      </c>
      <c r="C1427" t="s">
        <v>6433</v>
      </c>
      <c r="D1427" t="s">
        <v>6434</v>
      </c>
      <c r="E1427" t="s">
        <v>770</v>
      </c>
      <c r="F1427" t="s">
        <v>771</v>
      </c>
      <c r="G1427" t="s">
        <v>1854</v>
      </c>
      <c r="I1427" t="s">
        <v>2692</v>
      </c>
      <c r="J1427" t="s">
        <v>783</v>
      </c>
      <c r="K1427" t="s">
        <v>1930</v>
      </c>
      <c r="L1427" t="s">
        <v>775</v>
      </c>
      <c r="M1427" t="s">
        <v>65</v>
      </c>
      <c r="N1427" t="s">
        <v>770</v>
      </c>
      <c r="O1427">
        <v>1</v>
      </c>
      <c r="P1427" t="s">
        <v>776</v>
      </c>
      <c r="Q1427">
        <v>29.9</v>
      </c>
      <c r="R1427">
        <v>5.39</v>
      </c>
      <c r="Y1427" t="s">
        <v>2693</v>
      </c>
      <c r="Z1427" t="s">
        <v>2148</v>
      </c>
      <c r="AA1427">
        <v>45020</v>
      </c>
      <c r="AB1427" t="s">
        <v>11</v>
      </c>
    </row>
    <row r="1428" spans="1:35" x14ac:dyDescent="0.25">
      <c r="A1428" t="s">
        <v>6435</v>
      </c>
      <c r="B1428" t="s">
        <v>6435</v>
      </c>
      <c r="C1428" t="s">
        <v>6436</v>
      </c>
      <c r="D1428" t="s">
        <v>6437</v>
      </c>
      <c r="E1428" t="s">
        <v>770</v>
      </c>
      <c r="F1428" t="s">
        <v>771</v>
      </c>
      <c r="G1428" t="s">
        <v>1854</v>
      </c>
      <c r="J1428" t="s">
        <v>783</v>
      </c>
      <c r="K1428" t="s">
        <v>1930</v>
      </c>
      <c r="L1428" t="s">
        <v>775</v>
      </c>
      <c r="M1428" t="s">
        <v>65</v>
      </c>
      <c r="N1428" t="s">
        <v>770</v>
      </c>
      <c r="O1428">
        <v>1</v>
      </c>
      <c r="P1428" t="s">
        <v>776</v>
      </c>
      <c r="Q1428">
        <v>29.9</v>
      </c>
      <c r="R1428">
        <v>5.39</v>
      </c>
      <c r="Y1428" t="s">
        <v>6438</v>
      </c>
      <c r="Z1428" t="s">
        <v>3608</v>
      </c>
      <c r="AA1428">
        <v>21045</v>
      </c>
      <c r="AB1428" t="s">
        <v>11</v>
      </c>
    </row>
    <row r="1429" spans="1:35" x14ac:dyDescent="0.25">
      <c r="A1429" t="s">
        <v>6439</v>
      </c>
      <c r="B1429" t="s">
        <v>6439</v>
      </c>
      <c r="C1429" t="s">
        <v>6440</v>
      </c>
      <c r="D1429" t="s">
        <v>6441</v>
      </c>
      <c r="E1429" t="s">
        <v>770</v>
      </c>
      <c r="F1429" t="s">
        <v>771</v>
      </c>
      <c r="G1429" t="s">
        <v>1854</v>
      </c>
      <c r="J1429" t="s">
        <v>783</v>
      </c>
      <c r="K1429" t="s">
        <v>3363</v>
      </c>
      <c r="L1429" t="s">
        <v>5572</v>
      </c>
      <c r="M1429" t="s">
        <v>71</v>
      </c>
      <c r="N1429" t="s">
        <v>770</v>
      </c>
      <c r="O1429">
        <v>5</v>
      </c>
      <c r="P1429" t="s">
        <v>776</v>
      </c>
      <c r="Q1429">
        <v>149.5</v>
      </c>
      <c r="R1429">
        <v>26.95</v>
      </c>
      <c r="Y1429" t="s">
        <v>6442</v>
      </c>
      <c r="Z1429" t="s">
        <v>3453</v>
      </c>
      <c r="AA1429">
        <v>33030</v>
      </c>
      <c r="AB1429" t="s">
        <v>11</v>
      </c>
      <c r="AG1429" t="s">
        <v>6443</v>
      </c>
      <c r="AH1429" t="s">
        <v>11</v>
      </c>
      <c r="AI1429" t="s">
        <v>1258</v>
      </c>
    </row>
    <row r="1430" spans="1:35" x14ac:dyDescent="0.25">
      <c r="A1430" t="s">
        <v>6444</v>
      </c>
      <c r="B1430" t="s">
        <v>6444</v>
      </c>
      <c r="C1430" t="s">
        <v>6445</v>
      </c>
      <c r="D1430" t="s">
        <v>6446</v>
      </c>
      <c r="E1430" t="s">
        <v>770</v>
      </c>
      <c r="F1430" t="s">
        <v>771</v>
      </c>
      <c r="G1430" t="s">
        <v>1854</v>
      </c>
      <c r="I1430" t="s">
        <v>2692</v>
      </c>
      <c r="J1430" t="s">
        <v>783</v>
      </c>
      <c r="K1430" t="s">
        <v>1862</v>
      </c>
      <c r="L1430" t="s">
        <v>1505</v>
      </c>
      <c r="M1430" t="s">
        <v>53</v>
      </c>
      <c r="N1430" t="s">
        <v>770</v>
      </c>
      <c r="O1430">
        <v>1</v>
      </c>
      <c r="P1430" t="s">
        <v>776</v>
      </c>
      <c r="Q1430">
        <v>32.9</v>
      </c>
      <c r="R1430">
        <v>5.93</v>
      </c>
      <c r="Y1430" t="s">
        <v>2693</v>
      </c>
      <c r="Z1430" t="s">
        <v>2148</v>
      </c>
      <c r="AA1430">
        <v>45020</v>
      </c>
      <c r="AB1430" t="s">
        <v>11</v>
      </c>
    </row>
    <row r="1431" spans="1:35" x14ac:dyDescent="0.25">
      <c r="A1431" t="s">
        <v>6447</v>
      </c>
      <c r="B1431" t="s">
        <v>6447</v>
      </c>
      <c r="C1431" t="s">
        <v>6448</v>
      </c>
      <c r="D1431" t="s">
        <v>6449</v>
      </c>
      <c r="E1431" t="s">
        <v>770</v>
      </c>
      <c r="F1431" t="s">
        <v>771</v>
      </c>
      <c r="G1431" t="s">
        <v>1854</v>
      </c>
      <c r="J1431" t="s">
        <v>783</v>
      </c>
      <c r="K1431" t="s">
        <v>1862</v>
      </c>
      <c r="L1431" t="s">
        <v>1505</v>
      </c>
      <c r="M1431" t="s">
        <v>53</v>
      </c>
      <c r="N1431" t="s">
        <v>770</v>
      </c>
      <c r="O1431">
        <v>1</v>
      </c>
      <c r="P1431" t="s">
        <v>776</v>
      </c>
      <c r="Q1431">
        <v>32.9</v>
      </c>
      <c r="R1431">
        <v>5.93</v>
      </c>
      <c r="S1431">
        <v>0.82</v>
      </c>
      <c r="X1431">
        <v>0.82</v>
      </c>
      <c r="Y1431" t="s">
        <v>6450</v>
      </c>
      <c r="Z1431" t="s">
        <v>6451</v>
      </c>
      <c r="AA1431">
        <v>33080</v>
      </c>
      <c r="AB1431" t="s">
        <v>11</v>
      </c>
    </row>
    <row r="1432" spans="1:35" x14ac:dyDescent="0.25">
      <c r="A1432" t="s">
        <v>6452</v>
      </c>
      <c r="C1432" t="s">
        <v>6453</v>
      </c>
      <c r="D1432" t="s">
        <v>6291</v>
      </c>
      <c r="E1432" t="s">
        <v>770</v>
      </c>
      <c r="F1432" t="s">
        <v>1884</v>
      </c>
      <c r="G1432" t="s">
        <v>1854</v>
      </c>
      <c r="H1432" t="s">
        <v>1885</v>
      </c>
      <c r="J1432" t="s">
        <v>773</v>
      </c>
      <c r="K1432" t="s">
        <v>1855</v>
      </c>
      <c r="L1432" t="s">
        <v>13</v>
      </c>
      <c r="M1432" t="s">
        <v>12</v>
      </c>
      <c r="N1432" t="s">
        <v>770</v>
      </c>
      <c r="O1432">
        <v>1</v>
      </c>
      <c r="P1432" t="s">
        <v>776</v>
      </c>
      <c r="Q1432">
        <v>19.899999999999999</v>
      </c>
      <c r="R1432">
        <v>3.59</v>
      </c>
      <c r="S1432">
        <v>3</v>
      </c>
      <c r="T1432">
        <v>0.54</v>
      </c>
      <c r="Y1432" t="s">
        <v>6454</v>
      </c>
      <c r="Z1432" t="s">
        <v>2342</v>
      </c>
      <c r="AA1432">
        <v>90044</v>
      </c>
      <c r="AB1432" t="s">
        <v>11</v>
      </c>
    </row>
    <row r="1433" spans="1:35" x14ac:dyDescent="0.25">
      <c r="A1433" t="s">
        <v>6455</v>
      </c>
      <c r="C1433" t="s">
        <v>6456</v>
      </c>
      <c r="D1433" t="s">
        <v>6457</v>
      </c>
      <c r="E1433" t="s">
        <v>770</v>
      </c>
      <c r="F1433" t="s">
        <v>1884</v>
      </c>
      <c r="G1433" t="s">
        <v>1854</v>
      </c>
      <c r="H1433" t="s">
        <v>1885</v>
      </c>
      <c r="J1433" t="s">
        <v>773</v>
      </c>
      <c r="K1433" t="s">
        <v>1855</v>
      </c>
      <c r="L1433" t="s">
        <v>13</v>
      </c>
      <c r="M1433" t="s">
        <v>12</v>
      </c>
      <c r="N1433" t="s">
        <v>770</v>
      </c>
      <c r="O1433">
        <v>1</v>
      </c>
      <c r="P1433" t="s">
        <v>776</v>
      </c>
      <c r="Q1433">
        <v>19.899999999999999</v>
      </c>
      <c r="R1433">
        <v>3.59</v>
      </c>
      <c r="S1433">
        <v>3</v>
      </c>
      <c r="T1433">
        <v>0.54</v>
      </c>
      <c r="Y1433" t="s">
        <v>6458</v>
      </c>
      <c r="Z1433" t="s">
        <v>6030</v>
      </c>
      <c r="AA1433">
        <v>93017</v>
      </c>
      <c r="AB1433" t="s">
        <v>11</v>
      </c>
    </row>
    <row r="1434" spans="1:35" x14ac:dyDescent="0.25">
      <c r="A1434" t="s">
        <v>6459</v>
      </c>
      <c r="B1434" t="s">
        <v>6459</v>
      </c>
      <c r="C1434" t="s">
        <v>6460</v>
      </c>
      <c r="D1434" t="s">
        <v>6461</v>
      </c>
      <c r="E1434" t="s">
        <v>782</v>
      </c>
      <c r="F1434" t="s">
        <v>771</v>
      </c>
      <c r="G1434" t="s">
        <v>1854</v>
      </c>
      <c r="J1434" t="s">
        <v>783</v>
      </c>
      <c r="K1434" t="s">
        <v>1930</v>
      </c>
      <c r="L1434" t="s">
        <v>775</v>
      </c>
      <c r="M1434" t="s">
        <v>65</v>
      </c>
      <c r="N1434" t="s">
        <v>782</v>
      </c>
      <c r="O1434">
        <v>0</v>
      </c>
      <c r="Y1434" t="s">
        <v>6462</v>
      </c>
      <c r="Z1434" t="s">
        <v>3012</v>
      </c>
      <c r="AA1434">
        <v>12014</v>
      </c>
      <c r="AB1434" t="s">
        <v>11</v>
      </c>
    </row>
    <row r="1435" spans="1:35" x14ac:dyDescent="0.25">
      <c r="A1435" t="s">
        <v>6463</v>
      </c>
      <c r="C1435" t="s">
        <v>6464</v>
      </c>
      <c r="D1435" t="s">
        <v>6465</v>
      </c>
      <c r="E1435" t="s">
        <v>782</v>
      </c>
      <c r="F1435" t="s">
        <v>1884</v>
      </c>
      <c r="G1435" t="s">
        <v>1854</v>
      </c>
      <c r="H1435" t="s">
        <v>1885</v>
      </c>
      <c r="J1435" t="s">
        <v>773</v>
      </c>
      <c r="K1435" t="s">
        <v>1855</v>
      </c>
      <c r="L1435" t="s">
        <v>13</v>
      </c>
      <c r="M1435" t="s">
        <v>12</v>
      </c>
      <c r="O1435">
        <v>0</v>
      </c>
      <c r="Y1435" t="s">
        <v>6466</v>
      </c>
      <c r="Z1435" t="s">
        <v>4457</v>
      </c>
      <c r="AA1435">
        <v>33078</v>
      </c>
      <c r="AB1435" t="s">
        <v>11</v>
      </c>
    </row>
    <row r="1436" spans="1:35" x14ac:dyDescent="0.25">
      <c r="A1436" t="s">
        <v>6467</v>
      </c>
      <c r="C1436" t="s">
        <v>6468</v>
      </c>
      <c r="D1436" t="s">
        <v>6371</v>
      </c>
      <c r="E1436" t="s">
        <v>770</v>
      </c>
      <c r="F1436" t="s">
        <v>1884</v>
      </c>
      <c r="G1436" t="s">
        <v>1854</v>
      </c>
      <c r="H1436" t="s">
        <v>1885</v>
      </c>
      <c r="J1436" t="s">
        <v>773</v>
      </c>
      <c r="K1436" t="s">
        <v>2396</v>
      </c>
      <c r="L1436" t="s">
        <v>89</v>
      </c>
      <c r="M1436" t="s">
        <v>88</v>
      </c>
      <c r="N1436" t="s">
        <v>770</v>
      </c>
      <c r="O1436">
        <v>1</v>
      </c>
      <c r="P1436" t="s">
        <v>776</v>
      </c>
      <c r="Q1436">
        <v>59.9</v>
      </c>
      <c r="R1436">
        <v>10.8</v>
      </c>
      <c r="S1436">
        <v>3</v>
      </c>
      <c r="T1436">
        <v>0.54</v>
      </c>
      <c r="Y1436" t="s">
        <v>6469</v>
      </c>
      <c r="Z1436" t="s">
        <v>6470</v>
      </c>
      <c r="AA1436">
        <v>17022</v>
      </c>
      <c r="AB1436" t="s">
        <v>11</v>
      </c>
    </row>
    <row r="1437" spans="1:35" x14ac:dyDescent="0.25">
      <c r="A1437" t="s">
        <v>6471</v>
      </c>
      <c r="B1437" t="s">
        <v>6471</v>
      </c>
      <c r="C1437" t="s">
        <v>6472</v>
      </c>
      <c r="D1437" t="s">
        <v>6473</v>
      </c>
      <c r="E1437" t="s">
        <v>770</v>
      </c>
      <c r="F1437" t="s">
        <v>771</v>
      </c>
      <c r="G1437" t="s">
        <v>1854</v>
      </c>
      <c r="J1437" t="s">
        <v>783</v>
      </c>
      <c r="K1437" t="s">
        <v>1930</v>
      </c>
      <c r="L1437" t="s">
        <v>775</v>
      </c>
      <c r="M1437" t="s">
        <v>65</v>
      </c>
      <c r="N1437" t="s">
        <v>770</v>
      </c>
      <c r="O1437">
        <v>1</v>
      </c>
      <c r="P1437" t="s">
        <v>776</v>
      </c>
      <c r="Q1437">
        <v>29.9</v>
      </c>
      <c r="R1437">
        <v>5.39</v>
      </c>
      <c r="Y1437" t="s">
        <v>6474</v>
      </c>
      <c r="Z1437" t="s">
        <v>4940</v>
      </c>
      <c r="AA1437">
        <v>6016</v>
      </c>
      <c r="AB1437" t="s">
        <v>11</v>
      </c>
    </row>
    <row r="1438" spans="1:35" x14ac:dyDescent="0.25">
      <c r="A1438" t="s">
        <v>6475</v>
      </c>
      <c r="C1438" t="s">
        <v>6476</v>
      </c>
      <c r="D1438" t="s">
        <v>6477</v>
      </c>
      <c r="E1438" t="s">
        <v>770</v>
      </c>
      <c r="F1438" t="s">
        <v>1884</v>
      </c>
      <c r="G1438" t="s">
        <v>1854</v>
      </c>
      <c r="H1438" t="s">
        <v>1885</v>
      </c>
      <c r="J1438" t="s">
        <v>773</v>
      </c>
      <c r="K1438" t="s">
        <v>3042</v>
      </c>
      <c r="L1438" s="2">
        <v>90825</v>
      </c>
      <c r="M1438" t="s">
        <v>320</v>
      </c>
      <c r="N1438" t="s">
        <v>770</v>
      </c>
      <c r="O1438">
        <v>1</v>
      </c>
      <c r="P1438" t="s">
        <v>776</v>
      </c>
      <c r="Q1438">
        <v>46.9</v>
      </c>
      <c r="R1438">
        <v>8.4600000000000009</v>
      </c>
      <c r="S1438">
        <v>3</v>
      </c>
      <c r="T1438">
        <v>0.54</v>
      </c>
      <c r="Y1438" t="s">
        <v>6478</v>
      </c>
      <c r="Z1438" t="s">
        <v>5083</v>
      </c>
      <c r="AA1438">
        <v>53047</v>
      </c>
      <c r="AB1438" t="s">
        <v>11</v>
      </c>
    </row>
    <row r="1439" spans="1:35" x14ac:dyDescent="0.25">
      <c r="A1439" t="s">
        <v>6479</v>
      </c>
      <c r="C1439" t="s">
        <v>6480</v>
      </c>
      <c r="D1439" t="s">
        <v>6481</v>
      </c>
      <c r="E1439" t="s">
        <v>770</v>
      </c>
      <c r="F1439" t="s">
        <v>1884</v>
      </c>
      <c r="G1439" t="s">
        <v>1854</v>
      </c>
      <c r="H1439" t="s">
        <v>1885</v>
      </c>
      <c r="J1439" t="s">
        <v>773</v>
      </c>
      <c r="K1439" t="s">
        <v>2652</v>
      </c>
      <c r="L1439" t="s">
        <v>52</v>
      </c>
      <c r="M1439" t="s">
        <v>51</v>
      </c>
      <c r="N1439" t="s">
        <v>770</v>
      </c>
      <c r="O1439">
        <v>1</v>
      </c>
      <c r="P1439" t="s">
        <v>776</v>
      </c>
      <c r="Q1439">
        <v>24.9</v>
      </c>
      <c r="R1439">
        <v>4.49</v>
      </c>
      <c r="S1439">
        <v>3</v>
      </c>
      <c r="T1439">
        <v>0.54</v>
      </c>
      <c r="Y1439" t="s">
        <v>4262</v>
      </c>
      <c r="Z1439" t="s">
        <v>3512</v>
      </c>
      <c r="AA1439">
        <v>32036</v>
      </c>
      <c r="AB1439" t="s">
        <v>11</v>
      </c>
    </row>
    <row r="1440" spans="1:35" x14ac:dyDescent="0.25">
      <c r="A1440" t="s">
        <v>6482</v>
      </c>
      <c r="B1440" t="s">
        <v>6482</v>
      </c>
      <c r="C1440" t="s">
        <v>6483</v>
      </c>
      <c r="D1440" t="s">
        <v>6484</v>
      </c>
      <c r="E1440" t="s">
        <v>770</v>
      </c>
      <c r="F1440" t="s">
        <v>771</v>
      </c>
      <c r="G1440" t="s">
        <v>1854</v>
      </c>
      <c r="J1440" t="s">
        <v>783</v>
      </c>
      <c r="K1440" t="s">
        <v>1862</v>
      </c>
      <c r="L1440" t="s">
        <v>1505</v>
      </c>
      <c r="M1440" t="s">
        <v>53</v>
      </c>
      <c r="N1440" t="s">
        <v>770</v>
      </c>
      <c r="O1440">
        <v>1</v>
      </c>
      <c r="P1440" t="s">
        <v>776</v>
      </c>
      <c r="Q1440">
        <v>32.9</v>
      </c>
      <c r="R1440">
        <v>5.93</v>
      </c>
      <c r="S1440">
        <v>2.5</v>
      </c>
      <c r="T1440">
        <v>0.45</v>
      </c>
      <c r="Y1440" t="s">
        <v>2101</v>
      </c>
      <c r="Z1440" t="s">
        <v>2101</v>
      </c>
      <c r="AA1440">
        <v>47921</v>
      </c>
      <c r="AB1440" t="s">
        <v>11</v>
      </c>
    </row>
    <row r="1441" spans="1:35" x14ac:dyDescent="0.25">
      <c r="A1441" t="s">
        <v>6485</v>
      </c>
      <c r="B1441" t="s">
        <v>6485</v>
      </c>
      <c r="C1441" t="s">
        <v>6486</v>
      </c>
      <c r="D1441" t="s">
        <v>6487</v>
      </c>
      <c r="E1441" t="s">
        <v>770</v>
      </c>
      <c r="F1441" t="s">
        <v>771</v>
      </c>
      <c r="G1441" t="s">
        <v>1854</v>
      </c>
      <c r="J1441" t="s">
        <v>783</v>
      </c>
      <c r="K1441" t="s">
        <v>1960</v>
      </c>
      <c r="L1441" t="s">
        <v>1047</v>
      </c>
      <c r="M1441" t="s">
        <v>21</v>
      </c>
      <c r="N1441" t="s">
        <v>770</v>
      </c>
      <c r="O1441">
        <v>1</v>
      </c>
      <c r="P1441" t="s">
        <v>776</v>
      </c>
      <c r="Q1441">
        <v>29.9</v>
      </c>
      <c r="R1441">
        <v>5.39</v>
      </c>
      <c r="Y1441" t="s">
        <v>6488</v>
      </c>
      <c r="Z1441" t="s">
        <v>2720</v>
      </c>
      <c r="AA1441">
        <v>27039</v>
      </c>
      <c r="AB1441" t="s">
        <v>11</v>
      </c>
    </row>
    <row r="1442" spans="1:35" x14ac:dyDescent="0.25">
      <c r="A1442" t="s">
        <v>6489</v>
      </c>
      <c r="B1442" t="s">
        <v>6489</v>
      </c>
      <c r="C1442" t="s">
        <v>6490</v>
      </c>
      <c r="D1442" t="s">
        <v>6491</v>
      </c>
      <c r="E1442" t="s">
        <v>770</v>
      </c>
      <c r="F1442" t="s">
        <v>771</v>
      </c>
      <c r="G1442" t="s">
        <v>1854</v>
      </c>
      <c r="J1442" t="s">
        <v>783</v>
      </c>
      <c r="K1442" t="s">
        <v>2044</v>
      </c>
      <c r="L1442" t="s">
        <v>1489</v>
      </c>
      <c r="M1442" t="s">
        <v>75</v>
      </c>
      <c r="N1442" t="s">
        <v>770</v>
      </c>
      <c r="O1442">
        <v>1</v>
      </c>
      <c r="P1442" t="s">
        <v>776</v>
      </c>
      <c r="Q1442">
        <v>49.9</v>
      </c>
      <c r="R1442">
        <v>9</v>
      </c>
      <c r="Y1442" t="s">
        <v>6492</v>
      </c>
      <c r="AA1442">
        <v>70032</v>
      </c>
      <c r="AB1442" t="s">
        <v>11</v>
      </c>
    </row>
    <row r="1443" spans="1:35" x14ac:dyDescent="0.25">
      <c r="A1443" t="s">
        <v>6493</v>
      </c>
      <c r="B1443" t="s">
        <v>6493</v>
      </c>
      <c r="C1443" t="s">
        <v>6494</v>
      </c>
      <c r="D1443" t="s">
        <v>6495</v>
      </c>
      <c r="E1443" t="s">
        <v>770</v>
      </c>
      <c r="F1443" t="s">
        <v>771</v>
      </c>
      <c r="G1443" t="s">
        <v>1854</v>
      </c>
      <c r="J1443" t="s">
        <v>783</v>
      </c>
      <c r="K1443" t="s">
        <v>1862</v>
      </c>
      <c r="L1443" t="s">
        <v>1505</v>
      </c>
      <c r="M1443" t="s">
        <v>53</v>
      </c>
      <c r="N1443" t="s">
        <v>770</v>
      </c>
      <c r="O1443">
        <v>1</v>
      </c>
      <c r="P1443" t="s">
        <v>776</v>
      </c>
      <c r="Q1443">
        <v>32.9</v>
      </c>
      <c r="R1443">
        <v>5.93</v>
      </c>
      <c r="S1443">
        <v>1.39</v>
      </c>
      <c r="T1443">
        <v>0.25</v>
      </c>
      <c r="Y1443" t="s">
        <v>6496</v>
      </c>
      <c r="Z1443" t="s">
        <v>2057</v>
      </c>
      <c r="AA1443">
        <v>37014</v>
      </c>
      <c r="AB1443" t="s">
        <v>11</v>
      </c>
    </row>
    <row r="1444" spans="1:35" x14ac:dyDescent="0.25">
      <c r="A1444" t="s">
        <v>6497</v>
      </c>
      <c r="B1444" t="s">
        <v>6497</v>
      </c>
      <c r="C1444" t="s">
        <v>6498</v>
      </c>
      <c r="D1444" t="s">
        <v>6499</v>
      </c>
      <c r="E1444" t="s">
        <v>770</v>
      </c>
      <c r="F1444" t="s">
        <v>771</v>
      </c>
      <c r="G1444" t="s">
        <v>1854</v>
      </c>
      <c r="J1444" t="s">
        <v>783</v>
      </c>
      <c r="K1444" t="s">
        <v>1862</v>
      </c>
      <c r="L1444" t="s">
        <v>1505</v>
      </c>
      <c r="M1444" t="s">
        <v>53</v>
      </c>
      <c r="N1444" t="s">
        <v>770</v>
      </c>
      <c r="O1444">
        <v>1</v>
      </c>
      <c r="P1444" t="s">
        <v>776</v>
      </c>
      <c r="Q1444">
        <v>32.9</v>
      </c>
      <c r="R1444">
        <v>5.93</v>
      </c>
      <c r="Y1444" t="s">
        <v>6500</v>
      </c>
      <c r="Z1444" t="s">
        <v>1903</v>
      </c>
      <c r="AA1444">
        <v>39040</v>
      </c>
      <c r="AB1444" t="s">
        <v>11</v>
      </c>
    </row>
    <row r="1445" spans="1:35" x14ac:dyDescent="0.25">
      <c r="A1445" t="s">
        <v>6501</v>
      </c>
      <c r="C1445" t="s">
        <v>6502</v>
      </c>
      <c r="D1445" t="s">
        <v>6503</v>
      </c>
      <c r="E1445" t="s">
        <v>770</v>
      </c>
      <c r="F1445" t="s">
        <v>1884</v>
      </c>
      <c r="G1445" t="s">
        <v>1854</v>
      </c>
      <c r="H1445" t="s">
        <v>1885</v>
      </c>
      <c r="J1445" t="s">
        <v>773</v>
      </c>
      <c r="K1445" t="s">
        <v>2252</v>
      </c>
      <c r="L1445" t="s">
        <v>74</v>
      </c>
      <c r="M1445" t="s">
        <v>73</v>
      </c>
      <c r="N1445" t="s">
        <v>770</v>
      </c>
      <c r="O1445">
        <v>1</v>
      </c>
      <c r="P1445" t="s">
        <v>776</v>
      </c>
      <c r="Q1445">
        <v>14.9</v>
      </c>
      <c r="R1445">
        <v>2.69</v>
      </c>
      <c r="S1445">
        <v>3</v>
      </c>
      <c r="T1445">
        <v>0.54</v>
      </c>
      <c r="Y1445" t="s">
        <v>6504</v>
      </c>
      <c r="Z1445" t="s">
        <v>1908</v>
      </c>
      <c r="AA1445">
        <v>80038</v>
      </c>
      <c r="AB1445" t="s">
        <v>11</v>
      </c>
    </row>
    <row r="1446" spans="1:35" x14ac:dyDescent="0.25">
      <c r="A1446" t="s">
        <v>6505</v>
      </c>
      <c r="C1446" t="s">
        <v>6506</v>
      </c>
      <c r="D1446" t="s">
        <v>6507</v>
      </c>
      <c r="E1446" t="s">
        <v>770</v>
      </c>
      <c r="F1446" t="s">
        <v>1884</v>
      </c>
      <c r="G1446" t="s">
        <v>1854</v>
      </c>
      <c r="H1446" t="s">
        <v>1885</v>
      </c>
      <c r="J1446" t="s">
        <v>773</v>
      </c>
      <c r="K1446" t="s">
        <v>1855</v>
      </c>
      <c r="L1446" t="s">
        <v>13</v>
      </c>
      <c r="M1446" t="s">
        <v>12</v>
      </c>
      <c r="N1446" t="s">
        <v>770</v>
      </c>
      <c r="O1446">
        <v>1</v>
      </c>
      <c r="P1446" t="s">
        <v>776</v>
      </c>
      <c r="Q1446">
        <v>19.899999999999999</v>
      </c>
      <c r="R1446">
        <v>3.59</v>
      </c>
      <c r="S1446">
        <v>3</v>
      </c>
      <c r="T1446">
        <v>0.54</v>
      </c>
      <c r="Y1446" t="s">
        <v>6508</v>
      </c>
      <c r="Z1446" t="s">
        <v>1893</v>
      </c>
      <c r="AA1446">
        <v>10040</v>
      </c>
      <c r="AB1446" t="s">
        <v>11</v>
      </c>
    </row>
    <row r="1447" spans="1:35" x14ac:dyDescent="0.25">
      <c r="A1447" t="s">
        <v>6509</v>
      </c>
      <c r="C1447" t="s">
        <v>6510</v>
      </c>
      <c r="D1447" t="s">
        <v>6511</v>
      </c>
      <c r="E1447" t="s">
        <v>770</v>
      </c>
      <c r="F1447" t="s">
        <v>1884</v>
      </c>
      <c r="G1447" t="s">
        <v>1854</v>
      </c>
      <c r="H1447" t="s">
        <v>1885</v>
      </c>
      <c r="J1447" t="s">
        <v>773</v>
      </c>
      <c r="K1447" t="s">
        <v>1855</v>
      </c>
      <c r="L1447" t="s">
        <v>13</v>
      </c>
      <c r="M1447" t="s">
        <v>12</v>
      </c>
      <c r="N1447" t="s">
        <v>770</v>
      </c>
      <c r="O1447">
        <v>1</v>
      </c>
      <c r="P1447" t="s">
        <v>776</v>
      </c>
      <c r="Q1447">
        <v>19.899999999999999</v>
      </c>
      <c r="R1447">
        <v>3.59</v>
      </c>
      <c r="S1447">
        <v>3</v>
      </c>
      <c r="T1447">
        <v>0.54</v>
      </c>
      <c r="Y1447" t="s">
        <v>6512</v>
      </c>
      <c r="Z1447" t="s">
        <v>6513</v>
      </c>
      <c r="AA1447">
        <v>28010</v>
      </c>
      <c r="AB1447" t="s">
        <v>11</v>
      </c>
      <c r="AG1447">
        <v>1322460799</v>
      </c>
      <c r="AH1447" t="s">
        <v>11</v>
      </c>
      <c r="AI1447" t="s">
        <v>1258</v>
      </c>
    </row>
    <row r="1448" spans="1:35" x14ac:dyDescent="0.25">
      <c r="A1448" t="s">
        <v>6514</v>
      </c>
      <c r="B1448" t="s">
        <v>6514</v>
      </c>
      <c r="C1448" t="s">
        <v>6515</v>
      </c>
      <c r="D1448" t="s">
        <v>6516</v>
      </c>
      <c r="E1448" t="s">
        <v>770</v>
      </c>
      <c r="F1448" t="s">
        <v>771</v>
      </c>
      <c r="G1448" t="s">
        <v>1854</v>
      </c>
      <c r="J1448" t="s">
        <v>783</v>
      </c>
      <c r="K1448" t="s">
        <v>2390</v>
      </c>
      <c r="L1448" t="s">
        <v>1094</v>
      </c>
      <c r="M1448" t="s">
        <v>208</v>
      </c>
      <c r="N1448" t="s">
        <v>770</v>
      </c>
      <c r="O1448">
        <v>1</v>
      </c>
      <c r="P1448" t="s">
        <v>776</v>
      </c>
      <c r="Q1448">
        <v>79.900000000000006</v>
      </c>
      <c r="R1448">
        <v>14.41</v>
      </c>
      <c r="S1448">
        <v>3.27</v>
      </c>
      <c r="X1448">
        <v>3.27</v>
      </c>
      <c r="Y1448" t="s">
        <v>6517</v>
      </c>
      <c r="Z1448" t="s">
        <v>2919</v>
      </c>
      <c r="AA1448">
        <v>5035</v>
      </c>
      <c r="AB1448" t="s">
        <v>11</v>
      </c>
    </row>
    <row r="1449" spans="1:35" x14ac:dyDescent="0.25">
      <c r="A1449" t="s">
        <v>6518</v>
      </c>
      <c r="B1449" t="s">
        <v>6518</v>
      </c>
      <c r="C1449" t="s">
        <v>6519</v>
      </c>
      <c r="D1449" t="s">
        <v>6520</v>
      </c>
      <c r="E1449" t="s">
        <v>782</v>
      </c>
      <c r="F1449" t="s">
        <v>771</v>
      </c>
      <c r="G1449" t="s">
        <v>1854</v>
      </c>
      <c r="J1449" t="s">
        <v>783</v>
      </c>
      <c r="K1449" t="s">
        <v>1930</v>
      </c>
      <c r="L1449" t="s">
        <v>775</v>
      </c>
      <c r="M1449" t="s">
        <v>65</v>
      </c>
      <c r="N1449" t="s">
        <v>782</v>
      </c>
      <c r="O1449">
        <v>0</v>
      </c>
      <c r="Y1449" t="s">
        <v>6521</v>
      </c>
      <c r="Z1449" t="s">
        <v>1888</v>
      </c>
      <c r="AA1449">
        <v>40050</v>
      </c>
      <c r="AB1449" t="s">
        <v>11</v>
      </c>
    </row>
    <row r="1450" spans="1:35" x14ac:dyDescent="0.25">
      <c r="A1450" t="s">
        <v>6522</v>
      </c>
      <c r="B1450" t="s">
        <v>6522</v>
      </c>
      <c r="C1450" t="s">
        <v>6523</v>
      </c>
      <c r="D1450" t="s">
        <v>6524</v>
      </c>
      <c r="E1450" t="s">
        <v>770</v>
      </c>
      <c r="F1450" t="s">
        <v>771</v>
      </c>
      <c r="G1450" t="s">
        <v>1854</v>
      </c>
      <c r="J1450" t="s">
        <v>783</v>
      </c>
      <c r="K1450" t="s">
        <v>1862</v>
      </c>
      <c r="L1450" t="s">
        <v>1505</v>
      </c>
      <c r="M1450" t="s">
        <v>53</v>
      </c>
      <c r="N1450" t="s">
        <v>770</v>
      </c>
      <c r="O1450">
        <v>1</v>
      </c>
      <c r="P1450" t="s">
        <v>776</v>
      </c>
      <c r="Q1450">
        <v>32.9</v>
      </c>
      <c r="R1450">
        <v>5.93</v>
      </c>
      <c r="Y1450" t="s">
        <v>6525</v>
      </c>
      <c r="Z1450" t="s">
        <v>1908</v>
      </c>
      <c r="AA1450">
        <v>80078</v>
      </c>
      <c r="AB1450" t="s">
        <v>11</v>
      </c>
    </row>
    <row r="1451" spans="1:35" x14ac:dyDescent="0.25">
      <c r="A1451" t="s">
        <v>6526</v>
      </c>
      <c r="B1451" t="s">
        <v>6526</v>
      </c>
      <c r="C1451" t="s">
        <v>6527</v>
      </c>
      <c r="D1451" t="s">
        <v>6528</v>
      </c>
      <c r="E1451" t="s">
        <v>770</v>
      </c>
      <c r="F1451" t="s">
        <v>771</v>
      </c>
      <c r="G1451" t="s">
        <v>1854</v>
      </c>
      <c r="J1451" t="s">
        <v>783</v>
      </c>
      <c r="K1451" t="s">
        <v>2044</v>
      </c>
      <c r="L1451" t="s">
        <v>1489</v>
      </c>
      <c r="M1451" t="s">
        <v>75</v>
      </c>
      <c r="N1451" t="s">
        <v>770</v>
      </c>
      <c r="O1451">
        <v>1</v>
      </c>
      <c r="P1451" t="s">
        <v>776</v>
      </c>
      <c r="Q1451">
        <v>49.9</v>
      </c>
      <c r="R1451">
        <v>9</v>
      </c>
      <c r="Y1451" t="s">
        <v>1875</v>
      </c>
      <c r="Z1451" t="s">
        <v>1864</v>
      </c>
      <c r="AA1451">
        <v>20121</v>
      </c>
      <c r="AB1451" t="s">
        <v>11</v>
      </c>
    </row>
    <row r="1452" spans="1:35" x14ac:dyDescent="0.25">
      <c r="A1452" t="s">
        <v>6529</v>
      </c>
      <c r="B1452" t="s">
        <v>6529</v>
      </c>
      <c r="C1452" t="s">
        <v>6530</v>
      </c>
      <c r="D1452" t="s">
        <v>6531</v>
      </c>
      <c r="E1452" t="s">
        <v>770</v>
      </c>
      <c r="F1452" t="s">
        <v>771</v>
      </c>
      <c r="G1452" t="s">
        <v>1854</v>
      </c>
      <c r="J1452" t="s">
        <v>783</v>
      </c>
      <c r="K1452" t="s">
        <v>1930</v>
      </c>
      <c r="L1452" t="s">
        <v>775</v>
      </c>
      <c r="M1452" t="s">
        <v>65</v>
      </c>
      <c r="N1452" t="s">
        <v>770</v>
      </c>
      <c r="O1452">
        <v>1</v>
      </c>
      <c r="P1452" t="s">
        <v>776</v>
      </c>
      <c r="Q1452">
        <v>29.9</v>
      </c>
      <c r="R1452">
        <v>5.39</v>
      </c>
      <c r="Y1452" t="s">
        <v>1965</v>
      </c>
      <c r="Z1452" t="s">
        <v>3126</v>
      </c>
      <c r="AA1452">
        <v>20900</v>
      </c>
      <c r="AB1452" t="s">
        <v>11</v>
      </c>
    </row>
    <row r="1453" spans="1:35" x14ac:dyDescent="0.25">
      <c r="A1453" t="s">
        <v>6532</v>
      </c>
      <c r="C1453" t="s">
        <v>6533</v>
      </c>
      <c r="D1453" t="s">
        <v>6534</v>
      </c>
      <c r="E1453" t="s">
        <v>770</v>
      </c>
      <c r="F1453" t="s">
        <v>1884</v>
      </c>
      <c r="G1453" t="s">
        <v>1854</v>
      </c>
      <c r="H1453" t="s">
        <v>1885</v>
      </c>
      <c r="J1453" t="s">
        <v>773</v>
      </c>
      <c r="K1453" t="s">
        <v>1855</v>
      </c>
      <c r="L1453" t="s">
        <v>13</v>
      </c>
      <c r="M1453" t="s">
        <v>12</v>
      </c>
      <c r="N1453" t="s">
        <v>770</v>
      </c>
      <c r="O1453">
        <v>1</v>
      </c>
      <c r="P1453" t="s">
        <v>776</v>
      </c>
      <c r="Q1453">
        <v>19.899999999999999</v>
      </c>
      <c r="R1453">
        <v>3.59</v>
      </c>
      <c r="S1453">
        <v>3</v>
      </c>
      <c r="T1453">
        <v>0.54</v>
      </c>
      <c r="Y1453" t="s">
        <v>1888</v>
      </c>
      <c r="Z1453" t="s">
        <v>1888</v>
      </c>
      <c r="AA1453">
        <v>40131</v>
      </c>
      <c r="AB1453" t="s">
        <v>11</v>
      </c>
    </row>
    <row r="1454" spans="1:35" x14ac:dyDescent="0.25">
      <c r="A1454" t="s">
        <v>6535</v>
      </c>
      <c r="B1454" t="s">
        <v>6535</v>
      </c>
      <c r="C1454" t="s">
        <v>6536</v>
      </c>
      <c r="D1454" t="s">
        <v>6537</v>
      </c>
      <c r="E1454" t="s">
        <v>770</v>
      </c>
      <c r="F1454" t="s">
        <v>771</v>
      </c>
      <c r="G1454" t="s">
        <v>1854</v>
      </c>
      <c r="J1454" t="s">
        <v>783</v>
      </c>
      <c r="K1454" t="s">
        <v>1862</v>
      </c>
      <c r="L1454" t="s">
        <v>1505</v>
      </c>
      <c r="M1454" t="s">
        <v>53</v>
      </c>
      <c r="N1454" t="s">
        <v>770</v>
      </c>
      <c r="O1454">
        <v>1</v>
      </c>
      <c r="P1454" t="s">
        <v>776</v>
      </c>
      <c r="Q1454">
        <v>32.9</v>
      </c>
      <c r="R1454">
        <v>5.93</v>
      </c>
      <c r="Y1454" t="s">
        <v>5908</v>
      </c>
      <c r="Z1454" t="s">
        <v>3608</v>
      </c>
      <c r="AA1454">
        <v>21052</v>
      </c>
      <c r="AB1454" t="s">
        <v>11</v>
      </c>
    </row>
    <row r="1455" spans="1:35" x14ac:dyDescent="0.25">
      <c r="A1455" t="s">
        <v>6538</v>
      </c>
      <c r="B1455" t="s">
        <v>6538</v>
      </c>
      <c r="C1455" t="s">
        <v>6539</v>
      </c>
      <c r="D1455" t="s">
        <v>6540</v>
      </c>
      <c r="E1455" t="s">
        <v>770</v>
      </c>
      <c r="F1455" t="s">
        <v>771</v>
      </c>
      <c r="G1455" t="s">
        <v>1854</v>
      </c>
      <c r="I1455" t="s">
        <v>2692</v>
      </c>
      <c r="J1455" t="s">
        <v>783</v>
      </c>
      <c r="K1455" t="s">
        <v>2712</v>
      </c>
      <c r="L1455" t="s">
        <v>1800</v>
      </c>
      <c r="M1455" t="s">
        <v>14</v>
      </c>
      <c r="N1455" t="s">
        <v>770</v>
      </c>
      <c r="O1455">
        <v>1</v>
      </c>
      <c r="P1455" t="s">
        <v>776</v>
      </c>
      <c r="Q1455">
        <v>14.9</v>
      </c>
      <c r="R1455">
        <v>2.69</v>
      </c>
      <c r="Y1455" t="s">
        <v>3817</v>
      </c>
      <c r="Z1455" t="s">
        <v>3818</v>
      </c>
      <c r="AA1455">
        <v>2032</v>
      </c>
      <c r="AB1455" t="s">
        <v>11</v>
      </c>
    </row>
    <row r="1456" spans="1:35" x14ac:dyDescent="0.25">
      <c r="A1456" t="s">
        <v>6541</v>
      </c>
      <c r="C1456" t="s">
        <v>6542</v>
      </c>
      <c r="D1456" t="s">
        <v>6543</v>
      </c>
      <c r="E1456" t="s">
        <v>770</v>
      </c>
      <c r="F1456" t="s">
        <v>1884</v>
      </c>
      <c r="G1456" t="s">
        <v>1854</v>
      </c>
      <c r="H1456" t="s">
        <v>1885</v>
      </c>
      <c r="J1456" t="s">
        <v>773</v>
      </c>
      <c r="K1456" t="s">
        <v>2210</v>
      </c>
      <c r="L1456" t="s">
        <v>64</v>
      </c>
      <c r="M1456" t="s">
        <v>63</v>
      </c>
      <c r="N1456" t="s">
        <v>770</v>
      </c>
      <c r="O1456">
        <v>1</v>
      </c>
      <c r="P1456" t="s">
        <v>776</v>
      </c>
      <c r="Q1456">
        <v>70.900000000000006</v>
      </c>
      <c r="R1456">
        <v>12.79</v>
      </c>
      <c r="S1456">
        <v>3</v>
      </c>
      <c r="T1456">
        <v>0.54</v>
      </c>
      <c r="Y1456" t="s">
        <v>6544</v>
      </c>
      <c r="Z1456" t="s">
        <v>1989</v>
      </c>
      <c r="AA1456">
        <v>36060</v>
      </c>
      <c r="AB1456" t="s">
        <v>11</v>
      </c>
      <c r="AG1456" t="s">
        <v>6545</v>
      </c>
      <c r="AH1456" t="s">
        <v>11</v>
      </c>
      <c r="AI1456" t="s">
        <v>1258</v>
      </c>
    </row>
    <row r="1457" spans="1:35" x14ac:dyDescent="0.25">
      <c r="A1457" t="s">
        <v>6546</v>
      </c>
      <c r="C1457" t="s">
        <v>6547</v>
      </c>
      <c r="D1457" t="s">
        <v>6457</v>
      </c>
      <c r="E1457" t="s">
        <v>770</v>
      </c>
      <c r="F1457" t="s">
        <v>1884</v>
      </c>
      <c r="G1457" t="s">
        <v>1854</v>
      </c>
      <c r="H1457" t="s">
        <v>1885</v>
      </c>
      <c r="J1457" t="s">
        <v>773</v>
      </c>
      <c r="K1457" t="s">
        <v>1873</v>
      </c>
      <c r="L1457" t="s">
        <v>27</v>
      </c>
      <c r="M1457" t="s">
        <v>26</v>
      </c>
      <c r="N1457" t="s">
        <v>770</v>
      </c>
      <c r="O1457">
        <v>1</v>
      </c>
      <c r="P1457" t="s">
        <v>776</v>
      </c>
      <c r="Q1457">
        <v>34.9</v>
      </c>
      <c r="R1457">
        <v>6.29</v>
      </c>
      <c r="S1457">
        <v>3</v>
      </c>
      <c r="T1457">
        <v>0.54</v>
      </c>
      <c r="Y1457" t="s">
        <v>6548</v>
      </c>
      <c r="Z1457" t="s">
        <v>1875</v>
      </c>
      <c r="AA1457">
        <v>20093</v>
      </c>
      <c r="AB1457" t="s">
        <v>11</v>
      </c>
    </row>
    <row r="1458" spans="1:35" x14ac:dyDescent="0.25">
      <c r="A1458" t="s">
        <v>6549</v>
      </c>
      <c r="B1458" t="s">
        <v>6549</v>
      </c>
      <c r="C1458" t="s">
        <v>6550</v>
      </c>
      <c r="D1458" t="s">
        <v>6551</v>
      </c>
      <c r="E1458" t="s">
        <v>770</v>
      </c>
      <c r="F1458" t="s">
        <v>771</v>
      </c>
      <c r="G1458" t="s">
        <v>1854</v>
      </c>
      <c r="J1458" t="s">
        <v>783</v>
      </c>
      <c r="K1458" t="s">
        <v>1862</v>
      </c>
      <c r="L1458" t="s">
        <v>1505</v>
      </c>
      <c r="M1458" t="s">
        <v>53</v>
      </c>
      <c r="N1458" t="s">
        <v>770</v>
      </c>
      <c r="O1458">
        <v>1</v>
      </c>
      <c r="P1458" t="s">
        <v>776</v>
      </c>
      <c r="Q1458">
        <v>32.9</v>
      </c>
      <c r="R1458">
        <v>5.93</v>
      </c>
      <c r="Y1458" t="s">
        <v>6552</v>
      </c>
      <c r="Z1458" t="s">
        <v>2597</v>
      </c>
      <c r="AA1458">
        <v>70056</v>
      </c>
      <c r="AB1458" t="s">
        <v>11</v>
      </c>
    </row>
    <row r="1459" spans="1:35" x14ac:dyDescent="0.25">
      <c r="A1459" t="s">
        <v>6553</v>
      </c>
      <c r="B1459" t="s">
        <v>6553</v>
      </c>
      <c r="C1459" t="s">
        <v>6554</v>
      </c>
      <c r="D1459" t="s">
        <v>6555</v>
      </c>
      <c r="E1459" t="s">
        <v>770</v>
      </c>
      <c r="F1459" t="s">
        <v>771</v>
      </c>
      <c r="G1459" t="s">
        <v>1854</v>
      </c>
      <c r="J1459" t="s">
        <v>783</v>
      </c>
      <c r="K1459" t="s">
        <v>1879</v>
      </c>
      <c r="L1459" t="s">
        <v>1056</v>
      </c>
      <c r="M1459" t="s">
        <v>212</v>
      </c>
      <c r="N1459" t="s">
        <v>770</v>
      </c>
      <c r="O1459">
        <v>1</v>
      </c>
      <c r="P1459" t="s">
        <v>776</v>
      </c>
      <c r="Q1459">
        <v>39.9</v>
      </c>
      <c r="R1459">
        <v>7.2</v>
      </c>
      <c r="Y1459" t="s">
        <v>6556</v>
      </c>
      <c r="Z1459" t="s">
        <v>3080</v>
      </c>
      <c r="AA1459">
        <v>30033</v>
      </c>
      <c r="AB1459" t="s">
        <v>11</v>
      </c>
    </row>
    <row r="1460" spans="1:35" x14ac:dyDescent="0.25">
      <c r="A1460" t="s">
        <v>6557</v>
      </c>
      <c r="C1460" t="s">
        <v>6558</v>
      </c>
      <c r="D1460" t="s">
        <v>6371</v>
      </c>
      <c r="E1460" t="s">
        <v>770</v>
      </c>
      <c r="F1460" t="s">
        <v>1884</v>
      </c>
      <c r="G1460" t="s">
        <v>1854</v>
      </c>
      <c r="H1460" t="s">
        <v>1885</v>
      </c>
      <c r="J1460" t="s">
        <v>773</v>
      </c>
      <c r="K1460" t="s">
        <v>2252</v>
      </c>
      <c r="L1460" t="s">
        <v>74</v>
      </c>
      <c r="M1460" t="s">
        <v>73</v>
      </c>
      <c r="N1460" t="s">
        <v>770</v>
      </c>
      <c r="O1460">
        <v>1</v>
      </c>
      <c r="P1460" t="s">
        <v>776</v>
      </c>
      <c r="Q1460">
        <v>14.9</v>
      </c>
      <c r="R1460">
        <v>2.69</v>
      </c>
      <c r="S1460">
        <v>3</v>
      </c>
      <c r="T1460">
        <v>0.54</v>
      </c>
      <c r="Y1460" t="s">
        <v>6559</v>
      </c>
      <c r="Z1460" t="s">
        <v>1908</v>
      </c>
      <c r="AA1460">
        <v>80079</v>
      </c>
      <c r="AB1460" t="s">
        <v>11</v>
      </c>
    </row>
    <row r="1461" spans="1:35" x14ac:dyDescent="0.25">
      <c r="A1461" t="s">
        <v>6560</v>
      </c>
      <c r="C1461" t="s">
        <v>6561</v>
      </c>
      <c r="D1461" t="s">
        <v>6562</v>
      </c>
      <c r="E1461" t="s">
        <v>770</v>
      </c>
      <c r="F1461" t="s">
        <v>1884</v>
      </c>
      <c r="G1461" t="s">
        <v>1854</v>
      </c>
      <c r="H1461" t="s">
        <v>1885</v>
      </c>
      <c r="J1461" t="s">
        <v>773</v>
      </c>
      <c r="K1461" t="s">
        <v>2252</v>
      </c>
      <c r="L1461" t="s">
        <v>74</v>
      </c>
      <c r="M1461" t="s">
        <v>73</v>
      </c>
      <c r="N1461" t="s">
        <v>770</v>
      </c>
      <c r="O1461">
        <v>1</v>
      </c>
      <c r="P1461" t="s">
        <v>776</v>
      </c>
      <c r="Q1461">
        <v>14.9</v>
      </c>
      <c r="R1461">
        <v>2.69</v>
      </c>
      <c r="S1461">
        <v>3</v>
      </c>
      <c r="T1461">
        <v>0.54</v>
      </c>
      <c r="Y1461" t="s">
        <v>1908</v>
      </c>
      <c r="Z1461" t="s">
        <v>2025</v>
      </c>
      <c r="AA1461">
        <v>80121</v>
      </c>
      <c r="AB1461" t="s">
        <v>11</v>
      </c>
    </row>
    <row r="1462" spans="1:35" x14ac:dyDescent="0.25">
      <c r="A1462" t="s">
        <v>6563</v>
      </c>
      <c r="C1462" t="s">
        <v>6564</v>
      </c>
      <c r="D1462" t="s">
        <v>6565</v>
      </c>
      <c r="E1462" t="s">
        <v>770</v>
      </c>
      <c r="F1462" t="s">
        <v>1884</v>
      </c>
      <c r="G1462" t="s">
        <v>1854</v>
      </c>
      <c r="H1462" t="s">
        <v>1885</v>
      </c>
      <c r="J1462" t="s">
        <v>773</v>
      </c>
      <c r="K1462" t="s">
        <v>1873</v>
      </c>
      <c r="L1462" t="s">
        <v>27</v>
      </c>
      <c r="M1462" t="s">
        <v>26</v>
      </c>
      <c r="N1462" t="s">
        <v>770</v>
      </c>
      <c r="O1462">
        <v>1</v>
      </c>
      <c r="P1462" t="s">
        <v>776</v>
      </c>
      <c r="Q1462">
        <v>34.9</v>
      </c>
      <c r="R1462">
        <v>6.29</v>
      </c>
      <c r="S1462">
        <v>3</v>
      </c>
      <c r="T1462">
        <v>0.54</v>
      </c>
      <c r="Y1462" t="s">
        <v>6566</v>
      </c>
      <c r="Z1462" t="s">
        <v>2533</v>
      </c>
      <c r="AA1462">
        <v>35010</v>
      </c>
      <c r="AB1462" t="s">
        <v>11</v>
      </c>
      <c r="AG1462" t="s">
        <v>6567</v>
      </c>
      <c r="AH1462" t="s">
        <v>11</v>
      </c>
      <c r="AI1462" t="s">
        <v>1258</v>
      </c>
    </row>
    <row r="1463" spans="1:35" x14ac:dyDescent="0.25">
      <c r="A1463" t="s">
        <v>6568</v>
      </c>
      <c r="B1463" t="s">
        <v>6568</v>
      </c>
      <c r="C1463" t="s">
        <v>6569</v>
      </c>
      <c r="D1463" t="s">
        <v>6570</v>
      </c>
      <c r="E1463" t="s">
        <v>782</v>
      </c>
      <c r="F1463" t="s">
        <v>771</v>
      </c>
      <c r="G1463" t="s">
        <v>1854</v>
      </c>
      <c r="J1463" t="s">
        <v>783</v>
      </c>
      <c r="K1463" t="s">
        <v>1862</v>
      </c>
      <c r="L1463" t="s">
        <v>1505</v>
      </c>
      <c r="M1463" t="s">
        <v>53</v>
      </c>
      <c r="N1463" t="s">
        <v>782</v>
      </c>
      <c r="O1463">
        <v>0</v>
      </c>
      <c r="Y1463" t="s">
        <v>6571</v>
      </c>
      <c r="Z1463" t="s">
        <v>2281</v>
      </c>
      <c r="AA1463">
        <v>73048</v>
      </c>
      <c r="AB1463" t="s">
        <v>11</v>
      </c>
    </row>
    <row r="1464" spans="1:35" x14ac:dyDescent="0.25">
      <c r="A1464" t="s">
        <v>6572</v>
      </c>
      <c r="B1464" t="s">
        <v>6572</v>
      </c>
      <c r="C1464" t="s">
        <v>6573</v>
      </c>
      <c r="D1464" t="s">
        <v>6574</v>
      </c>
      <c r="E1464" t="s">
        <v>770</v>
      </c>
      <c r="F1464" t="s">
        <v>771</v>
      </c>
      <c r="G1464" t="s">
        <v>1854</v>
      </c>
      <c r="J1464" t="s">
        <v>783</v>
      </c>
      <c r="K1464" t="s">
        <v>1862</v>
      </c>
      <c r="L1464" t="s">
        <v>1505</v>
      </c>
      <c r="M1464" t="s">
        <v>53</v>
      </c>
      <c r="N1464" t="s">
        <v>770</v>
      </c>
      <c r="O1464">
        <v>1</v>
      </c>
      <c r="P1464" t="s">
        <v>776</v>
      </c>
      <c r="Q1464">
        <v>32.9</v>
      </c>
      <c r="R1464">
        <v>5.93</v>
      </c>
      <c r="S1464">
        <v>0.81</v>
      </c>
      <c r="X1464">
        <v>0.81</v>
      </c>
      <c r="Y1464" t="s">
        <v>6575</v>
      </c>
      <c r="Z1464" t="s">
        <v>2153</v>
      </c>
      <c r="AA1464">
        <v>84096</v>
      </c>
      <c r="AB1464" t="s">
        <v>11</v>
      </c>
    </row>
    <row r="1465" spans="1:35" x14ac:dyDescent="0.25">
      <c r="A1465" t="s">
        <v>6576</v>
      </c>
      <c r="C1465" t="s">
        <v>6577</v>
      </c>
      <c r="D1465" t="s">
        <v>6578</v>
      </c>
      <c r="E1465" t="s">
        <v>770</v>
      </c>
      <c r="F1465" t="s">
        <v>1884</v>
      </c>
      <c r="G1465" t="s">
        <v>1854</v>
      </c>
      <c r="H1465" t="s">
        <v>1885</v>
      </c>
      <c r="J1465" t="s">
        <v>773</v>
      </c>
      <c r="K1465" t="s">
        <v>1855</v>
      </c>
      <c r="L1465" t="s">
        <v>13</v>
      </c>
      <c r="M1465" t="s">
        <v>12</v>
      </c>
      <c r="N1465" t="s">
        <v>770</v>
      </c>
      <c r="O1465">
        <v>1</v>
      </c>
      <c r="P1465" t="s">
        <v>776</v>
      </c>
      <c r="Q1465">
        <v>19.899999999999999</v>
      </c>
      <c r="R1465">
        <v>3.59</v>
      </c>
      <c r="S1465">
        <v>3</v>
      </c>
      <c r="T1465">
        <v>0.54</v>
      </c>
      <c r="Y1465" t="s">
        <v>3201</v>
      </c>
      <c r="Z1465" t="s">
        <v>2675</v>
      </c>
      <c r="AA1465">
        <v>20835</v>
      </c>
      <c r="AB1465" t="s">
        <v>11</v>
      </c>
    </row>
    <row r="1466" spans="1:35" x14ac:dyDescent="0.25">
      <c r="A1466" t="s">
        <v>6579</v>
      </c>
      <c r="B1466" t="s">
        <v>6579</v>
      </c>
      <c r="C1466" t="s">
        <v>6580</v>
      </c>
      <c r="D1466" t="s">
        <v>6581</v>
      </c>
      <c r="E1466" t="s">
        <v>770</v>
      </c>
      <c r="F1466" t="s">
        <v>771</v>
      </c>
      <c r="G1466" t="s">
        <v>1854</v>
      </c>
      <c r="J1466" t="s">
        <v>783</v>
      </c>
      <c r="K1466" t="s">
        <v>3363</v>
      </c>
      <c r="L1466" t="s">
        <v>5572</v>
      </c>
      <c r="M1466" t="s">
        <v>71</v>
      </c>
      <c r="N1466" t="s">
        <v>770</v>
      </c>
      <c r="O1466">
        <v>2</v>
      </c>
      <c r="P1466" t="s">
        <v>776</v>
      </c>
      <c r="Q1466">
        <v>59.8</v>
      </c>
      <c r="R1466">
        <v>10.78</v>
      </c>
      <c r="Y1466" t="s">
        <v>3481</v>
      </c>
      <c r="Z1466" t="s">
        <v>2179</v>
      </c>
      <c r="AA1466">
        <v>29122</v>
      </c>
      <c r="AB1466" t="s">
        <v>11</v>
      </c>
    </row>
    <row r="1467" spans="1:35" x14ac:dyDescent="0.25">
      <c r="A1467" t="s">
        <v>6582</v>
      </c>
      <c r="C1467" t="s">
        <v>6583</v>
      </c>
      <c r="D1467" t="s">
        <v>6584</v>
      </c>
      <c r="E1467" t="s">
        <v>770</v>
      </c>
      <c r="F1467" t="s">
        <v>1884</v>
      </c>
      <c r="G1467" t="s">
        <v>1854</v>
      </c>
      <c r="H1467" t="s">
        <v>1885</v>
      </c>
      <c r="J1467" t="s">
        <v>773</v>
      </c>
      <c r="K1467" t="s">
        <v>1855</v>
      </c>
      <c r="L1467" t="s">
        <v>13</v>
      </c>
      <c r="M1467" t="s">
        <v>12</v>
      </c>
      <c r="N1467" t="s">
        <v>770</v>
      </c>
      <c r="O1467">
        <v>1</v>
      </c>
      <c r="P1467" t="s">
        <v>776</v>
      </c>
      <c r="Q1467">
        <v>19.899999999999999</v>
      </c>
      <c r="R1467">
        <v>3.59</v>
      </c>
      <c r="S1467">
        <v>3</v>
      </c>
      <c r="T1467">
        <v>0.54</v>
      </c>
      <c r="Y1467" t="s">
        <v>1913</v>
      </c>
      <c r="Z1467" t="s">
        <v>1913</v>
      </c>
      <c r="AA1467">
        <v>148</v>
      </c>
      <c r="AB1467" t="s">
        <v>11</v>
      </c>
    </row>
    <row r="1468" spans="1:35" x14ac:dyDescent="0.25">
      <c r="A1468" t="s">
        <v>6585</v>
      </c>
      <c r="C1468" t="s">
        <v>6586</v>
      </c>
      <c r="D1468" t="s">
        <v>6587</v>
      </c>
      <c r="E1468" t="s">
        <v>770</v>
      </c>
      <c r="F1468" t="s">
        <v>1884</v>
      </c>
      <c r="G1468" t="s">
        <v>1854</v>
      </c>
      <c r="H1468" t="s">
        <v>1885</v>
      </c>
      <c r="J1468" t="s">
        <v>773</v>
      </c>
      <c r="K1468" t="s">
        <v>1855</v>
      </c>
      <c r="L1468" t="s">
        <v>13</v>
      </c>
      <c r="M1468" t="s">
        <v>12</v>
      </c>
      <c r="N1468" t="s">
        <v>770</v>
      </c>
      <c r="O1468">
        <v>1</v>
      </c>
      <c r="P1468" t="s">
        <v>776</v>
      </c>
      <c r="Q1468">
        <v>19.899999999999999</v>
      </c>
      <c r="R1468">
        <v>3.59</v>
      </c>
      <c r="S1468">
        <v>3</v>
      </c>
      <c r="T1468">
        <v>0.54</v>
      </c>
      <c r="Y1468" t="s">
        <v>6588</v>
      </c>
      <c r="Z1468" t="s">
        <v>1875</v>
      </c>
      <c r="AA1468">
        <v>20070</v>
      </c>
      <c r="AB1468" t="s">
        <v>11</v>
      </c>
    </row>
    <row r="1469" spans="1:35" x14ac:dyDescent="0.25">
      <c r="A1469" t="s">
        <v>6589</v>
      </c>
      <c r="C1469" t="s">
        <v>6590</v>
      </c>
      <c r="D1469" t="s">
        <v>6591</v>
      </c>
      <c r="E1469" t="s">
        <v>770</v>
      </c>
      <c r="F1469" t="s">
        <v>1884</v>
      </c>
      <c r="G1469" t="s">
        <v>1854</v>
      </c>
      <c r="H1469" t="s">
        <v>1885</v>
      </c>
      <c r="J1469" t="s">
        <v>773</v>
      </c>
      <c r="K1469" t="s">
        <v>1855</v>
      </c>
      <c r="L1469" t="s">
        <v>13</v>
      </c>
      <c r="M1469" t="s">
        <v>12</v>
      </c>
      <c r="N1469" t="s">
        <v>770</v>
      </c>
      <c r="O1469">
        <v>1</v>
      </c>
      <c r="P1469" t="s">
        <v>776</v>
      </c>
      <c r="Q1469">
        <v>19.899999999999999</v>
      </c>
      <c r="R1469">
        <v>3.59</v>
      </c>
      <c r="S1469">
        <v>3</v>
      </c>
      <c r="T1469">
        <v>0.54</v>
      </c>
      <c r="Y1469" t="s">
        <v>6592</v>
      </c>
      <c r="Z1469" t="s">
        <v>3105</v>
      </c>
      <c r="AA1469">
        <v>62010</v>
      </c>
      <c r="AB1469" t="s">
        <v>11</v>
      </c>
    </row>
    <row r="1470" spans="1:35" x14ac:dyDescent="0.25">
      <c r="A1470" t="s">
        <v>6593</v>
      </c>
      <c r="C1470" t="s">
        <v>6594</v>
      </c>
      <c r="D1470" t="s">
        <v>6595</v>
      </c>
      <c r="E1470" t="s">
        <v>770</v>
      </c>
      <c r="F1470" t="s">
        <v>1884</v>
      </c>
      <c r="G1470" t="s">
        <v>1854</v>
      </c>
      <c r="H1470" t="s">
        <v>1885</v>
      </c>
      <c r="J1470" t="s">
        <v>773</v>
      </c>
      <c r="K1470" t="s">
        <v>1855</v>
      </c>
      <c r="L1470" t="s">
        <v>13</v>
      </c>
      <c r="M1470" t="s">
        <v>12</v>
      </c>
      <c r="N1470" t="s">
        <v>770</v>
      </c>
      <c r="O1470">
        <v>1</v>
      </c>
      <c r="P1470" t="s">
        <v>776</v>
      </c>
      <c r="Q1470">
        <v>19.899999999999999</v>
      </c>
      <c r="R1470">
        <v>3.59</v>
      </c>
      <c r="S1470">
        <v>3</v>
      </c>
      <c r="T1470">
        <v>0.54</v>
      </c>
      <c r="Y1470" t="s">
        <v>6596</v>
      </c>
      <c r="Z1470" t="s">
        <v>6597</v>
      </c>
      <c r="AA1470">
        <v>47030</v>
      </c>
      <c r="AB1470" t="s">
        <v>11</v>
      </c>
    </row>
    <row r="1471" spans="1:35" x14ac:dyDescent="0.25">
      <c r="A1471" t="s">
        <v>6598</v>
      </c>
      <c r="C1471" t="s">
        <v>6599</v>
      </c>
      <c r="D1471" t="s">
        <v>6600</v>
      </c>
      <c r="E1471" t="s">
        <v>770</v>
      </c>
      <c r="F1471" t="s">
        <v>1884</v>
      </c>
      <c r="G1471" t="s">
        <v>1854</v>
      </c>
      <c r="H1471" t="s">
        <v>1885</v>
      </c>
      <c r="J1471" t="s">
        <v>773</v>
      </c>
      <c r="K1471" t="s">
        <v>1886</v>
      </c>
      <c r="L1471" t="s">
        <v>18</v>
      </c>
      <c r="M1471" t="s">
        <v>17</v>
      </c>
      <c r="N1471" t="s">
        <v>770</v>
      </c>
      <c r="O1471">
        <v>1</v>
      </c>
      <c r="P1471" t="s">
        <v>776</v>
      </c>
      <c r="Q1471">
        <v>22.9</v>
      </c>
      <c r="R1471">
        <v>4.13</v>
      </c>
      <c r="S1471">
        <v>3</v>
      </c>
      <c r="T1471">
        <v>0.54</v>
      </c>
      <c r="Y1471" t="s">
        <v>6601</v>
      </c>
      <c r="Z1471" t="s">
        <v>2158</v>
      </c>
      <c r="AA1471">
        <v>24040</v>
      </c>
      <c r="AB1471" t="s">
        <v>11</v>
      </c>
    </row>
    <row r="1472" spans="1:35" x14ac:dyDescent="0.25">
      <c r="A1472" t="s">
        <v>6602</v>
      </c>
      <c r="C1472" t="s">
        <v>6603</v>
      </c>
      <c r="D1472" t="s">
        <v>6604</v>
      </c>
      <c r="E1472" t="s">
        <v>770</v>
      </c>
      <c r="F1472" t="s">
        <v>1884</v>
      </c>
      <c r="G1472" t="s">
        <v>1854</v>
      </c>
      <c r="H1472" t="s">
        <v>1885</v>
      </c>
      <c r="J1472" t="s">
        <v>773</v>
      </c>
      <c r="K1472" t="s">
        <v>4362</v>
      </c>
      <c r="L1472" s="2">
        <v>40500</v>
      </c>
      <c r="M1472" t="s">
        <v>53</v>
      </c>
      <c r="N1472" t="s">
        <v>770</v>
      </c>
      <c r="O1472">
        <v>1</v>
      </c>
      <c r="P1472" t="s">
        <v>776</v>
      </c>
      <c r="Q1472">
        <v>32.9</v>
      </c>
      <c r="R1472">
        <v>5.93</v>
      </c>
      <c r="S1472">
        <v>3</v>
      </c>
      <c r="T1472">
        <v>0.54</v>
      </c>
      <c r="Y1472" t="s">
        <v>6605</v>
      </c>
      <c r="Z1472" t="s">
        <v>3649</v>
      </c>
      <c r="AA1472">
        <v>9032</v>
      </c>
      <c r="AB1472" t="s">
        <v>11</v>
      </c>
      <c r="AG1472" t="s">
        <v>6606</v>
      </c>
      <c r="AH1472" t="s">
        <v>11</v>
      </c>
      <c r="AI1472" t="s">
        <v>1258</v>
      </c>
    </row>
    <row r="1473" spans="1:35" x14ac:dyDescent="0.25">
      <c r="A1473" t="s">
        <v>6607</v>
      </c>
      <c r="B1473" t="s">
        <v>6607</v>
      </c>
      <c r="C1473" t="s">
        <v>6608</v>
      </c>
      <c r="D1473" t="s">
        <v>6609</v>
      </c>
      <c r="E1473" t="s">
        <v>770</v>
      </c>
      <c r="F1473" t="s">
        <v>771</v>
      </c>
      <c r="G1473" t="s">
        <v>1854</v>
      </c>
      <c r="J1473" t="s">
        <v>783</v>
      </c>
      <c r="K1473" t="s">
        <v>1855</v>
      </c>
      <c r="L1473" t="s">
        <v>1856</v>
      </c>
      <c r="M1473" t="s">
        <v>12</v>
      </c>
      <c r="N1473" t="s">
        <v>770</v>
      </c>
      <c r="O1473">
        <v>1</v>
      </c>
      <c r="P1473" t="s">
        <v>776</v>
      </c>
      <c r="Q1473">
        <v>19.899999999999999</v>
      </c>
      <c r="R1473">
        <v>3.59</v>
      </c>
      <c r="Y1473" t="s">
        <v>6610</v>
      </c>
      <c r="Z1473" t="s">
        <v>1913</v>
      </c>
      <c r="AA1473">
        <v>43</v>
      </c>
      <c r="AB1473" t="s">
        <v>11</v>
      </c>
    </row>
    <row r="1474" spans="1:35" x14ac:dyDescent="0.25">
      <c r="A1474" t="s">
        <v>6611</v>
      </c>
      <c r="B1474" t="s">
        <v>6611</v>
      </c>
      <c r="C1474" t="s">
        <v>6612</v>
      </c>
      <c r="D1474" t="s">
        <v>6613</v>
      </c>
      <c r="E1474" t="s">
        <v>770</v>
      </c>
      <c r="F1474" t="s">
        <v>771</v>
      </c>
      <c r="G1474" t="s">
        <v>1854</v>
      </c>
      <c r="J1474" t="s">
        <v>783</v>
      </c>
      <c r="K1474" t="s">
        <v>1862</v>
      </c>
      <c r="L1474" t="s">
        <v>1505</v>
      </c>
      <c r="M1474" t="s">
        <v>53</v>
      </c>
      <c r="N1474" t="s">
        <v>770</v>
      </c>
      <c r="O1474">
        <v>1</v>
      </c>
      <c r="P1474" t="s">
        <v>776</v>
      </c>
      <c r="Q1474">
        <v>32.9</v>
      </c>
      <c r="R1474">
        <v>5.93</v>
      </c>
      <c r="Y1474" t="s">
        <v>1875</v>
      </c>
      <c r="Z1474" t="s">
        <v>1875</v>
      </c>
      <c r="AA1474">
        <v>20121</v>
      </c>
      <c r="AB1474" t="s">
        <v>11</v>
      </c>
    </row>
    <row r="1475" spans="1:35" x14ac:dyDescent="0.25">
      <c r="A1475" t="s">
        <v>6614</v>
      </c>
      <c r="B1475" t="s">
        <v>6614</v>
      </c>
      <c r="C1475" t="s">
        <v>6615</v>
      </c>
      <c r="D1475" t="s">
        <v>6616</v>
      </c>
      <c r="E1475" t="s">
        <v>770</v>
      </c>
      <c r="F1475" t="s">
        <v>771</v>
      </c>
      <c r="G1475" t="s">
        <v>1854</v>
      </c>
      <c r="J1475" t="s">
        <v>783</v>
      </c>
      <c r="K1475" t="s">
        <v>1960</v>
      </c>
      <c r="L1475" t="s">
        <v>1047</v>
      </c>
      <c r="M1475" t="s">
        <v>21</v>
      </c>
      <c r="N1475" t="s">
        <v>770</v>
      </c>
      <c r="O1475">
        <v>1</v>
      </c>
      <c r="P1475" t="s">
        <v>776</v>
      </c>
      <c r="Q1475">
        <v>29.9</v>
      </c>
      <c r="R1475">
        <v>5.39</v>
      </c>
      <c r="S1475">
        <v>4.99</v>
      </c>
      <c r="T1475">
        <v>0.9</v>
      </c>
      <c r="Y1475" t="s">
        <v>6617</v>
      </c>
      <c r="Z1475" t="s">
        <v>3287</v>
      </c>
      <c r="AA1475">
        <v>23889</v>
      </c>
      <c r="AB1475" t="s">
        <v>11</v>
      </c>
    </row>
    <row r="1476" spans="1:35" x14ac:dyDescent="0.25">
      <c r="A1476" t="s">
        <v>6618</v>
      </c>
      <c r="B1476" t="s">
        <v>6618</v>
      </c>
      <c r="C1476" t="s">
        <v>6619</v>
      </c>
      <c r="D1476" t="s">
        <v>6620</v>
      </c>
      <c r="E1476" t="s">
        <v>770</v>
      </c>
      <c r="F1476" t="s">
        <v>771</v>
      </c>
      <c r="G1476" t="s">
        <v>1854</v>
      </c>
      <c r="J1476" t="s">
        <v>783</v>
      </c>
      <c r="K1476" t="s">
        <v>1930</v>
      </c>
      <c r="L1476" t="s">
        <v>775</v>
      </c>
      <c r="M1476" t="s">
        <v>65</v>
      </c>
      <c r="N1476" t="s">
        <v>770</v>
      </c>
      <c r="O1476">
        <v>1</v>
      </c>
      <c r="P1476" t="s">
        <v>776</v>
      </c>
      <c r="Q1476">
        <v>29.9</v>
      </c>
      <c r="R1476">
        <v>5.39</v>
      </c>
      <c r="Y1476" t="s">
        <v>2854</v>
      </c>
      <c r="Z1476" t="s">
        <v>2855</v>
      </c>
      <c r="AA1476">
        <v>61122</v>
      </c>
      <c r="AB1476" t="s">
        <v>11</v>
      </c>
    </row>
    <row r="1477" spans="1:35" x14ac:dyDescent="0.25">
      <c r="A1477" t="s">
        <v>6621</v>
      </c>
      <c r="B1477" t="s">
        <v>6621</v>
      </c>
      <c r="C1477" t="s">
        <v>6622</v>
      </c>
      <c r="D1477" t="s">
        <v>6623</v>
      </c>
      <c r="E1477" t="s">
        <v>770</v>
      </c>
      <c r="F1477" t="s">
        <v>771</v>
      </c>
      <c r="G1477" t="s">
        <v>1854</v>
      </c>
      <c r="J1477" t="s">
        <v>783</v>
      </c>
      <c r="K1477" t="s">
        <v>1873</v>
      </c>
      <c r="L1477" t="s">
        <v>840</v>
      </c>
      <c r="M1477" t="s">
        <v>26</v>
      </c>
      <c r="N1477" t="s">
        <v>770</v>
      </c>
      <c r="O1477">
        <v>1</v>
      </c>
      <c r="P1477" t="s">
        <v>776</v>
      </c>
      <c r="Q1477">
        <v>34.9</v>
      </c>
      <c r="R1477">
        <v>6.29</v>
      </c>
      <c r="S1477">
        <v>3.99</v>
      </c>
      <c r="T1477">
        <v>0.72</v>
      </c>
      <c r="Y1477" t="s">
        <v>6624</v>
      </c>
      <c r="Z1477" t="s">
        <v>2915</v>
      </c>
      <c r="AA1477">
        <v>34018</v>
      </c>
      <c r="AB1477" t="s">
        <v>11</v>
      </c>
    </row>
    <row r="1478" spans="1:35" x14ac:dyDescent="0.25">
      <c r="A1478" t="s">
        <v>6625</v>
      </c>
      <c r="B1478" t="s">
        <v>6625</v>
      </c>
      <c r="C1478" t="s">
        <v>6626</v>
      </c>
      <c r="D1478" t="s">
        <v>6627</v>
      </c>
      <c r="E1478" t="s">
        <v>770</v>
      </c>
      <c r="F1478" t="s">
        <v>771</v>
      </c>
      <c r="G1478" t="s">
        <v>1854</v>
      </c>
      <c r="J1478" t="s">
        <v>783</v>
      </c>
      <c r="K1478" t="s">
        <v>1862</v>
      </c>
      <c r="L1478" t="s">
        <v>1505</v>
      </c>
      <c r="M1478" t="s">
        <v>53</v>
      </c>
      <c r="N1478" t="s">
        <v>770</v>
      </c>
      <c r="O1478">
        <v>1</v>
      </c>
      <c r="P1478" t="s">
        <v>776</v>
      </c>
      <c r="Q1478">
        <v>32.9</v>
      </c>
      <c r="R1478">
        <v>5.93</v>
      </c>
      <c r="S1478">
        <v>3.99</v>
      </c>
      <c r="T1478">
        <v>0.72</v>
      </c>
      <c r="U1478">
        <v>2.99</v>
      </c>
      <c r="V1478">
        <v>0.54</v>
      </c>
      <c r="Y1478" t="s">
        <v>5101</v>
      </c>
      <c r="Z1478" t="s">
        <v>2533</v>
      </c>
      <c r="AA1478">
        <v>35020</v>
      </c>
      <c r="AB1478" t="s">
        <v>11</v>
      </c>
    </row>
    <row r="1479" spans="1:35" x14ac:dyDescent="0.25">
      <c r="A1479" t="s">
        <v>6628</v>
      </c>
      <c r="B1479" t="s">
        <v>6628</v>
      </c>
      <c r="C1479" t="s">
        <v>6629</v>
      </c>
      <c r="D1479" t="s">
        <v>6630</v>
      </c>
      <c r="E1479" t="s">
        <v>770</v>
      </c>
      <c r="F1479" t="s">
        <v>771</v>
      </c>
      <c r="G1479" t="s">
        <v>1854</v>
      </c>
      <c r="I1479" t="s">
        <v>2692</v>
      </c>
      <c r="J1479" t="s">
        <v>783</v>
      </c>
      <c r="K1479" t="s">
        <v>2390</v>
      </c>
      <c r="L1479" t="s">
        <v>1094</v>
      </c>
      <c r="M1479" t="s">
        <v>208</v>
      </c>
      <c r="N1479" t="s">
        <v>770</v>
      </c>
      <c r="O1479">
        <v>1</v>
      </c>
      <c r="P1479" t="s">
        <v>776</v>
      </c>
      <c r="Q1479">
        <v>79.900000000000006</v>
      </c>
      <c r="R1479">
        <v>14.41</v>
      </c>
      <c r="Y1479" t="s">
        <v>6631</v>
      </c>
      <c r="Z1479" t="s">
        <v>6632</v>
      </c>
      <c r="AA1479">
        <v>34</v>
      </c>
      <c r="AB1479" t="s">
        <v>11</v>
      </c>
    </row>
    <row r="1480" spans="1:35" x14ac:dyDescent="0.25">
      <c r="A1480" t="s">
        <v>6633</v>
      </c>
      <c r="B1480" t="s">
        <v>6633</v>
      </c>
      <c r="C1480" t="s">
        <v>6634</v>
      </c>
      <c r="D1480" t="s">
        <v>6635</v>
      </c>
      <c r="E1480" t="s">
        <v>770</v>
      </c>
      <c r="F1480" t="s">
        <v>771</v>
      </c>
      <c r="G1480" t="s">
        <v>1854</v>
      </c>
      <c r="J1480" t="s">
        <v>783</v>
      </c>
      <c r="K1480" t="s">
        <v>1873</v>
      </c>
      <c r="L1480" t="s">
        <v>840</v>
      </c>
      <c r="M1480" t="s">
        <v>26</v>
      </c>
      <c r="N1480" t="s">
        <v>770</v>
      </c>
      <c r="O1480">
        <v>1</v>
      </c>
      <c r="P1480" t="s">
        <v>776</v>
      </c>
      <c r="Q1480">
        <v>34.9</v>
      </c>
      <c r="R1480">
        <v>6.29</v>
      </c>
      <c r="Y1480" t="s">
        <v>1913</v>
      </c>
      <c r="Z1480" t="s">
        <v>2548</v>
      </c>
      <c r="AA1480">
        <v>146</v>
      </c>
      <c r="AB1480" t="s">
        <v>11</v>
      </c>
    </row>
    <row r="1481" spans="1:35" x14ac:dyDescent="0.25">
      <c r="A1481" t="s">
        <v>6636</v>
      </c>
      <c r="C1481" t="s">
        <v>6637</v>
      </c>
      <c r="D1481" t="s">
        <v>6600</v>
      </c>
      <c r="E1481" t="s">
        <v>770</v>
      </c>
      <c r="F1481" t="s">
        <v>1884</v>
      </c>
      <c r="G1481" t="s">
        <v>1854</v>
      </c>
      <c r="H1481" t="s">
        <v>1885</v>
      </c>
      <c r="J1481" t="s">
        <v>773</v>
      </c>
      <c r="K1481" t="s">
        <v>4822</v>
      </c>
      <c r="L1481" t="s">
        <v>123</v>
      </c>
      <c r="M1481" t="s">
        <v>122</v>
      </c>
      <c r="N1481" t="s">
        <v>770</v>
      </c>
      <c r="O1481">
        <v>1</v>
      </c>
      <c r="P1481" t="s">
        <v>776</v>
      </c>
      <c r="Q1481">
        <v>28.9</v>
      </c>
      <c r="R1481">
        <v>5.21</v>
      </c>
      <c r="S1481">
        <v>3</v>
      </c>
      <c r="T1481">
        <v>0.54</v>
      </c>
      <c r="Y1481" t="s">
        <v>6638</v>
      </c>
      <c r="Z1481" t="s">
        <v>1989</v>
      </c>
      <c r="AA1481">
        <v>36031</v>
      </c>
      <c r="AB1481" t="s">
        <v>11</v>
      </c>
    </row>
    <row r="1482" spans="1:35" x14ac:dyDescent="0.25">
      <c r="A1482" t="s">
        <v>6639</v>
      </c>
      <c r="C1482" t="s">
        <v>6640</v>
      </c>
      <c r="D1482" t="s">
        <v>6595</v>
      </c>
      <c r="E1482" t="s">
        <v>770</v>
      </c>
      <c r="F1482" t="s">
        <v>1884</v>
      </c>
      <c r="G1482" t="s">
        <v>1854</v>
      </c>
      <c r="H1482" t="s">
        <v>1885</v>
      </c>
      <c r="J1482" t="s">
        <v>773</v>
      </c>
      <c r="K1482" t="s">
        <v>1886</v>
      </c>
      <c r="L1482" t="s">
        <v>18</v>
      </c>
      <c r="M1482" t="s">
        <v>17</v>
      </c>
      <c r="N1482" t="s">
        <v>770</v>
      </c>
      <c r="O1482">
        <v>1</v>
      </c>
      <c r="P1482" t="s">
        <v>776</v>
      </c>
      <c r="Q1482">
        <v>22.9</v>
      </c>
      <c r="R1482">
        <v>4.13</v>
      </c>
      <c r="S1482">
        <v>3</v>
      </c>
      <c r="T1482">
        <v>0.54</v>
      </c>
      <c r="Y1482" t="s">
        <v>2497</v>
      </c>
      <c r="Z1482" t="s">
        <v>2915</v>
      </c>
      <c r="AA1482">
        <v>34135</v>
      </c>
      <c r="AB1482" t="s">
        <v>11</v>
      </c>
    </row>
    <row r="1483" spans="1:35" x14ac:dyDescent="0.25">
      <c r="A1483" t="s">
        <v>6641</v>
      </c>
      <c r="B1483" t="s">
        <v>6641</v>
      </c>
      <c r="C1483" t="s">
        <v>6642</v>
      </c>
      <c r="D1483" t="s">
        <v>6643</v>
      </c>
      <c r="E1483" t="s">
        <v>770</v>
      </c>
      <c r="F1483" t="s">
        <v>771</v>
      </c>
      <c r="G1483" t="s">
        <v>1854</v>
      </c>
      <c r="J1483" t="s">
        <v>783</v>
      </c>
      <c r="K1483" t="s">
        <v>1862</v>
      </c>
      <c r="L1483" t="s">
        <v>1505</v>
      </c>
      <c r="M1483" t="s">
        <v>53</v>
      </c>
      <c r="N1483" t="s">
        <v>770</v>
      </c>
      <c r="O1483">
        <v>1</v>
      </c>
      <c r="P1483" t="s">
        <v>776</v>
      </c>
      <c r="Q1483">
        <v>32.9</v>
      </c>
      <c r="R1483">
        <v>5.93</v>
      </c>
      <c r="Y1483" t="s">
        <v>6644</v>
      </c>
      <c r="Z1483" t="s">
        <v>2528</v>
      </c>
      <c r="AA1483">
        <v>85050</v>
      </c>
      <c r="AB1483" t="s">
        <v>11</v>
      </c>
    </row>
    <row r="1484" spans="1:35" x14ac:dyDescent="0.25">
      <c r="A1484" t="s">
        <v>6645</v>
      </c>
      <c r="C1484" t="s">
        <v>6646</v>
      </c>
      <c r="D1484" t="s">
        <v>6647</v>
      </c>
      <c r="E1484" t="s">
        <v>770</v>
      </c>
      <c r="F1484" t="s">
        <v>1884</v>
      </c>
      <c r="G1484" t="s">
        <v>1854</v>
      </c>
      <c r="H1484" t="s">
        <v>1885</v>
      </c>
      <c r="J1484" t="s">
        <v>773</v>
      </c>
      <c r="K1484" t="s">
        <v>1855</v>
      </c>
      <c r="L1484" t="s">
        <v>13</v>
      </c>
      <c r="M1484" t="s">
        <v>12</v>
      </c>
      <c r="N1484" t="s">
        <v>770</v>
      </c>
      <c r="O1484">
        <v>1</v>
      </c>
      <c r="P1484" t="s">
        <v>776</v>
      </c>
      <c r="Q1484">
        <v>19.899999999999999</v>
      </c>
      <c r="R1484">
        <v>3.59</v>
      </c>
      <c r="S1484">
        <v>3</v>
      </c>
      <c r="T1484">
        <v>0.54</v>
      </c>
      <c r="Y1484" t="s">
        <v>4570</v>
      </c>
      <c r="Z1484" t="s">
        <v>2602</v>
      </c>
      <c r="AA1484">
        <v>16137</v>
      </c>
      <c r="AB1484" t="s">
        <v>11</v>
      </c>
    </row>
    <row r="1485" spans="1:35" x14ac:dyDescent="0.25">
      <c r="A1485" t="s">
        <v>6648</v>
      </c>
      <c r="B1485" t="s">
        <v>6648</v>
      </c>
      <c r="C1485" t="s">
        <v>6649</v>
      </c>
      <c r="D1485" t="s">
        <v>6650</v>
      </c>
      <c r="E1485" t="s">
        <v>770</v>
      </c>
      <c r="F1485" t="s">
        <v>771</v>
      </c>
      <c r="G1485" t="s">
        <v>1854</v>
      </c>
      <c r="I1485" t="s">
        <v>2692</v>
      </c>
      <c r="J1485" t="s">
        <v>783</v>
      </c>
      <c r="K1485" t="s">
        <v>2712</v>
      </c>
      <c r="L1485" t="s">
        <v>1800</v>
      </c>
      <c r="M1485" t="s">
        <v>14</v>
      </c>
      <c r="N1485" t="s">
        <v>770</v>
      </c>
      <c r="O1485">
        <v>1</v>
      </c>
      <c r="P1485" t="s">
        <v>776</v>
      </c>
      <c r="Q1485">
        <v>14.9</v>
      </c>
      <c r="R1485">
        <v>2.69</v>
      </c>
      <c r="Y1485" t="s">
        <v>3817</v>
      </c>
      <c r="Z1485" t="s">
        <v>3818</v>
      </c>
      <c r="AA1485">
        <v>2032</v>
      </c>
      <c r="AB1485" t="s">
        <v>11</v>
      </c>
    </row>
    <row r="1486" spans="1:35" x14ac:dyDescent="0.25">
      <c r="A1486" t="s">
        <v>6651</v>
      </c>
      <c r="B1486" t="s">
        <v>6651</v>
      </c>
      <c r="C1486" t="s">
        <v>6652</v>
      </c>
      <c r="D1486" t="s">
        <v>6653</v>
      </c>
      <c r="E1486" t="s">
        <v>770</v>
      </c>
      <c r="F1486" t="s">
        <v>771</v>
      </c>
      <c r="G1486" t="s">
        <v>1854</v>
      </c>
      <c r="J1486" t="s">
        <v>783</v>
      </c>
      <c r="K1486" t="s">
        <v>1862</v>
      </c>
      <c r="L1486" t="s">
        <v>1505</v>
      </c>
      <c r="M1486" t="s">
        <v>53</v>
      </c>
      <c r="N1486" t="s">
        <v>770</v>
      </c>
      <c r="O1486">
        <v>1</v>
      </c>
      <c r="P1486" t="s">
        <v>776</v>
      </c>
      <c r="Q1486">
        <v>32.9</v>
      </c>
      <c r="R1486">
        <v>5.93</v>
      </c>
      <c r="Y1486" t="s">
        <v>1875</v>
      </c>
      <c r="Z1486" t="s">
        <v>1864</v>
      </c>
      <c r="AA1486">
        <v>20123</v>
      </c>
      <c r="AB1486" t="s">
        <v>11</v>
      </c>
      <c r="AG1486" t="s">
        <v>6654</v>
      </c>
      <c r="AH1486" t="s">
        <v>11</v>
      </c>
      <c r="AI1486" t="s">
        <v>2459</v>
      </c>
    </row>
    <row r="1487" spans="1:35" x14ac:dyDescent="0.25">
      <c r="A1487" t="s">
        <v>6655</v>
      </c>
      <c r="B1487" t="s">
        <v>6655</v>
      </c>
      <c r="C1487" t="s">
        <v>6656</v>
      </c>
      <c r="D1487" t="s">
        <v>6657</v>
      </c>
      <c r="E1487" t="s">
        <v>770</v>
      </c>
      <c r="F1487" t="s">
        <v>771</v>
      </c>
      <c r="G1487" t="s">
        <v>1854</v>
      </c>
      <c r="J1487" t="s">
        <v>783</v>
      </c>
      <c r="K1487" t="s">
        <v>1873</v>
      </c>
      <c r="L1487" t="s">
        <v>840</v>
      </c>
      <c r="M1487" t="s">
        <v>26</v>
      </c>
      <c r="N1487" t="s">
        <v>770</v>
      </c>
      <c r="O1487">
        <v>2</v>
      </c>
      <c r="P1487" t="s">
        <v>776</v>
      </c>
      <c r="Q1487">
        <v>69.8</v>
      </c>
      <c r="R1487">
        <v>12.58</v>
      </c>
      <c r="Y1487" t="s">
        <v>6658</v>
      </c>
      <c r="Z1487" t="s">
        <v>2088</v>
      </c>
      <c r="AA1487">
        <v>98028</v>
      </c>
      <c r="AB1487" t="s">
        <v>11</v>
      </c>
    </row>
    <row r="1488" spans="1:35" x14ac:dyDescent="0.25">
      <c r="A1488" t="s">
        <v>6659</v>
      </c>
      <c r="B1488" t="s">
        <v>6659</v>
      </c>
      <c r="C1488" t="s">
        <v>6660</v>
      </c>
      <c r="D1488" t="s">
        <v>6661</v>
      </c>
      <c r="E1488" t="s">
        <v>770</v>
      </c>
      <c r="F1488" t="s">
        <v>771</v>
      </c>
      <c r="G1488" t="s">
        <v>1854</v>
      </c>
      <c r="J1488" t="s">
        <v>783</v>
      </c>
      <c r="K1488" t="s">
        <v>1862</v>
      </c>
      <c r="L1488" t="s">
        <v>1505</v>
      </c>
      <c r="M1488" t="s">
        <v>53</v>
      </c>
      <c r="N1488" t="s">
        <v>770</v>
      </c>
      <c r="O1488">
        <v>1</v>
      </c>
      <c r="P1488" t="s">
        <v>776</v>
      </c>
      <c r="Q1488">
        <v>32.9</v>
      </c>
      <c r="R1488">
        <v>5.93</v>
      </c>
      <c r="S1488">
        <v>0.86</v>
      </c>
      <c r="T1488">
        <v>0.16</v>
      </c>
      <c r="Y1488" t="s">
        <v>6662</v>
      </c>
      <c r="Z1488" t="s">
        <v>2057</v>
      </c>
      <c r="AA1488">
        <v>37040</v>
      </c>
      <c r="AB1488" t="s">
        <v>11</v>
      </c>
    </row>
    <row r="1489" spans="1:28" x14ac:dyDescent="0.25">
      <c r="A1489" t="s">
        <v>6663</v>
      </c>
      <c r="B1489" t="s">
        <v>6663</v>
      </c>
      <c r="C1489" t="s">
        <v>6664</v>
      </c>
      <c r="D1489" t="s">
        <v>6665</v>
      </c>
      <c r="E1489" t="s">
        <v>770</v>
      </c>
      <c r="F1489" t="s">
        <v>771</v>
      </c>
      <c r="G1489" t="s">
        <v>1854</v>
      </c>
      <c r="J1489" t="s">
        <v>783</v>
      </c>
      <c r="K1489" t="s">
        <v>2162</v>
      </c>
      <c r="L1489" t="s">
        <v>2163</v>
      </c>
      <c r="M1489" t="s">
        <v>59</v>
      </c>
      <c r="N1489" t="s">
        <v>770</v>
      </c>
      <c r="O1489">
        <v>1</v>
      </c>
      <c r="P1489" t="s">
        <v>776</v>
      </c>
      <c r="Q1489">
        <v>29.9</v>
      </c>
      <c r="R1489">
        <v>5.39</v>
      </c>
      <c r="S1489">
        <v>0.46</v>
      </c>
      <c r="X1489">
        <v>0.46</v>
      </c>
      <c r="Y1489" t="s">
        <v>6666</v>
      </c>
      <c r="Z1489" t="s">
        <v>2481</v>
      </c>
      <c r="AA1489">
        <v>88900</v>
      </c>
      <c r="AB1489" t="s">
        <v>11</v>
      </c>
    </row>
    <row r="1490" spans="1:28" x14ac:dyDescent="0.25">
      <c r="A1490" t="s">
        <v>6667</v>
      </c>
      <c r="B1490" t="s">
        <v>6667</v>
      </c>
      <c r="C1490" t="s">
        <v>6668</v>
      </c>
      <c r="D1490" t="s">
        <v>6669</v>
      </c>
      <c r="E1490" t="s">
        <v>770</v>
      </c>
      <c r="F1490" t="s">
        <v>771</v>
      </c>
      <c r="G1490" t="s">
        <v>1854</v>
      </c>
      <c r="J1490" t="s">
        <v>783</v>
      </c>
      <c r="K1490" t="s">
        <v>2044</v>
      </c>
      <c r="L1490" t="s">
        <v>1489</v>
      </c>
      <c r="M1490" t="s">
        <v>75</v>
      </c>
      <c r="N1490" t="s">
        <v>770</v>
      </c>
      <c r="O1490">
        <v>1</v>
      </c>
      <c r="P1490" t="s">
        <v>776</v>
      </c>
      <c r="Q1490">
        <v>49.9</v>
      </c>
      <c r="R1490">
        <v>9</v>
      </c>
      <c r="Y1490" t="s">
        <v>6670</v>
      </c>
      <c r="Z1490" t="s">
        <v>2057</v>
      </c>
      <c r="AA1490">
        <v>37138</v>
      </c>
      <c r="AB1490" t="s">
        <v>11</v>
      </c>
    </row>
    <row r="1491" spans="1:28" x14ac:dyDescent="0.25">
      <c r="A1491" t="s">
        <v>6671</v>
      </c>
      <c r="B1491" t="s">
        <v>6671</v>
      </c>
      <c r="C1491" t="s">
        <v>6672</v>
      </c>
      <c r="D1491" t="s">
        <v>6673</v>
      </c>
      <c r="E1491" t="s">
        <v>770</v>
      </c>
      <c r="F1491" t="s">
        <v>771</v>
      </c>
      <c r="G1491" t="s">
        <v>1854</v>
      </c>
      <c r="I1491" t="s">
        <v>2692</v>
      </c>
      <c r="J1491" t="s">
        <v>783</v>
      </c>
      <c r="K1491" t="s">
        <v>1862</v>
      </c>
      <c r="L1491" t="s">
        <v>1505</v>
      </c>
      <c r="M1491" t="s">
        <v>53</v>
      </c>
      <c r="N1491" t="s">
        <v>770</v>
      </c>
      <c r="O1491">
        <v>1</v>
      </c>
      <c r="P1491" t="s">
        <v>776</v>
      </c>
      <c r="Q1491">
        <v>32.9</v>
      </c>
      <c r="R1491">
        <v>5.93</v>
      </c>
      <c r="Y1491" t="s">
        <v>2693</v>
      </c>
      <c r="Z1491" t="s">
        <v>2148</v>
      </c>
      <c r="AA1491">
        <v>45020</v>
      </c>
      <c r="AB1491" t="s">
        <v>11</v>
      </c>
    </row>
    <row r="1492" spans="1:28" x14ac:dyDescent="0.25">
      <c r="A1492" t="s">
        <v>6674</v>
      </c>
      <c r="B1492" t="s">
        <v>6674</v>
      </c>
      <c r="C1492" t="s">
        <v>6675</v>
      </c>
      <c r="D1492" t="s">
        <v>6676</v>
      </c>
      <c r="E1492" t="s">
        <v>770</v>
      </c>
      <c r="F1492" t="s">
        <v>771</v>
      </c>
      <c r="G1492" t="s">
        <v>1854</v>
      </c>
      <c r="J1492" t="s">
        <v>783</v>
      </c>
      <c r="K1492" t="s">
        <v>1930</v>
      </c>
      <c r="L1492" t="s">
        <v>775</v>
      </c>
      <c r="M1492" t="s">
        <v>65</v>
      </c>
      <c r="N1492" t="s">
        <v>770</v>
      </c>
      <c r="O1492">
        <v>1</v>
      </c>
      <c r="P1492" t="s">
        <v>776</v>
      </c>
      <c r="Q1492">
        <v>29.9</v>
      </c>
      <c r="R1492">
        <v>5.39</v>
      </c>
      <c r="Y1492" t="s">
        <v>6246</v>
      </c>
      <c r="Z1492" t="s">
        <v>3013</v>
      </c>
      <c r="AA1492">
        <v>12037</v>
      </c>
      <c r="AB1492" t="s">
        <v>11</v>
      </c>
    </row>
    <row r="1493" spans="1:28" x14ac:dyDescent="0.25">
      <c r="A1493" t="s">
        <v>6677</v>
      </c>
      <c r="B1493" t="s">
        <v>6677</v>
      </c>
      <c r="C1493" t="s">
        <v>6678</v>
      </c>
      <c r="D1493" t="s">
        <v>6679</v>
      </c>
      <c r="E1493" t="s">
        <v>770</v>
      </c>
      <c r="F1493" t="s">
        <v>771</v>
      </c>
      <c r="G1493" t="s">
        <v>1854</v>
      </c>
      <c r="J1493" t="s">
        <v>783</v>
      </c>
      <c r="K1493" t="s">
        <v>2162</v>
      </c>
      <c r="L1493" t="s">
        <v>2163</v>
      </c>
      <c r="M1493" t="s">
        <v>59</v>
      </c>
      <c r="N1493" t="s">
        <v>770</v>
      </c>
      <c r="O1493">
        <v>1</v>
      </c>
      <c r="P1493" t="s">
        <v>776</v>
      </c>
      <c r="Q1493">
        <v>29.9</v>
      </c>
      <c r="R1493">
        <v>5.39</v>
      </c>
      <c r="Y1493" t="s">
        <v>6680</v>
      </c>
      <c r="Z1493" t="s">
        <v>2121</v>
      </c>
      <c r="AA1493">
        <v>33012</v>
      </c>
      <c r="AB1493" t="s">
        <v>11</v>
      </c>
    </row>
    <row r="1494" spans="1:28" x14ac:dyDescent="0.25">
      <c r="A1494" t="s">
        <v>6681</v>
      </c>
      <c r="C1494" t="s">
        <v>6682</v>
      </c>
      <c r="D1494" t="s">
        <v>6683</v>
      </c>
      <c r="E1494" t="s">
        <v>770</v>
      </c>
      <c r="F1494" t="s">
        <v>1884</v>
      </c>
      <c r="G1494" t="s">
        <v>1854</v>
      </c>
      <c r="H1494" t="s">
        <v>1885</v>
      </c>
      <c r="J1494" t="s">
        <v>773</v>
      </c>
      <c r="K1494" t="s">
        <v>2396</v>
      </c>
      <c r="L1494" t="s">
        <v>89</v>
      </c>
      <c r="M1494" t="s">
        <v>88</v>
      </c>
      <c r="N1494" t="s">
        <v>770</v>
      </c>
      <c r="O1494">
        <v>1</v>
      </c>
      <c r="P1494" t="s">
        <v>776</v>
      </c>
      <c r="Q1494">
        <v>59.9</v>
      </c>
      <c r="R1494">
        <v>10.8</v>
      </c>
      <c r="S1494">
        <v>3</v>
      </c>
      <c r="T1494">
        <v>0.54</v>
      </c>
      <c r="Y1494" t="s">
        <v>1908</v>
      </c>
      <c r="Z1494" t="s">
        <v>2420</v>
      </c>
      <c r="AA1494">
        <v>80128</v>
      </c>
      <c r="AB1494" t="s">
        <v>11</v>
      </c>
    </row>
    <row r="1495" spans="1:28" x14ac:dyDescent="0.25">
      <c r="A1495" t="s">
        <v>6684</v>
      </c>
      <c r="B1495" t="s">
        <v>6684</v>
      </c>
      <c r="C1495" t="s">
        <v>6685</v>
      </c>
      <c r="D1495" t="s">
        <v>6686</v>
      </c>
      <c r="E1495" t="s">
        <v>770</v>
      </c>
      <c r="F1495" t="s">
        <v>771</v>
      </c>
      <c r="G1495" t="s">
        <v>1854</v>
      </c>
      <c r="J1495" t="s">
        <v>783</v>
      </c>
      <c r="K1495" t="s">
        <v>1862</v>
      </c>
      <c r="L1495" t="s">
        <v>1505</v>
      </c>
      <c r="M1495" t="s">
        <v>53</v>
      </c>
      <c r="N1495" t="s">
        <v>770</v>
      </c>
      <c r="O1495">
        <v>1</v>
      </c>
      <c r="P1495" t="s">
        <v>776</v>
      </c>
      <c r="Q1495">
        <v>32.9</v>
      </c>
      <c r="R1495">
        <v>5.93</v>
      </c>
      <c r="S1495">
        <v>0.41</v>
      </c>
      <c r="X1495">
        <v>0.41</v>
      </c>
      <c r="Y1495" t="s">
        <v>6687</v>
      </c>
      <c r="Z1495" t="s">
        <v>2153</v>
      </c>
      <c r="AA1495">
        <v>84087</v>
      </c>
      <c r="AB1495" t="s">
        <v>11</v>
      </c>
    </row>
    <row r="1496" spans="1:28" x14ac:dyDescent="0.25">
      <c r="A1496" t="s">
        <v>6688</v>
      </c>
      <c r="C1496" t="s">
        <v>6689</v>
      </c>
      <c r="D1496" t="s">
        <v>6690</v>
      </c>
      <c r="E1496" t="s">
        <v>770</v>
      </c>
      <c r="F1496" t="s">
        <v>1884</v>
      </c>
      <c r="G1496" t="s">
        <v>1854</v>
      </c>
      <c r="H1496" t="s">
        <v>1885</v>
      </c>
      <c r="J1496" t="s">
        <v>773</v>
      </c>
      <c r="K1496" t="s">
        <v>2252</v>
      </c>
      <c r="L1496" t="s">
        <v>74</v>
      </c>
      <c r="M1496" t="s">
        <v>73</v>
      </c>
      <c r="N1496" t="s">
        <v>770</v>
      </c>
      <c r="O1496">
        <v>1</v>
      </c>
      <c r="P1496" t="s">
        <v>776</v>
      </c>
      <c r="Q1496">
        <v>14.9</v>
      </c>
      <c r="R1496">
        <v>2.69</v>
      </c>
      <c r="S1496">
        <v>3</v>
      </c>
      <c r="T1496">
        <v>0.54</v>
      </c>
      <c r="Y1496" t="s">
        <v>6691</v>
      </c>
      <c r="Z1496" t="s">
        <v>2088</v>
      </c>
      <c r="AA1496">
        <v>98040</v>
      </c>
      <c r="AB1496" t="s">
        <v>11</v>
      </c>
    </row>
    <row r="1497" spans="1:28" x14ac:dyDescent="0.25">
      <c r="A1497" t="s">
        <v>6692</v>
      </c>
      <c r="C1497" t="s">
        <v>6693</v>
      </c>
      <c r="D1497" t="s">
        <v>6694</v>
      </c>
      <c r="E1497" t="s">
        <v>770</v>
      </c>
      <c r="F1497" t="s">
        <v>1884</v>
      </c>
      <c r="G1497" t="s">
        <v>1854</v>
      </c>
      <c r="H1497" t="s">
        <v>1885</v>
      </c>
      <c r="J1497" t="s">
        <v>773</v>
      </c>
      <c r="K1497" t="s">
        <v>2055</v>
      </c>
      <c r="L1497" s="2">
        <v>40405</v>
      </c>
      <c r="M1497" t="s">
        <v>202</v>
      </c>
      <c r="N1497" t="s">
        <v>770</v>
      </c>
      <c r="O1497">
        <v>1</v>
      </c>
      <c r="P1497" t="s">
        <v>776</v>
      </c>
      <c r="Q1497">
        <v>14.9</v>
      </c>
      <c r="R1497">
        <v>2.69</v>
      </c>
      <c r="S1497">
        <v>3</v>
      </c>
      <c r="T1497">
        <v>0.54</v>
      </c>
      <c r="Y1497" t="s">
        <v>6695</v>
      </c>
      <c r="Z1497" t="s">
        <v>6696</v>
      </c>
      <c r="AA1497">
        <v>8040</v>
      </c>
      <c r="AB1497" t="s">
        <v>11</v>
      </c>
    </row>
    <row r="1498" spans="1:28" x14ac:dyDescent="0.25">
      <c r="A1498" t="s">
        <v>6697</v>
      </c>
      <c r="B1498" t="s">
        <v>6697</v>
      </c>
      <c r="C1498" t="s">
        <v>6698</v>
      </c>
      <c r="D1498" t="s">
        <v>6699</v>
      </c>
      <c r="E1498" t="s">
        <v>782</v>
      </c>
      <c r="F1498" t="s">
        <v>771</v>
      </c>
      <c r="G1498" t="s">
        <v>1854</v>
      </c>
      <c r="I1498" t="s">
        <v>2692</v>
      </c>
      <c r="J1498" t="s">
        <v>783</v>
      </c>
      <c r="K1498" t="s">
        <v>2712</v>
      </c>
      <c r="L1498" t="s">
        <v>1800</v>
      </c>
      <c r="M1498" t="s">
        <v>14</v>
      </c>
      <c r="N1498" t="s">
        <v>782</v>
      </c>
      <c r="O1498">
        <v>0</v>
      </c>
      <c r="Y1498" t="s">
        <v>1875</v>
      </c>
      <c r="AA1498">
        <v>20124</v>
      </c>
      <c r="AB1498" t="s">
        <v>11</v>
      </c>
    </row>
    <row r="1499" spans="1:28" x14ac:dyDescent="0.25">
      <c r="A1499" t="s">
        <v>6700</v>
      </c>
      <c r="C1499" t="s">
        <v>6701</v>
      </c>
      <c r="D1499" t="s">
        <v>6702</v>
      </c>
      <c r="E1499" t="s">
        <v>770</v>
      </c>
      <c r="F1499" t="s">
        <v>1884</v>
      </c>
      <c r="G1499" t="s">
        <v>1854</v>
      </c>
      <c r="H1499" t="s">
        <v>1885</v>
      </c>
      <c r="J1499" t="s">
        <v>773</v>
      </c>
      <c r="K1499" t="s">
        <v>2913</v>
      </c>
      <c r="L1499" t="s">
        <v>99</v>
      </c>
      <c r="M1499" t="s">
        <v>98</v>
      </c>
      <c r="N1499" t="s">
        <v>770</v>
      </c>
      <c r="O1499">
        <v>1</v>
      </c>
      <c r="P1499" t="s">
        <v>776</v>
      </c>
      <c r="Q1499">
        <v>29.9</v>
      </c>
      <c r="R1499">
        <v>5.39</v>
      </c>
      <c r="S1499">
        <v>3</v>
      </c>
      <c r="T1499">
        <v>0.54</v>
      </c>
      <c r="Y1499" t="s">
        <v>6703</v>
      </c>
      <c r="Z1499" t="s">
        <v>2362</v>
      </c>
      <c r="AA1499">
        <v>15033</v>
      </c>
      <c r="AB1499" t="s">
        <v>11</v>
      </c>
    </row>
    <row r="1500" spans="1:28" x14ac:dyDescent="0.25">
      <c r="A1500" t="s">
        <v>6704</v>
      </c>
      <c r="B1500" t="s">
        <v>6704</v>
      </c>
      <c r="C1500" t="s">
        <v>6705</v>
      </c>
      <c r="D1500" t="s">
        <v>6706</v>
      </c>
      <c r="E1500" t="s">
        <v>770</v>
      </c>
      <c r="F1500" t="s">
        <v>771</v>
      </c>
      <c r="G1500" t="s">
        <v>1854</v>
      </c>
      <c r="J1500" t="s">
        <v>783</v>
      </c>
      <c r="K1500" t="s">
        <v>1862</v>
      </c>
      <c r="L1500" t="s">
        <v>1505</v>
      </c>
      <c r="M1500" t="s">
        <v>53</v>
      </c>
      <c r="N1500" t="s">
        <v>770</v>
      </c>
      <c r="O1500">
        <v>1</v>
      </c>
      <c r="P1500" t="s">
        <v>776</v>
      </c>
      <c r="Q1500">
        <v>32.9</v>
      </c>
      <c r="R1500">
        <v>5.93</v>
      </c>
      <c r="Y1500" t="s">
        <v>6707</v>
      </c>
      <c r="Z1500" t="s">
        <v>3608</v>
      </c>
      <c r="AA1500">
        <v>21042</v>
      </c>
      <c r="AB1500" t="s">
        <v>11</v>
      </c>
    </row>
    <row r="1501" spans="1:28" x14ac:dyDescent="0.25">
      <c r="A1501" t="s">
        <v>6708</v>
      </c>
      <c r="C1501" t="s">
        <v>6709</v>
      </c>
      <c r="D1501" t="s">
        <v>6600</v>
      </c>
      <c r="E1501" t="s">
        <v>770</v>
      </c>
      <c r="F1501" t="s">
        <v>1884</v>
      </c>
      <c r="G1501" t="s">
        <v>1854</v>
      </c>
      <c r="H1501" t="s">
        <v>1885</v>
      </c>
      <c r="J1501" t="s">
        <v>773</v>
      </c>
      <c r="K1501" t="s">
        <v>1855</v>
      </c>
      <c r="L1501" t="s">
        <v>13</v>
      </c>
      <c r="M1501" t="s">
        <v>12</v>
      </c>
      <c r="N1501" t="s">
        <v>770</v>
      </c>
      <c r="O1501">
        <v>1</v>
      </c>
      <c r="P1501" t="s">
        <v>776</v>
      </c>
      <c r="Q1501">
        <v>19.899999999999999</v>
      </c>
      <c r="R1501">
        <v>3.59</v>
      </c>
      <c r="S1501">
        <v>3</v>
      </c>
      <c r="T1501">
        <v>0.54</v>
      </c>
      <c r="Y1501" t="s">
        <v>6710</v>
      </c>
      <c r="Z1501" t="s">
        <v>1913</v>
      </c>
      <c r="AA1501">
        <v>41</v>
      </c>
      <c r="AB1501" t="s">
        <v>11</v>
      </c>
    </row>
    <row r="1502" spans="1:28" x14ac:dyDescent="0.25">
      <c r="A1502" t="s">
        <v>6711</v>
      </c>
      <c r="B1502" t="s">
        <v>6711</v>
      </c>
      <c r="C1502" t="s">
        <v>6712</v>
      </c>
      <c r="D1502" t="s">
        <v>6713</v>
      </c>
      <c r="E1502" t="s">
        <v>770</v>
      </c>
      <c r="F1502" t="s">
        <v>771</v>
      </c>
      <c r="G1502" t="s">
        <v>1854</v>
      </c>
      <c r="J1502" t="s">
        <v>783</v>
      </c>
      <c r="K1502" t="s">
        <v>2044</v>
      </c>
      <c r="L1502" t="s">
        <v>1489</v>
      </c>
      <c r="M1502" t="s">
        <v>75</v>
      </c>
      <c r="N1502" t="s">
        <v>770</v>
      </c>
      <c r="O1502">
        <v>1</v>
      </c>
      <c r="P1502" t="s">
        <v>776</v>
      </c>
      <c r="Q1502">
        <v>49.9</v>
      </c>
      <c r="R1502">
        <v>9</v>
      </c>
      <c r="Y1502" t="s">
        <v>1913</v>
      </c>
      <c r="Z1502" t="s">
        <v>1926</v>
      </c>
      <c r="AA1502">
        <v>136</v>
      </c>
      <c r="AB1502" t="s">
        <v>11</v>
      </c>
    </row>
    <row r="1503" spans="1:28" x14ac:dyDescent="0.25">
      <c r="A1503" t="s">
        <v>6714</v>
      </c>
      <c r="B1503" t="s">
        <v>6714</v>
      </c>
      <c r="C1503" t="s">
        <v>6715</v>
      </c>
      <c r="D1503" t="s">
        <v>6716</v>
      </c>
      <c r="E1503" t="s">
        <v>770</v>
      </c>
      <c r="F1503" t="s">
        <v>771</v>
      </c>
      <c r="G1503" t="s">
        <v>1854</v>
      </c>
      <c r="J1503" t="s">
        <v>783</v>
      </c>
      <c r="K1503" t="s">
        <v>1873</v>
      </c>
      <c r="L1503" t="s">
        <v>840</v>
      </c>
      <c r="M1503" t="s">
        <v>26</v>
      </c>
      <c r="N1503" t="s">
        <v>770</v>
      </c>
      <c r="O1503">
        <v>1</v>
      </c>
      <c r="P1503" t="s">
        <v>776</v>
      </c>
      <c r="Q1503">
        <v>34.9</v>
      </c>
      <c r="R1503">
        <v>6.29</v>
      </c>
      <c r="Y1503" t="s">
        <v>6717</v>
      </c>
      <c r="Z1503" t="s">
        <v>3190</v>
      </c>
      <c r="AA1503">
        <v>31058</v>
      </c>
      <c r="AB1503" t="s">
        <v>11</v>
      </c>
    </row>
    <row r="1504" spans="1:28" x14ac:dyDescent="0.25">
      <c r="A1504" t="s">
        <v>6718</v>
      </c>
      <c r="C1504" t="s">
        <v>6719</v>
      </c>
      <c r="D1504" t="s">
        <v>6600</v>
      </c>
      <c r="E1504" t="s">
        <v>770</v>
      </c>
      <c r="F1504" t="s">
        <v>1884</v>
      </c>
      <c r="G1504" t="s">
        <v>1854</v>
      </c>
      <c r="H1504" t="s">
        <v>1885</v>
      </c>
      <c r="J1504" t="s">
        <v>773</v>
      </c>
      <c r="K1504" t="s">
        <v>1855</v>
      </c>
      <c r="L1504" t="s">
        <v>13</v>
      </c>
      <c r="M1504" t="s">
        <v>12</v>
      </c>
      <c r="N1504" t="s">
        <v>770</v>
      </c>
      <c r="O1504">
        <v>1</v>
      </c>
      <c r="P1504" t="s">
        <v>776</v>
      </c>
      <c r="Q1504">
        <v>19.899999999999999</v>
      </c>
      <c r="R1504">
        <v>3.59</v>
      </c>
      <c r="S1504">
        <v>3</v>
      </c>
      <c r="T1504">
        <v>0.54</v>
      </c>
      <c r="Y1504" t="s">
        <v>4570</v>
      </c>
      <c r="Z1504" t="s">
        <v>2602</v>
      </c>
      <c r="AA1504">
        <v>16139</v>
      </c>
      <c r="AB1504" t="s">
        <v>11</v>
      </c>
    </row>
    <row r="1505" spans="1:35" x14ac:dyDescent="0.25">
      <c r="A1505" t="s">
        <v>6720</v>
      </c>
      <c r="C1505" t="s">
        <v>6721</v>
      </c>
      <c r="D1505" t="s">
        <v>6722</v>
      </c>
      <c r="E1505" t="s">
        <v>770</v>
      </c>
      <c r="F1505" t="s">
        <v>1884</v>
      </c>
      <c r="G1505" t="s">
        <v>1854</v>
      </c>
      <c r="H1505" t="s">
        <v>1885</v>
      </c>
      <c r="J1505" t="s">
        <v>773</v>
      </c>
      <c r="K1505" t="s">
        <v>1855</v>
      </c>
      <c r="L1505" t="s">
        <v>13</v>
      </c>
      <c r="M1505" t="s">
        <v>12</v>
      </c>
      <c r="N1505" t="s">
        <v>770</v>
      </c>
      <c r="O1505">
        <v>1</v>
      </c>
      <c r="P1505" t="s">
        <v>776</v>
      </c>
      <c r="Q1505">
        <v>19.899999999999999</v>
      </c>
      <c r="R1505">
        <v>3.59</v>
      </c>
      <c r="S1505">
        <v>3</v>
      </c>
      <c r="T1505">
        <v>0.54</v>
      </c>
      <c r="Y1505" t="s">
        <v>6723</v>
      </c>
      <c r="Z1505" t="s">
        <v>2597</v>
      </c>
      <c r="AA1505">
        <v>70010</v>
      </c>
      <c r="AB1505" t="s">
        <v>11</v>
      </c>
    </row>
    <row r="1506" spans="1:35" x14ac:dyDescent="0.25">
      <c r="A1506" t="s">
        <v>6724</v>
      </c>
      <c r="B1506" t="s">
        <v>6724</v>
      </c>
      <c r="C1506" t="s">
        <v>6725</v>
      </c>
      <c r="D1506" t="s">
        <v>6726</v>
      </c>
      <c r="E1506" t="s">
        <v>770</v>
      </c>
      <c r="F1506" t="s">
        <v>771</v>
      </c>
      <c r="G1506" t="s">
        <v>1854</v>
      </c>
      <c r="J1506" t="s">
        <v>783</v>
      </c>
      <c r="K1506" t="s">
        <v>1873</v>
      </c>
      <c r="L1506" t="s">
        <v>840</v>
      </c>
      <c r="M1506" t="s">
        <v>26</v>
      </c>
      <c r="N1506" t="s">
        <v>770</v>
      </c>
      <c r="O1506">
        <v>1</v>
      </c>
      <c r="P1506" t="s">
        <v>776</v>
      </c>
      <c r="Q1506">
        <v>34.9</v>
      </c>
      <c r="R1506">
        <v>6.29</v>
      </c>
      <c r="Y1506" t="s">
        <v>6727</v>
      </c>
      <c r="Z1506" t="s">
        <v>5047</v>
      </c>
      <c r="AA1506">
        <v>13017</v>
      </c>
      <c r="AB1506" t="s">
        <v>11</v>
      </c>
    </row>
    <row r="1507" spans="1:35" x14ac:dyDescent="0.25">
      <c r="A1507" t="s">
        <v>6728</v>
      </c>
      <c r="C1507" t="s">
        <v>6729</v>
      </c>
      <c r="D1507" t="s">
        <v>6730</v>
      </c>
      <c r="E1507" t="s">
        <v>770</v>
      </c>
      <c r="F1507" t="s">
        <v>1884</v>
      </c>
      <c r="G1507" t="s">
        <v>1854</v>
      </c>
      <c r="H1507" t="s">
        <v>1885</v>
      </c>
      <c r="J1507" t="s">
        <v>773</v>
      </c>
      <c r="K1507" t="s">
        <v>1855</v>
      </c>
      <c r="L1507" t="s">
        <v>13</v>
      </c>
      <c r="M1507" t="s">
        <v>12</v>
      </c>
      <c r="N1507" t="s">
        <v>770</v>
      </c>
      <c r="O1507">
        <v>1</v>
      </c>
      <c r="P1507" t="s">
        <v>776</v>
      </c>
      <c r="Q1507">
        <v>19.899999999999999</v>
      </c>
      <c r="R1507">
        <v>3.59</v>
      </c>
      <c r="S1507">
        <v>3</v>
      </c>
      <c r="T1507">
        <v>0.54</v>
      </c>
      <c r="Y1507" t="s">
        <v>5697</v>
      </c>
      <c r="Z1507" t="s">
        <v>2463</v>
      </c>
      <c r="AA1507">
        <v>6081</v>
      </c>
      <c r="AB1507" t="s">
        <v>11</v>
      </c>
    </row>
    <row r="1508" spans="1:35" x14ac:dyDescent="0.25">
      <c r="A1508" t="s">
        <v>6731</v>
      </c>
      <c r="C1508" t="s">
        <v>6732</v>
      </c>
      <c r="D1508" t="s">
        <v>6733</v>
      </c>
      <c r="E1508" t="s">
        <v>770</v>
      </c>
      <c r="F1508" t="s">
        <v>1884</v>
      </c>
      <c r="G1508" t="s">
        <v>1854</v>
      </c>
      <c r="H1508" t="s">
        <v>1885</v>
      </c>
      <c r="J1508" t="s">
        <v>773</v>
      </c>
      <c r="K1508" t="s">
        <v>1855</v>
      </c>
      <c r="L1508" t="s">
        <v>13</v>
      </c>
      <c r="M1508" t="s">
        <v>12</v>
      </c>
      <c r="N1508" t="s">
        <v>770</v>
      </c>
      <c r="O1508">
        <v>1</v>
      </c>
      <c r="P1508" t="s">
        <v>776</v>
      </c>
      <c r="Q1508">
        <v>19.899999999999999</v>
      </c>
      <c r="R1508">
        <v>3.59</v>
      </c>
      <c r="S1508">
        <v>3</v>
      </c>
      <c r="T1508">
        <v>0.54</v>
      </c>
      <c r="Y1508" t="s">
        <v>3576</v>
      </c>
      <c r="Z1508" t="s">
        <v>3577</v>
      </c>
      <c r="AA1508">
        <v>28021</v>
      </c>
      <c r="AB1508" t="s">
        <v>11</v>
      </c>
    </row>
    <row r="1509" spans="1:35" x14ac:dyDescent="0.25">
      <c r="A1509" t="s">
        <v>6734</v>
      </c>
      <c r="B1509" t="s">
        <v>6734</v>
      </c>
      <c r="C1509" t="s">
        <v>6735</v>
      </c>
      <c r="D1509" t="s">
        <v>6736</v>
      </c>
      <c r="E1509" t="s">
        <v>770</v>
      </c>
      <c r="F1509" t="s">
        <v>771</v>
      </c>
      <c r="G1509" t="s">
        <v>1854</v>
      </c>
      <c r="J1509" t="s">
        <v>783</v>
      </c>
      <c r="K1509" t="s">
        <v>1873</v>
      </c>
      <c r="L1509" t="s">
        <v>840</v>
      </c>
      <c r="M1509" t="s">
        <v>26</v>
      </c>
      <c r="N1509" t="s">
        <v>770</v>
      </c>
      <c r="O1509">
        <v>1</v>
      </c>
      <c r="P1509" t="s">
        <v>776</v>
      </c>
      <c r="Q1509">
        <v>34.9</v>
      </c>
      <c r="R1509">
        <v>6.29</v>
      </c>
      <c r="Y1509" t="s">
        <v>6737</v>
      </c>
      <c r="Z1509" t="s">
        <v>3089</v>
      </c>
      <c r="AA1509">
        <v>25064</v>
      </c>
      <c r="AB1509" t="s">
        <v>11</v>
      </c>
    </row>
    <row r="1510" spans="1:35" x14ac:dyDescent="0.25">
      <c r="A1510" t="s">
        <v>6738</v>
      </c>
      <c r="B1510" t="s">
        <v>6738</v>
      </c>
      <c r="C1510" t="s">
        <v>6739</v>
      </c>
      <c r="D1510" t="s">
        <v>6740</v>
      </c>
      <c r="E1510" t="s">
        <v>770</v>
      </c>
      <c r="F1510" t="s">
        <v>771</v>
      </c>
      <c r="G1510" t="s">
        <v>1854</v>
      </c>
      <c r="J1510" t="s">
        <v>783</v>
      </c>
      <c r="K1510" t="s">
        <v>1873</v>
      </c>
      <c r="L1510" t="s">
        <v>840</v>
      </c>
      <c r="M1510" t="s">
        <v>26</v>
      </c>
      <c r="N1510" t="s">
        <v>770</v>
      </c>
      <c r="O1510">
        <v>1</v>
      </c>
      <c r="P1510" t="s">
        <v>776</v>
      </c>
      <c r="Q1510">
        <v>34.9</v>
      </c>
      <c r="R1510">
        <v>6.29</v>
      </c>
      <c r="Y1510" t="s">
        <v>2101</v>
      </c>
      <c r="Z1510" t="s">
        <v>2101</v>
      </c>
      <c r="AA1510">
        <v>47923</v>
      </c>
      <c r="AB1510" t="s">
        <v>11</v>
      </c>
    </row>
    <row r="1511" spans="1:35" x14ac:dyDescent="0.25">
      <c r="A1511" t="s">
        <v>6741</v>
      </c>
      <c r="B1511" t="s">
        <v>6741</v>
      </c>
      <c r="C1511" t="s">
        <v>6742</v>
      </c>
      <c r="D1511" t="s">
        <v>6743</v>
      </c>
      <c r="E1511" t="s">
        <v>770</v>
      </c>
      <c r="F1511" t="s">
        <v>771</v>
      </c>
      <c r="G1511" t="s">
        <v>1854</v>
      </c>
      <c r="J1511" t="s">
        <v>783</v>
      </c>
      <c r="K1511" t="s">
        <v>1960</v>
      </c>
      <c r="L1511" t="s">
        <v>1047</v>
      </c>
      <c r="M1511" t="s">
        <v>21</v>
      </c>
      <c r="N1511" t="s">
        <v>770</v>
      </c>
      <c r="O1511">
        <v>1</v>
      </c>
      <c r="P1511" t="s">
        <v>776</v>
      </c>
      <c r="Q1511">
        <v>29.9</v>
      </c>
      <c r="R1511">
        <v>5.39</v>
      </c>
      <c r="Y1511" t="s">
        <v>6744</v>
      </c>
      <c r="Z1511" t="s">
        <v>3608</v>
      </c>
      <c r="AA1511">
        <v>21035</v>
      </c>
      <c r="AB1511" t="s">
        <v>11</v>
      </c>
    </row>
    <row r="1512" spans="1:35" x14ac:dyDescent="0.25">
      <c r="A1512" t="s">
        <v>6745</v>
      </c>
      <c r="B1512" t="s">
        <v>6745</v>
      </c>
      <c r="C1512" t="s">
        <v>6746</v>
      </c>
      <c r="D1512" t="s">
        <v>6747</v>
      </c>
      <c r="E1512" t="s">
        <v>770</v>
      </c>
      <c r="F1512" t="s">
        <v>771</v>
      </c>
      <c r="G1512" t="s">
        <v>1854</v>
      </c>
      <c r="J1512" t="s">
        <v>783</v>
      </c>
      <c r="K1512" t="s">
        <v>1930</v>
      </c>
      <c r="L1512" t="s">
        <v>775</v>
      </c>
      <c r="M1512" t="s">
        <v>65</v>
      </c>
      <c r="N1512" t="s">
        <v>770</v>
      </c>
      <c r="O1512">
        <v>1</v>
      </c>
      <c r="P1512" t="s">
        <v>776</v>
      </c>
      <c r="Q1512">
        <v>29.9</v>
      </c>
      <c r="R1512">
        <v>5.39</v>
      </c>
      <c r="Y1512" t="s">
        <v>4466</v>
      </c>
      <c r="Z1512" t="s">
        <v>1875</v>
      </c>
      <c r="AA1512">
        <v>20025</v>
      </c>
      <c r="AB1512" t="s">
        <v>11</v>
      </c>
    </row>
    <row r="1513" spans="1:35" x14ac:dyDescent="0.25">
      <c r="A1513" t="s">
        <v>6748</v>
      </c>
      <c r="B1513" t="s">
        <v>6748</v>
      </c>
      <c r="C1513" t="s">
        <v>6749</v>
      </c>
      <c r="D1513" t="s">
        <v>6750</v>
      </c>
      <c r="E1513" t="s">
        <v>770</v>
      </c>
      <c r="F1513" t="s">
        <v>771</v>
      </c>
      <c r="G1513" t="s">
        <v>1854</v>
      </c>
      <c r="J1513" t="s">
        <v>783</v>
      </c>
      <c r="K1513" t="s">
        <v>1873</v>
      </c>
      <c r="L1513" t="s">
        <v>840</v>
      </c>
      <c r="M1513" t="s">
        <v>26</v>
      </c>
      <c r="N1513" t="s">
        <v>770</v>
      </c>
      <c r="O1513">
        <v>1</v>
      </c>
      <c r="P1513" t="s">
        <v>776</v>
      </c>
      <c r="Q1513">
        <v>34.9</v>
      </c>
      <c r="R1513">
        <v>6.29</v>
      </c>
      <c r="Y1513" t="s">
        <v>6751</v>
      </c>
      <c r="Z1513" t="s">
        <v>1067</v>
      </c>
      <c r="AA1513">
        <v>55011</v>
      </c>
      <c r="AB1513" t="s">
        <v>11</v>
      </c>
    </row>
    <row r="1514" spans="1:35" x14ac:dyDescent="0.25">
      <c r="A1514" t="s">
        <v>6752</v>
      </c>
      <c r="B1514" t="s">
        <v>6752</v>
      </c>
      <c r="C1514" t="s">
        <v>6753</v>
      </c>
      <c r="D1514" t="s">
        <v>6754</v>
      </c>
      <c r="E1514" t="s">
        <v>770</v>
      </c>
      <c r="F1514" t="s">
        <v>771</v>
      </c>
      <c r="G1514" t="s">
        <v>1854</v>
      </c>
      <c r="J1514" t="s">
        <v>783</v>
      </c>
      <c r="K1514" t="s">
        <v>1873</v>
      </c>
      <c r="L1514" t="s">
        <v>840</v>
      </c>
      <c r="M1514" t="s">
        <v>26</v>
      </c>
      <c r="N1514" t="s">
        <v>770</v>
      </c>
      <c r="O1514">
        <v>1</v>
      </c>
      <c r="P1514" t="s">
        <v>776</v>
      </c>
      <c r="Q1514">
        <v>34.9</v>
      </c>
      <c r="R1514">
        <v>6.29</v>
      </c>
      <c r="Y1514" t="s">
        <v>6755</v>
      </c>
      <c r="AA1514">
        <v>30033</v>
      </c>
      <c r="AB1514" t="s">
        <v>11</v>
      </c>
    </row>
    <row r="1515" spans="1:35" x14ac:dyDescent="0.25">
      <c r="A1515" t="s">
        <v>6756</v>
      </c>
      <c r="B1515" t="s">
        <v>6756</v>
      </c>
      <c r="C1515" t="s">
        <v>6757</v>
      </c>
      <c r="D1515" t="s">
        <v>6758</v>
      </c>
      <c r="E1515" t="s">
        <v>770</v>
      </c>
      <c r="F1515" t="s">
        <v>771</v>
      </c>
      <c r="G1515" t="s">
        <v>1854</v>
      </c>
      <c r="J1515" t="s">
        <v>783</v>
      </c>
      <c r="K1515" t="s">
        <v>1862</v>
      </c>
      <c r="L1515" t="s">
        <v>1505</v>
      </c>
      <c r="M1515" t="s">
        <v>53</v>
      </c>
      <c r="N1515" t="s">
        <v>770</v>
      </c>
      <c r="O1515">
        <v>1</v>
      </c>
      <c r="P1515" t="s">
        <v>776</v>
      </c>
      <c r="Q1515">
        <v>32.9</v>
      </c>
      <c r="R1515">
        <v>5.93</v>
      </c>
      <c r="Y1515" t="s">
        <v>6759</v>
      </c>
      <c r="Z1515" t="s">
        <v>1875</v>
      </c>
      <c r="AA1515">
        <v>20079</v>
      </c>
      <c r="AB1515" t="s">
        <v>11</v>
      </c>
    </row>
    <row r="1516" spans="1:35" x14ac:dyDescent="0.25">
      <c r="A1516" t="s">
        <v>6760</v>
      </c>
      <c r="B1516" t="s">
        <v>6760</v>
      </c>
      <c r="C1516" t="s">
        <v>6761</v>
      </c>
      <c r="D1516" t="s">
        <v>6762</v>
      </c>
      <c r="E1516" t="s">
        <v>770</v>
      </c>
      <c r="F1516" t="s">
        <v>771</v>
      </c>
      <c r="G1516" t="s">
        <v>1854</v>
      </c>
      <c r="I1516" t="s">
        <v>2692</v>
      </c>
      <c r="J1516" t="s">
        <v>783</v>
      </c>
      <c r="K1516" t="s">
        <v>3308</v>
      </c>
      <c r="L1516" s="2">
        <v>50700</v>
      </c>
      <c r="M1516" t="s">
        <v>61</v>
      </c>
      <c r="N1516" t="s">
        <v>770</v>
      </c>
      <c r="O1516">
        <v>1</v>
      </c>
      <c r="P1516" t="s">
        <v>776</v>
      </c>
      <c r="Q1516">
        <v>44.9</v>
      </c>
      <c r="R1516">
        <v>8.1</v>
      </c>
      <c r="Y1516" t="s">
        <v>6763</v>
      </c>
      <c r="Z1516" t="s">
        <v>6764</v>
      </c>
      <c r="AA1516">
        <v>28100</v>
      </c>
      <c r="AB1516" t="s">
        <v>11</v>
      </c>
    </row>
    <row r="1517" spans="1:35" x14ac:dyDescent="0.25">
      <c r="A1517" t="s">
        <v>6765</v>
      </c>
      <c r="B1517" t="s">
        <v>6765</v>
      </c>
      <c r="C1517" t="s">
        <v>6766</v>
      </c>
      <c r="D1517" t="s">
        <v>6767</v>
      </c>
      <c r="E1517" t="s">
        <v>770</v>
      </c>
      <c r="F1517" t="s">
        <v>771</v>
      </c>
      <c r="G1517" t="s">
        <v>1854</v>
      </c>
      <c r="J1517" t="s">
        <v>783</v>
      </c>
      <c r="K1517" t="s">
        <v>1873</v>
      </c>
      <c r="L1517" t="s">
        <v>840</v>
      </c>
      <c r="M1517" t="s">
        <v>26</v>
      </c>
      <c r="N1517" t="s">
        <v>770</v>
      </c>
      <c r="O1517">
        <v>1</v>
      </c>
      <c r="P1517" t="s">
        <v>776</v>
      </c>
      <c r="Q1517">
        <v>34.9</v>
      </c>
      <c r="R1517">
        <v>6.29</v>
      </c>
      <c r="Y1517" t="s">
        <v>3179</v>
      </c>
      <c r="Z1517" t="s">
        <v>3180</v>
      </c>
      <c r="AA1517">
        <v>96010</v>
      </c>
      <c r="AB1517" t="s">
        <v>11</v>
      </c>
    </row>
    <row r="1518" spans="1:35" x14ac:dyDescent="0.25">
      <c r="A1518" t="s">
        <v>6768</v>
      </c>
      <c r="B1518" t="s">
        <v>6768</v>
      </c>
      <c r="C1518" t="s">
        <v>6769</v>
      </c>
      <c r="D1518" t="s">
        <v>6770</v>
      </c>
      <c r="E1518" t="s">
        <v>770</v>
      </c>
      <c r="F1518" t="s">
        <v>771</v>
      </c>
      <c r="G1518" t="s">
        <v>1854</v>
      </c>
      <c r="J1518" t="s">
        <v>783</v>
      </c>
      <c r="K1518" t="s">
        <v>1873</v>
      </c>
      <c r="L1518" t="s">
        <v>840</v>
      </c>
      <c r="M1518" t="s">
        <v>26</v>
      </c>
      <c r="N1518" t="s">
        <v>770</v>
      </c>
      <c r="O1518">
        <v>1</v>
      </c>
      <c r="P1518" t="s">
        <v>776</v>
      </c>
      <c r="Q1518">
        <v>34.9</v>
      </c>
      <c r="R1518">
        <v>6.29</v>
      </c>
      <c r="Y1518" t="s">
        <v>6771</v>
      </c>
      <c r="Z1518" t="s">
        <v>2281</v>
      </c>
      <c r="AA1518">
        <v>73011</v>
      </c>
      <c r="AB1518" t="s">
        <v>11</v>
      </c>
      <c r="AG1518" t="s">
        <v>6772</v>
      </c>
      <c r="AH1518" t="s">
        <v>11</v>
      </c>
      <c r="AI1518" t="s">
        <v>1258</v>
      </c>
    </row>
    <row r="1519" spans="1:35" x14ac:dyDescent="0.25">
      <c r="A1519" t="s">
        <v>6773</v>
      </c>
      <c r="B1519" t="s">
        <v>6773</v>
      </c>
      <c r="C1519" t="s">
        <v>6774</v>
      </c>
      <c r="D1519" t="s">
        <v>6775</v>
      </c>
      <c r="E1519" t="s">
        <v>770</v>
      </c>
      <c r="F1519" t="s">
        <v>771</v>
      </c>
      <c r="G1519" t="s">
        <v>1854</v>
      </c>
      <c r="I1519" t="s">
        <v>2692</v>
      </c>
      <c r="J1519" t="s">
        <v>783</v>
      </c>
      <c r="K1519" t="s">
        <v>2712</v>
      </c>
      <c r="L1519" t="s">
        <v>1800</v>
      </c>
      <c r="M1519" t="s">
        <v>14</v>
      </c>
      <c r="N1519" t="s">
        <v>770</v>
      </c>
      <c r="O1519">
        <v>1</v>
      </c>
      <c r="P1519" t="s">
        <v>776</v>
      </c>
      <c r="Q1519">
        <v>14.9</v>
      </c>
      <c r="R1519">
        <v>2.69</v>
      </c>
      <c r="Y1519" t="s">
        <v>3817</v>
      </c>
      <c r="Z1519" t="s">
        <v>3818</v>
      </c>
      <c r="AA1519">
        <v>2032</v>
      </c>
      <c r="AB1519" t="s">
        <v>11</v>
      </c>
    </row>
    <row r="1520" spans="1:35" x14ac:dyDescent="0.25">
      <c r="A1520" t="s">
        <v>6776</v>
      </c>
      <c r="B1520" t="s">
        <v>6776</v>
      </c>
      <c r="C1520" t="s">
        <v>6777</v>
      </c>
      <c r="D1520" t="s">
        <v>6778</v>
      </c>
      <c r="E1520" t="s">
        <v>770</v>
      </c>
      <c r="F1520" t="s">
        <v>771</v>
      </c>
      <c r="G1520" t="s">
        <v>1854</v>
      </c>
      <c r="J1520" t="s">
        <v>783</v>
      </c>
      <c r="K1520" t="s">
        <v>3363</v>
      </c>
      <c r="L1520" t="s">
        <v>5572</v>
      </c>
      <c r="M1520" t="s">
        <v>71</v>
      </c>
      <c r="N1520" t="s">
        <v>770</v>
      </c>
      <c r="O1520">
        <v>1</v>
      </c>
      <c r="P1520" t="s">
        <v>776</v>
      </c>
      <c r="Q1520">
        <v>29.9</v>
      </c>
      <c r="R1520">
        <v>5.39</v>
      </c>
      <c r="Y1520" t="s">
        <v>3369</v>
      </c>
      <c r="Z1520" t="s">
        <v>4498</v>
      </c>
      <c r="AA1520">
        <v>72100</v>
      </c>
      <c r="AB1520" t="s">
        <v>11</v>
      </c>
    </row>
    <row r="1521" spans="1:28" x14ac:dyDescent="0.25">
      <c r="A1521" t="s">
        <v>6779</v>
      </c>
      <c r="B1521" t="s">
        <v>6779</v>
      </c>
      <c r="C1521" t="s">
        <v>6780</v>
      </c>
      <c r="D1521" t="s">
        <v>6781</v>
      </c>
      <c r="E1521" t="s">
        <v>770</v>
      </c>
      <c r="F1521" t="s">
        <v>771</v>
      </c>
      <c r="G1521" t="s">
        <v>1854</v>
      </c>
      <c r="J1521" t="s">
        <v>783</v>
      </c>
      <c r="K1521" t="s">
        <v>3328</v>
      </c>
      <c r="L1521" t="s">
        <v>3329</v>
      </c>
      <c r="M1521" t="s">
        <v>35</v>
      </c>
      <c r="N1521" t="s">
        <v>770</v>
      </c>
      <c r="O1521">
        <v>1</v>
      </c>
      <c r="P1521" t="s">
        <v>776</v>
      </c>
      <c r="Q1521">
        <v>24.9</v>
      </c>
      <c r="R1521">
        <v>4.49</v>
      </c>
      <c r="Y1521" t="s">
        <v>3802</v>
      </c>
      <c r="Z1521" t="s">
        <v>2342</v>
      </c>
      <c r="AA1521">
        <v>90141</v>
      </c>
      <c r="AB1521" t="s">
        <v>11</v>
      </c>
    </row>
    <row r="1522" spans="1:28" x14ac:dyDescent="0.25">
      <c r="A1522" t="s">
        <v>6782</v>
      </c>
      <c r="B1522" t="s">
        <v>6782</v>
      </c>
      <c r="C1522" t="s">
        <v>6783</v>
      </c>
      <c r="D1522" t="s">
        <v>6784</v>
      </c>
      <c r="E1522" t="s">
        <v>770</v>
      </c>
      <c r="F1522" t="s">
        <v>771</v>
      </c>
      <c r="G1522" t="s">
        <v>1854</v>
      </c>
      <c r="J1522" t="s">
        <v>783</v>
      </c>
      <c r="K1522" t="s">
        <v>1930</v>
      </c>
      <c r="L1522" t="s">
        <v>775</v>
      </c>
      <c r="M1522" t="s">
        <v>65</v>
      </c>
      <c r="N1522" t="s">
        <v>770</v>
      </c>
      <c r="O1522">
        <v>1</v>
      </c>
      <c r="P1522" t="s">
        <v>776</v>
      </c>
      <c r="Q1522">
        <v>29.9</v>
      </c>
      <c r="R1522">
        <v>5.39</v>
      </c>
      <c r="Y1522">
        <v>67100</v>
      </c>
      <c r="Z1522" t="s">
        <v>6785</v>
      </c>
      <c r="AA1522">
        <v>67100</v>
      </c>
      <c r="AB1522" t="s">
        <v>11</v>
      </c>
    </row>
    <row r="1523" spans="1:28" x14ac:dyDescent="0.25">
      <c r="A1523" t="s">
        <v>6786</v>
      </c>
      <c r="C1523" t="s">
        <v>6787</v>
      </c>
      <c r="D1523" t="s">
        <v>6788</v>
      </c>
      <c r="E1523" t="s">
        <v>782</v>
      </c>
      <c r="F1523" t="s">
        <v>1884</v>
      </c>
      <c r="G1523" t="s">
        <v>1854</v>
      </c>
      <c r="H1523" t="s">
        <v>1885</v>
      </c>
      <c r="J1523" t="s">
        <v>773</v>
      </c>
      <c r="K1523" t="s">
        <v>2396</v>
      </c>
      <c r="L1523" t="s">
        <v>89</v>
      </c>
      <c r="M1523" t="s">
        <v>88</v>
      </c>
      <c r="O1523">
        <v>0</v>
      </c>
      <c r="Y1523" t="s">
        <v>1908</v>
      </c>
      <c r="Z1523" t="s">
        <v>2420</v>
      </c>
      <c r="AA1523">
        <v>80128</v>
      </c>
      <c r="AB1523" t="s">
        <v>11</v>
      </c>
    </row>
    <row r="1524" spans="1:28" x14ac:dyDescent="0.25">
      <c r="A1524" t="s">
        <v>6789</v>
      </c>
      <c r="B1524" t="s">
        <v>6789</v>
      </c>
      <c r="C1524" t="s">
        <v>6790</v>
      </c>
      <c r="D1524" t="s">
        <v>6791</v>
      </c>
      <c r="E1524" t="s">
        <v>770</v>
      </c>
      <c r="F1524" t="s">
        <v>771</v>
      </c>
      <c r="G1524" t="s">
        <v>1854</v>
      </c>
      <c r="J1524" t="s">
        <v>783</v>
      </c>
      <c r="K1524" t="s">
        <v>1873</v>
      </c>
      <c r="L1524" t="s">
        <v>840</v>
      </c>
      <c r="M1524" t="s">
        <v>26</v>
      </c>
      <c r="N1524" t="s">
        <v>770</v>
      </c>
      <c r="O1524">
        <v>1</v>
      </c>
      <c r="P1524" t="s">
        <v>776</v>
      </c>
      <c r="Q1524">
        <v>34.9</v>
      </c>
      <c r="R1524">
        <v>6.29</v>
      </c>
      <c r="Y1524" t="s">
        <v>6792</v>
      </c>
      <c r="Z1524" t="s">
        <v>6793</v>
      </c>
      <c r="AA1524">
        <v>13881</v>
      </c>
      <c r="AB1524" t="s">
        <v>11</v>
      </c>
    </row>
    <row r="1525" spans="1:28" x14ac:dyDescent="0.25">
      <c r="A1525" t="s">
        <v>6794</v>
      </c>
      <c r="C1525" t="s">
        <v>6795</v>
      </c>
      <c r="D1525" t="s">
        <v>6796</v>
      </c>
      <c r="E1525" t="s">
        <v>770</v>
      </c>
      <c r="F1525" t="s">
        <v>1884</v>
      </c>
      <c r="G1525" t="s">
        <v>1854</v>
      </c>
      <c r="H1525" t="s">
        <v>1885</v>
      </c>
      <c r="J1525" t="s">
        <v>773</v>
      </c>
      <c r="K1525" t="s">
        <v>1886</v>
      </c>
      <c r="L1525" t="s">
        <v>18</v>
      </c>
      <c r="M1525" t="s">
        <v>17</v>
      </c>
      <c r="N1525" t="s">
        <v>770</v>
      </c>
      <c r="O1525">
        <v>1</v>
      </c>
      <c r="P1525" t="s">
        <v>776</v>
      </c>
      <c r="Q1525">
        <v>22.9</v>
      </c>
      <c r="R1525">
        <v>4.13</v>
      </c>
      <c r="S1525">
        <v>3</v>
      </c>
      <c r="T1525">
        <v>0.54</v>
      </c>
      <c r="Y1525" t="s">
        <v>6797</v>
      </c>
      <c r="Z1525" t="s">
        <v>1997</v>
      </c>
      <c r="AA1525">
        <v>50013</v>
      </c>
      <c r="AB1525" t="s">
        <v>11</v>
      </c>
    </row>
    <row r="1526" spans="1:28" x14ac:dyDescent="0.25">
      <c r="A1526" t="s">
        <v>6798</v>
      </c>
      <c r="C1526" t="s">
        <v>6799</v>
      </c>
      <c r="D1526" t="s">
        <v>6694</v>
      </c>
      <c r="E1526" t="s">
        <v>770</v>
      </c>
      <c r="F1526" t="s">
        <v>1884</v>
      </c>
      <c r="G1526" t="s">
        <v>1854</v>
      </c>
      <c r="H1526" t="s">
        <v>1885</v>
      </c>
      <c r="J1526" t="s">
        <v>773</v>
      </c>
      <c r="K1526" t="s">
        <v>1855</v>
      </c>
      <c r="L1526" t="s">
        <v>13</v>
      </c>
      <c r="M1526" t="s">
        <v>12</v>
      </c>
      <c r="N1526" t="s">
        <v>770</v>
      </c>
      <c r="O1526">
        <v>1</v>
      </c>
      <c r="P1526" t="s">
        <v>776</v>
      </c>
      <c r="Q1526">
        <v>19.899999999999999</v>
      </c>
      <c r="R1526">
        <v>3.59</v>
      </c>
      <c r="S1526">
        <v>3</v>
      </c>
      <c r="T1526">
        <v>0.54</v>
      </c>
      <c r="Y1526" t="s">
        <v>6800</v>
      </c>
      <c r="Z1526" t="s">
        <v>4066</v>
      </c>
      <c r="AA1526">
        <v>52010</v>
      </c>
      <c r="AB1526" t="s">
        <v>11</v>
      </c>
    </row>
    <row r="1527" spans="1:28" x14ac:dyDescent="0.25">
      <c r="A1527" t="s">
        <v>6801</v>
      </c>
      <c r="B1527" t="s">
        <v>6801</v>
      </c>
      <c r="C1527" t="s">
        <v>6802</v>
      </c>
      <c r="D1527" t="s">
        <v>6803</v>
      </c>
      <c r="E1527" t="s">
        <v>770</v>
      </c>
      <c r="F1527" t="s">
        <v>771</v>
      </c>
      <c r="G1527" t="s">
        <v>1854</v>
      </c>
      <c r="J1527" t="s">
        <v>783</v>
      </c>
      <c r="K1527" t="s">
        <v>1930</v>
      </c>
      <c r="L1527" t="s">
        <v>775</v>
      </c>
      <c r="M1527" t="s">
        <v>65</v>
      </c>
      <c r="N1527" t="s">
        <v>770</v>
      </c>
      <c r="O1527">
        <v>1</v>
      </c>
      <c r="P1527" t="s">
        <v>776</v>
      </c>
      <c r="Q1527">
        <v>29.9</v>
      </c>
      <c r="R1527">
        <v>5.39</v>
      </c>
      <c r="Y1527" t="s">
        <v>6804</v>
      </c>
      <c r="Z1527" t="s">
        <v>1989</v>
      </c>
      <c r="AA1527">
        <v>36050</v>
      </c>
      <c r="AB1527" t="s">
        <v>11</v>
      </c>
    </row>
    <row r="1528" spans="1:28" x14ac:dyDescent="0.25">
      <c r="A1528" t="s">
        <v>6805</v>
      </c>
      <c r="B1528" t="s">
        <v>6805</v>
      </c>
      <c r="C1528" t="s">
        <v>6806</v>
      </c>
      <c r="D1528" t="s">
        <v>6807</v>
      </c>
      <c r="E1528" t="s">
        <v>770</v>
      </c>
      <c r="F1528" t="s">
        <v>771</v>
      </c>
      <c r="G1528" t="s">
        <v>1854</v>
      </c>
      <c r="J1528" t="s">
        <v>783</v>
      </c>
      <c r="K1528" t="s">
        <v>1862</v>
      </c>
      <c r="L1528" t="s">
        <v>1505</v>
      </c>
      <c r="M1528" t="s">
        <v>53</v>
      </c>
      <c r="N1528" t="s">
        <v>770</v>
      </c>
      <c r="O1528">
        <v>1</v>
      </c>
      <c r="P1528" t="s">
        <v>776</v>
      </c>
      <c r="Q1528">
        <v>32.9</v>
      </c>
      <c r="R1528">
        <v>5.93</v>
      </c>
      <c r="Y1528" t="s">
        <v>2966</v>
      </c>
      <c r="Z1528" t="s">
        <v>6808</v>
      </c>
      <c r="AA1528">
        <v>10151</v>
      </c>
      <c r="AB1528" t="s">
        <v>11</v>
      </c>
    </row>
    <row r="1529" spans="1:28" x14ac:dyDescent="0.25">
      <c r="A1529" t="s">
        <v>6809</v>
      </c>
      <c r="B1529" t="s">
        <v>6809</v>
      </c>
      <c r="C1529" t="s">
        <v>6810</v>
      </c>
      <c r="D1529" t="s">
        <v>6811</v>
      </c>
      <c r="E1529" t="s">
        <v>770</v>
      </c>
      <c r="F1529" t="s">
        <v>771</v>
      </c>
      <c r="G1529" t="s">
        <v>1854</v>
      </c>
      <c r="J1529" t="s">
        <v>783</v>
      </c>
      <c r="K1529" t="s">
        <v>1862</v>
      </c>
      <c r="L1529" t="s">
        <v>1505</v>
      </c>
      <c r="M1529" t="s">
        <v>53</v>
      </c>
      <c r="N1529" t="s">
        <v>770</v>
      </c>
      <c r="O1529">
        <v>1</v>
      </c>
      <c r="P1529" t="s">
        <v>776</v>
      </c>
      <c r="Q1529">
        <v>32.9</v>
      </c>
      <c r="R1529">
        <v>5.93</v>
      </c>
      <c r="Y1529" t="s">
        <v>1888</v>
      </c>
      <c r="Z1529" t="s">
        <v>2257</v>
      </c>
      <c r="AA1529">
        <v>40126</v>
      </c>
      <c r="AB1529" t="s">
        <v>11</v>
      </c>
    </row>
    <row r="1530" spans="1:28" x14ac:dyDescent="0.25">
      <c r="A1530" t="s">
        <v>6812</v>
      </c>
      <c r="C1530" t="s">
        <v>6813</v>
      </c>
      <c r="D1530" t="s">
        <v>6814</v>
      </c>
      <c r="E1530" t="s">
        <v>782</v>
      </c>
      <c r="F1530" t="s">
        <v>1884</v>
      </c>
      <c r="G1530" t="s">
        <v>1854</v>
      </c>
      <c r="H1530" t="s">
        <v>1885</v>
      </c>
      <c r="J1530" t="s">
        <v>773</v>
      </c>
      <c r="K1530" t="s">
        <v>1855</v>
      </c>
      <c r="L1530" t="s">
        <v>13</v>
      </c>
      <c r="M1530" t="s">
        <v>12</v>
      </c>
      <c r="O1530">
        <v>0</v>
      </c>
      <c r="Y1530" t="s">
        <v>6815</v>
      </c>
      <c r="Z1530" t="s">
        <v>6816</v>
      </c>
      <c r="AA1530">
        <v>88040</v>
      </c>
      <c r="AB1530" t="s">
        <v>11</v>
      </c>
    </row>
    <row r="1531" spans="1:28" x14ac:dyDescent="0.25">
      <c r="A1531" t="s">
        <v>6817</v>
      </c>
      <c r="B1531" t="s">
        <v>6817</v>
      </c>
      <c r="C1531" t="s">
        <v>6818</v>
      </c>
      <c r="D1531" t="s">
        <v>6819</v>
      </c>
      <c r="E1531" t="s">
        <v>770</v>
      </c>
      <c r="F1531" t="s">
        <v>771</v>
      </c>
      <c r="G1531" t="s">
        <v>1854</v>
      </c>
      <c r="J1531" t="s">
        <v>783</v>
      </c>
      <c r="K1531" t="s">
        <v>1873</v>
      </c>
      <c r="L1531" t="s">
        <v>840</v>
      </c>
      <c r="M1531" t="s">
        <v>26</v>
      </c>
      <c r="N1531" t="s">
        <v>770</v>
      </c>
      <c r="O1531">
        <v>1</v>
      </c>
      <c r="P1531" t="s">
        <v>776</v>
      </c>
      <c r="Q1531">
        <v>34.9</v>
      </c>
      <c r="R1531">
        <v>6.29</v>
      </c>
      <c r="Y1531" t="s">
        <v>4299</v>
      </c>
      <c r="Z1531" t="s">
        <v>6820</v>
      </c>
      <c r="AA1531">
        <v>9068</v>
      </c>
      <c r="AB1531" t="s">
        <v>11</v>
      </c>
    </row>
    <row r="1532" spans="1:28" x14ac:dyDescent="0.25">
      <c r="A1532" t="s">
        <v>6821</v>
      </c>
      <c r="C1532" t="s">
        <v>6822</v>
      </c>
      <c r="D1532" t="s">
        <v>6823</v>
      </c>
      <c r="E1532" t="s">
        <v>770</v>
      </c>
      <c r="F1532" t="s">
        <v>1884</v>
      </c>
      <c r="G1532" t="s">
        <v>1854</v>
      </c>
      <c r="H1532" t="s">
        <v>1885</v>
      </c>
      <c r="J1532" t="s">
        <v>773</v>
      </c>
      <c r="K1532" t="s">
        <v>2396</v>
      </c>
      <c r="L1532" t="s">
        <v>89</v>
      </c>
      <c r="M1532" t="s">
        <v>88</v>
      </c>
      <c r="N1532" t="s">
        <v>770</v>
      </c>
      <c r="O1532">
        <v>1</v>
      </c>
      <c r="P1532" t="s">
        <v>776</v>
      </c>
      <c r="Q1532">
        <v>59.9</v>
      </c>
      <c r="R1532">
        <v>10.8</v>
      </c>
      <c r="S1532">
        <v>3</v>
      </c>
      <c r="T1532">
        <v>0.54</v>
      </c>
      <c r="Y1532" t="s">
        <v>6824</v>
      </c>
      <c r="Z1532" t="s">
        <v>2111</v>
      </c>
      <c r="AA1532">
        <v>42019</v>
      </c>
      <c r="AB1532" t="s">
        <v>11</v>
      </c>
    </row>
    <row r="1533" spans="1:28" x14ac:dyDescent="0.25">
      <c r="A1533" t="s">
        <v>6825</v>
      </c>
      <c r="B1533" t="s">
        <v>6825</v>
      </c>
      <c r="C1533" t="s">
        <v>6826</v>
      </c>
      <c r="D1533" t="s">
        <v>6827</v>
      </c>
      <c r="E1533" t="s">
        <v>770</v>
      </c>
      <c r="F1533" t="s">
        <v>771</v>
      </c>
      <c r="G1533" t="s">
        <v>1854</v>
      </c>
      <c r="J1533" t="s">
        <v>783</v>
      </c>
      <c r="K1533" t="s">
        <v>1873</v>
      </c>
      <c r="L1533" t="s">
        <v>840</v>
      </c>
      <c r="M1533" t="s">
        <v>26</v>
      </c>
      <c r="N1533" t="s">
        <v>770</v>
      </c>
      <c r="O1533">
        <v>1</v>
      </c>
      <c r="P1533" t="s">
        <v>776</v>
      </c>
      <c r="Q1533">
        <v>34.9</v>
      </c>
      <c r="R1533">
        <v>6.29</v>
      </c>
      <c r="Y1533" t="s">
        <v>1903</v>
      </c>
      <c r="Z1533" t="s">
        <v>1903</v>
      </c>
      <c r="AA1533">
        <v>39100</v>
      </c>
      <c r="AB1533" t="s">
        <v>11</v>
      </c>
    </row>
    <row r="1534" spans="1:28" x14ac:dyDescent="0.25">
      <c r="A1534" t="s">
        <v>6828</v>
      </c>
      <c r="B1534" t="s">
        <v>6828</v>
      </c>
      <c r="C1534" t="s">
        <v>6829</v>
      </c>
      <c r="D1534" t="s">
        <v>6830</v>
      </c>
      <c r="E1534" t="s">
        <v>770</v>
      </c>
      <c r="F1534" t="s">
        <v>771</v>
      </c>
      <c r="G1534" t="s">
        <v>1854</v>
      </c>
      <c r="J1534" t="s">
        <v>783</v>
      </c>
      <c r="K1534" t="s">
        <v>1862</v>
      </c>
      <c r="L1534" t="s">
        <v>1505</v>
      </c>
      <c r="M1534" t="s">
        <v>53</v>
      </c>
      <c r="N1534" t="s">
        <v>770</v>
      </c>
      <c r="O1534">
        <v>1</v>
      </c>
      <c r="P1534" t="s">
        <v>776</v>
      </c>
      <c r="Q1534">
        <v>32.9</v>
      </c>
      <c r="R1534">
        <v>5.93</v>
      </c>
      <c r="Y1534" t="s">
        <v>6831</v>
      </c>
      <c r="Z1534" t="s">
        <v>2602</v>
      </c>
      <c r="AA1534">
        <v>16049</v>
      </c>
      <c r="AB1534" t="s">
        <v>11</v>
      </c>
    </row>
    <row r="1535" spans="1:28" x14ac:dyDescent="0.25">
      <c r="A1535" t="s">
        <v>6832</v>
      </c>
      <c r="B1535" t="s">
        <v>6832</v>
      </c>
      <c r="C1535" t="s">
        <v>6833</v>
      </c>
      <c r="D1535" t="s">
        <v>6834</v>
      </c>
      <c r="E1535" t="s">
        <v>770</v>
      </c>
      <c r="F1535" t="s">
        <v>771</v>
      </c>
      <c r="G1535" t="s">
        <v>1854</v>
      </c>
      <c r="J1535" t="s">
        <v>783</v>
      </c>
      <c r="K1535" t="s">
        <v>1862</v>
      </c>
      <c r="L1535" t="s">
        <v>1505</v>
      </c>
      <c r="M1535" t="s">
        <v>53</v>
      </c>
      <c r="N1535" t="s">
        <v>770</v>
      </c>
      <c r="O1535">
        <v>1</v>
      </c>
      <c r="P1535" t="s">
        <v>776</v>
      </c>
      <c r="Q1535">
        <v>32.9</v>
      </c>
      <c r="R1535">
        <v>5.93</v>
      </c>
      <c r="S1535">
        <v>1.0900000000000001</v>
      </c>
      <c r="X1535">
        <v>1.0900000000000001</v>
      </c>
      <c r="Y1535" t="s">
        <v>1913</v>
      </c>
      <c r="Z1535" t="s">
        <v>2548</v>
      </c>
      <c r="AA1535">
        <v>148</v>
      </c>
      <c r="AB1535" t="s">
        <v>11</v>
      </c>
    </row>
    <row r="1536" spans="1:28" x14ac:dyDescent="0.25">
      <c r="A1536" t="s">
        <v>6835</v>
      </c>
      <c r="B1536" t="s">
        <v>6835</v>
      </c>
      <c r="C1536" t="s">
        <v>6836</v>
      </c>
      <c r="D1536" t="s">
        <v>6837</v>
      </c>
      <c r="E1536" t="s">
        <v>770</v>
      </c>
      <c r="F1536" t="s">
        <v>771</v>
      </c>
      <c r="G1536" t="s">
        <v>1854</v>
      </c>
      <c r="J1536" t="s">
        <v>783</v>
      </c>
      <c r="K1536" t="s">
        <v>1930</v>
      </c>
      <c r="L1536" t="s">
        <v>775</v>
      </c>
      <c r="M1536" t="s">
        <v>65</v>
      </c>
      <c r="N1536" t="s">
        <v>770</v>
      </c>
      <c r="O1536">
        <v>1</v>
      </c>
      <c r="P1536" t="s">
        <v>776</v>
      </c>
      <c r="Q1536">
        <v>29.9</v>
      </c>
      <c r="R1536">
        <v>5.39</v>
      </c>
      <c r="S1536">
        <v>0.54</v>
      </c>
      <c r="X1536">
        <v>0.54</v>
      </c>
      <c r="Y1536" t="s">
        <v>5150</v>
      </c>
      <c r="Z1536" t="s">
        <v>2602</v>
      </c>
      <c r="AA1536">
        <v>16043</v>
      </c>
      <c r="AB1536" t="s">
        <v>11</v>
      </c>
    </row>
    <row r="1537" spans="1:35" x14ac:dyDescent="0.25">
      <c r="A1537" t="s">
        <v>6838</v>
      </c>
      <c r="B1537" t="s">
        <v>6838</v>
      </c>
      <c r="C1537" t="s">
        <v>6839</v>
      </c>
      <c r="D1537" t="s">
        <v>6840</v>
      </c>
      <c r="E1537" t="s">
        <v>770</v>
      </c>
      <c r="F1537" t="s">
        <v>771</v>
      </c>
      <c r="G1537" t="s">
        <v>1854</v>
      </c>
      <c r="J1537" t="s">
        <v>783</v>
      </c>
      <c r="K1537" t="s">
        <v>1873</v>
      </c>
      <c r="L1537" t="s">
        <v>840</v>
      </c>
      <c r="M1537" t="s">
        <v>26</v>
      </c>
      <c r="N1537" t="s">
        <v>770</v>
      </c>
      <c r="O1537">
        <v>1</v>
      </c>
      <c r="P1537" t="s">
        <v>776</v>
      </c>
      <c r="Q1537">
        <v>34.9</v>
      </c>
      <c r="R1537">
        <v>6.29</v>
      </c>
      <c r="Y1537" t="s">
        <v>6841</v>
      </c>
      <c r="Z1537" t="s">
        <v>6842</v>
      </c>
      <c r="AA1537">
        <v>53100</v>
      </c>
      <c r="AB1537" t="s">
        <v>11</v>
      </c>
    </row>
    <row r="1538" spans="1:35" x14ac:dyDescent="0.25">
      <c r="A1538" t="s">
        <v>6838</v>
      </c>
      <c r="B1538" t="s">
        <v>6838</v>
      </c>
      <c r="C1538" t="s">
        <v>6839</v>
      </c>
      <c r="D1538" t="s">
        <v>6840</v>
      </c>
      <c r="E1538" t="s">
        <v>770</v>
      </c>
      <c r="F1538" t="s">
        <v>771</v>
      </c>
      <c r="G1538" t="s">
        <v>1854</v>
      </c>
      <c r="J1538" t="s">
        <v>783</v>
      </c>
      <c r="K1538" t="s">
        <v>2162</v>
      </c>
      <c r="L1538" t="s">
        <v>2163</v>
      </c>
      <c r="M1538" t="s">
        <v>59</v>
      </c>
      <c r="N1538" t="s">
        <v>770</v>
      </c>
      <c r="O1538">
        <v>1</v>
      </c>
      <c r="P1538" t="s">
        <v>776</v>
      </c>
      <c r="Q1538">
        <v>29.9</v>
      </c>
      <c r="R1538">
        <v>5.39</v>
      </c>
      <c r="Y1538" t="s">
        <v>6841</v>
      </c>
      <c r="Z1538" t="s">
        <v>6842</v>
      </c>
      <c r="AA1538">
        <v>53100</v>
      </c>
      <c r="AB1538" t="s">
        <v>11</v>
      </c>
    </row>
    <row r="1539" spans="1:35" x14ac:dyDescent="0.25">
      <c r="A1539" t="s">
        <v>6843</v>
      </c>
      <c r="C1539" t="s">
        <v>6844</v>
      </c>
      <c r="D1539" t="s">
        <v>6600</v>
      </c>
      <c r="E1539" t="s">
        <v>770</v>
      </c>
      <c r="F1539" t="s">
        <v>1884</v>
      </c>
      <c r="G1539" t="s">
        <v>1854</v>
      </c>
      <c r="H1539" t="s">
        <v>1885</v>
      </c>
      <c r="J1539" t="s">
        <v>773</v>
      </c>
      <c r="K1539" t="s">
        <v>1902</v>
      </c>
      <c r="L1539" t="s">
        <v>15</v>
      </c>
      <c r="M1539" t="s">
        <v>14</v>
      </c>
      <c r="N1539" t="s">
        <v>770</v>
      </c>
      <c r="O1539">
        <v>1</v>
      </c>
      <c r="P1539" t="s">
        <v>776</v>
      </c>
      <c r="Q1539">
        <v>14.9</v>
      </c>
      <c r="R1539">
        <v>2.69</v>
      </c>
      <c r="S1539">
        <v>3</v>
      </c>
      <c r="T1539">
        <v>0.54</v>
      </c>
      <c r="Y1539" t="s">
        <v>3740</v>
      </c>
      <c r="Z1539" t="s">
        <v>6845</v>
      </c>
      <c r="AA1539">
        <v>58100</v>
      </c>
      <c r="AB1539" t="s">
        <v>11</v>
      </c>
    </row>
    <row r="1540" spans="1:35" x14ac:dyDescent="0.25">
      <c r="A1540" t="s">
        <v>6846</v>
      </c>
      <c r="B1540" t="s">
        <v>6846</v>
      </c>
      <c r="C1540" t="s">
        <v>6847</v>
      </c>
      <c r="D1540" t="s">
        <v>6848</v>
      </c>
      <c r="E1540" t="s">
        <v>770</v>
      </c>
      <c r="F1540" t="s">
        <v>771</v>
      </c>
      <c r="G1540" t="s">
        <v>1854</v>
      </c>
      <c r="J1540" t="s">
        <v>783</v>
      </c>
      <c r="K1540" t="s">
        <v>1862</v>
      </c>
      <c r="L1540" t="s">
        <v>1505</v>
      </c>
      <c r="M1540" t="s">
        <v>53</v>
      </c>
      <c r="N1540" t="s">
        <v>770</v>
      </c>
      <c r="O1540">
        <v>1</v>
      </c>
      <c r="P1540" t="s">
        <v>776</v>
      </c>
      <c r="Q1540">
        <v>32.9</v>
      </c>
      <c r="R1540">
        <v>5.93</v>
      </c>
      <c r="Y1540" t="s">
        <v>6849</v>
      </c>
      <c r="Z1540" t="s">
        <v>2597</v>
      </c>
      <c r="AA1540">
        <v>70011</v>
      </c>
      <c r="AB1540" t="s">
        <v>11</v>
      </c>
    </row>
    <row r="1541" spans="1:35" x14ac:dyDescent="0.25">
      <c r="A1541" t="s">
        <v>6850</v>
      </c>
      <c r="B1541" t="s">
        <v>6850</v>
      </c>
      <c r="C1541" t="s">
        <v>6851</v>
      </c>
      <c r="D1541" t="s">
        <v>6852</v>
      </c>
      <c r="E1541" t="s">
        <v>770</v>
      </c>
      <c r="F1541" t="s">
        <v>771</v>
      </c>
      <c r="G1541" t="s">
        <v>1854</v>
      </c>
      <c r="J1541" t="s">
        <v>783</v>
      </c>
      <c r="K1541" t="s">
        <v>1873</v>
      </c>
      <c r="L1541" t="s">
        <v>840</v>
      </c>
      <c r="M1541" t="s">
        <v>26</v>
      </c>
      <c r="N1541" t="s">
        <v>770</v>
      </c>
      <c r="O1541">
        <v>1</v>
      </c>
      <c r="P1541" t="s">
        <v>776</v>
      </c>
      <c r="Q1541">
        <v>34.9</v>
      </c>
      <c r="R1541">
        <v>6.29</v>
      </c>
      <c r="Y1541" t="s">
        <v>6853</v>
      </c>
      <c r="Z1541" t="s">
        <v>2025</v>
      </c>
      <c r="AA1541">
        <v>80030</v>
      </c>
      <c r="AB1541" t="s">
        <v>11</v>
      </c>
      <c r="AG1541" t="s">
        <v>6854</v>
      </c>
      <c r="AH1541" t="s">
        <v>11</v>
      </c>
      <c r="AI1541" t="s">
        <v>1258</v>
      </c>
    </row>
    <row r="1542" spans="1:35" x14ac:dyDescent="0.25">
      <c r="A1542" t="s">
        <v>6855</v>
      </c>
      <c r="B1542" t="s">
        <v>6855</v>
      </c>
      <c r="C1542" t="s">
        <v>6856</v>
      </c>
      <c r="D1542" t="s">
        <v>6857</v>
      </c>
      <c r="E1542" t="s">
        <v>770</v>
      </c>
      <c r="F1542" t="s">
        <v>771</v>
      </c>
      <c r="G1542" t="s">
        <v>1854</v>
      </c>
      <c r="J1542" t="s">
        <v>783</v>
      </c>
      <c r="K1542" t="s">
        <v>1873</v>
      </c>
      <c r="L1542" t="s">
        <v>840</v>
      </c>
      <c r="M1542" t="s">
        <v>26</v>
      </c>
      <c r="N1542" t="s">
        <v>770</v>
      </c>
      <c r="O1542">
        <v>1</v>
      </c>
      <c r="P1542" t="s">
        <v>776</v>
      </c>
      <c r="Q1542">
        <v>34.9</v>
      </c>
      <c r="R1542">
        <v>6.29</v>
      </c>
      <c r="Y1542" t="s">
        <v>1875</v>
      </c>
      <c r="Z1542" t="s">
        <v>1875</v>
      </c>
      <c r="AA1542">
        <v>20159</v>
      </c>
      <c r="AB1542" t="s">
        <v>11</v>
      </c>
    </row>
    <row r="1543" spans="1:35" x14ac:dyDescent="0.25">
      <c r="A1543" t="s">
        <v>6858</v>
      </c>
      <c r="C1543" t="s">
        <v>6859</v>
      </c>
      <c r="D1543" t="s">
        <v>6600</v>
      </c>
      <c r="E1543" t="s">
        <v>770</v>
      </c>
      <c r="F1543" t="s">
        <v>1884</v>
      </c>
      <c r="G1543" t="s">
        <v>1854</v>
      </c>
      <c r="H1543" t="s">
        <v>1885</v>
      </c>
      <c r="J1543" t="s">
        <v>773</v>
      </c>
      <c r="K1543" t="s">
        <v>2396</v>
      </c>
      <c r="L1543" t="s">
        <v>89</v>
      </c>
      <c r="M1543" t="s">
        <v>88</v>
      </c>
      <c r="N1543" t="s">
        <v>770</v>
      </c>
      <c r="O1543">
        <v>1</v>
      </c>
      <c r="P1543" t="s">
        <v>776</v>
      </c>
      <c r="Q1543">
        <v>59.9</v>
      </c>
      <c r="R1543">
        <v>10.8</v>
      </c>
      <c r="S1543">
        <v>3</v>
      </c>
      <c r="T1543">
        <v>0.54</v>
      </c>
      <c r="Y1543" t="s">
        <v>6860</v>
      </c>
      <c r="Z1543" t="s">
        <v>2597</v>
      </c>
      <c r="AA1543">
        <v>70043</v>
      </c>
      <c r="AB1543" t="s">
        <v>11</v>
      </c>
    </row>
    <row r="1544" spans="1:35" x14ac:dyDescent="0.25">
      <c r="A1544" t="s">
        <v>6861</v>
      </c>
      <c r="C1544" t="s">
        <v>6862</v>
      </c>
      <c r="D1544" t="s">
        <v>6863</v>
      </c>
      <c r="E1544" t="s">
        <v>770</v>
      </c>
      <c r="F1544" t="s">
        <v>1884</v>
      </c>
      <c r="G1544" t="s">
        <v>1854</v>
      </c>
      <c r="H1544" t="s">
        <v>1885</v>
      </c>
      <c r="J1544" t="s">
        <v>773</v>
      </c>
      <c r="K1544" t="s">
        <v>2396</v>
      </c>
      <c r="L1544" t="s">
        <v>89</v>
      </c>
      <c r="M1544" t="s">
        <v>88</v>
      </c>
      <c r="N1544" t="s">
        <v>770</v>
      </c>
      <c r="O1544">
        <v>1</v>
      </c>
      <c r="P1544" t="s">
        <v>776</v>
      </c>
      <c r="Q1544">
        <v>59.9</v>
      </c>
      <c r="R1544">
        <v>10.8</v>
      </c>
      <c r="S1544">
        <v>3</v>
      </c>
      <c r="T1544">
        <v>0.54</v>
      </c>
      <c r="Y1544" t="s">
        <v>6864</v>
      </c>
      <c r="Z1544" t="s">
        <v>3013</v>
      </c>
      <c r="AA1544">
        <v>12035</v>
      </c>
      <c r="AB1544" t="s">
        <v>11</v>
      </c>
    </row>
    <row r="1545" spans="1:35" x14ac:dyDescent="0.25">
      <c r="A1545" t="s">
        <v>6865</v>
      </c>
      <c r="B1545" t="s">
        <v>6865</v>
      </c>
      <c r="C1545" t="s">
        <v>6866</v>
      </c>
      <c r="D1545" t="s">
        <v>6867</v>
      </c>
      <c r="E1545" t="s">
        <v>770</v>
      </c>
      <c r="F1545" t="s">
        <v>771</v>
      </c>
      <c r="G1545" t="s">
        <v>1854</v>
      </c>
      <c r="J1545" t="s">
        <v>783</v>
      </c>
      <c r="K1545" t="s">
        <v>1873</v>
      </c>
      <c r="L1545" t="s">
        <v>840</v>
      </c>
      <c r="M1545" t="s">
        <v>26</v>
      </c>
      <c r="N1545" t="s">
        <v>770</v>
      </c>
      <c r="O1545">
        <v>1</v>
      </c>
      <c r="P1545" t="s">
        <v>776</v>
      </c>
      <c r="Q1545">
        <v>34.9</v>
      </c>
      <c r="R1545">
        <v>6.29</v>
      </c>
      <c r="Y1545" t="s">
        <v>6198</v>
      </c>
      <c r="Z1545" t="s">
        <v>2597</v>
      </c>
      <c r="AA1545">
        <v>70014</v>
      </c>
      <c r="AB1545" t="s">
        <v>11</v>
      </c>
    </row>
    <row r="1546" spans="1:35" x14ac:dyDescent="0.25">
      <c r="A1546" t="s">
        <v>6868</v>
      </c>
      <c r="B1546" t="s">
        <v>6868</v>
      </c>
      <c r="C1546" t="s">
        <v>6869</v>
      </c>
      <c r="D1546" t="s">
        <v>6870</v>
      </c>
      <c r="E1546" t="s">
        <v>770</v>
      </c>
      <c r="F1546" t="s">
        <v>771</v>
      </c>
      <c r="G1546" t="s">
        <v>1854</v>
      </c>
      <c r="I1546" t="s">
        <v>2692</v>
      </c>
      <c r="J1546" t="s">
        <v>783</v>
      </c>
      <c r="K1546" t="s">
        <v>2055</v>
      </c>
      <c r="L1546" t="s">
        <v>806</v>
      </c>
      <c r="M1546" t="s">
        <v>202</v>
      </c>
      <c r="N1546" t="s">
        <v>770</v>
      </c>
      <c r="O1546">
        <v>2</v>
      </c>
      <c r="P1546" t="s">
        <v>776</v>
      </c>
      <c r="Q1546">
        <v>29.8</v>
      </c>
      <c r="R1546">
        <v>5.38</v>
      </c>
      <c r="Y1546" t="s">
        <v>3817</v>
      </c>
      <c r="Z1546" t="s">
        <v>3818</v>
      </c>
      <c r="AA1546">
        <v>2032</v>
      </c>
      <c r="AB1546" t="s">
        <v>11</v>
      </c>
    </row>
    <row r="1547" spans="1:35" x14ac:dyDescent="0.25">
      <c r="A1547" t="s">
        <v>6871</v>
      </c>
      <c r="B1547" t="s">
        <v>6871</v>
      </c>
      <c r="C1547" t="s">
        <v>6872</v>
      </c>
      <c r="D1547" t="s">
        <v>6873</v>
      </c>
      <c r="E1547" t="s">
        <v>770</v>
      </c>
      <c r="F1547" t="s">
        <v>771</v>
      </c>
      <c r="G1547" t="s">
        <v>1854</v>
      </c>
      <c r="J1547" t="s">
        <v>783</v>
      </c>
      <c r="K1547" t="s">
        <v>1862</v>
      </c>
      <c r="L1547" t="s">
        <v>1505</v>
      </c>
      <c r="M1547" t="s">
        <v>53</v>
      </c>
      <c r="N1547" t="s">
        <v>770</v>
      </c>
      <c r="O1547">
        <v>1</v>
      </c>
      <c r="P1547" t="s">
        <v>776</v>
      </c>
      <c r="Q1547">
        <v>32.9</v>
      </c>
      <c r="R1547">
        <v>5.93</v>
      </c>
      <c r="Y1547" t="s">
        <v>1913</v>
      </c>
      <c r="Z1547" t="s">
        <v>1913</v>
      </c>
      <c r="AA1547">
        <v>146</v>
      </c>
      <c r="AB1547" t="s">
        <v>11</v>
      </c>
    </row>
    <row r="1548" spans="1:35" x14ac:dyDescent="0.25">
      <c r="A1548" t="s">
        <v>6874</v>
      </c>
      <c r="B1548" t="s">
        <v>6874</v>
      </c>
      <c r="C1548" t="s">
        <v>6875</v>
      </c>
      <c r="D1548" t="s">
        <v>6876</v>
      </c>
      <c r="E1548" t="s">
        <v>770</v>
      </c>
      <c r="F1548" t="s">
        <v>771</v>
      </c>
      <c r="G1548" t="s">
        <v>1854</v>
      </c>
      <c r="J1548" t="s">
        <v>783</v>
      </c>
      <c r="K1548" t="s">
        <v>1873</v>
      </c>
      <c r="L1548" t="s">
        <v>840</v>
      </c>
      <c r="M1548" t="s">
        <v>26</v>
      </c>
      <c r="N1548" t="s">
        <v>770</v>
      </c>
      <c r="O1548">
        <v>1</v>
      </c>
      <c r="P1548" t="s">
        <v>776</v>
      </c>
      <c r="Q1548">
        <v>34.9</v>
      </c>
      <c r="R1548">
        <v>6.29</v>
      </c>
      <c r="U1548">
        <v>2.99</v>
      </c>
      <c r="V1548">
        <v>0.54</v>
      </c>
      <c r="Y1548" t="s">
        <v>6877</v>
      </c>
      <c r="Z1548" t="s">
        <v>3089</v>
      </c>
      <c r="AA1548">
        <v>25075</v>
      </c>
      <c r="AB1548" t="s">
        <v>11</v>
      </c>
    </row>
    <row r="1549" spans="1:35" x14ac:dyDescent="0.25">
      <c r="A1549" t="s">
        <v>6878</v>
      </c>
      <c r="B1549" t="s">
        <v>6878</v>
      </c>
      <c r="C1549" t="s">
        <v>6879</v>
      </c>
      <c r="D1549" t="s">
        <v>6880</v>
      </c>
      <c r="E1549" t="s">
        <v>770</v>
      </c>
      <c r="F1549" t="s">
        <v>771</v>
      </c>
      <c r="G1549" t="s">
        <v>1854</v>
      </c>
      <c r="J1549" t="s">
        <v>783</v>
      </c>
      <c r="K1549" t="s">
        <v>1862</v>
      </c>
      <c r="L1549" t="s">
        <v>1505</v>
      </c>
      <c r="M1549" t="s">
        <v>53</v>
      </c>
      <c r="N1549" t="s">
        <v>770</v>
      </c>
      <c r="O1549">
        <v>1</v>
      </c>
      <c r="P1549" t="s">
        <v>776</v>
      </c>
      <c r="Q1549">
        <v>32.9</v>
      </c>
      <c r="R1549">
        <v>5.93</v>
      </c>
      <c r="Y1549" t="s">
        <v>6881</v>
      </c>
      <c r="Z1549" t="s">
        <v>2626</v>
      </c>
      <c r="AA1549">
        <v>51100</v>
      </c>
      <c r="AB1549" t="s">
        <v>11</v>
      </c>
    </row>
    <row r="1550" spans="1:35" x14ac:dyDescent="0.25">
      <c r="A1550" t="s">
        <v>6882</v>
      </c>
      <c r="B1550" t="s">
        <v>6882</v>
      </c>
      <c r="C1550" t="s">
        <v>6883</v>
      </c>
      <c r="D1550" t="s">
        <v>6884</v>
      </c>
      <c r="E1550" t="s">
        <v>770</v>
      </c>
      <c r="F1550" t="s">
        <v>771</v>
      </c>
      <c r="G1550" t="s">
        <v>1854</v>
      </c>
      <c r="J1550" t="s">
        <v>783</v>
      </c>
      <c r="K1550" t="s">
        <v>1862</v>
      </c>
      <c r="L1550" t="s">
        <v>1505</v>
      </c>
      <c r="M1550" t="s">
        <v>53</v>
      </c>
      <c r="N1550" t="s">
        <v>770</v>
      </c>
      <c r="O1550">
        <v>1</v>
      </c>
      <c r="P1550" t="s">
        <v>776</v>
      </c>
      <c r="Q1550">
        <v>32.9</v>
      </c>
      <c r="R1550">
        <v>5.93</v>
      </c>
      <c r="Y1550" t="s">
        <v>6885</v>
      </c>
      <c r="Z1550" t="s">
        <v>1908</v>
      </c>
      <c r="AA1550">
        <v>80046</v>
      </c>
      <c r="AB1550" t="s">
        <v>11</v>
      </c>
    </row>
    <row r="1551" spans="1:35" x14ac:dyDescent="0.25">
      <c r="A1551" t="s">
        <v>6886</v>
      </c>
      <c r="B1551" t="s">
        <v>6886</v>
      </c>
      <c r="C1551" t="s">
        <v>6887</v>
      </c>
      <c r="D1551" t="s">
        <v>6888</v>
      </c>
      <c r="E1551" t="s">
        <v>770</v>
      </c>
      <c r="F1551" t="s">
        <v>771</v>
      </c>
      <c r="G1551" t="s">
        <v>1854</v>
      </c>
      <c r="I1551" t="s">
        <v>2692</v>
      </c>
      <c r="J1551" t="s">
        <v>783</v>
      </c>
      <c r="K1551" t="s">
        <v>1862</v>
      </c>
      <c r="L1551" t="s">
        <v>1505</v>
      </c>
      <c r="M1551" t="s">
        <v>53</v>
      </c>
      <c r="N1551" t="s">
        <v>770</v>
      </c>
      <c r="O1551">
        <v>1</v>
      </c>
      <c r="P1551" t="s">
        <v>776</v>
      </c>
      <c r="Q1551">
        <v>32.9</v>
      </c>
      <c r="R1551">
        <v>5.93</v>
      </c>
      <c r="Y1551" t="s">
        <v>2693</v>
      </c>
      <c r="Z1551" t="s">
        <v>2148</v>
      </c>
      <c r="AA1551">
        <v>45020</v>
      </c>
      <c r="AB1551" t="s">
        <v>11</v>
      </c>
    </row>
    <row r="1552" spans="1:35" x14ac:dyDescent="0.25">
      <c r="A1552" t="s">
        <v>6889</v>
      </c>
      <c r="C1552" t="s">
        <v>6890</v>
      </c>
      <c r="D1552" t="s">
        <v>6891</v>
      </c>
      <c r="E1552" t="s">
        <v>782</v>
      </c>
      <c r="F1552" t="s">
        <v>1884</v>
      </c>
      <c r="G1552" t="s">
        <v>1854</v>
      </c>
      <c r="H1552" t="s">
        <v>1885</v>
      </c>
      <c r="J1552" t="s">
        <v>773</v>
      </c>
      <c r="K1552" t="s">
        <v>4822</v>
      </c>
      <c r="L1552" t="s">
        <v>123</v>
      </c>
      <c r="M1552" t="s">
        <v>122</v>
      </c>
      <c r="O1552">
        <v>0</v>
      </c>
      <c r="P1552" t="s">
        <v>776</v>
      </c>
      <c r="Q1552">
        <v>23.69</v>
      </c>
      <c r="R1552">
        <v>5.21</v>
      </c>
      <c r="S1552">
        <v>3</v>
      </c>
      <c r="T1552">
        <v>0.54</v>
      </c>
      <c r="Y1552" t="s">
        <v>6892</v>
      </c>
      <c r="Z1552" t="s">
        <v>3287</v>
      </c>
      <c r="AA1552">
        <v>23841</v>
      </c>
      <c r="AB1552" t="s">
        <v>11</v>
      </c>
    </row>
    <row r="1553" spans="1:35" x14ac:dyDescent="0.25">
      <c r="A1553" t="s">
        <v>6893</v>
      </c>
      <c r="C1553" t="s">
        <v>6894</v>
      </c>
      <c r="D1553" t="s">
        <v>6595</v>
      </c>
      <c r="E1553" t="s">
        <v>770</v>
      </c>
      <c r="F1553" t="s">
        <v>1884</v>
      </c>
      <c r="G1553" t="s">
        <v>1854</v>
      </c>
      <c r="H1553" t="s">
        <v>1885</v>
      </c>
      <c r="J1553" t="s">
        <v>773</v>
      </c>
      <c r="K1553" t="s">
        <v>1886</v>
      </c>
      <c r="L1553" t="s">
        <v>18</v>
      </c>
      <c r="M1553" t="s">
        <v>17</v>
      </c>
      <c r="N1553" t="s">
        <v>770</v>
      </c>
      <c r="O1553">
        <v>1</v>
      </c>
      <c r="P1553" t="s">
        <v>776</v>
      </c>
      <c r="Q1553">
        <v>22.9</v>
      </c>
      <c r="R1553">
        <v>4.13</v>
      </c>
      <c r="S1553">
        <v>3</v>
      </c>
      <c r="T1553">
        <v>0.54</v>
      </c>
      <c r="Y1553" t="s">
        <v>2811</v>
      </c>
      <c r="Z1553" t="s">
        <v>2197</v>
      </c>
      <c r="AA1553">
        <v>84013</v>
      </c>
      <c r="AB1553" t="s">
        <v>11</v>
      </c>
    </row>
    <row r="1554" spans="1:35" x14ac:dyDescent="0.25">
      <c r="A1554" t="s">
        <v>6895</v>
      </c>
      <c r="B1554" t="s">
        <v>6895</v>
      </c>
      <c r="C1554" t="s">
        <v>6896</v>
      </c>
      <c r="D1554" t="s">
        <v>6897</v>
      </c>
      <c r="E1554" t="s">
        <v>770</v>
      </c>
      <c r="F1554" t="s">
        <v>771</v>
      </c>
      <c r="G1554" t="s">
        <v>1854</v>
      </c>
      <c r="J1554" t="s">
        <v>783</v>
      </c>
      <c r="K1554" t="s">
        <v>1862</v>
      </c>
      <c r="L1554" t="s">
        <v>1505</v>
      </c>
      <c r="M1554" t="s">
        <v>53</v>
      </c>
      <c r="N1554" t="s">
        <v>770</v>
      </c>
      <c r="O1554">
        <v>1</v>
      </c>
      <c r="P1554" t="s">
        <v>776</v>
      </c>
      <c r="Q1554">
        <v>32.9</v>
      </c>
      <c r="R1554">
        <v>5.93</v>
      </c>
      <c r="Y1554" t="s">
        <v>1875</v>
      </c>
      <c r="Z1554" t="s">
        <v>1864</v>
      </c>
      <c r="AA1554">
        <v>20143</v>
      </c>
      <c r="AB1554" t="s">
        <v>11</v>
      </c>
    </row>
    <row r="1555" spans="1:35" x14ac:dyDescent="0.25">
      <c r="A1555" t="s">
        <v>6898</v>
      </c>
      <c r="B1555" t="s">
        <v>6898</v>
      </c>
      <c r="C1555" t="s">
        <v>6899</v>
      </c>
      <c r="D1555" t="s">
        <v>6900</v>
      </c>
      <c r="E1555" t="s">
        <v>770</v>
      </c>
      <c r="F1555" t="s">
        <v>771</v>
      </c>
      <c r="G1555" t="s">
        <v>1854</v>
      </c>
      <c r="J1555" t="s">
        <v>783</v>
      </c>
      <c r="K1555" t="s">
        <v>1862</v>
      </c>
      <c r="L1555" t="s">
        <v>1505</v>
      </c>
      <c r="M1555" t="s">
        <v>53</v>
      </c>
      <c r="N1555" t="s">
        <v>770</v>
      </c>
      <c r="O1555">
        <v>1</v>
      </c>
      <c r="P1555" t="s">
        <v>776</v>
      </c>
      <c r="Q1555">
        <v>32.9</v>
      </c>
      <c r="R1555">
        <v>5.93</v>
      </c>
      <c r="Y1555" t="s">
        <v>3861</v>
      </c>
      <c r="Z1555" t="s">
        <v>3861</v>
      </c>
      <c r="AA1555">
        <v>58100</v>
      </c>
      <c r="AB1555" t="s">
        <v>11</v>
      </c>
    </row>
    <row r="1556" spans="1:35" x14ac:dyDescent="0.25">
      <c r="A1556" t="s">
        <v>6901</v>
      </c>
      <c r="B1556" t="s">
        <v>6901</v>
      </c>
      <c r="C1556" t="s">
        <v>6902</v>
      </c>
      <c r="D1556" t="s">
        <v>6903</v>
      </c>
      <c r="E1556" t="s">
        <v>770</v>
      </c>
      <c r="F1556" t="s">
        <v>771</v>
      </c>
      <c r="G1556" t="s">
        <v>1854</v>
      </c>
      <c r="J1556" t="s">
        <v>783</v>
      </c>
      <c r="K1556" t="s">
        <v>1862</v>
      </c>
      <c r="L1556" t="s">
        <v>1505</v>
      </c>
      <c r="M1556" t="s">
        <v>53</v>
      </c>
      <c r="N1556" t="s">
        <v>770</v>
      </c>
      <c r="O1556">
        <v>1</v>
      </c>
      <c r="P1556" t="s">
        <v>776</v>
      </c>
      <c r="Q1556">
        <v>32.9</v>
      </c>
      <c r="R1556">
        <v>5.93</v>
      </c>
      <c r="Y1556" t="s">
        <v>4570</v>
      </c>
      <c r="Z1556" t="s">
        <v>2602</v>
      </c>
      <c r="AA1556">
        <v>16138</v>
      </c>
      <c r="AB1556" t="s">
        <v>11</v>
      </c>
    </row>
    <row r="1557" spans="1:35" x14ac:dyDescent="0.25">
      <c r="A1557" t="s">
        <v>6904</v>
      </c>
      <c r="C1557" t="s">
        <v>6905</v>
      </c>
      <c r="D1557" t="s">
        <v>6906</v>
      </c>
      <c r="E1557" t="s">
        <v>770</v>
      </c>
      <c r="F1557" t="s">
        <v>1884</v>
      </c>
      <c r="G1557" t="s">
        <v>1854</v>
      </c>
      <c r="H1557" t="s">
        <v>1885</v>
      </c>
      <c r="J1557" t="s">
        <v>773</v>
      </c>
      <c r="K1557" t="s">
        <v>2396</v>
      </c>
      <c r="L1557" t="s">
        <v>89</v>
      </c>
      <c r="M1557" t="s">
        <v>88</v>
      </c>
      <c r="N1557" t="s">
        <v>770</v>
      </c>
      <c r="O1557">
        <v>1</v>
      </c>
      <c r="P1557" t="s">
        <v>776</v>
      </c>
      <c r="Q1557">
        <v>59.9</v>
      </c>
      <c r="R1557">
        <v>10.8</v>
      </c>
      <c r="S1557">
        <v>3</v>
      </c>
      <c r="T1557">
        <v>0.54</v>
      </c>
      <c r="Y1557" t="s">
        <v>6907</v>
      </c>
      <c r="Z1557" t="s">
        <v>3024</v>
      </c>
      <c r="AA1557">
        <v>16039</v>
      </c>
      <c r="AB1557" t="s">
        <v>11</v>
      </c>
    </row>
    <row r="1558" spans="1:35" x14ac:dyDescent="0.25">
      <c r="A1558" t="s">
        <v>6908</v>
      </c>
      <c r="B1558" t="s">
        <v>6908</v>
      </c>
      <c r="C1558" t="s">
        <v>6909</v>
      </c>
      <c r="D1558" t="s">
        <v>6910</v>
      </c>
      <c r="E1558" t="s">
        <v>770</v>
      </c>
      <c r="F1558" t="s">
        <v>771</v>
      </c>
      <c r="G1558" t="s">
        <v>1854</v>
      </c>
      <c r="J1558" t="s">
        <v>783</v>
      </c>
      <c r="K1558" t="s">
        <v>1862</v>
      </c>
      <c r="L1558" t="s">
        <v>1505</v>
      </c>
      <c r="M1558" t="s">
        <v>53</v>
      </c>
      <c r="N1558" t="s">
        <v>770</v>
      </c>
      <c r="O1558">
        <v>1</v>
      </c>
      <c r="P1558" t="s">
        <v>776</v>
      </c>
      <c r="Q1558">
        <v>32.9</v>
      </c>
      <c r="R1558">
        <v>5.93</v>
      </c>
      <c r="Y1558" t="s">
        <v>6911</v>
      </c>
      <c r="Z1558" t="s">
        <v>2057</v>
      </c>
      <c r="AA1558">
        <v>37038</v>
      </c>
      <c r="AB1558" t="s">
        <v>11</v>
      </c>
    </row>
    <row r="1559" spans="1:35" x14ac:dyDescent="0.25">
      <c r="A1559" t="s">
        <v>6912</v>
      </c>
      <c r="C1559" t="s">
        <v>6913</v>
      </c>
      <c r="D1559" t="s">
        <v>6914</v>
      </c>
      <c r="E1559" t="s">
        <v>770</v>
      </c>
      <c r="F1559" t="s">
        <v>1884</v>
      </c>
      <c r="G1559" t="s">
        <v>1854</v>
      </c>
      <c r="H1559" t="s">
        <v>1885</v>
      </c>
      <c r="J1559" t="s">
        <v>773</v>
      </c>
      <c r="K1559" t="s">
        <v>2913</v>
      </c>
      <c r="L1559" t="s">
        <v>99</v>
      </c>
      <c r="M1559" t="s">
        <v>98</v>
      </c>
      <c r="N1559" t="s">
        <v>770</v>
      </c>
      <c r="O1559">
        <v>1</v>
      </c>
      <c r="P1559" t="s">
        <v>776</v>
      </c>
      <c r="Q1559">
        <v>29.9</v>
      </c>
      <c r="R1559">
        <v>5.39</v>
      </c>
      <c r="S1559">
        <v>3</v>
      </c>
      <c r="T1559">
        <v>0.54</v>
      </c>
      <c r="Y1559" t="s">
        <v>1875</v>
      </c>
      <c r="Z1559" t="s">
        <v>1875</v>
      </c>
      <c r="AA1559">
        <v>20124</v>
      </c>
      <c r="AB1559" t="s">
        <v>11</v>
      </c>
    </row>
    <row r="1560" spans="1:35" x14ac:dyDescent="0.25">
      <c r="A1560" t="s">
        <v>6915</v>
      </c>
      <c r="B1560" t="s">
        <v>6915</v>
      </c>
      <c r="C1560" t="s">
        <v>6916</v>
      </c>
      <c r="D1560" t="s">
        <v>6917</v>
      </c>
      <c r="E1560" t="s">
        <v>770</v>
      </c>
      <c r="F1560" t="s">
        <v>771</v>
      </c>
      <c r="G1560" t="s">
        <v>1854</v>
      </c>
      <c r="J1560" t="s">
        <v>783</v>
      </c>
      <c r="K1560" t="s">
        <v>1862</v>
      </c>
      <c r="L1560" t="s">
        <v>1505</v>
      </c>
      <c r="M1560" t="s">
        <v>53</v>
      </c>
      <c r="N1560" t="s">
        <v>770</v>
      </c>
      <c r="O1560">
        <v>1</v>
      </c>
      <c r="P1560" t="s">
        <v>776</v>
      </c>
      <c r="Q1560">
        <v>32.9</v>
      </c>
      <c r="R1560">
        <v>5.93</v>
      </c>
      <c r="Y1560" t="s">
        <v>2126</v>
      </c>
      <c r="AA1560">
        <v>81100</v>
      </c>
      <c r="AB1560" t="s">
        <v>11</v>
      </c>
      <c r="AG1560" t="s">
        <v>6918</v>
      </c>
      <c r="AH1560" t="s">
        <v>11</v>
      </c>
      <c r="AI1560" t="s">
        <v>1258</v>
      </c>
    </row>
    <row r="1561" spans="1:35" x14ac:dyDescent="0.25">
      <c r="A1561" t="s">
        <v>6919</v>
      </c>
      <c r="B1561" t="s">
        <v>6919</v>
      </c>
      <c r="C1561" t="s">
        <v>6920</v>
      </c>
      <c r="D1561" t="s">
        <v>6921</v>
      </c>
      <c r="E1561" t="s">
        <v>770</v>
      </c>
      <c r="F1561" t="s">
        <v>771</v>
      </c>
      <c r="G1561" t="s">
        <v>1854</v>
      </c>
      <c r="J1561" t="s">
        <v>783</v>
      </c>
      <c r="K1561" t="s">
        <v>2044</v>
      </c>
      <c r="L1561" t="s">
        <v>1489</v>
      </c>
      <c r="M1561" t="s">
        <v>75</v>
      </c>
      <c r="N1561" t="s">
        <v>770</v>
      </c>
      <c r="O1561">
        <v>1</v>
      </c>
      <c r="P1561" t="s">
        <v>776</v>
      </c>
      <c r="Q1561">
        <v>49.9</v>
      </c>
      <c r="R1561">
        <v>9</v>
      </c>
      <c r="Y1561" t="s">
        <v>6922</v>
      </c>
      <c r="Z1561" t="s">
        <v>1875</v>
      </c>
      <c r="AA1561">
        <v>20054</v>
      </c>
      <c r="AB1561" t="s">
        <v>11</v>
      </c>
    </row>
    <row r="1562" spans="1:35" x14ac:dyDescent="0.25">
      <c r="A1562" t="s">
        <v>6923</v>
      </c>
      <c r="B1562" t="s">
        <v>6923</v>
      </c>
      <c r="C1562" t="s">
        <v>6924</v>
      </c>
      <c r="D1562" t="s">
        <v>6925</v>
      </c>
      <c r="E1562" t="s">
        <v>770</v>
      </c>
      <c r="F1562" t="s">
        <v>771</v>
      </c>
      <c r="G1562" t="s">
        <v>1854</v>
      </c>
      <c r="J1562" t="s">
        <v>783</v>
      </c>
      <c r="K1562" t="s">
        <v>1930</v>
      </c>
      <c r="L1562" t="s">
        <v>775</v>
      </c>
      <c r="M1562" t="s">
        <v>65</v>
      </c>
      <c r="N1562" t="s">
        <v>770</v>
      </c>
      <c r="O1562">
        <v>1</v>
      </c>
      <c r="P1562" t="s">
        <v>776</v>
      </c>
      <c r="Q1562">
        <v>29.9</v>
      </c>
      <c r="R1562">
        <v>5.39</v>
      </c>
      <c r="Y1562" t="s">
        <v>6926</v>
      </c>
      <c r="Z1562" t="s">
        <v>2165</v>
      </c>
      <c r="AA1562">
        <v>55012</v>
      </c>
      <c r="AB1562" t="s">
        <v>11</v>
      </c>
    </row>
    <row r="1563" spans="1:35" x14ac:dyDescent="0.25">
      <c r="A1563" t="s">
        <v>6927</v>
      </c>
      <c r="C1563" t="s">
        <v>6928</v>
      </c>
      <c r="D1563" t="s">
        <v>6929</v>
      </c>
      <c r="E1563" t="s">
        <v>770</v>
      </c>
      <c r="F1563" t="s">
        <v>1884</v>
      </c>
      <c r="G1563" t="s">
        <v>1854</v>
      </c>
      <c r="H1563" t="s">
        <v>1885</v>
      </c>
      <c r="J1563" t="s">
        <v>773</v>
      </c>
      <c r="K1563" t="s">
        <v>4822</v>
      </c>
      <c r="L1563" t="s">
        <v>123</v>
      </c>
      <c r="M1563" t="s">
        <v>122</v>
      </c>
      <c r="N1563" t="s">
        <v>770</v>
      </c>
      <c r="O1563">
        <v>1</v>
      </c>
      <c r="P1563" t="s">
        <v>776</v>
      </c>
      <c r="Q1563">
        <v>28.9</v>
      </c>
      <c r="R1563">
        <v>5.21</v>
      </c>
      <c r="S1563">
        <v>3</v>
      </c>
      <c r="T1563">
        <v>0.54</v>
      </c>
      <c r="Y1563" t="s">
        <v>6930</v>
      </c>
      <c r="Z1563" t="s">
        <v>6931</v>
      </c>
      <c r="AA1563">
        <v>42122</v>
      </c>
      <c r="AB1563" t="s">
        <v>11</v>
      </c>
    </row>
    <row r="1564" spans="1:35" x14ac:dyDescent="0.25">
      <c r="A1564" t="s">
        <v>6932</v>
      </c>
      <c r="B1564" t="s">
        <v>6932</v>
      </c>
      <c r="C1564" t="s">
        <v>6933</v>
      </c>
      <c r="D1564" t="s">
        <v>6934</v>
      </c>
      <c r="E1564" t="s">
        <v>782</v>
      </c>
      <c r="F1564" t="s">
        <v>771</v>
      </c>
      <c r="G1564" t="s">
        <v>1854</v>
      </c>
      <c r="J1564" t="s">
        <v>783</v>
      </c>
      <c r="K1564" t="s">
        <v>1862</v>
      </c>
      <c r="L1564" t="s">
        <v>1505</v>
      </c>
      <c r="M1564" t="s">
        <v>53</v>
      </c>
      <c r="N1564" t="s">
        <v>782</v>
      </c>
      <c r="O1564">
        <v>0</v>
      </c>
      <c r="Y1564" t="s">
        <v>6935</v>
      </c>
      <c r="Z1564" t="s">
        <v>2057</v>
      </c>
      <c r="AA1564">
        <v>37010</v>
      </c>
      <c r="AB1564" t="s">
        <v>11</v>
      </c>
    </row>
    <row r="1565" spans="1:35" x14ac:dyDescent="0.25">
      <c r="A1565" t="s">
        <v>6936</v>
      </c>
      <c r="C1565" t="s">
        <v>6937</v>
      </c>
      <c r="D1565" t="s">
        <v>6938</v>
      </c>
      <c r="E1565" t="s">
        <v>770</v>
      </c>
      <c r="F1565" t="s">
        <v>1884</v>
      </c>
      <c r="G1565" t="s">
        <v>1854</v>
      </c>
      <c r="H1565" t="s">
        <v>1885</v>
      </c>
      <c r="J1565" t="s">
        <v>773</v>
      </c>
      <c r="K1565" t="s">
        <v>4362</v>
      </c>
      <c r="L1565" s="2">
        <v>40500</v>
      </c>
      <c r="M1565" t="s">
        <v>53</v>
      </c>
      <c r="N1565" t="s">
        <v>770</v>
      </c>
      <c r="O1565">
        <v>1</v>
      </c>
      <c r="P1565" t="s">
        <v>776</v>
      </c>
      <c r="Q1565">
        <v>32.9</v>
      </c>
      <c r="R1565">
        <v>5.93</v>
      </c>
      <c r="S1565">
        <v>3</v>
      </c>
      <c r="T1565">
        <v>0.54</v>
      </c>
      <c r="Y1565" t="s">
        <v>6939</v>
      </c>
      <c r="Z1565" t="s">
        <v>3339</v>
      </c>
      <c r="AA1565">
        <v>9062</v>
      </c>
      <c r="AB1565" t="s">
        <v>11</v>
      </c>
    </row>
    <row r="1566" spans="1:35" x14ac:dyDescent="0.25">
      <c r="A1566" t="s">
        <v>6940</v>
      </c>
      <c r="B1566" t="s">
        <v>6940</v>
      </c>
      <c r="C1566" t="s">
        <v>6941</v>
      </c>
      <c r="D1566" t="s">
        <v>6942</v>
      </c>
      <c r="E1566" t="s">
        <v>782</v>
      </c>
      <c r="F1566" t="s">
        <v>771</v>
      </c>
      <c r="G1566" t="s">
        <v>1854</v>
      </c>
      <c r="J1566" t="s">
        <v>783</v>
      </c>
      <c r="K1566" t="s">
        <v>1862</v>
      </c>
      <c r="L1566" t="s">
        <v>1505</v>
      </c>
      <c r="M1566" t="s">
        <v>53</v>
      </c>
      <c r="N1566" t="s">
        <v>782</v>
      </c>
      <c r="O1566">
        <v>0</v>
      </c>
      <c r="Y1566" t="s">
        <v>2101</v>
      </c>
      <c r="Z1566" t="s">
        <v>2101</v>
      </c>
      <c r="AA1566">
        <v>47921</v>
      </c>
      <c r="AB1566" t="s">
        <v>11</v>
      </c>
    </row>
    <row r="1567" spans="1:35" x14ac:dyDescent="0.25">
      <c r="A1567" t="s">
        <v>6943</v>
      </c>
      <c r="C1567" t="s">
        <v>6944</v>
      </c>
      <c r="D1567" t="s">
        <v>6694</v>
      </c>
      <c r="E1567" t="s">
        <v>770</v>
      </c>
      <c r="F1567" t="s">
        <v>1884</v>
      </c>
      <c r="G1567" t="s">
        <v>1854</v>
      </c>
      <c r="H1567" t="s">
        <v>1885</v>
      </c>
      <c r="J1567" t="s">
        <v>773</v>
      </c>
      <c r="K1567" t="s">
        <v>2913</v>
      </c>
      <c r="L1567" t="s">
        <v>99</v>
      </c>
      <c r="M1567" t="s">
        <v>98</v>
      </c>
      <c r="N1567" t="s">
        <v>770</v>
      </c>
      <c r="O1567">
        <v>1</v>
      </c>
      <c r="P1567" t="s">
        <v>776</v>
      </c>
      <c r="Q1567">
        <v>29.9</v>
      </c>
      <c r="R1567">
        <v>5.39</v>
      </c>
      <c r="S1567">
        <v>3</v>
      </c>
      <c r="T1567">
        <v>0.54</v>
      </c>
      <c r="Y1567" t="s">
        <v>2040</v>
      </c>
      <c r="Z1567" t="s">
        <v>4810</v>
      </c>
      <c r="AA1567">
        <v>65127</v>
      </c>
      <c r="AB1567" t="s">
        <v>11</v>
      </c>
    </row>
    <row r="1568" spans="1:35" x14ac:dyDescent="0.25">
      <c r="A1568" t="s">
        <v>6945</v>
      </c>
      <c r="B1568" t="s">
        <v>6945</v>
      </c>
      <c r="C1568" t="s">
        <v>6946</v>
      </c>
      <c r="D1568" t="s">
        <v>6947</v>
      </c>
      <c r="E1568" t="s">
        <v>770</v>
      </c>
      <c r="F1568" t="s">
        <v>771</v>
      </c>
      <c r="G1568" t="s">
        <v>1854</v>
      </c>
      <c r="J1568" t="s">
        <v>783</v>
      </c>
      <c r="K1568" t="s">
        <v>1862</v>
      </c>
      <c r="L1568" t="s">
        <v>1505</v>
      </c>
      <c r="M1568" t="s">
        <v>53</v>
      </c>
      <c r="N1568" t="s">
        <v>770</v>
      </c>
      <c r="O1568">
        <v>1</v>
      </c>
      <c r="P1568" t="s">
        <v>776</v>
      </c>
      <c r="Q1568">
        <v>32.9</v>
      </c>
      <c r="R1568">
        <v>5.93</v>
      </c>
      <c r="Y1568" t="s">
        <v>6948</v>
      </c>
      <c r="Z1568" t="s">
        <v>1875</v>
      </c>
      <c r="AA1568">
        <v>20017</v>
      </c>
      <c r="AB1568" t="s">
        <v>11</v>
      </c>
    </row>
    <row r="1569" spans="1:28" x14ac:dyDescent="0.25">
      <c r="A1569" t="s">
        <v>6949</v>
      </c>
      <c r="C1569" t="s">
        <v>6950</v>
      </c>
      <c r="D1569" t="s">
        <v>6951</v>
      </c>
      <c r="E1569" t="s">
        <v>770</v>
      </c>
      <c r="F1569" t="s">
        <v>1884</v>
      </c>
      <c r="G1569" t="s">
        <v>1854</v>
      </c>
      <c r="H1569" t="s">
        <v>1885</v>
      </c>
      <c r="J1569" t="s">
        <v>773</v>
      </c>
      <c r="K1569" t="s">
        <v>2248</v>
      </c>
      <c r="L1569" t="s">
        <v>173</v>
      </c>
      <c r="M1569" t="s">
        <v>172</v>
      </c>
      <c r="N1569" t="s">
        <v>770</v>
      </c>
      <c r="O1569">
        <v>1</v>
      </c>
      <c r="P1569" t="s">
        <v>776</v>
      </c>
      <c r="Q1569">
        <v>39.9</v>
      </c>
      <c r="R1569">
        <v>7.2</v>
      </c>
      <c r="S1569">
        <v>3</v>
      </c>
      <c r="T1569">
        <v>0.54</v>
      </c>
      <c r="Y1569" t="s">
        <v>6952</v>
      </c>
      <c r="Z1569" t="s">
        <v>6953</v>
      </c>
      <c r="AA1569">
        <v>75012</v>
      </c>
      <c r="AB1569" t="s">
        <v>11</v>
      </c>
    </row>
    <row r="1570" spans="1:28" x14ac:dyDescent="0.25">
      <c r="A1570" t="s">
        <v>6949</v>
      </c>
      <c r="C1570" t="s">
        <v>6950</v>
      </c>
      <c r="D1570" t="s">
        <v>6951</v>
      </c>
      <c r="E1570" t="s">
        <v>770</v>
      </c>
      <c r="F1570" t="s">
        <v>1884</v>
      </c>
      <c r="G1570" t="s">
        <v>1854</v>
      </c>
      <c r="H1570" t="s">
        <v>1885</v>
      </c>
      <c r="J1570" t="s">
        <v>773</v>
      </c>
      <c r="K1570" t="s">
        <v>2252</v>
      </c>
      <c r="L1570" t="s">
        <v>74</v>
      </c>
      <c r="M1570" t="s">
        <v>73</v>
      </c>
      <c r="N1570" t="s">
        <v>770</v>
      </c>
      <c r="O1570">
        <v>1</v>
      </c>
      <c r="P1570" t="s">
        <v>776</v>
      </c>
      <c r="Q1570">
        <v>14.9</v>
      </c>
      <c r="R1570">
        <v>2.69</v>
      </c>
      <c r="S1570">
        <v>3</v>
      </c>
      <c r="T1570">
        <v>0.54</v>
      </c>
      <c r="Y1570" t="s">
        <v>6952</v>
      </c>
      <c r="Z1570" t="s">
        <v>6953</v>
      </c>
      <c r="AA1570">
        <v>75012</v>
      </c>
      <c r="AB1570" t="s">
        <v>11</v>
      </c>
    </row>
    <row r="1571" spans="1:28" x14ac:dyDescent="0.25">
      <c r="A1571" t="s">
        <v>6954</v>
      </c>
      <c r="B1571" t="s">
        <v>6954</v>
      </c>
      <c r="C1571" t="s">
        <v>6955</v>
      </c>
      <c r="D1571" t="s">
        <v>6956</v>
      </c>
      <c r="E1571" t="s">
        <v>770</v>
      </c>
      <c r="F1571" t="s">
        <v>771</v>
      </c>
      <c r="G1571" t="s">
        <v>1854</v>
      </c>
      <c r="J1571" t="s">
        <v>783</v>
      </c>
      <c r="K1571" t="s">
        <v>1960</v>
      </c>
      <c r="L1571" t="s">
        <v>1047</v>
      </c>
      <c r="M1571" t="s">
        <v>21</v>
      </c>
      <c r="N1571" t="s">
        <v>770</v>
      </c>
      <c r="O1571">
        <v>1</v>
      </c>
      <c r="P1571" t="s">
        <v>776</v>
      </c>
      <c r="Q1571">
        <v>29.9</v>
      </c>
      <c r="R1571">
        <v>5.39</v>
      </c>
      <c r="Y1571" t="s">
        <v>6957</v>
      </c>
      <c r="Z1571" t="s">
        <v>1908</v>
      </c>
      <c r="AA1571">
        <v>80040</v>
      </c>
      <c r="AB1571" t="s">
        <v>11</v>
      </c>
    </row>
    <row r="1572" spans="1:28" x14ac:dyDescent="0.25">
      <c r="A1572" t="s">
        <v>6958</v>
      </c>
      <c r="B1572" t="s">
        <v>6958</v>
      </c>
      <c r="C1572" t="s">
        <v>6959</v>
      </c>
      <c r="D1572" t="s">
        <v>6960</v>
      </c>
      <c r="E1572" t="s">
        <v>782</v>
      </c>
      <c r="F1572" t="s">
        <v>771</v>
      </c>
      <c r="G1572" t="s">
        <v>1854</v>
      </c>
      <c r="J1572" t="s">
        <v>783</v>
      </c>
      <c r="K1572" t="s">
        <v>1960</v>
      </c>
      <c r="L1572" t="s">
        <v>1047</v>
      </c>
      <c r="M1572" t="s">
        <v>21</v>
      </c>
      <c r="N1572" t="s">
        <v>782</v>
      </c>
      <c r="O1572">
        <v>0</v>
      </c>
      <c r="Y1572" t="s">
        <v>3117</v>
      </c>
      <c r="Z1572" t="s">
        <v>1997</v>
      </c>
      <c r="AA1572">
        <v>50018</v>
      </c>
      <c r="AB1572" t="s">
        <v>11</v>
      </c>
    </row>
    <row r="1573" spans="1:28" x14ac:dyDescent="0.25">
      <c r="A1573" t="s">
        <v>6961</v>
      </c>
      <c r="B1573" t="s">
        <v>6961</v>
      </c>
      <c r="C1573" t="s">
        <v>6962</v>
      </c>
      <c r="D1573" t="s">
        <v>6963</v>
      </c>
      <c r="E1573" t="s">
        <v>770</v>
      </c>
      <c r="F1573" t="s">
        <v>771</v>
      </c>
      <c r="G1573" t="s">
        <v>1854</v>
      </c>
      <c r="J1573" t="s">
        <v>783</v>
      </c>
      <c r="K1573" t="s">
        <v>1960</v>
      </c>
      <c r="L1573" t="s">
        <v>1047</v>
      </c>
      <c r="M1573" t="s">
        <v>21</v>
      </c>
      <c r="N1573" t="s">
        <v>770</v>
      </c>
      <c r="O1573">
        <v>1</v>
      </c>
      <c r="P1573" t="s">
        <v>776</v>
      </c>
      <c r="Q1573">
        <v>29.9</v>
      </c>
      <c r="R1573">
        <v>5.39</v>
      </c>
      <c r="Y1573" t="s">
        <v>6964</v>
      </c>
      <c r="Z1573" t="s">
        <v>2838</v>
      </c>
      <c r="AA1573">
        <v>5010</v>
      </c>
      <c r="AB1573" t="s">
        <v>11</v>
      </c>
    </row>
    <row r="1574" spans="1:28" x14ac:dyDescent="0.25">
      <c r="A1574" t="s">
        <v>6965</v>
      </c>
      <c r="C1574" t="s">
        <v>6966</v>
      </c>
      <c r="D1574" t="s">
        <v>6967</v>
      </c>
      <c r="E1574" t="s">
        <v>770</v>
      </c>
      <c r="F1574" t="s">
        <v>1884</v>
      </c>
      <c r="G1574" t="s">
        <v>1854</v>
      </c>
      <c r="H1574" t="s">
        <v>1885</v>
      </c>
      <c r="J1574" t="s">
        <v>773</v>
      </c>
      <c r="K1574" t="s">
        <v>2252</v>
      </c>
      <c r="L1574" t="s">
        <v>74</v>
      </c>
      <c r="M1574" t="s">
        <v>73</v>
      </c>
      <c r="N1574" t="s">
        <v>770</v>
      </c>
      <c r="O1574">
        <v>1</v>
      </c>
      <c r="P1574" t="s">
        <v>776</v>
      </c>
      <c r="Q1574">
        <v>14.9</v>
      </c>
      <c r="R1574">
        <v>2.69</v>
      </c>
      <c r="S1574">
        <v>3</v>
      </c>
      <c r="T1574">
        <v>0.54</v>
      </c>
      <c r="Y1574" t="s">
        <v>1888</v>
      </c>
      <c r="Z1574" t="s">
        <v>1888</v>
      </c>
      <c r="AA1574">
        <v>40138</v>
      </c>
      <c r="AB1574" t="s">
        <v>11</v>
      </c>
    </row>
    <row r="1575" spans="1:28" x14ac:dyDescent="0.25">
      <c r="A1575" t="s">
        <v>6968</v>
      </c>
      <c r="B1575" t="s">
        <v>6968</v>
      </c>
      <c r="C1575" t="s">
        <v>6969</v>
      </c>
      <c r="D1575" t="s">
        <v>6970</v>
      </c>
      <c r="E1575" t="s">
        <v>770</v>
      </c>
      <c r="F1575" t="s">
        <v>771</v>
      </c>
      <c r="G1575" t="s">
        <v>1854</v>
      </c>
      <c r="J1575" t="s">
        <v>783</v>
      </c>
      <c r="K1575" t="s">
        <v>1930</v>
      </c>
      <c r="L1575" t="s">
        <v>775</v>
      </c>
      <c r="M1575" t="s">
        <v>65</v>
      </c>
      <c r="N1575" t="s">
        <v>770</v>
      </c>
      <c r="O1575">
        <v>1</v>
      </c>
      <c r="P1575" t="s">
        <v>776</v>
      </c>
      <c r="Q1575">
        <v>29.9</v>
      </c>
      <c r="R1575">
        <v>5.39</v>
      </c>
      <c r="Y1575" t="s">
        <v>6971</v>
      </c>
      <c r="Z1575" t="s">
        <v>6972</v>
      </c>
      <c r="AA1575">
        <v>33030</v>
      </c>
      <c r="AB1575" t="s">
        <v>11</v>
      </c>
    </row>
    <row r="1576" spans="1:28" x14ac:dyDescent="0.25">
      <c r="A1576" t="s">
        <v>6973</v>
      </c>
      <c r="B1576" t="s">
        <v>6973</v>
      </c>
      <c r="C1576" t="s">
        <v>6974</v>
      </c>
      <c r="D1576" t="s">
        <v>6975</v>
      </c>
      <c r="E1576" t="s">
        <v>770</v>
      </c>
      <c r="F1576" t="s">
        <v>771</v>
      </c>
      <c r="G1576" t="s">
        <v>1854</v>
      </c>
      <c r="J1576" t="s">
        <v>783</v>
      </c>
      <c r="K1576" t="s">
        <v>1873</v>
      </c>
      <c r="L1576" t="s">
        <v>840</v>
      </c>
      <c r="M1576" t="s">
        <v>26</v>
      </c>
      <c r="N1576" t="s">
        <v>770</v>
      </c>
      <c r="O1576">
        <v>1</v>
      </c>
      <c r="P1576" t="s">
        <v>776</v>
      </c>
      <c r="Q1576">
        <v>34.9</v>
      </c>
      <c r="R1576">
        <v>6.29</v>
      </c>
      <c r="S1576">
        <v>4.99</v>
      </c>
      <c r="T1576">
        <v>0.9</v>
      </c>
      <c r="Y1576" t="s">
        <v>6976</v>
      </c>
      <c r="Z1576" t="s">
        <v>2040</v>
      </c>
      <c r="AA1576">
        <v>65010</v>
      </c>
      <c r="AB1576" t="s">
        <v>11</v>
      </c>
    </row>
    <row r="1577" spans="1:28" x14ac:dyDescent="0.25">
      <c r="A1577" t="s">
        <v>6977</v>
      </c>
      <c r="C1577" t="s">
        <v>6978</v>
      </c>
      <c r="D1577" t="s">
        <v>6979</v>
      </c>
      <c r="E1577" t="s">
        <v>770</v>
      </c>
      <c r="F1577" t="s">
        <v>1884</v>
      </c>
      <c r="G1577" t="s">
        <v>1854</v>
      </c>
      <c r="H1577" t="s">
        <v>1885</v>
      </c>
      <c r="J1577" t="s">
        <v>773</v>
      </c>
      <c r="K1577" t="s">
        <v>1855</v>
      </c>
      <c r="L1577" t="s">
        <v>13</v>
      </c>
      <c r="M1577" t="s">
        <v>12</v>
      </c>
      <c r="N1577" t="s">
        <v>770</v>
      </c>
      <c r="O1577">
        <v>1</v>
      </c>
      <c r="P1577" t="s">
        <v>776</v>
      </c>
      <c r="Q1577">
        <v>19.899999999999999</v>
      </c>
      <c r="R1577">
        <v>3.59</v>
      </c>
      <c r="S1577">
        <v>3</v>
      </c>
      <c r="T1577">
        <v>0.54</v>
      </c>
      <c r="Y1577" t="s">
        <v>2046</v>
      </c>
      <c r="Z1577" t="s">
        <v>2046</v>
      </c>
      <c r="AA1577">
        <v>89134</v>
      </c>
      <c r="AB1577" t="s">
        <v>11</v>
      </c>
    </row>
    <row r="1578" spans="1:28" x14ac:dyDescent="0.25">
      <c r="A1578" t="s">
        <v>6980</v>
      </c>
      <c r="B1578" t="s">
        <v>6980</v>
      </c>
      <c r="C1578" t="s">
        <v>6981</v>
      </c>
      <c r="D1578" t="s">
        <v>6982</v>
      </c>
      <c r="E1578" t="s">
        <v>770</v>
      </c>
      <c r="F1578" t="s">
        <v>771</v>
      </c>
      <c r="G1578" t="s">
        <v>1854</v>
      </c>
      <c r="J1578" t="s">
        <v>783</v>
      </c>
      <c r="K1578" t="s">
        <v>1862</v>
      </c>
      <c r="L1578" t="s">
        <v>1505</v>
      </c>
      <c r="M1578" t="s">
        <v>53</v>
      </c>
      <c r="N1578" t="s">
        <v>770</v>
      </c>
      <c r="O1578">
        <v>1</v>
      </c>
      <c r="P1578" t="s">
        <v>776</v>
      </c>
      <c r="Q1578">
        <v>32.9</v>
      </c>
      <c r="R1578">
        <v>5.93</v>
      </c>
      <c r="Y1578" t="s">
        <v>1961</v>
      </c>
      <c r="Z1578" t="s">
        <v>1875</v>
      </c>
      <c r="AA1578">
        <v>20123</v>
      </c>
      <c r="AB1578" t="s">
        <v>11</v>
      </c>
    </row>
    <row r="1579" spans="1:28" x14ac:dyDescent="0.25">
      <c r="A1579" t="s">
        <v>6983</v>
      </c>
      <c r="C1579" t="s">
        <v>6984</v>
      </c>
      <c r="D1579" t="s">
        <v>6985</v>
      </c>
      <c r="E1579" t="s">
        <v>770</v>
      </c>
      <c r="F1579" t="s">
        <v>1884</v>
      </c>
      <c r="G1579" t="s">
        <v>1854</v>
      </c>
      <c r="H1579" t="s">
        <v>1885</v>
      </c>
      <c r="J1579" t="s">
        <v>773</v>
      </c>
      <c r="K1579" t="s">
        <v>1855</v>
      </c>
      <c r="L1579" t="s">
        <v>13</v>
      </c>
      <c r="M1579" t="s">
        <v>12</v>
      </c>
      <c r="N1579" t="s">
        <v>770</v>
      </c>
      <c r="O1579">
        <v>1</v>
      </c>
      <c r="P1579" t="s">
        <v>776</v>
      </c>
      <c r="Q1579">
        <v>19.899999999999999</v>
      </c>
      <c r="R1579">
        <v>3.59</v>
      </c>
      <c r="S1579">
        <v>3</v>
      </c>
      <c r="T1579">
        <v>0.54</v>
      </c>
      <c r="Y1579" t="s">
        <v>6986</v>
      </c>
      <c r="Z1579" t="s">
        <v>2721</v>
      </c>
      <c r="AA1579">
        <v>27025</v>
      </c>
      <c r="AB1579" t="s">
        <v>11</v>
      </c>
    </row>
    <row r="1580" spans="1:28" x14ac:dyDescent="0.25">
      <c r="A1580" t="s">
        <v>6987</v>
      </c>
      <c r="C1580" t="s">
        <v>6988</v>
      </c>
      <c r="D1580" t="s">
        <v>6989</v>
      </c>
      <c r="E1580" t="s">
        <v>770</v>
      </c>
      <c r="F1580" t="s">
        <v>1884</v>
      </c>
      <c r="G1580" t="s">
        <v>1854</v>
      </c>
      <c r="H1580" t="s">
        <v>1885</v>
      </c>
      <c r="J1580" t="s">
        <v>773</v>
      </c>
      <c r="K1580" t="s">
        <v>1855</v>
      </c>
      <c r="L1580" t="s">
        <v>13</v>
      </c>
      <c r="M1580" t="s">
        <v>12</v>
      </c>
      <c r="N1580" t="s">
        <v>770</v>
      </c>
      <c r="O1580">
        <v>1</v>
      </c>
      <c r="P1580" t="s">
        <v>776</v>
      </c>
      <c r="Q1580">
        <v>19.899999999999999</v>
      </c>
      <c r="R1580">
        <v>3.59</v>
      </c>
      <c r="S1580">
        <v>3</v>
      </c>
      <c r="T1580">
        <v>0.54</v>
      </c>
      <c r="Y1580" t="s">
        <v>6990</v>
      </c>
      <c r="Z1580" t="s">
        <v>2362</v>
      </c>
      <c r="AA1580">
        <v>15027</v>
      </c>
      <c r="AB1580" t="s">
        <v>11</v>
      </c>
    </row>
    <row r="1581" spans="1:28" x14ac:dyDescent="0.25">
      <c r="A1581" t="s">
        <v>6991</v>
      </c>
      <c r="B1581" t="s">
        <v>6991</v>
      </c>
      <c r="C1581" t="s">
        <v>6992</v>
      </c>
      <c r="D1581" t="s">
        <v>6993</v>
      </c>
      <c r="E1581" t="s">
        <v>770</v>
      </c>
      <c r="F1581" t="s">
        <v>771</v>
      </c>
      <c r="G1581" t="s">
        <v>1854</v>
      </c>
      <c r="J1581" t="s">
        <v>783</v>
      </c>
      <c r="K1581" t="s">
        <v>1862</v>
      </c>
      <c r="L1581" t="s">
        <v>1505</v>
      </c>
      <c r="M1581" t="s">
        <v>53</v>
      </c>
      <c r="N1581" t="s">
        <v>770</v>
      </c>
      <c r="O1581">
        <v>1</v>
      </c>
      <c r="P1581" t="s">
        <v>776</v>
      </c>
      <c r="Q1581">
        <v>32.9</v>
      </c>
      <c r="R1581">
        <v>5.93</v>
      </c>
      <c r="S1581">
        <v>3.99</v>
      </c>
      <c r="T1581">
        <v>0.72</v>
      </c>
      <c r="Y1581" t="s">
        <v>6994</v>
      </c>
      <c r="Z1581" t="s">
        <v>2786</v>
      </c>
      <c r="AA1581">
        <v>23030</v>
      </c>
      <c r="AB1581" t="s">
        <v>11</v>
      </c>
    </row>
    <row r="1582" spans="1:28" x14ac:dyDescent="0.25">
      <c r="A1582" t="s">
        <v>6995</v>
      </c>
      <c r="C1582" t="s">
        <v>6996</v>
      </c>
      <c r="D1582" t="s">
        <v>6431</v>
      </c>
      <c r="E1582" t="s">
        <v>770</v>
      </c>
      <c r="F1582" t="s">
        <v>1884</v>
      </c>
      <c r="G1582" t="s">
        <v>1854</v>
      </c>
      <c r="H1582" t="s">
        <v>1885</v>
      </c>
      <c r="J1582" t="s">
        <v>773</v>
      </c>
      <c r="K1582" t="s">
        <v>1886</v>
      </c>
      <c r="L1582" t="s">
        <v>18</v>
      </c>
      <c r="M1582" t="s">
        <v>17</v>
      </c>
      <c r="N1582" t="s">
        <v>770</v>
      </c>
      <c r="O1582">
        <v>1</v>
      </c>
      <c r="P1582" t="s">
        <v>776</v>
      </c>
      <c r="Q1582">
        <v>22.9</v>
      </c>
      <c r="R1582">
        <v>4.13</v>
      </c>
      <c r="S1582">
        <v>3</v>
      </c>
      <c r="T1582">
        <v>0.54</v>
      </c>
      <c r="Y1582" t="s">
        <v>6997</v>
      </c>
      <c r="Z1582" t="s">
        <v>1922</v>
      </c>
      <c r="AA1582">
        <v>31016</v>
      </c>
      <c r="AB1582" t="s">
        <v>11</v>
      </c>
    </row>
    <row r="1583" spans="1:28" x14ac:dyDescent="0.25">
      <c r="A1583" t="s">
        <v>6998</v>
      </c>
      <c r="B1583" t="s">
        <v>6998</v>
      </c>
      <c r="C1583" t="s">
        <v>6999</v>
      </c>
      <c r="D1583" t="s">
        <v>7000</v>
      </c>
      <c r="E1583" t="s">
        <v>770</v>
      </c>
      <c r="F1583" t="s">
        <v>771</v>
      </c>
      <c r="G1583" t="s">
        <v>1854</v>
      </c>
      <c r="J1583" t="s">
        <v>783</v>
      </c>
      <c r="K1583" t="s">
        <v>1960</v>
      </c>
      <c r="L1583" t="s">
        <v>1047</v>
      </c>
      <c r="M1583" t="s">
        <v>21</v>
      </c>
      <c r="N1583" t="s">
        <v>770</v>
      </c>
      <c r="O1583">
        <v>1</v>
      </c>
      <c r="P1583" t="s">
        <v>776</v>
      </c>
      <c r="Q1583">
        <v>29.9</v>
      </c>
      <c r="R1583">
        <v>5.39</v>
      </c>
      <c r="Y1583" t="s">
        <v>4082</v>
      </c>
      <c r="AA1583">
        <v>10144</v>
      </c>
      <c r="AB1583" t="s">
        <v>11</v>
      </c>
    </row>
    <row r="1584" spans="1:28" x14ac:dyDescent="0.25">
      <c r="A1584" t="s">
        <v>7001</v>
      </c>
      <c r="B1584" t="s">
        <v>7001</v>
      </c>
      <c r="C1584" t="s">
        <v>7002</v>
      </c>
      <c r="D1584" t="s">
        <v>7003</v>
      </c>
      <c r="E1584" t="s">
        <v>770</v>
      </c>
      <c r="F1584" t="s">
        <v>771</v>
      </c>
      <c r="G1584" t="s">
        <v>1854</v>
      </c>
      <c r="J1584" t="s">
        <v>783</v>
      </c>
      <c r="K1584" t="s">
        <v>2390</v>
      </c>
      <c r="L1584" t="s">
        <v>1094</v>
      </c>
      <c r="M1584" t="s">
        <v>208</v>
      </c>
      <c r="N1584" t="s">
        <v>770</v>
      </c>
      <c r="O1584">
        <v>1</v>
      </c>
      <c r="P1584" t="s">
        <v>776</v>
      </c>
      <c r="Q1584">
        <v>79.900000000000006</v>
      </c>
      <c r="R1584">
        <v>14.41</v>
      </c>
      <c r="Y1584" t="s">
        <v>2503</v>
      </c>
      <c r="Z1584" t="s">
        <v>2503</v>
      </c>
      <c r="AA1584">
        <v>48123</v>
      </c>
      <c r="AB1584" t="s">
        <v>11</v>
      </c>
    </row>
    <row r="1585" spans="1:35" x14ac:dyDescent="0.25">
      <c r="A1585" t="s">
        <v>7004</v>
      </c>
      <c r="B1585" t="s">
        <v>7004</v>
      </c>
      <c r="C1585" t="s">
        <v>7005</v>
      </c>
      <c r="D1585" t="s">
        <v>7006</v>
      </c>
      <c r="E1585" t="s">
        <v>770</v>
      </c>
      <c r="F1585" t="s">
        <v>771</v>
      </c>
      <c r="G1585" t="s">
        <v>1854</v>
      </c>
      <c r="J1585" t="s">
        <v>783</v>
      </c>
      <c r="K1585" t="s">
        <v>1862</v>
      </c>
      <c r="L1585" t="s">
        <v>1505</v>
      </c>
      <c r="M1585" t="s">
        <v>53</v>
      </c>
      <c r="N1585" t="s">
        <v>770</v>
      </c>
      <c r="O1585">
        <v>1</v>
      </c>
      <c r="P1585" t="s">
        <v>776</v>
      </c>
      <c r="Q1585">
        <v>32.9</v>
      </c>
      <c r="R1585">
        <v>5.93</v>
      </c>
      <c r="Y1585" t="s">
        <v>6344</v>
      </c>
      <c r="Z1585" t="s">
        <v>4393</v>
      </c>
      <c r="AA1585">
        <v>95031</v>
      </c>
      <c r="AB1585" t="s">
        <v>11</v>
      </c>
    </row>
    <row r="1586" spans="1:35" x14ac:dyDescent="0.25">
      <c r="A1586" t="s">
        <v>7007</v>
      </c>
      <c r="C1586" t="s">
        <v>7008</v>
      </c>
      <c r="D1586" t="s">
        <v>7009</v>
      </c>
      <c r="E1586" t="s">
        <v>770</v>
      </c>
      <c r="F1586" t="s">
        <v>1884</v>
      </c>
      <c r="G1586" t="s">
        <v>1854</v>
      </c>
      <c r="H1586" t="s">
        <v>1885</v>
      </c>
      <c r="J1586" t="s">
        <v>773</v>
      </c>
      <c r="K1586" t="s">
        <v>2252</v>
      </c>
      <c r="L1586" t="s">
        <v>74</v>
      </c>
      <c r="M1586" t="s">
        <v>73</v>
      </c>
      <c r="N1586" t="s">
        <v>770</v>
      </c>
      <c r="O1586">
        <v>1</v>
      </c>
      <c r="P1586" t="s">
        <v>776</v>
      </c>
      <c r="Q1586">
        <v>14.9</v>
      </c>
      <c r="R1586">
        <v>2.69</v>
      </c>
      <c r="S1586">
        <v>3</v>
      </c>
      <c r="T1586">
        <v>0.54</v>
      </c>
      <c r="Y1586" t="s">
        <v>7010</v>
      </c>
      <c r="Z1586" t="s">
        <v>3404</v>
      </c>
      <c r="AA1586">
        <v>83036</v>
      </c>
      <c r="AB1586" t="s">
        <v>11</v>
      </c>
    </row>
    <row r="1587" spans="1:35" x14ac:dyDescent="0.25">
      <c r="A1587" t="s">
        <v>7011</v>
      </c>
      <c r="C1587" t="s">
        <v>7012</v>
      </c>
      <c r="D1587" t="s">
        <v>7013</v>
      </c>
      <c r="E1587" t="s">
        <v>770</v>
      </c>
      <c r="F1587" t="s">
        <v>1884</v>
      </c>
      <c r="G1587" t="s">
        <v>1854</v>
      </c>
      <c r="H1587" t="s">
        <v>1885</v>
      </c>
      <c r="J1587" t="s">
        <v>773</v>
      </c>
      <c r="K1587" t="s">
        <v>4881</v>
      </c>
      <c r="L1587" s="2">
        <v>90882</v>
      </c>
      <c r="M1587" t="s">
        <v>232</v>
      </c>
      <c r="N1587" t="s">
        <v>770</v>
      </c>
      <c r="O1587">
        <v>1</v>
      </c>
      <c r="P1587" t="s">
        <v>776</v>
      </c>
      <c r="Q1587">
        <v>49.9</v>
      </c>
      <c r="R1587">
        <v>9</v>
      </c>
      <c r="S1587">
        <v>3</v>
      </c>
      <c r="T1587">
        <v>0.54</v>
      </c>
      <c r="Y1587" t="s">
        <v>2134</v>
      </c>
      <c r="Z1587" t="s">
        <v>1913</v>
      </c>
      <c r="AA1587">
        <v>128</v>
      </c>
      <c r="AB1587" t="s">
        <v>11</v>
      </c>
      <c r="AG1587" t="s">
        <v>7014</v>
      </c>
      <c r="AH1587" t="s">
        <v>11</v>
      </c>
      <c r="AI1587" t="s">
        <v>1258</v>
      </c>
    </row>
    <row r="1588" spans="1:35" x14ac:dyDescent="0.25">
      <c r="A1588" t="s">
        <v>7015</v>
      </c>
      <c r="B1588" t="s">
        <v>7015</v>
      </c>
      <c r="C1588" t="s">
        <v>7016</v>
      </c>
      <c r="D1588" t="s">
        <v>7017</v>
      </c>
      <c r="E1588" t="s">
        <v>770</v>
      </c>
      <c r="F1588" t="s">
        <v>771</v>
      </c>
      <c r="G1588" t="s">
        <v>1854</v>
      </c>
      <c r="J1588" t="s">
        <v>783</v>
      </c>
      <c r="K1588" t="s">
        <v>5765</v>
      </c>
      <c r="L1588" t="s">
        <v>5766</v>
      </c>
      <c r="M1588" t="s">
        <v>152</v>
      </c>
      <c r="N1588" t="s">
        <v>770</v>
      </c>
      <c r="O1588">
        <v>1</v>
      </c>
      <c r="P1588" t="s">
        <v>776</v>
      </c>
      <c r="Q1588">
        <v>24.9</v>
      </c>
      <c r="R1588">
        <v>4.49</v>
      </c>
      <c r="Y1588" t="s">
        <v>7018</v>
      </c>
      <c r="Z1588" t="s">
        <v>3008</v>
      </c>
      <c r="AA1588">
        <v>47843</v>
      </c>
      <c r="AB1588" t="s">
        <v>11</v>
      </c>
    </row>
    <row r="1589" spans="1:35" x14ac:dyDescent="0.25">
      <c r="A1589" t="s">
        <v>7019</v>
      </c>
      <c r="B1589" t="s">
        <v>7019</v>
      </c>
      <c r="C1589" t="s">
        <v>7020</v>
      </c>
      <c r="D1589" t="s">
        <v>7021</v>
      </c>
      <c r="E1589" t="s">
        <v>770</v>
      </c>
      <c r="F1589" t="s">
        <v>771</v>
      </c>
      <c r="G1589" t="s">
        <v>1854</v>
      </c>
      <c r="J1589" t="s">
        <v>783</v>
      </c>
      <c r="K1589" t="s">
        <v>1862</v>
      </c>
      <c r="L1589" t="s">
        <v>1505</v>
      </c>
      <c r="M1589" t="s">
        <v>53</v>
      </c>
      <c r="N1589" t="s">
        <v>770</v>
      </c>
      <c r="O1589">
        <v>1</v>
      </c>
      <c r="P1589" t="s">
        <v>776</v>
      </c>
      <c r="Q1589">
        <v>32.9</v>
      </c>
      <c r="R1589">
        <v>5.93</v>
      </c>
      <c r="Y1589" t="s">
        <v>7022</v>
      </c>
      <c r="Z1589" t="s">
        <v>1908</v>
      </c>
      <c r="AA1589">
        <v>80035</v>
      </c>
      <c r="AB1589" t="s">
        <v>11</v>
      </c>
    </row>
    <row r="1590" spans="1:35" x14ac:dyDescent="0.25">
      <c r="A1590" t="s">
        <v>7023</v>
      </c>
      <c r="B1590" t="s">
        <v>7023</v>
      </c>
      <c r="C1590" t="s">
        <v>7024</v>
      </c>
      <c r="D1590" t="s">
        <v>7025</v>
      </c>
      <c r="E1590" t="s">
        <v>770</v>
      </c>
      <c r="F1590" t="s">
        <v>771</v>
      </c>
      <c r="G1590" t="s">
        <v>1854</v>
      </c>
      <c r="J1590" t="s">
        <v>783</v>
      </c>
      <c r="K1590" t="s">
        <v>1862</v>
      </c>
      <c r="L1590" t="s">
        <v>1505</v>
      </c>
      <c r="M1590" t="s">
        <v>53</v>
      </c>
      <c r="N1590" t="s">
        <v>770</v>
      </c>
      <c r="O1590">
        <v>1</v>
      </c>
      <c r="P1590" t="s">
        <v>776</v>
      </c>
      <c r="Q1590">
        <v>32.9</v>
      </c>
      <c r="R1590">
        <v>5.93</v>
      </c>
      <c r="Y1590" t="s">
        <v>3080</v>
      </c>
      <c r="Z1590" t="s">
        <v>3080</v>
      </c>
      <c r="AA1590">
        <v>30122</v>
      </c>
      <c r="AB1590" t="s">
        <v>11</v>
      </c>
    </row>
    <row r="1591" spans="1:35" x14ac:dyDescent="0.25">
      <c r="A1591" t="s">
        <v>7026</v>
      </c>
      <c r="B1591" t="s">
        <v>7026</v>
      </c>
      <c r="C1591" t="s">
        <v>7027</v>
      </c>
      <c r="D1591" t="s">
        <v>7028</v>
      </c>
      <c r="E1591" t="s">
        <v>770</v>
      </c>
      <c r="F1591" t="s">
        <v>771</v>
      </c>
      <c r="G1591" t="s">
        <v>1854</v>
      </c>
      <c r="J1591" t="s">
        <v>783</v>
      </c>
      <c r="K1591" t="s">
        <v>1873</v>
      </c>
      <c r="L1591" t="s">
        <v>840</v>
      </c>
      <c r="M1591" t="s">
        <v>26</v>
      </c>
      <c r="N1591" t="s">
        <v>770</v>
      </c>
      <c r="O1591">
        <v>1</v>
      </c>
      <c r="P1591" t="s">
        <v>776</v>
      </c>
      <c r="Q1591">
        <v>34.9</v>
      </c>
      <c r="R1591">
        <v>6.29</v>
      </c>
      <c r="Y1591" t="s">
        <v>1913</v>
      </c>
      <c r="Z1591" t="s">
        <v>2548</v>
      </c>
      <c r="AA1591">
        <v>191</v>
      </c>
      <c r="AB1591" t="s">
        <v>11</v>
      </c>
    </row>
    <row r="1592" spans="1:35" x14ac:dyDescent="0.25">
      <c r="A1592" t="s">
        <v>7029</v>
      </c>
      <c r="B1592" t="s">
        <v>7029</v>
      </c>
      <c r="C1592" t="s">
        <v>7030</v>
      </c>
      <c r="D1592" t="s">
        <v>7031</v>
      </c>
      <c r="E1592" t="s">
        <v>770</v>
      </c>
      <c r="F1592" t="s">
        <v>771</v>
      </c>
      <c r="G1592" t="s">
        <v>1854</v>
      </c>
      <c r="J1592" t="s">
        <v>783</v>
      </c>
      <c r="K1592" t="s">
        <v>1873</v>
      </c>
      <c r="L1592" t="s">
        <v>840</v>
      </c>
      <c r="M1592" t="s">
        <v>26</v>
      </c>
      <c r="N1592" t="s">
        <v>770</v>
      </c>
      <c r="O1592">
        <v>1</v>
      </c>
      <c r="P1592" t="s">
        <v>776</v>
      </c>
      <c r="Q1592">
        <v>34.9</v>
      </c>
      <c r="R1592">
        <v>6.29</v>
      </c>
      <c r="S1592">
        <v>4.99</v>
      </c>
      <c r="T1592">
        <v>0.9</v>
      </c>
      <c r="Y1592" t="s">
        <v>2538</v>
      </c>
      <c r="Z1592" t="s">
        <v>7032</v>
      </c>
      <c r="AA1592">
        <v>1100</v>
      </c>
      <c r="AB1592" t="s">
        <v>11</v>
      </c>
    </row>
    <row r="1593" spans="1:35" x14ac:dyDescent="0.25">
      <c r="A1593" t="s">
        <v>7033</v>
      </c>
      <c r="C1593" t="s">
        <v>7034</v>
      </c>
      <c r="D1593" t="s">
        <v>7035</v>
      </c>
      <c r="E1593" t="s">
        <v>770</v>
      </c>
      <c r="F1593" t="s">
        <v>1884</v>
      </c>
      <c r="G1593" t="s">
        <v>1854</v>
      </c>
      <c r="H1593" t="s">
        <v>1885</v>
      </c>
      <c r="J1593" t="s">
        <v>773</v>
      </c>
      <c r="K1593" t="s">
        <v>1855</v>
      </c>
      <c r="L1593" t="s">
        <v>13</v>
      </c>
      <c r="M1593" t="s">
        <v>12</v>
      </c>
      <c r="N1593" t="s">
        <v>770</v>
      </c>
      <c r="O1593">
        <v>1</v>
      </c>
      <c r="P1593" t="s">
        <v>776</v>
      </c>
      <c r="Q1593">
        <v>19.899999999999999</v>
      </c>
      <c r="R1593">
        <v>3.59</v>
      </c>
      <c r="S1593">
        <v>3</v>
      </c>
      <c r="T1593">
        <v>0.54</v>
      </c>
      <c r="Y1593" t="s">
        <v>3622</v>
      </c>
      <c r="Z1593" t="s">
        <v>7036</v>
      </c>
      <c r="AA1593">
        <v>54100</v>
      </c>
      <c r="AB1593" t="s">
        <v>11</v>
      </c>
    </row>
    <row r="1594" spans="1:35" x14ac:dyDescent="0.25">
      <c r="A1594" t="s">
        <v>7037</v>
      </c>
      <c r="B1594" t="s">
        <v>7037</v>
      </c>
      <c r="C1594" t="s">
        <v>7038</v>
      </c>
      <c r="D1594" t="s">
        <v>7039</v>
      </c>
      <c r="E1594" t="s">
        <v>770</v>
      </c>
      <c r="F1594" t="s">
        <v>771</v>
      </c>
      <c r="G1594" t="s">
        <v>1854</v>
      </c>
      <c r="J1594" t="s">
        <v>783</v>
      </c>
      <c r="K1594" t="s">
        <v>1862</v>
      </c>
      <c r="L1594" t="s">
        <v>1505</v>
      </c>
      <c r="M1594" t="s">
        <v>53</v>
      </c>
      <c r="N1594" t="s">
        <v>770</v>
      </c>
      <c r="O1594">
        <v>1</v>
      </c>
      <c r="P1594" t="s">
        <v>776</v>
      </c>
      <c r="Q1594">
        <v>32.9</v>
      </c>
      <c r="R1594">
        <v>5.93</v>
      </c>
      <c r="Y1594" t="s">
        <v>2644</v>
      </c>
      <c r="Z1594" t="s">
        <v>2644</v>
      </c>
      <c r="AA1594">
        <v>57128</v>
      </c>
      <c r="AB1594" t="s">
        <v>11</v>
      </c>
    </row>
    <row r="1595" spans="1:35" x14ac:dyDescent="0.25">
      <c r="A1595" t="s">
        <v>7040</v>
      </c>
      <c r="B1595" t="s">
        <v>7040</v>
      </c>
      <c r="C1595" t="s">
        <v>7041</v>
      </c>
      <c r="D1595" t="s">
        <v>7042</v>
      </c>
      <c r="E1595" t="s">
        <v>770</v>
      </c>
      <c r="F1595" t="s">
        <v>771</v>
      </c>
      <c r="G1595" t="s">
        <v>1854</v>
      </c>
      <c r="J1595" t="s">
        <v>783</v>
      </c>
      <c r="K1595" t="s">
        <v>1873</v>
      </c>
      <c r="L1595" t="s">
        <v>840</v>
      </c>
      <c r="M1595" t="s">
        <v>26</v>
      </c>
      <c r="N1595" t="s">
        <v>770</v>
      </c>
      <c r="O1595">
        <v>1</v>
      </c>
      <c r="P1595" t="s">
        <v>776</v>
      </c>
      <c r="Q1595">
        <v>34.9</v>
      </c>
      <c r="R1595">
        <v>6.29</v>
      </c>
      <c r="Y1595" t="s">
        <v>5388</v>
      </c>
      <c r="Z1595" t="s">
        <v>1922</v>
      </c>
      <c r="AA1595">
        <v>31025</v>
      </c>
      <c r="AB1595" t="s">
        <v>11</v>
      </c>
    </row>
    <row r="1596" spans="1:35" x14ac:dyDescent="0.25">
      <c r="A1596" t="s">
        <v>7043</v>
      </c>
      <c r="B1596" t="s">
        <v>7043</v>
      </c>
      <c r="C1596" t="s">
        <v>7044</v>
      </c>
      <c r="D1596" t="s">
        <v>7045</v>
      </c>
      <c r="E1596" t="s">
        <v>770</v>
      </c>
      <c r="F1596" t="s">
        <v>771</v>
      </c>
      <c r="G1596" t="s">
        <v>1854</v>
      </c>
      <c r="J1596" t="s">
        <v>783</v>
      </c>
      <c r="K1596" t="s">
        <v>1873</v>
      </c>
      <c r="L1596" t="s">
        <v>840</v>
      </c>
      <c r="M1596" t="s">
        <v>26</v>
      </c>
      <c r="N1596" t="s">
        <v>770</v>
      </c>
      <c r="O1596">
        <v>1</v>
      </c>
      <c r="P1596" t="s">
        <v>776</v>
      </c>
      <c r="Q1596">
        <v>34.9</v>
      </c>
      <c r="R1596">
        <v>6.29</v>
      </c>
      <c r="Y1596" t="s">
        <v>7046</v>
      </c>
      <c r="Z1596" t="s">
        <v>3404</v>
      </c>
      <c r="AA1596">
        <v>83040</v>
      </c>
      <c r="AB1596" t="s">
        <v>11</v>
      </c>
    </row>
    <row r="1597" spans="1:35" x14ac:dyDescent="0.25">
      <c r="A1597" t="s">
        <v>7047</v>
      </c>
      <c r="B1597" t="s">
        <v>7047</v>
      </c>
      <c r="C1597" t="s">
        <v>7048</v>
      </c>
      <c r="D1597" t="s">
        <v>7049</v>
      </c>
      <c r="E1597" t="s">
        <v>770</v>
      </c>
      <c r="F1597" t="s">
        <v>771</v>
      </c>
      <c r="G1597" t="s">
        <v>1854</v>
      </c>
      <c r="J1597" t="s">
        <v>783</v>
      </c>
      <c r="K1597" t="s">
        <v>1873</v>
      </c>
      <c r="L1597" t="s">
        <v>840</v>
      </c>
      <c r="M1597" t="s">
        <v>26</v>
      </c>
      <c r="N1597" t="s">
        <v>770</v>
      </c>
      <c r="O1597">
        <v>1</v>
      </c>
      <c r="P1597" t="s">
        <v>776</v>
      </c>
      <c r="Q1597">
        <v>34.9</v>
      </c>
      <c r="R1597">
        <v>6.29</v>
      </c>
      <c r="Y1597" t="s">
        <v>7050</v>
      </c>
      <c r="Z1597" t="s">
        <v>7051</v>
      </c>
      <c r="AA1597">
        <v>47014</v>
      </c>
      <c r="AB1597" t="s">
        <v>11</v>
      </c>
    </row>
    <row r="1598" spans="1:35" x14ac:dyDescent="0.25">
      <c r="A1598" t="s">
        <v>7052</v>
      </c>
      <c r="B1598" t="s">
        <v>7052</v>
      </c>
      <c r="C1598" t="s">
        <v>7053</v>
      </c>
      <c r="D1598" t="s">
        <v>7054</v>
      </c>
      <c r="E1598" t="s">
        <v>770</v>
      </c>
      <c r="F1598" t="s">
        <v>771</v>
      </c>
      <c r="G1598" t="s">
        <v>1854</v>
      </c>
      <c r="J1598" t="s">
        <v>783</v>
      </c>
      <c r="K1598" t="s">
        <v>1930</v>
      </c>
      <c r="L1598" t="s">
        <v>775</v>
      </c>
      <c r="M1598" t="s">
        <v>65</v>
      </c>
      <c r="N1598" t="s">
        <v>770</v>
      </c>
      <c r="O1598">
        <v>1</v>
      </c>
      <c r="P1598" t="s">
        <v>776</v>
      </c>
      <c r="Q1598">
        <v>29.9</v>
      </c>
      <c r="R1598">
        <v>5.39</v>
      </c>
      <c r="Y1598" t="s">
        <v>3185</v>
      </c>
      <c r="Z1598" t="s">
        <v>3185</v>
      </c>
      <c r="AA1598">
        <v>33170</v>
      </c>
      <c r="AB1598" t="s">
        <v>11</v>
      </c>
    </row>
    <row r="1599" spans="1:35" x14ac:dyDescent="0.25">
      <c r="A1599" t="s">
        <v>7055</v>
      </c>
      <c r="B1599" t="s">
        <v>7055</v>
      </c>
      <c r="C1599" t="s">
        <v>7056</v>
      </c>
      <c r="D1599" t="s">
        <v>7057</v>
      </c>
      <c r="E1599" t="s">
        <v>770</v>
      </c>
      <c r="F1599" t="s">
        <v>771</v>
      </c>
      <c r="G1599" t="s">
        <v>1854</v>
      </c>
      <c r="J1599" t="s">
        <v>783</v>
      </c>
      <c r="K1599" t="s">
        <v>1930</v>
      </c>
      <c r="L1599" t="s">
        <v>775</v>
      </c>
      <c r="M1599" t="s">
        <v>65</v>
      </c>
      <c r="N1599" t="s">
        <v>770</v>
      </c>
      <c r="O1599">
        <v>1</v>
      </c>
      <c r="P1599" t="s">
        <v>776</v>
      </c>
      <c r="Q1599">
        <v>29.9</v>
      </c>
      <c r="R1599">
        <v>5.39</v>
      </c>
      <c r="Y1599" t="s">
        <v>7058</v>
      </c>
      <c r="Z1599" t="s">
        <v>2819</v>
      </c>
      <c r="AA1599">
        <v>74017</v>
      </c>
      <c r="AB1599" t="s">
        <v>11</v>
      </c>
    </row>
    <row r="1600" spans="1:35" x14ac:dyDescent="0.25">
      <c r="A1600" t="s">
        <v>7059</v>
      </c>
      <c r="B1600" t="s">
        <v>7059</v>
      </c>
      <c r="C1600" t="s">
        <v>7060</v>
      </c>
      <c r="D1600" t="s">
        <v>7061</v>
      </c>
      <c r="E1600" t="s">
        <v>770</v>
      </c>
      <c r="F1600" t="s">
        <v>771</v>
      </c>
      <c r="G1600" t="s">
        <v>1854</v>
      </c>
      <c r="J1600" t="s">
        <v>783</v>
      </c>
      <c r="K1600" t="s">
        <v>2162</v>
      </c>
      <c r="L1600" t="s">
        <v>2163</v>
      </c>
      <c r="M1600" t="s">
        <v>59</v>
      </c>
      <c r="N1600" t="s">
        <v>770</v>
      </c>
      <c r="O1600">
        <v>1</v>
      </c>
      <c r="P1600" t="s">
        <v>776</v>
      </c>
      <c r="Q1600">
        <v>29.9</v>
      </c>
      <c r="R1600">
        <v>5.39</v>
      </c>
      <c r="Y1600" t="s">
        <v>1913</v>
      </c>
      <c r="Z1600" t="s">
        <v>1926</v>
      </c>
      <c r="AA1600">
        <v>124</v>
      </c>
      <c r="AB1600" t="s">
        <v>11</v>
      </c>
    </row>
    <row r="1601" spans="1:28" x14ac:dyDescent="0.25">
      <c r="A1601" t="s">
        <v>7062</v>
      </c>
      <c r="C1601" t="s">
        <v>7063</v>
      </c>
      <c r="D1601" t="s">
        <v>7064</v>
      </c>
      <c r="E1601" t="s">
        <v>770</v>
      </c>
      <c r="F1601" t="s">
        <v>1884</v>
      </c>
      <c r="G1601" t="s">
        <v>1854</v>
      </c>
      <c r="H1601" t="s">
        <v>1885</v>
      </c>
      <c r="J1601" t="s">
        <v>773</v>
      </c>
      <c r="K1601" t="s">
        <v>1855</v>
      </c>
      <c r="L1601" t="s">
        <v>13</v>
      </c>
      <c r="M1601" t="s">
        <v>12</v>
      </c>
      <c r="N1601" t="s">
        <v>770</v>
      </c>
      <c r="O1601">
        <v>1</v>
      </c>
      <c r="P1601" t="s">
        <v>776</v>
      </c>
      <c r="Q1601">
        <v>19.899999999999999</v>
      </c>
      <c r="R1601">
        <v>3.59</v>
      </c>
      <c r="S1601">
        <v>3</v>
      </c>
      <c r="T1601">
        <v>0.54</v>
      </c>
      <c r="Y1601" t="s">
        <v>7065</v>
      </c>
      <c r="Z1601" t="s">
        <v>2158</v>
      </c>
      <c r="AA1601">
        <v>24040</v>
      </c>
      <c r="AB1601" t="s">
        <v>11</v>
      </c>
    </row>
    <row r="1602" spans="1:28" x14ac:dyDescent="0.25">
      <c r="A1602" t="s">
        <v>7066</v>
      </c>
      <c r="B1602" t="s">
        <v>7066</v>
      </c>
      <c r="C1602" t="s">
        <v>7067</v>
      </c>
      <c r="D1602" t="s">
        <v>7068</v>
      </c>
      <c r="E1602" t="s">
        <v>770</v>
      </c>
      <c r="F1602" t="s">
        <v>771</v>
      </c>
      <c r="G1602" t="s">
        <v>1854</v>
      </c>
      <c r="J1602" t="s">
        <v>783</v>
      </c>
      <c r="K1602" t="s">
        <v>2390</v>
      </c>
      <c r="L1602" t="s">
        <v>1094</v>
      </c>
      <c r="M1602" t="s">
        <v>208</v>
      </c>
      <c r="N1602" t="s">
        <v>770</v>
      </c>
      <c r="O1602">
        <v>1</v>
      </c>
      <c r="P1602" t="s">
        <v>776</v>
      </c>
      <c r="Q1602">
        <v>79.900000000000006</v>
      </c>
      <c r="R1602">
        <v>14.41</v>
      </c>
      <c r="Y1602" t="s">
        <v>7069</v>
      </c>
      <c r="Z1602" t="s">
        <v>2392</v>
      </c>
      <c r="AA1602">
        <v>9028</v>
      </c>
      <c r="AB1602" t="s">
        <v>11</v>
      </c>
    </row>
    <row r="1603" spans="1:28" x14ac:dyDescent="0.25">
      <c r="A1603" t="s">
        <v>7070</v>
      </c>
      <c r="B1603" t="s">
        <v>7070</v>
      </c>
      <c r="C1603" t="s">
        <v>7071</v>
      </c>
      <c r="D1603" t="s">
        <v>7072</v>
      </c>
      <c r="E1603" t="s">
        <v>770</v>
      </c>
      <c r="F1603" t="s">
        <v>771</v>
      </c>
      <c r="G1603" t="s">
        <v>1854</v>
      </c>
      <c r="J1603" t="s">
        <v>783</v>
      </c>
      <c r="K1603" t="s">
        <v>1930</v>
      </c>
      <c r="L1603" t="s">
        <v>775</v>
      </c>
      <c r="M1603" t="s">
        <v>65</v>
      </c>
      <c r="N1603" t="s">
        <v>770</v>
      </c>
      <c r="O1603">
        <v>1</v>
      </c>
      <c r="P1603" t="s">
        <v>776</v>
      </c>
      <c r="Q1603">
        <v>29.9</v>
      </c>
      <c r="R1603">
        <v>5.39</v>
      </c>
      <c r="Y1603" t="s">
        <v>7073</v>
      </c>
      <c r="Z1603" t="s">
        <v>7074</v>
      </c>
      <c r="AA1603">
        <v>1026</v>
      </c>
      <c r="AB1603" t="s">
        <v>11</v>
      </c>
    </row>
    <row r="1604" spans="1:28" x14ac:dyDescent="0.25">
      <c r="A1604" t="s">
        <v>7075</v>
      </c>
      <c r="C1604" t="s">
        <v>7076</v>
      </c>
      <c r="D1604" t="s">
        <v>6694</v>
      </c>
      <c r="E1604" t="s">
        <v>770</v>
      </c>
      <c r="F1604" t="s">
        <v>1884</v>
      </c>
      <c r="G1604" t="s">
        <v>1854</v>
      </c>
      <c r="H1604" t="s">
        <v>1885</v>
      </c>
      <c r="J1604" t="s">
        <v>773</v>
      </c>
      <c r="K1604" t="s">
        <v>1855</v>
      </c>
      <c r="L1604" t="s">
        <v>13</v>
      </c>
      <c r="M1604" t="s">
        <v>12</v>
      </c>
      <c r="N1604" t="s">
        <v>770</v>
      </c>
      <c r="O1604">
        <v>1</v>
      </c>
      <c r="P1604" t="s">
        <v>776</v>
      </c>
      <c r="Q1604">
        <v>19.899999999999999</v>
      </c>
      <c r="R1604">
        <v>3.59</v>
      </c>
      <c r="S1604">
        <v>3</v>
      </c>
      <c r="T1604">
        <v>0.54</v>
      </c>
      <c r="Y1604" t="s">
        <v>4692</v>
      </c>
      <c r="Z1604" t="s">
        <v>7077</v>
      </c>
      <c r="AA1604">
        <v>60125</v>
      </c>
      <c r="AB1604" t="s">
        <v>11</v>
      </c>
    </row>
    <row r="1605" spans="1:28" x14ac:dyDescent="0.25">
      <c r="A1605" t="s">
        <v>7078</v>
      </c>
      <c r="B1605" t="s">
        <v>7078</v>
      </c>
      <c r="C1605" t="s">
        <v>7079</v>
      </c>
      <c r="D1605" t="s">
        <v>7080</v>
      </c>
      <c r="E1605" t="s">
        <v>770</v>
      </c>
      <c r="F1605" t="s">
        <v>771</v>
      </c>
      <c r="G1605" t="s">
        <v>1854</v>
      </c>
      <c r="J1605" t="s">
        <v>783</v>
      </c>
      <c r="K1605" t="s">
        <v>2044</v>
      </c>
      <c r="L1605" t="s">
        <v>1489</v>
      </c>
      <c r="M1605" t="s">
        <v>75</v>
      </c>
      <c r="N1605" t="s">
        <v>770</v>
      </c>
      <c r="O1605">
        <v>1</v>
      </c>
      <c r="P1605" t="s">
        <v>776</v>
      </c>
      <c r="Q1605">
        <v>49.9</v>
      </c>
      <c r="R1605">
        <v>9</v>
      </c>
      <c r="Y1605" t="s">
        <v>4172</v>
      </c>
      <c r="Z1605" t="s">
        <v>4172</v>
      </c>
      <c r="AA1605">
        <v>43123</v>
      </c>
      <c r="AB1605" t="s">
        <v>11</v>
      </c>
    </row>
    <row r="1606" spans="1:28" x14ac:dyDescent="0.25">
      <c r="A1606" t="s">
        <v>7081</v>
      </c>
      <c r="C1606" t="s">
        <v>7082</v>
      </c>
      <c r="D1606" t="s">
        <v>6595</v>
      </c>
      <c r="E1606" t="s">
        <v>770</v>
      </c>
      <c r="F1606" t="s">
        <v>1884</v>
      </c>
      <c r="G1606" t="s">
        <v>1854</v>
      </c>
      <c r="H1606" t="s">
        <v>1885</v>
      </c>
      <c r="J1606" t="s">
        <v>773</v>
      </c>
      <c r="K1606" t="s">
        <v>1855</v>
      </c>
      <c r="L1606" t="s">
        <v>13</v>
      </c>
      <c r="M1606" t="s">
        <v>12</v>
      </c>
      <c r="N1606" t="s">
        <v>770</v>
      </c>
      <c r="O1606">
        <v>1</v>
      </c>
      <c r="P1606" t="s">
        <v>776</v>
      </c>
      <c r="Q1606">
        <v>19.899999999999999</v>
      </c>
      <c r="R1606">
        <v>3.59</v>
      </c>
      <c r="S1606">
        <v>3</v>
      </c>
      <c r="T1606">
        <v>0.54</v>
      </c>
      <c r="Y1606" t="s">
        <v>1913</v>
      </c>
      <c r="Z1606" t="s">
        <v>2548</v>
      </c>
      <c r="AA1606">
        <v>197</v>
      </c>
      <c r="AB1606" t="s">
        <v>11</v>
      </c>
    </row>
    <row r="1607" spans="1:28" x14ac:dyDescent="0.25">
      <c r="A1607" t="s">
        <v>7083</v>
      </c>
      <c r="C1607" t="s">
        <v>7084</v>
      </c>
      <c r="D1607" t="s">
        <v>7085</v>
      </c>
      <c r="E1607" t="s">
        <v>770</v>
      </c>
      <c r="F1607" t="s">
        <v>1884</v>
      </c>
      <c r="G1607" t="s">
        <v>1854</v>
      </c>
      <c r="H1607" t="s">
        <v>1885</v>
      </c>
      <c r="J1607" t="s">
        <v>773</v>
      </c>
      <c r="K1607" t="s">
        <v>2252</v>
      </c>
      <c r="L1607" t="s">
        <v>74</v>
      </c>
      <c r="M1607" t="s">
        <v>73</v>
      </c>
      <c r="N1607" t="s">
        <v>770</v>
      </c>
      <c r="O1607">
        <v>2</v>
      </c>
      <c r="P1607" t="s">
        <v>776</v>
      </c>
      <c r="Q1607">
        <v>29.8</v>
      </c>
      <c r="R1607">
        <v>5.38</v>
      </c>
      <c r="S1607">
        <v>6</v>
      </c>
      <c r="T1607">
        <v>1.08</v>
      </c>
      <c r="Y1607" t="s">
        <v>2871</v>
      </c>
      <c r="Z1607" t="s">
        <v>2597</v>
      </c>
      <c r="AA1607">
        <v>70056</v>
      </c>
      <c r="AB1607" t="s">
        <v>11</v>
      </c>
    </row>
    <row r="1608" spans="1:28" x14ac:dyDescent="0.25">
      <c r="A1608" t="s">
        <v>7086</v>
      </c>
      <c r="C1608" t="s">
        <v>7087</v>
      </c>
      <c r="D1608" t="s">
        <v>6796</v>
      </c>
      <c r="E1608" t="s">
        <v>770</v>
      </c>
      <c r="F1608" t="s">
        <v>1884</v>
      </c>
      <c r="G1608" t="s">
        <v>1854</v>
      </c>
      <c r="H1608" t="s">
        <v>1885</v>
      </c>
      <c r="J1608" t="s">
        <v>773</v>
      </c>
      <c r="K1608" t="s">
        <v>4881</v>
      </c>
      <c r="L1608" s="2">
        <v>90882</v>
      </c>
      <c r="M1608" t="s">
        <v>232</v>
      </c>
      <c r="N1608" t="s">
        <v>770</v>
      </c>
      <c r="O1608">
        <v>1</v>
      </c>
      <c r="P1608" t="s">
        <v>776</v>
      </c>
      <c r="Q1608">
        <v>49.9</v>
      </c>
      <c r="R1608">
        <v>9</v>
      </c>
      <c r="S1608">
        <v>3</v>
      </c>
      <c r="T1608">
        <v>0.54</v>
      </c>
      <c r="Y1608" t="s">
        <v>7088</v>
      </c>
      <c r="Z1608" t="s">
        <v>2212</v>
      </c>
      <c r="AA1608">
        <v>63074</v>
      </c>
      <c r="AB1608" t="s">
        <v>11</v>
      </c>
    </row>
    <row r="1609" spans="1:28" x14ac:dyDescent="0.25">
      <c r="A1609" t="s">
        <v>7089</v>
      </c>
      <c r="B1609" t="s">
        <v>7089</v>
      </c>
      <c r="C1609" t="s">
        <v>7090</v>
      </c>
      <c r="D1609" t="s">
        <v>7091</v>
      </c>
      <c r="E1609" t="s">
        <v>770</v>
      </c>
      <c r="F1609" t="s">
        <v>771</v>
      </c>
      <c r="G1609" t="s">
        <v>1854</v>
      </c>
      <c r="J1609" t="s">
        <v>783</v>
      </c>
      <c r="K1609" t="s">
        <v>1930</v>
      </c>
      <c r="L1609" t="s">
        <v>775</v>
      </c>
      <c r="M1609" t="s">
        <v>65</v>
      </c>
      <c r="N1609" t="s">
        <v>770</v>
      </c>
      <c r="O1609">
        <v>1</v>
      </c>
      <c r="P1609" t="s">
        <v>776</v>
      </c>
      <c r="Q1609">
        <v>29.9</v>
      </c>
      <c r="R1609">
        <v>5.39</v>
      </c>
      <c r="Y1609" t="s">
        <v>5384</v>
      </c>
      <c r="Z1609" t="s">
        <v>2116</v>
      </c>
      <c r="AA1609">
        <v>22100</v>
      </c>
      <c r="AB1609" t="s">
        <v>11</v>
      </c>
    </row>
    <row r="1610" spans="1:28" x14ac:dyDescent="0.25">
      <c r="A1610" t="s">
        <v>7092</v>
      </c>
      <c r="B1610" t="s">
        <v>7092</v>
      </c>
      <c r="C1610" t="s">
        <v>7093</v>
      </c>
      <c r="D1610" t="s">
        <v>7094</v>
      </c>
      <c r="E1610" t="s">
        <v>782</v>
      </c>
      <c r="F1610" t="s">
        <v>771</v>
      </c>
      <c r="G1610" t="s">
        <v>1854</v>
      </c>
      <c r="J1610" t="s">
        <v>783</v>
      </c>
      <c r="K1610" t="s">
        <v>1930</v>
      </c>
      <c r="L1610" t="s">
        <v>775</v>
      </c>
      <c r="M1610" t="s">
        <v>65</v>
      </c>
      <c r="N1610" t="s">
        <v>782</v>
      </c>
      <c r="O1610">
        <v>0</v>
      </c>
      <c r="Y1610" t="s">
        <v>4992</v>
      </c>
      <c r="Z1610" t="s">
        <v>4562</v>
      </c>
      <c r="AA1610">
        <v>19126</v>
      </c>
      <c r="AB1610" t="s">
        <v>11</v>
      </c>
    </row>
    <row r="1611" spans="1:28" x14ac:dyDescent="0.25">
      <c r="A1611" t="s">
        <v>7095</v>
      </c>
      <c r="C1611" t="s">
        <v>7096</v>
      </c>
      <c r="D1611" t="s">
        <v>7097</v>
      </c>
      <c r="E1611" t="s">
        <v>770</v>
      </c>
      <c r="F1611" t="s">
        <v>1884</v>
      </c>
      <c r="G1611" t="s">
        <v>1854</v>
      </c>
      <c r="H1611" t="s">
        <v>1885</v>
      </c>
      <c r="J1611" t="s">
        <v>773</v>
      </c>
      <c r="K1611" t="s">
        <v>1886</v>
      </c>
      <c r="L1611" t="s">
        <v>18</v>
      </c>
      <c r="M1611" t="s">
        <v>17</v>
      </c>
      <c r="N1611" t="s">
        <v>770</v>
      </c>
      <c r="O1611">
        <v>1</v>
      </c>
      <c r="P1611" t="s">
        <v>776</v>
      </c>
      <c r="Q1611">
        <v>22.9</v>
      </c>
      <c r="R1611">
        <v>4.13</v>
      </c>
      <c r="S1611">
        <v>3</v>
      </c>
      <c r="T1611">
        <v>0.54</v>
      </c>
      <c r="Y1611" t="s">
        <v>7098</v>
      </c>
      <c r="Z1611" t="s">
        <v>7099</v>
      </c>
      <c r="AA1611">
        <v>74010</v>
      </c>
      <c r="AB1611" t="s">
        <v>11</v>
      </c>
    </row>
    <row r="1612" spans="1:28" x14ac:dyDescent="0.25">
      <c r="A1612" t="s">
        <v>7100</v>
      </c>
      <c r="C1612" t="s">
        <v>7101</v>
      </c>
      <c r="D1612" t="s">
        <v>7102</v>
      </c>
      <c r="E1612" t="s">
        <v>770</v>
      </c>
      <c r="F1612" t="s">
        <v>1884</v>
      </c>
      <c r="G1612" t="s">
        <v>1854</v>
      </c>
      <c r="H1612" t="s">
        <v>1885</v>
      </c>
      <c r="J1612" t="s">
        <v>773</v>
      </c>
      <c r="K1612" t="s">
        <v>1886</v>
      </c>
      <c r="L1612" t="s">
        <v>18</v>
      </c>
      <c r="M1612" t="s">
        <v>17</v>
      </c>
      <c r="N1612" t="s">
        <v>770</v>
      </c>
      <c r="O1612">
        <v>1</v>
      </c>
      <c r="P1612" t="s">
        <v>776</v>
      </c>
      <c r="Q1612">
        <v>22.9</v>
      </c>
      <c r="R1612">
        <v>4.13</v>
      </c>
      <c r="S1612">
        <v>3</v>
      </c>
      <c r="T1612">
        <v>0.54</v>
      </c>
      <c r="Y1612" t="s">
        <v>7098</v>
      </c>
      <c r="Z1612" t="s">
        <v>7099</v>
      </c>
      <c r="AA1612">
        <v>74010</v>
      </c>
      <c r="AB1612" t="s">
        <v>11</v>
      </c>
    </row>
    <row r="1613" spans="1:28" x14ac:dyDescent="0.25">
      <c r="A1613" t="s">
        <v>7103</v>
      </c>
      <c r="B1613" t="s">
        <v>7103</v>
      </c>
      <c r="C1613" t="s">
        <v>7104</v>
      </c>
      <c r="D1613" t="s">
        <v>7105</v>
      </c>
      <c r="E1613" t="s">
        <v>782</v>
      </c>
      <c r="F1613" t="s">
        <v>771</v>
      </c>
      <c r="G1613" t="s">
        <v>1854</v>
      </c>
      <c r="J1613" t="s">
        <v>783</v>
      </c>
      <c r="K1613" t="s">
        <v>1873</v>
      </c>
      <c r="L1613" t="s">
        <v>840</v>
      </c>
      <c r="M1613" t="s">
        <v>26</v>
      </c>
      <c r="N1613" t="s">
        <v>782</v>
      </c>
      <c r="O1613">
        <v>0</v>
      </c>
      <c r="Y1613" t="s">
        <v>7106</v>
      </c>
      <c r="Z1613" t="s">
        <v>2464</v>
      </c>
      <c r="AA1613">
        <v>6051</v>
      </c>
      <c r="AB1613" t="s">
        <v>11</v>
      </c>
    </row>
    <row r="1614" spans="1:28" x14ac:dyDescent="0.25">
      <c r="A1614" t="s">
        <v>7107</v>
      </c>
      <c r="B1614" t="s">
        <v>7107</v>
      </c>
      <c r="C1614" t="s">
        <v>7108</v>
      </c>
      <c r="D1614" t="s">
        <v>7109</v>
      </c>
      <c r="E1614" t="s">
        <v>770</v>
      </c>
      <c r="F1614" t="s">
        <v>771</v>
      </c>
      <c r="G1614" t="s">
        <v>1854</v>
      </c>
      <c r="I1614" t="s">
        <v>2692</v>
      </c>
      <c r="J1614" t="s">
        <v>783</v>
      </c>
      <c r="K1614" t="s">
        <v>2712</v>
      </c>
      <c r="L1614" t="s">
        <v>1800</v>
      </c>
      <c r="M1614" t="s">
        <v>14</v>
      </c>
      <c r="N1614" t="s">
        <v>770</v>
      </c>
      <c r="O1614">
        <v>1</v>
      </c>
      <c r="P1614" t="s">
        <v>776</v>
      </c>
      <c r="Q1614">
        <v>14.9</v>
      </c>
      <c r="R1614">
        <v>2.69</v>
      </c>
      <c r="Y1614" t="s">
        <v>3817</v>
      </c>
      <c r="Z1614" t="s">
        <v>3818</v>
      </c>
      <c r="AA1614">
        <v>2032</v>
      </c>
      <c r="AB1614" t="s">
        <v>11</v>
      </c>
    </row>
    <row r="1615" spans="1:28" x14ac:dyDescent="0.25">
      <c r="A1615" t="s">
        <v>7110</v>
      </c>
      <c r="C1615" t="s">
        <v>7111</v>
      </c>
      <c r="D1615" t="s">
        <v>7112</v>
      </c>
      <c r="E1615" t="s">
        <v>770</v>
      </c>
      <c r="F1615" t="s">
        <v>1884</v>
      </c>
      <c r="G1615" t="s">
        <v>1854</v>
      </c>
      <c r="H1615" t="s">
        <v>1885</v>
      </c>
      <c r="J1615" t="s">
        <v>773</v>
      </c>
      <c r="K1615" t="s">
        <v>2652</v>
      </c>
      <c r="L1615" t="s">
        <v>52</v>
      </c>
      <c r="M1615" t="s">
        <v>51</v>
      </c>
      <c r="N1615" t="s">
        <v>770</v>
      </c>
      <c r="O1615">
        <v>1</v>
      </c>
      <c r="P1615" t="s">
        <v>776</v>
      </c>
      <c r="Q1615">
        <v>24.9</v>
      </c>
      <c r="R1615">
        <v>4.49</v>
      </c>
      <c r="S1615">
        <v>3</v>
      </c>
      <c r="T1615">
        <v>0.54</v>
      </c>
      <c r="Y1615" t="s">
        <v>7113</v>
      </c>
      <c r="Z1615" t="s">
        <v>7114</v>
      </c>
      <c r="AA1615">
        <v>86043</v>
      </c>
      <c r="AB1615" t="s">
        <v>11</v>
      </c>
    </row>
    <row r="1616" spans="1:28" x14ac:dyDescent="0.25">
      <c r="A1616" t="s">
        <v>7115</v>
      </c>
      <c r="B1616" t="s">
        <v>7115</v>
      </c>
      <c r="C1616" t="s">
        <v>7116</v>
      </c>
      <c r="D1616" t="s">
        <v>7117</v>
      </c>
      <c r="E1616" t="s">
        <v>770</v>
      </c>
      <c r="F1616" t="s">
        <v>771</v>
      </c>
      <c r="G1616" t="s">
        <v>1854</v>
      </c>
      <c r="J1616" t="s">
        <v>783</v>
      </c>
      <c r="K1616" t="s">
        <v>1862</v>
      </c>
      <c r="L1616" t="s">
        <v>1505</v>
      </c>
      <c r="M1616" t="s">
        <v>53</v>
      </c>
      <c r="N1616" t="s">
        <v>770</v>
      </c>
      <c r="O1616">
        <v>1</v>
      </c>
      <c r="P1616" t="s">
        <v>776</v>
      </c>
      <c r="Q1616">
        <v>32.9</v>
      </c>
      <c r="R1616">
        <v>5.93</v>
      </c>
      <c r="Y1616" t="s">
        <v>7118</v>
      </c>
      <c r="Z1616" t="s">
        <v>1961</v>
      </c>
      <c r="AA1616">
        <v>20008</v>
      </c>
      <c r="AB1616" t="s">
        <v>11</v>
      </c>
    </row>
    <row r="1617" spans="1:28" x14ac:dyDescent="0.25">
      <c r="A1617" t="s">
        <v>7119</v>
      </c>
      <c r="B1617" t="s">
        <v>7119</v>
      </c>
      <c r="C1617" t="s">
        <v>7120</v>
      </c>
      <c r="D1617" t="s">
        <v>7121</v>
      </c>
      <c r="E1617" t="s">
        <v>770</v>
      </c>
      <c r="F1617" t="s">
        <v>771</v>
      </c>
      <c r="G1617" t="s">
        <v>1854</v>
      </c>
      <c r="J1617" t="s">
        <v>783</v>
      </c>
      <c r="K1617" t="s">
        <v>3328</v>
      </c>
      <c r="L1617" t="s">
        <v>3329</v>
      </c>
      <c r="M1617" t="s">
        <v>35</v>
      </c>
      <c r="N1617" t="s">
        <v>770</v>
      </c>
      <c r="O1617">
        <v>1</v>
      </c>
      <c r="P1617" t="s">
        <v>776</v>
      </c>
      <c r="Q1617">
        <v>24.9</v>
      </c>
      <c r="R1617">
        <v>4.49</v>
      </c>
      <c r="S1617">
        <v>2.4900000000000002</v>
      </c>
      <c r="T1617">
        <v>0.45</v>
      </c>
      <c r="Y1617" t="s">
        <v>7122</v>
      </c>
      <c r="Z1617" t="s">
        <v>2503</v>
      </c>
      <c r="AA1617">
        <v>48022</v>
      </c>
      <c r="AB1617" t="s">
        <v>11</v>
      </c>
    </row>
    <row r="1618" spans="1:28" x14ac:dyDescent="0.25">
      <c r="A1618" t="s">
        <v>7123</v>
      </c>
      <c r="B1618" t="s">
        <v>7123</v>
      </c>
      <c r="C1618" t="s">
        <v>7124</v>
      </c>
      <c r="D1618" t="s">
        <v>7125</v>
      </c>
      <c r="E1618" t="s">
        <v>770</v>
      </c>
      <c r="F1618" t="s">
        <v>771</v>
      </c>
      <c r="G1618" t="s">
        <v>1854</v>
      </c>
      <c r="I1618" t="s">
        <v>2692</v>
      </c>
      <c r="J1618" t="s">
        <v>783</v>
      </c>
      <c r="K1618" t="s">
        <v>2712</v>
      </c>
      <c r="L1618" t="s">
        <v>1800</v>
      </c>
      <c r="M1618" t="s">
        <v>14</v>
      </c>
      <c r="N1618" t="s">
        <v>770</v>
      </c>
      <c r="O1618">
        <v>1</v>
      </c>
      <c r="P1618" t="s">
        <v>776</v>
      </c>
      <c r="Q1618">
        <v>14.9</v>
      </c>
      <c r="R1618">
        <v>2.69</v>
      </c>
      <c r="Y1618" t="s">
        <v>3817</v>
      </c>
      <c r="Z1618" t="s">
        <v>3818</v>
      </c>
      <c r="AA1618">
        <v>2032</v>
      </c>
      <c r="AB1618" t="s">
        <v>11</v>
      </c>
    </row>
    <row r="1619" spans="1:28" x14ac:dyDescent="0.25">
      <c r="A1619" t="s">
        <v>7126</v>
      </c>
      <c r="B1619" t="s">
        <v>7126</v>
      </c>
      <c r="C1619" t="s">
        <v>7127</v>
      </c>
      <c r="D1619" t="s">
        <v>7128</v>
      </c>
      <c r="E1619" t="s">
        <v>770</v>
      </c>
      <c r="F1619" t="s">
        <v>771</v>
      </c>
      <c r="G1619" t="s">
        <v>1854</v>
      </c>
      <c r="J1619" t="s">
        <v>783</v>
      </c>
      <c r="K1619" t="s">
        <v>5765</v>
      </c>
      <c r="L1619" t="s">
        <v>5766</v>
      </c>
      <c r="M1619" t="s">
        <v>152</v>
      </c>
      <c r="N1619" t="s">
        <v>770</v>
      </c>
      <c r="O1619">
        <v>1</v>
      </c>
      <c r="P1619" t="s">
        <v>776</v>
      </c>
      <c r="Q1619">
        <v>24.9</v>
      </c>
      <c r="R1619">
        <v>4.49</v>
      </c>
      <c r="Y1619" t="s">
        <v>2040</v>
      </c>
      <c r="Z1619" t="s">
        <v>2040</v>
      </c>
      <c r="AA1619">
        <v>65128</v>
      </c>
      <c r="AB1619" t="s">
        <v>11</v>
      </c>
    </row>
    <row r="1620" spans="1:28" x14ac:dyDescent="0.25">
      <c r="A1620" t="s">
        <v>7129</v>
      </c>
      <c r="B1620" t="s">
        <v>7129</v>
      </c>
      <c r="C1620" t="s">
        <v>7130</v>
      </c>
      <c r="D1620" t="s">
        <v>7131</v>
      </c>
      <c r="E1620" t="s">
        <v>770</v>
      </c>
      <c r="F1620" t="s">
        <v>771</v>
      </c>
      <c r="G1620" t="s">
        <v>1854</v>
      </c>
      <c r="J1620" t="s">
        <v>783</v>
      </c>
      <c r="K1620" t="s">
        <v>5765</v>
      </c>
      <c r="L1620" t="s">
        <v>5766</v>
      </c>
      <c r="M1620" t="s">
        <v>152</v>
      </c>
      <c r="N1620" t="s">
        <v>770</v>
      </c>
      <c r="O1620">
        <v>1</v>
      </c>
      <c r="P1620" t="s">
        <v>776</v>
      </c>
      <c r="Q1620">
        <v>24.9</v>
      </c>
      <c r="R1620">
        <v>4.49</v>
      </c>
      <c r="Y1620" t="s">
        <v>7132</v>
      </c>
      <c r="Z1620" t="s">
        <v>7133</v>
      </c>
      <c r="AA1620">
        <v>76125</v>
      </c>
      <c r="AB1620" t="s">
        <v>11</v>
      </c>
    </row>
    <row r="1621" spans="1:28" x14ac:dyDescent="0.25">
      <c r="A1621" t="s">
        <v>7134</v>
      </c>
      <c r="C1621" t="s">
        <v>7135</v>
      </c>
      <c r="D1621" t="s">
        <v>7136</v>
      </c>
      <c r="E1621" t="s">
        <v>770</v>
      </c>
      <c r="F1621" t="s">
        <v>1884</v>
      </c>
      <c r="G1621" t="s">
        <v>1854</v>
      </c>
      <c r="H1621" t="s">
        <v>1885</v>
      </c>
      <c r="J1621" t="s">
        <v>773</v>
      </c>
      <c r="K1621" t="s">
        <v>1855</v>
      </c>
      <c r="L1621" t="s">
        <v>13</v>
      </c>
      <c r="M1621" t="s">
        <v>12</v>
      </c>
      <c r="N1621" t="s">
        <v>770</v>
      </c>
      <c r="O1621">
        <v>1</v>
      </c>
      <c r="P1621" t="s">
        <v>776</v>
      </c>
      <c r="Q1621">
        <v>19.899999999999999</v>
      </c>
      <c r="R1621">
        <v>3.59</v>
      </c>
      <c r="S1621">
        <v>3</v>
      </c>
      <c r="T1621">
        <v>0.54</v>
      </c>
      <c r="Y1621" t="s">
        <v>1875</v>
      </c>
      <c r="Z1621" t="s">
        <v>1864</v>
      </c>
      <c r="AA1621">
        <v>20143</v>
      </c>
      <c r="AB1621" t="s">
        <v>11</v>
      </c>
    </row>
    <row r="1622" spans="1:28" x14ac:dyDescent="0.25">
      <c r="A1622" t="s">
        <v>7137</v>
      </c>
      <c r="B1622" t="s">
        <v>7137</v>
      </c>
      <c r="C1622" t="s">
        <v>7138</v>
      </c>
      <c r="D1622" t="s">
        <v>7139</v>
      </c>
      <c r="E1622" t="s">
        <v>770</v>
      </c>
      <c r="F1622" t="s">
        <v>771</v>
      </c>
      <c r="G1622" t="s">
        <v>1854</v>
      </c>
      <c r="J1622" t="s">
        <v>783</v>
      </c>
      <c r="K1622" t="s">
        <v>1930</v>
      </c>
      <c r="L1622" t="s">
        <v>775</v>
      </c>
      <c r="M1622" t="s">
        <v>65</v>
      </c>
      <c r="N1622" t="s">
        <v>770</v>
      </c>
      <c r="O1622">
        <v>1</v>
      </c>
      <c r="P1622" t="s">
        <v>776</v>
      </c>
      <c r="Q1622">
        <v>29.9</v>
      </c>
      <c r="R1622">
        <v>5.39</v>
      </c>
      <c r="Y1622" t="s">
        <v>1875</v>
      </c>
      <c r="Z1622" t="s">
        <v>1864</v>
      </c>
      <c r="AA1622">
        <v>20146</v>
      </c>
      <c r="AB1622" t="s">
        <v>11</v>
      </c>
    </row>
    <row r="1623" spans="1:28" x14ac:dyDescent="0.25">
      <c r="A1623" t="s">
        <v>7140</v>
      </c>
      <c r="C1623" t="s">
        <v>7141</v>
      </c>
      <c r="D1623" t="s">
        <v>7142</v>
      </c>
      <c r="E1623" t="s">
        <v>770</v>
      </c>
      <c r="F1623" t="s">
        <v>1884</v>
      </c>
      <c r="G1623" t="s">
        <v>1854</v>
      </c>
      <c r="H1623" t="s">
        <v>1885</v>
      </c>
      <c r="J1623" t="s">
        <v>773</v>
      </c>
      <c r="K1623" t="s">
        <v>2889</v>
      </c>
      <c r="L1623" t="s">
        <v>135</v>
      </c>
      <c r="M1623" t="s">
        <v>134</v>
      </c>
      <c r="N1623" t="s">
        <v>770</v>
      </c>
      <c r="O1623">
        <v>1</v>
      </c>
      <c r="P1623" t="s">
        <v>776</v>
      </c>
      <c r="Q1623">
        <v>59.9</v>
      </c>
      <c r="R1623">
        <v>10.8</v>
      </c>
      <c r="S1623">
        <v>3</v>
      </c>
      <c r="T1623">
        <v>0.54</v>
      </c>
      <c r="Y1623" t="s">
        <v>7143</v>
      </c>
      <c r="Z1623" t="s">
        <v>2121</v>
      </c>
      <c r="AA1623">
        <v>33010</v>
      </c>
      <c r="AB1623" t="s">
        <v>11</v>
      </c>
    </row>
    <row r="1624" spans="1:28" x14ac:dyDescent="0.25">
      <c r="A1624" t="s">
        <v>7144</v>
      </c>
      <c r="B1624" t="s">
        <v>7144</v>
      </c>
      <c r="C1624" t="s">
        <v>7145</v>
      </c>
      <c r="D1624" t="s">
        <v>7146</v>
      </c>
      <c r="E1624" t="s">
        <v>770</v>
      </c>
      <c r="F1624" t="s">
        <v>771</v>
      </c>
      <c r="G1624" t="s">
        <v>1854</v>
      </c>
      <c r="J1624" t="s">
        <v>783</v>
      </c>
      <c r="K1624" t="s">
        <v>1862</v>
      </c>
      <c r="L1624" t="s">
        <v>1505</v>
      </c>
      <c r="M1624" t="s">
        <v>53</v>
      </c>
      <c r="N1624" t="s">
        <v>770</v>
      </c>
      <c r="O1624">
        <v>1</v>
      </c>
      <c r="P1624" t="s">
        <v>776</v>
      </c>
      <c r="Q1624">
        <v>32.9</v>
      </c>
      <c r="R1624">
        <v>5.93</v>
      </c>
      <c r="Y1624" t="s">
        <v>2040</v>
      </c>
      <c r="Z1624" t="s">
        <v>2040</v>
      </c>
      <c r="AA1624">
        <v>65129</v>
      </c>
      <c r="AB1624" t="s">
        <v>11</v>
      </c>
    </row>
    <row r="1625" spans="1:28" x14ac:dyDescent="0.25">
      <c r="A1625" t="s">
        <v>7147</v>
      </c>
      <c r="B1625" t="s">
        <v>7147</v>
      </c>
      <c r="C1625" t="s">
        <v>7148</v>
      </c>
      <c r="D1625" t="s">
        <v>7149</v>
      </c>
      <c r="E1625" t="s">
        <v>770</v>
      </c>
      <c r="F1625" t="s">
        <v>771</v>
      </c>
      <c r="G1625" t="s">
        <v>1854</v>
      </c>
      <c r="J1625" t="s">
        <v>783</v>
      </c>
      <c r="K1625" t="s">
        <v>2390</v>
      </c>
      <c r="L1625" t="s">
        <v>1094</v>
      </c>
      <c r="M1625" t="s">
        <v>208</v>
      </c>
      <c r="N1625" t="s">
        <v>770</v>
      </c>
      <c r="O1625">
        <v>1</v>
      </c>
      <c r="P1625" t="s">
        <v>776</v>
      </c>
      <c r="Q1625">
        <v>79.900000000000006</v>
      </c>
      <c r="R1625">
        <v>14.41</v>
      </c>
      <c r="Y1625" t="s">
        <v>7150</v>
      </c>
      <c r="Z1625" t="s">
        <v>1875</v>
      </c>
      <c r="AA1625">
        <v>20092</v>
      </c>
      <c r="AB1625" t="s">
        <v>11</v>
      </c>
    </row>
    <row r="1626" spans="1:28" x14ac:dyDescent="0.25">
      <c r="A1626" t="s">
        <v>7151</v>
      </c>
      <c r="B1626" t="s">
        <v>7151</v>
      </c>
      <c r="C1626" t="s">
        <v>7152</v>
      </c>
      <c r="D1626" t="s">
        <v>7153</v>
      </c>
      <c r="E1626" t="s">
        <v>770</v>
      </c>
      <c r="F1626" t="s">
        <v>771</v>
      </c>
      <c r="G1626" t="s">
        <v>1854</v>
      </c>
      <c r="J1626" t="s">
        <v>783</v>
      </c>
      <c r="K1626" t="s">
        <v>1873</v>
      </c>
      <c r="L1626" t="s">
        <v>840</v>
      </c>
      <c r="M1626" t="s">
        <v>26</v>
      </c>
      <c r="N1626" t="s">
        <v>770</v>
      </c>
      <c r="O1626">
        <v>1</v>
      </c>
      <c r="P1626" t="s">
        <v>776</v>
      </c>
      <c r="Q1626">
        <v>34.9</v>
      </c>
      <c r="R1626">
        <v>6.29</v>
      </c>
      <c r="Y1626" t="s">
        <v>4078</v>
      </c>
      <c r="Z1626" t="s">
        <v>2143</v>
      </c>
      <c r="AA1626">
        <v>3043</v>
      </c>
      <c r="AB1626" t="s">
        <v>11</v>
      </c>
    </row>
    <row r="1627" spans="1:28" x14ac:dyDescent="0.25">
      <c r="A1627" t="s">
        <v>7154</v>
      </c>
      <c r="B1627" t="s">
        <v>7154</v>
      </c>
      <c r="C1627" t="s">
        <v>7155</v>
      </c>
      <c r="D1627" t="s">
        <v>7156</v>
      </c>
      <c r="E1627" t="s">
        <v>770</v>
      </c>
      <c r="F1627" t="s">
        <v>771</v>
      </c>
      <c r="G1627" t="s">
        <v>1854</v>
      </c>
      <c r="J1627" t="s">
        <v>783</v>
      </c>
      <c r="K1627" t="s">
        <v>1862</v>
      </c>
      <c r="L1627" t="s">
        <v>1505</v>
      </c>
      <c r="M1627" t="s">
        <v>53</v>
      </c>
      <c r="N1627" t="s">
        <v>770</v>
      </c>
      <c r="O1627">
        <v>1</v>
      </c>
      <c r="P1627" t="s">
        <v>776</v>
      </c>
      <c r="Q1627">
        <v>32.9</v>
      </c>
      <c r="R1627">
        <v>5.93</v>
      </c>
      <c r="Y1627" t="s">
        <v>1913</v>
      </c>
      <c r="Z1627" t="s">
        <v>1913</v>
      </c>
      <c r="AA1627">
        <v>139</v>
      </c>
      <c r="AB1627" t="s">
        <v>11</v>
      </c>
    </row>
    <row r="1628" spans="1:28" x14ac:dyDescent="0.25">
      <c r="A1628" t="s">
        <v>7157</v>
      </c>
      <c r="B1628" t="s">
        <v>7157</v>
      </c>
      <c r="C1628" t="s">
        <v>7158</v>
      </c>
      <c r="D1628" t="s">
        <v>7159</v>
      </c>
      <c r="E1628" t="s">
        <v>770</v>
      </c>
      <c r="F1628" t="s">
        <v>771</v>
      </c>
      <c r="G1628" t="s">
        <v>1854</v>
      </c>
      <c r="J1628" t="s">
        <v>783</v>
      </c>
      <c r="K1628" t="s">
        <v>2044</v>
      </c>
      <c r="L1628" t="s">
        <v>1489</v>
      </c>
      <c r="M1628" t="s">
        <v>75</v>
      </c>
      <c r="N1628" t="s">
        <v>770</v>
      </c>
      <c r="O1628">
        <v>1</v>
      </c>
      <c r="P1628" t="s">
        <v>776</v>
      </c>
      <c r="Q1628">
        <v>49.9</v>
      </c>
      <c r="R1628">
        <v>9</v>
      </c>
      <c r="Y1628" t="s">
        <v>3287</v>
      </c>
      <c r="Z1628" t="s">
        <v>3916</v>
      </c>
      <c r="AA1628">
        <v>23900</v>
      </c>
      <c r="AB1628" t="s">
        <v>11</v>
      </c>
    </row>
    <row r="1629" spans="1:28" x14ac:dyDescent="0.25">
      <c r="A1629" t="s">
        <v>7160</v>
      </c>
      <c r="C1629" t="s">
        <v>7161</v>
      </c>
      <c r="D1629" t="s">
        <v>6694</v>
      </c>
      <c r="E1629" t="s">
        <v>770</v>
      </c>
      <c r="F1629" t="s">
        <v>1884</v>
      </c>
      <c r="G1629" t="s">
        <v>1854</v>
      </c>
      <c r="H1629" t="s">
        <v>1885</v>
      </c>
      <c r="J1629" t="s">
        <v>773</v>
      </c>
      <c r="K1629" t="s">
        <v>1855</v>
      </c>
      <c r="L1629" t="s">
        <v>13</v>
      </c>
      <c r="M1629" t="s">
        <v>12</v>
      </c>
      <c r="N1629" t="s">
        <v>770</v>
      </c>
      <c r="O1629">
        <v>1</v>
      </c>
      <c r="P1629" t="s">
        <v>776</v>
      </c>
      <c r="Q1629">
        <v>19.899999999999999</v>
      </c>
      <c r="R1629">
        <v>3.59</v>
      </c>
      <c r="S1629">
        <v>3</v>
      </c>
      <c r="T1629">
        <v>0.54</v>
      </c>
      <c r="Y1629" t="s">
        <v>2165</v>
      </c>
      <c r="Z1629" t="s">
        <v>2165</v>
      </c>
      <c r="AA1629">
        <v>55100</v>
      </c>
      <c r="AB1629" t="s">
        <v>11</v>
      </c>
    </row>
    <row r="1630" spans="1:28" x14ac:dyDescent="0.25">
      <c r="A1630" t="s">
        <v>7162</v>
      </c>
      <c r="C1630" t="s">
        <v>7163</v>
      </c>
      <c r="D1630" t="s">
        <v>7164</v>
      </c>
      <c r="E1630" t="s">
        <v>770</v>
      </c>
      <c r="F1630" t="s">
        <v>1884</v>
      </c>
      <c r="G1630" t="s">
        <v>1854</v>
      </c>
      <c r="H1630" t="s">
        <v>1885</v>
      </c>
      <c r="J1630" t="s">
        <v>773</v>
      </c>
      <c r="K1630" t="s">
        <v>1886</v>
      </c>
      <c r="L1630" t="s">
        <v>18</v>
      </c>
      <c r="M1630" t="s">
        <v>17</v>
      </c>
      <c r="N1630" t="s">
        <v>770</v>
      </c>
      <c r="O1630">
        <v>1</v>
      </c>
      <c r="P1630" t="s">
        <v>776</v>
      </c>
      <c r="Q1630">
        <v>22.9</v>
      </c>
      <c r="R1630">
        <v>4.13</v>
      </c>
      <c r="S1630">
        <v>3</v>
      </c>
      <c r="T1630">
        <v>0.54</v>
      </c>
      <c r="Y1630" t="s">
        <v>7165</v>
      </c>
      <c r="Z1630" t="s">
        <v>7166</v>
      </c>
      <c r="AA1630">
        <v>60022</v>
      </c>
      <c r="AB1630" t="s">
        <v>11</v>
      </c>
    </row>
    <row r="1631" spans="1:28" x14ac:dyDescent="0.25">
      <c r="A1631" t="s">
        <v>7167</v>
      </c>
      <c r="B1631" t="s">
        <v>7167</v>
      </c>
      <c r="C1631" t="s">
        <v>7168</v>
      </c>
      <c r="D1631" t="s">
        <v>7169</v>
      </c>
      <c r="E1631" t="s">
        <v>770</v>
      </c>
      <c r="F1631" t="s">
        <v>771</v>
      </c>
      <c r="G1631" t="s">
        <v>1854</v>
      </c>
      <c r="J1631" t="s">
        <v>783</v>
      </c>
      <c r="K1631" t="s">
        <v>1873</v>
      </c>
      <c r="L1631" t="s">
        <v>840</v>
      </c>
      <c r="M1631" t="s">
        <v>26</v>
      </c>
      <c r="N1631" t="s">
        <v>770</v>
      </c>
      <c r="O1631">
        <v>1</v>
      </c>
      <c r="P1631" t="s">
        <v>776</v>
      </c>
      <c r="Q1631">
        <v>34.9</v>
      </c>
      <c r="R1631">
        <v>6.29</v>
      </c>
      <c r="Y1631" t="s">
        <v>7170</v>
      </c>
      <c r="Z1631" t="s">
        <v>1893</v>
      </c>
      <c r="AA1631">
        <v>10038</v>
      </c>
      <c r="AB1631" t="s">
        <v>11</v>
      </c>
    </row>
    <row r="1632" spans="1:28" x14ac:dyDescent="0.25">
      <c r="A1632" t="s">
        <v>7171</v>
      </c>
      <c r="C1632" t="s">
        <v>7172</v>
      </c>
      <c r="D1632" t="s">
        <v>7173</v>
      </c>
      <c r="E1632" t="s">
        <v>770</v>
      </c>
      <c r="F1632" t="s">
        <v>1884</v>
      </c>
      <c r="G1632" t="s">
        <v>1854</v>
      </c>
      <c r="H1632" t="s">
        <v>1885</v>
      </c>
      <c r="J1632" t="s">
        <v>773</v>
      </c>
      <c r="K1632" t="s">
        <v>1855</v>
      </c>
      <c r="L1632" t="s">
        <v>13</v>
      </c>
      <c r="M1632" t="s">
        <v>12</v>
      </c>
      <c r="N1632" t="s">
        <v>770</v>
      </c>
      <c r="O1632">
        <v>1</v>
      </c>
      <c r="P1632" t="s">
        <v>776</v>
      </c>
      <c r="Q1632">
        <v>19.899999999999999</v>
      </c>
      <c r="R1632">
        <v>3.59</v>
      </c>
      <c r="S1632">
        <v>3</v>
      </c>
      <c r="T1632">
        <v>0.54</v>
      </c>
      <c r="Y1632" t="s">
        <v>7174</v>
      </c>
      <c r="Z1632" t="s">
        <v>2143</v>
      </c>
      <c r="AA1632">
        <v>3041</v>
      </c>
      <c r="AB1632" t="s">
        <v>11</v>
      </c>
    </row>
    <row r="1633" spans="1:35" x14ac:dyDescent="0.25">
      <c r="A1633" t="s">
        <v>7175</v>
      </c>
      <c r="B1633" t="s">
        <v>7175</v>
      </c>
      <c r="C1633" t="s">
        <v>7176</v>
      </c>
      <c r="D1633" t="s">
        <v>7177</v>
      </c>
      <c r="E1633" t="s">
        <v>770</v>
      </c>
      <c r="F1633" t="s">
        <v>771</v>
      </c>
      <c r="G1633" t="s">
        <v>1854</v>
      </c>
      <c r="J1633" t="s">
        <v>783</v>
      </c>
      <c r="K1633" t="s">
        <v>1873</v>
      </c>
      <c r="L1633" t="s">
        <v>840</v>
      </c>
      <c r="M1633" t="s">
        <v>26</v>
      </c>
      <c r="N1633" t="s">
        <v>770</v>
      </c>
      <c r="O1633">
        <v>1</v>
      </c>
      <c r="P1633" t="s">
        <v>776</v>
      </c>
      <c r="Q1633">
        <v>34.9</v>
      </c>
      <c r="R1633">
        <v>6.29</v>
      </c>
      <c r="Y1633" t="s">
        <v>2602</v>
      </c>
      <c r="AA1633">
        <v>16149</v>
      </c>
      <c r="AB1633" t="s">
        <v>11</v>
      </c>
    </row>
    <row r="1634" spans="1:35" x14ac:dyDescent="0.25">
      <c r="A1634" t="s">
        <v>7178</v>
      </c>
      <c r="C1634" t="s">
        <v>7179</v>
      </c>
      <c r="D1634" t="s">
        <v>7009</v>
      </c>
      <c r="E1634" t="s">
        <v>770</v>
      </c>
      <c r="F1634" t="s">
        <v>1884</v>
      </c>
      <c r="G1634" t="s">
        <v>1854</v>
      </c>
      <c r="H1634" t="s">
        <v>1885</v>
      </c>
      <c r="J1634" t="s">
        <v>773</v>
      </c>
      <c r="K1634" t="s">
        <v>1873</v>
      </c>
      <c r="L1634" t="s">
        <v>27</v>
      </c>
      <c r="M1634" t="s">
        <v>26</v>
      </c>
      <c r="N1634" t="s">
        <v>770</v>
      </c>
      <c r="O1634">
        <v>1</v>
      </c>
      <c r="P1634" t="s">
        <v>776</v>
      </c>
      <c r="Q1634">
        <v>34.9</v>
      </c>
      <c r="R1634">
        <v>6.29</v>
      </c>
      <c r="S1634">
        <v>3</v>
      </c>
      <c r="T1634">
        <v>0.54</v>
      </c>
      <c r="Y1634" t="s">
        <v>7180</v>
      </c>
      <c r="Z1634" t="s">
        <v>3500</v>
      </c>
      <c r="AA1634">
        <v>4017</v>
      </c>
      <c r="AB1634" t="s">
        <v>11</v>
      </c>
    </row>
    <row r="1635" spans="1:35" x14ac:dyDescent="0.25">
      <c r="A1635" t="s">
        <v>7181</v>
      </c>
      <c r="B1635" t="s">
        <v>7181</v>
      </c>
      <c r="C1635" t="s">
        <v>7182</v>
      </c>
      <c r="D1635" t="s">
        <v>7183</v>
      </c>
      <c r="E1635" t="s">
        <v>770</v>
      </c>
      <c r="F1635" t="s">
        <v>771</v>
      </c>
      <c r="G1635" t="s">
        <v>1854</v>
      </c>
      <c r="J1635" t="s">
        <v>783</v>
      </c>
      <c r="K1635" t="s">
        <v>1862</v>
      </c>
      <c r="L1635" t="s">
        <v>1505</v>
      </c>
      <c r="M1635" t="s">
        <v>53</v>
      </c>
      <c r="N1635" t="s">
        <v>770</v>
      </c>
      <c r="O1635">
        <v>1</v>
      </c>
      <c r="P1635" t="s">
        <v>776</v>
      </c>
      <c r="Q1635">
        <v>32.9</v>
      </c>
      <c r="R1635">
        <v>5.93</v>
      </c>
      <c r="Y1635" t="s">
        <v>2244</v>
      </c>
      <c r="Z1635" t="s">
        <v>7184</v>
      </c>
      <c r="AA1635">
        <v>59100</v>
      </c>
      <c r="AB1635" t="s">
        <v>11</v>
      </c>
    </row>
    <row r="1636" spans="1:35" x14ac:dyDescent="0.25">
      <c r="A1636" t="s">
        <v>7185</v>
      </c>
      <c r="B1636" t="s">
        <v>7185</v>
      </c>
      <c r="C1636" t="s">
        <v>7186</v>
      </c>
      <c r="D1636" t="s">
        <v>7187</v>
      </c>
      <c r="E1636" t="s">
        <v>770</v>
      </c>
      <c r="F1636" t="s">
        <v>771</v>
      </c>
      <c r="G1636" t="s">
        <v>1854</v>
      </c>
      <c r="J1636" t="s">
        <v>783</v>
      </c>
      <c r="K1636" t="s">
        <v>1862</v>
      </c>
      <c r="L1636" t="s">
        <v>1505</v>
      </c>
      <c r="M1636" t="s">
        <v>53</v>
      </c>
      <c r="N1636" t="s">
        <v>770</v>
      </c>
      <c r="O1636">
        <v>1</v>
      </c>
      <c r="P1636" t="s">
        <v>776</v>
      </c>
      <c r="Q1636">
        <v>32.9</v>
      </c>
      <c r="R1636">
        <v>5.93</v>
      </c>
      <c r="Y1636" t="s">
        <v>7188</v>
      </c>
      <c r="Z1636" t="s">
        <v>3696</v>
      </c>
      <c r="AA1636">
        <v>41058</v>
      </c>
      <c r="AB1636" t="s">
        <v>11</v>
      </c>
    </row>
    <row r="1637" spans="1:35" x14ac:dyDescent="0.25">
      <c r="A1637" t="s">
        <v>7189</v>
      </c>
      <c r="B1637" t="s">
        <v>7189</v>
      </c>
      <c r="C1637" t="s">
        <v>7190</v>
      </c>
      <c r="D1637" t="s">
        <v>7191</v>
      </c>
      <c r="E1637" t="s">
        <v>770</v>
      </c>
      <c r="F1637" t="s">
        <v>771</v>
      </c>
      <c r="G1637" t="s">
        <v>1854</v>
      </c>
      <c r="J1637" t="s">
        <v>783</v>
      </c>
      <c r="K1637" t="s">
        <v>1873</v>
      </c>
      <c r="L1637" t="s">
        <v>840</v>
      </c>
      <c r="M1637" t="s">
        <v>26</v>
      </c>
      <c r="N1637" t="s">
        <v>770</v>
      </c>
      <c r="O1637">
        <v>1</v>
      </c>
      <c r="P1637" t="s">
        <v>776</v>
      </c>
      <c r="Q1637">
        <v>34.9</v>
      </c>
      <c r="R1637">
        <v>6.29</v>
      </c>
      <c r="Y1637" t="s">
        <v>1997</v>
      </c>
      <c r="Z1637" t="s">
        <v>1997</v>
      </c>
      <c r="AA1637">
        <v>50126</v>
      </c>
      <c r="AB1637" t="s">
        <v>11</v>
      </c>
    </row>
    <row r="1638" spans="1:35" x14ac:dyDescent="0.25">
      <c r="A1638" t="s">
        <v>7192</v>
      </c>
      <c r="B1638" t="s">
        <v>7192</v>
      </c>
      <c r="C1638" t="s">
        <v>7193</v>
      </c>
      <c r="D1638" t="s">
        <v>7194</v>
      </c>
      <c r="E1638" t="s">
        <v>770</v>
      </c>
      <c r="F1638" t="s">
        <v>771</v>
      </c>
      <c r="G1638" t="s">
        <v>1854</v>
      </c>
      <c r="J1638" t="s">
        <v>783</v>
      </c>
      <c r="K1638" t="s">
        <v>1873</v>
      </c>
      <c r="L1638" t="s">
        <v>840</v>
      </c>
      <c r="M1638" t="s">
        <v>26</v>
      </c>
      <c r="N1638" t="s">
        <v>770</v>
      </c>
      <c r="O1638">
        <v>1</v>
      </c>
      <c r="P1638" t="s">
        <v>776</v>
      </c>
      <c r="Q1638">
        <v>34.9</v>
      </c>
      <c r="R1638">
        <v>6.29</v>
      </c>
      <c r="S1638">
        <v>1.0900000000000001</v>
      </c>
      <c r="X1638">
        <v>1.0900000000000001</v>
      </c>
      <c r="Y1638" t="s">
        <v>1893</v>
      </c>
      <c r="Z1638" t="s">
        <v>1893</v>
      </c>
      <c r="AA1638">
        <v>10146</v>
      </c>
      <c r="AB1638" t="s">
        <v>11</v>
      </c>
    </row>
    <row r="1639" spans="1:35" x14ac:dyDescent="0.25">
      <c r="A1639" t="s">
        <v>7195</v>
      </c>
      <c r="B1639" t="s">
        <v>7195</v>
      </c>
      <c r="C1639" t="s">
        <v>7196</v>
      </c>
      <c r="D1639" t="s">
        <v>7197</v>
      </c>
      <c r="E1639" t="s">
        <v>782</v>
      </c>
      <c r="F1639" t="s">
        <v>771</v>
      </c>
      <c r="G1639" t="s">
        <v>1854</v>
      </c>
      <c r="J1639" t="s">
        <v>783</v>
      </c>
      <c r="K1639" t="s">
        <v>1930</v>
      </c>
      <c r="L1639" t="s">
        <v>775</v>
      </c>
      <c r="M1639" t="s">
        <v>65</v>
      </c>
      <c r="N1639" t="s">
        <v>782</v>
      </c>
      <c r="O1639">
        <v>0</v>
      </c>
      <c r="Y1639" t="s">
        <v>7198</v>
      </c>
      <c r="Z1639" t="s">
        <v>3527</v>
      </c>
      <c r="AA1639">
        <v>13894</v>
      </c>
      <c r="AB1639" t="s">
        <v>11</v>
      </c>
    </row>
    <row r="1640" spans="1:35" x14ac:dyDescent="0.25">
      <c r="A1640" t="s">
        <v>7199</v>
      </c>
      <c r="C1640" t="s">
        <v>7200</v>
      </c>
      <c r="D1640" t="s">
        <v>7201</v>
      </c>
      <c r="E1640" t="s">
        <v>770</v>
      </c>
      <c r="F1640" t="s">
        <v>1884</v>
      </c>
      <c r="G1640" t="s">
        <v>1854</v>
      </c>
      <c r="H1640" t="s">
        <v>1885</v>
      </c>
      <c r="J1640" t="s">
        <v>773</v>
      </c>
      <c r="K1640" t="s">
        <v>1886</v>
      </c>
      <c r="L1640" t="s">
        <v>18</v>
      </c>
      <c r="M1640" t="s">
        <v>17</v>
      </c>
      <c r="N1640" t="s">
        <v>770</v>
      </c>
      <c r="O1640">
        <v>1</v>
      </c>
      <c r="P1640" t="s">
        <v>776</v>
      </c>
      <c r="Q1640">
        <v>22.9</v>
      </c>
      <c r="R1640">
        <v>4.13</v>
      </c>
      <c r="S1640">
        <v>3</v>
      </c>
      <c r="T1640">
        <v>0.54</v>
      </c>
    </row>
    <row r="1641" spans="1:35" x14ac:dyDescent="0.25">
      <c r="A1641" t="s">
        <v>7202</v>
      </c>
      <c r="B1641" t="s">
        <v>7202</v>
      </c>
      <c r="C1641" t="s">
        <v>7203</v>
      </c>
      <c r="D1641" t="s">
        <v>7204</v>
      </c>
      <c r="E1641" t="s">
        <v>770</v>
      </c>
      <c r="F1641" t="s">
        <v>771</v>
      </c>
      <c r="G1641" t="s">
        <v>1854</v>
      </c>
      <c r="J1641" t="s">
        <v>783</v>
      </c>
      <c r="K1641" t="s">
        <v>1862</v>
      </c>
      <c r="L1641" t="s">
        <v>1505</v>
      </c>
      <c r="M1641" t="s">
        <v>53</v>
      </c>
      <c r="N1641" t="s">
        <v>770</v>
      </c>
      <c r="O1641">
        <v>1</v>
      </c>
      <c r="P1641" t="s">
        <v>776</v>
      </c>
      <c r="Q1641">
        <v>32.9</v>
      </c>
      <c r="R1641">
        <v>5.93</v>
      </c>
      <c r="Y1641" t="s">
        <v>1888</v>
      </c>
      <c r="Z1641" t="s">
        <v>2257</v>
      </c>
      <c r="AA1641">
        <v>40125</v>
      </c>
      <c r="AB1641" t="s">
        <v>11</v>
      </c>
    </row>
    <row r="1642" spans="1:35" x14ac:dyDescent="0.25">
      <c r="A1642" t="s">
        <v>7205</v>
      </c>
      <c r="C1642" t="s">
        <v>7206</v>
      </c>
      <c r="D1642" t="s">
        <v>7207</v>
      </c>
      <c r="E1642" t="s">
        <v>770</v>
      </c>
      <c r="F1642" t="s">
        <v>1884</v>
      </c>
      <c r="G1642" t="s">
        <v>1854</v>
      </c>
      <c r="H1642" t="s">
        <v>1885</v>
      </c>
      <c r="J1642" t="s">
        <v>773</v>
      </c>
      <c r="K1642" t="s">
        <v>1855</v>
      </c>
      <c r="L1642" t="s">
        <v>13</v>
      </c>
      <c r="M1642" t="s">
        <v>12</v>
      </c>
      <c r="N1642" t="s">
        <v>770</v>
      </c>
      <c r="O1642">
        <v>1</v>
      </c>
      <c r="P1642" t="s">
        <v>776</v>
      </c>
      <c r="Q1642">
        <v>19.899999999999999</v>
      </c>
      <c r="R1642">
        <v>3.59</v>
      </c>
      <c r="S1642">
        <v>3</v>
      </c>
      <c r="T1642">
        <v>0.54</v>
      </c>
      <c r="Y1642" t="s">
        <v>7208</v>
      </c>
      <c r="Z1642" t="s">
        <v>2971</v>
      </c>
      <c r="AA1642">
        <v>26010</v>
      </c>
      <c r="AB1642" t="s">
        <v>11</v>
      </c>
    </row>
    <row r="1643" spans="1:35" x14ac:dyDescent="0.25">
      <c r="A1643" t="s">
        <v>7209</v>
      </c>
      <c r="C1643" t="s">
        <v>7210</v>
      </c>
      <c r="D1643" t="s">
        <v>7211</v>
      </c>
      <c r="E1643" t="s">
        <v>770</v>
      </c>
      <c r="F1643" t="s">
        <v>1884</v>
      </c>
      <c r="G1643" t="s">
        <v>1854</v>
      </c>
      <c r="H1643" t="s">
        <v>1885</v>
      </c>
      <c r="J1643" t="s">
        <v>773</v>
      </c>
      <c r="K1643" t="s">
        <v>2210</v>
      </c>
      <c r="L1643" t="s">
        <v>64</v>
      </c>
      <c r="M1643" t="s">
        <v>63</v>
      </c>
      <c r="N1643" t="s">
        <v>770</v>
      </c>
      <c r="O1643">
        <v>1</v>
      </c>
      <c r="P1643" t="s">
        <v>776</v>
      </c>
      <c r="Q1643">
        <v>70.900000000000006</v>
      </c>
      <c r="R1643">
        <v>12.79</v>
      </c>
      <c r="S1643">
        <v>3</v>
      </c>
      <c r="T1643">
        <v>0.54</v>
      </c>
      <c r="Y1643" t="s">
        <v>1907</v>
      </c>
      <c r="Z1643" t="s">
        <v>1908</v>
      </c>
      <c r="AA1643">
        <v>80044</v>
      </c>
      <c r="AB1643" t="s">
        <v>11</v>
      </c>
      <c r="AG1643" t="s">
        <v>7212</v>
      </c>
      <c r="AH1643" t="s">
        <v>11</v>
      </c>
      <c r="AI1643" t="s">
        <v>1258</v>
      </c>
    </row>
    <row r="1644" spans="1:35" x14ac:dyDescent="0.25">
      <c r="A1644" t="s">
        <v>7213</v>
      </c>
      <c r="C1644" t="s">
        <v>7214</v>
      </c>
      <c r="D1644" t="s">
        <v>7215</v>
      </c>
      <c r="E1644" t="s">
        <v>770</v>
      </c>
      <c r="F1644" t="s">
        <v>1884</v>
      </c>
      <c r="G1644" t="s">
        <v>1854</v>
      </c>
      <c r="H1644" t="s">
        <v>1885</v>
      </c>
      <c r="J1644" t="s">
        <v>773</v>
      </c>
      <c r="K1644" t="s">
        <v>1855</v>
      </c>
      <c r="L1644" t="s">
        <v>13</v>
      </c>
      <c r="M1644" t="s">
        <v>12</v>
      </c>
      <c r="N1644" t="s">
        <v>770</v>
      </c>
      <c r="O1644">
        <v>1</v>
      </c>
      <c r="P1644" t="s">
        <v>776</v>
      </c>
      <c r="Q1644">
        <v>19.899999999999999</v>
      </c>
      <c r="R1644">
        <v>3.59</v>
      </c>
      <c r="S1644">
        <v>3</v>
      </c>
      <c r="T1644">
        <v>0.54</v>
      </c>
      <c r="Y1644" t="s">
        <v>1956</v>
      </c>
      <c r="Z1644" t="s">
        <v>1926</v>
      </c>
      <c r="AA1644">
        <v>181</v>
      </c>
      <c r="AB1644" t="s">
        <v>11</v>
      </c>
    </row>
    <row r="1645" spans="1:35" x14ac:dyDescent="0.25">
      <c r="A1645" t="s">
        <v>7216</v>
      </c>
      <c r="C1645" t="s">
        <v>7217</v>
      </c>
      <c r="D1645" t="s">
        <v>6683</v>
      </c>
      <c r="E1645" t="s">
        <v>770</v>
      </c>
      <c r="F1645" t="s">
        <v>1884</v>
      </c>
      <c r="G1645" t="s">
        <v>1854</v>
      </c>
      <c r="H1645" t="s">
        <v>1885</v>
      </c>
      <c r="J1645" t="s">
        <v>773</v>
      </c>
      <c r="K1645" t="s">
        <v>1855</v>
      </c>
      <c r="L1645" t="s">
        <v>13</v>
      </c>
      <c r="M1645" t="s">
        <v>12</v>
      </c>
      <c r="N1645" t="s">
        <v>770</v>
      </c>
      <c r="O1645">
        <v>1</v>
      </c>
      <c r="P1645" t="s">
        <v>776</v>
      </c>
      <c r="Q1645">
        <v>19.899999999999999</v>
      </c>
      <c r="R1645">
        <v>3.59</v>
      </c>
      <c r="S1645">
        <v>3</v>
      </c>
      <c r="T1645">
        <v>0.54</v>
      </c>
      <c r="Y1645" t="s">
        <v>1913</v>
      </c>
      <c r="Z1645" t="s">
        <v>1913</v>
      </c>
      <c r="AA1645">
        <v>188</v>
      </c>
      <c r="AB1645" t="s">
        <v>11</v>
      </c>
    </row>
    <row r="1646" spans="1:35" x14ac:dyDescent="0.25">
      <c r="A1646" t="s">
        <v>7218</v>
      </c>
      <c r="C1646" t="s">
        <v>7219</v>
      </c>
      <c r="D1646" t="s">
        <v>7220</v>
      </c>
      <c r="E1646" t="s">
        <v>770</v>
      </c>
      <c r="F1646" t="s">
        <v>1884</v>
      </c>
      <c r="G1646" t="s">
        <v>1854</v>
      </c>
      <c r="H1646" t="s">
        <v>1885</v>
      </c>
      <c r="J1646" t="s">
        <v>773</v>
      </c>
      <c r="K1646" t="s">
        <v>2396</v>
      </c>
      <c r="L1646" t="s">
        <v>89</v>
      </c>
      <c r="M1646" t="s">
        <v>88</v>
      </c>
      <c r="N1646" t="s">
        <v>770</v>
      </c>
      <c r="O1646">
        <v>1</v>
      </c>
      <c r="P1646" t="s">
        <v>776</v>
      </c>
      <c r="Q1646">
        <v>59.9</v>
      </c>
      <c r="R1646">
        <v>10.8</v>
      </c>
      <c r="S1646">
        <v>3</v>
      </c>
      <c r="T1646">
        <v>0.54</v>
      </c>
      <c r="Y1646" t="s">
        <v>7221</v>
      </c>
      <c r="Z1646" t="s">
        <v>1922</v>
      </c>
      <c r="AA1646">
        <v>31023</v>
      </c>
      <c r="AB1646" t="s">
        <v>11</v>
      </c>
    </row>
    <row r="1647" spans="1:35" x14ac:dyDescent="0.25">
      <c r="A1647" t="s">
        <v>7222</v>
      </c>
      <c r="B1647" t="s">
        <v>7222</v>
      </c>
      <c r="C1647" t="s">
        <v>7223</v>
      </c>
      <c r="D1647" t="s">
        <v>7224</v>
      </c>
      <c r="E1647" t="s">
        <v>770</v>
      </c>
      <c r="F1647" t="s">
        <v>771</v>
      </c>
      <c r="G1647" t="s">
        <v>1854</v>
      </c>
      <c r="J1647" t="s">
        <v>783</v>
      </c>
      <c r="K1647" t="s">
        <v>2044</v>
      </c>
      <c r="L1647" t="s">
        <v>1489</v>
      </c>
      <c r="M1647" t="s">
        <v>75</v>
      </c>
      <c r="N1647" t="s">
        <v>770</v>
      </c>
      <c r="O1647">
        <v>1</v>
      </c>
      <c r="P1647" t="s">
        <v>776</v>
      </c>
      <c r="Q1647">
        <v>49.9</v>
      </c>
      <c r="R1647">
        <v>9</v>
      </c>
      <c r="Y1647" t="s">
        <v>7225</v>
      </c>
      <c r="Z1647" t="s">
        <v>1880</v>
      </c>
      <c r="AA1647">
        <v>41030</v>
      </c>
      <c r="AB1647" t="s">
        <v>11</v>
      </c>
    </row>
    <row r="1648" spans="1:35" x14ac:dyDescent="0.25">
      <c r="A1648" t="s">
        <v>7226</v>
      </c>
      <c r="B1648" t="s">
        <v>7226</v>
      </c>
      <c r="C1648" t="s">
        <v>7227</v>
      </c>
      <c r="D1648" t="s">
        <v>7228</v>
      </c>
      <c r="E1648" t="s">
        <v>770</v>
      </c>
      <c r="F1648" t="s">
        <v>771</v>
      </c>
      <c r="G1648" t="s">
        <v>1854</v>
      </c>
      <c r="J1648" t="s">
        <v>783</v>
      </c>
      <c r="K1648" t="s">
        <v>1862</v>
      </c>
      <c r="L1648" t="s">
        <v>1505</v>
      </c>
      <c r="M1648" t="s">
        <v>53</v>
      </c>
      <c r="N1648" t="s">
        <v>770</v>
      </c>
      <c r="O1648">
        <v>1</v>
      </c>
      <c r="P1648" t="s">
        <v>776</v>
      </c>
      <c r="Q1648">
        <v>32.9</v>
      </c>
      <c r="R1648">
        <v>5.93</v>
      </c>
      <c r="Y1648" t="s">
        <v>2134</v>
      </c>
      <c r="AA1648">
        <v>171</v>
      </c>
      <c r="AB1648" t="s">
        <v>11</v>
      </c>
    </row>
    <row r="1649" spans="1:35" x14ac:dyDescent="0.25">
      <c r="A1649" t="s">
        <v>7229</v>
      </c>
      <c r="C1649" t="s">
        <v>7230</v>
      </c>
      <c r="D1649" t="s">
        <v>7231</v>
      </c>
      <c r="E1649" t="s">
        <v>770</v>
      </c>
      <c r="F1649" t="s">
        <v>1884</v>
      </c>
      <c r="G1649" t="s">
        <v>1854</v>
      </c>
      <c r="H1649" t="s">
        <v>1885</v>
      </c>
      <c r="J1649" t="s">
        <v>773</v>
      </c>
      <c r="K1649" t="s">
        <v>2652</v>
      </c>
      <c r="L1649" t="s">
        <v>52</v>
      </c>
      <c r="M1649" t="s">
        <v>51</v>
      </c>
      <c r="N1649" t="s">
        <v>770</v>
      </c>
      <c r="O1649">
        <v>1</v>
      </c>
      <c r="P1649" t="s">
        <v>776</v>
      </c>
      <c r="Q1649">
        <v>24.9</v>
      </c>
      <c r="R1649">
        <v>4.49</v>
      </c>
      <c r="S1649">
        <v>3</v>
      </c>
      <c r="T1649">
        <v>0.54</v>
      </c>
      <c r="Y1649" t="s">
        <v>7232</v>
      </c>
      <c r="Z1649" t="s">
        <v>2116</v>
      </c>
      <c r="AA1649">
        <v>22066</v>
      </c>
      <c r="AB1649" t="s">
        <v>11</v>
      </c>
    </row>
    <row r="1650" spans="1:35" x14ac:dyDescent="0.25">
      <c r="A1650" t="s">
        <v>7233</v>
      </c>
      <c r="B1650" t="s">
        <v>7233</v>
      </c>
      <c r="C1650" t="s">
        <v>7234</v>
      </c>
      <c r="D1650" t="s">
        <v>7235</v>
      </c>
      <c r="E1650" t="s">
        <v>770</v>
      </c>
      <c r="F1650" t="s">
        <v>771</v>
      </c>
      <c r="G1650" t="s">
        <v>1854</v>
      </c>
      <c r="J1650" t="s">
        <v>783</v>
      </c>
      <c r="K1650" t="s">
        <v>1862</v>
      </c>
      <c r="L1650" t="s">
        <v>1505</v>
      </c>
      <c r="M1650" t="s">
        <v>53</v>
      </c>
      <c r="N1650" t="s">
        <v>770</v>
      </c>
      <c r="O1650">
        <v>1</v>
      </c>
      <c r="P1650" t="s">
        <v>776</v>
      </c>
      <c r="Q1650">
        <v>32.9</v>
      </c>
      <c r="R1650">
        <v>5.93</v>
      </c>
      <c r="Y1650" t="s">
        <v>7236</v>
      </c>
      <c r="AA1650">
        <v>40137</v>
      </c>
      <c r="AB1650" t="s">
        <v>11</v>
      </c>
    </row>
    <row r="1651" spans="1:35" x14ac:dyDescent="0.25">
      <c r="A1651" t="s">
        <v>7237</v>
      </c>
      <c r="C1651" t="s">
        <v>7238</v>
      </c>
      <c r="D1651" t="s">
        <v>7239</v>
      </c>
      <c r="E1651" t="s">
        <v>770</v>
      </c>
      <c r="F1651" t="s">
        <v>1884</v>
      </c>
      <c r="G1651" t="s">
        <v>1854</v>
      </c>
      <c r="H1651" t="s">
        <v>1885</v>
      </c>
      <c r="J1651" t="s">
        <v>773</v>
      </c>
      <c r="K1651" t="s">
        <v>4362</v>
      </c>
      <c r="L1651" s="2">
        <v>40500</v>
      </c>
      <c r="M1651" t="s">
        <v>53</v>
      </c>
      <c r="N1651" t="s">
        <v>770</v>
      </c>
      <c r="O1651">
        <v>1</v>
      </c>
      <c r="P1651" t="s">
        <v>776</v>
      </c>
      <c r="Q1651">
        <v>32.9</v>
      </c>
      <c r="R1651">
        <v>5.93</v>
      </c>
      <c r="S1651">
        <v>3</v>
      </c>
      <c r="T1651">
        <v>0.54</v>
      </c>
      <c r="Y1651" t="s">
        <v>2040</v>
      </c>
      <c r="Z1651" t="s">
        <v>2040</v>
      </c>
      <c r="AA1651">
        <v>65126</v>
      </c>
      <c r="AB1651" t="s">
        <v>11</v>
      </c>
    </row>
    <row r="1652" spans="1:35" x14ac:dyDescent="0.25">
      <c r="A1652" t="s">
        <v>7240</v>
      </c>
      <c r="B1652" t="s">
        <v>7240</v>
      </c>
      <c r="C1652" t="s">
        <v>7241</v>
      </c>
      <c r="D1652" t="s">
        <v>7242</v>
      </c>
      <c r="E1652" t="s">
        <v>770</v>
      </c>
      <c r="F1652" t="s">
        <v>771</v>
      </c>
      <c r="G1652" t="s">
        <v>1854</v>
      </c>
      <c r="J1652" t="s">
        <v>783</v>
      </c>
      <c r="K1652" t="s">
        <v>1862</v>
      </c>
      <c r="L1652" t="s">
        <v>1505</v>
      </c>
      <c r="M1652" t="s">
        <v>53</v>
      </c>
      <c r="N1652" t="s">
        <v>770</v>
      </c>
      <c r="O1652">
        <v>1</v>
      </c>
      <c r="P1652" t="s">
        <v>776</v>
      </c>
      <c r="Q1652">
        <v>32.9</v>
      </c>
      <c r="R1652">
        <v>5.93</v>
      </c>
      <c r="Y1652" t="s">
        <v>1875</v>
      </c>
      <c r="Z1652" t="s">
        <v>1875</v>
      </c>
      <c r="AA1652">
        <v>20121</v>
      </c>
      <c r="AB1652" t="s">
        <v>11</v>
      </c>
      <c r="AG1652" t="s">
        <v>7243</v>
      </c>
      <c r="AH1652" t="s">
        <v>11</v>
      </c>
      <c r="AI1652" t="s">
        <v>1258</v>
      </c>
    </row>
    <row r="1653" spans="1:35" x14ac:dyDescent="0.25">
      <c r="A1653" t="s">
        <v>7244</v>
      </c>
      <c r="C1653" t="s">
        <v>7245</v>
      </c>
      <c r="D1653" t="s">
        <v>7246</v>
      </c>
      <c r="E1653" t="s">
        <v>770</v>
      </c>
      <c r="F1653" t="s">
        <v>1884</v>
      </c>
      <c r="G1653" t="s">
        <v>1854</v>
      </c>
      <c r="H1653" t="s">
        <v>1885</v>
      </c>
      <c r="J1653" t="s">
        <v>773</v>
      </c>
      <c r="K1653" t="s">
        <v>1855</v>
      </c>
      <c r="L1653" t="s">
        <v>13</v>
      </c>
      <c r="M1653" t="s">
        <v>12</v>
      </c>
      <c r="N1653" t="s">
        <v>770</v>
      </c>
      <c r="O1653">
        <v>1</v>
      </c>
      <c r="P1653" t="s">
        <v>776</v>
      </c>
      <c r="Q1653">
        <v>19.899999999999999</v>
      </c>
      <c r="R1653">
        <v>3.59</v>
      </c>
      <c r="S1653">
        <v>3</v>
      </c>
      <c r="T1653">
        <v>0.54</v>
      </c>
      <c r="Y1653" t="s">
        <v>7247</v>
      </c>
      <c r="Z1653" t="s">
        <v>2153</v>
      </c>
      <c r="AA1653">
        <v>84022</v>
      </c>
      <c r="AB1653" t="s">
        <v>11</v>
      </c>
    </row>
    <row r="1654" spans="1:35" x14ac:dyDescent="0.25">
      <c r="A1654" t="s">
        <v>7248</v>
      </c>
      <c r="B1654" t="s">
        <v>7248</v>
      </c>
      <c r="C1654" t="s">
        <v>7249</v>
      </c>
      <c r="D1654" t="s">
        <v>7250</v>
      </c>
      <c r="E1654" t="s">
        <v>770</v>
      </c>
      <c r="F1654" t="s">
        <v>771</v>
      </c>
      <c r="G1654" t="s">
        <v>1854</v>
      </c>
      <c r="J1654" t="s">
        <v>783</v>
      </c>
      <c r="K1654" t="s">
        <v>1873</v>
      </c>
      <c r="L1654" t="s">
        <v>840</v>
      </c>
      <c r="M1654" t="s">
        <v>26</v>
      </c>
      <c r="N1654" t="s">
        <v>770</v>
      </c>
      <c r="O1654">
        <v>1</v>
      </c>
      <c r="P1654" t="s">
        <v>776</v>
      </c>
      <c r="Q1654">
        <v>34.9</v>
      </c>
      <c r="R1654">
        <v>6.29</v>
      </c>
      <c r="Y1654" t="s">
        <v>7251</v>
      </c>
      <c r="Z1654" t="s">
        <v>2819</v>
      </c>
      <c r="AA1654">
        <v>74020</v>
      </c>
      <c r="AB1654" t="s">
        <v>11</v>
      </c>
    </row>
    <row r="1655" spans="1:35" x14ac:dyDescent="0.25">
      <c r="A1655" t="s">
        <v>7252</v>
      </c>
      <c r="C1655" t="s">
        <v>7253</v>
      </c>
      <c r="D1655" t="s">
        <v>7254</v>
      </c>
      <c r="E1655" t="s">
        <v>770</v>
      </c>
      <c r="F1655" t="s">
        <v>1884</v>
      </c>
      <c r="G1655" t="s">
        <v>1854</v>
      </c>
      <c r="H1655" t="s">
        <v>1885</v>
      </c>
      <c r="J1655" t="s">
        <v>773</v>
      </c>
      <c r="K1655" t="s">
        <v>1902</v>
      </c>
      <c r="L1655" t="s">
        <v>15</v>
      </c>
      <c r="M1655" t="s">
        <v>14</v>
      </c>
      <c r="N1655" t="s">
        <v>770</v>
      </c>
      <c r="O1655">
        <v>1</v>
      </c>
      <c r="P1655" t="s">
        <v>776</v>
      </c>
      <c r="Q1655">
        <v>14.9</v>
      </c>
      <c r="R1655">
        <v>2.69</v>
      </c>
      <c r="S1655">
        <v>3</v>
      </c>
      <c r="T1655">
        <v>0.54</v>
      </c>
      <c r="Y1655" t="s">
        <v>7255</v>
      </c>
      <c r="Z1655" t="s">
        <v>3080</v>
      </c>
      <c r="AA1655">
        <v>30020</v>
      </c>
      <c r="AB1655" t="s">
        <v>11</v>
      </c>
    </row>
    <row r="1656" spans="1:35" x14ac:dyDescent="0.25">
      <c r="A1656" t="s">
        <v>7256</v>
      </c>
      <c r="C1656" t="s">
        <v>7257</v>
      </c>
      <c r="D1656" t="s">
        <v>7258</v>
      </c>
      <c r="E1656" t="s">
        <v>770</v>
      </c>
      <c r="F1656" t="s">
        <v>1884</v>
      </c>
      <c r="G1656" t="s">
        <v>1854</v>
      </c>
      <c r="H1656" t="s">
        <v>1885</v>
      </c>
      <c r="J1656" t="s">
        <v>773</v>
      </c>
      <c r="K1656" t="s">
        <v>1873</v>
      </c>
      <c r="L1656" t="s">
        <v>27</v>
      </c>
      <c r="M1656" t="s">
        <v>26</v>
      </c>
      <c r="N1656" t="s">
        <v>770</v>
      </c>
      <c r="O1656">
        <v>1</v>
      </c>
      <c r="P1656" t="s">
        <v>776</v>
      </c>
      <c r="Q1656">
        <v>34.9</v>
      </c>
      <c r="R1656">
        <v>6.29</v>
      </c>
      <c r="S1656">
        <v>3</v>
      </c>
      <c r="T1656">
        <v>0.54</v>
      </c>
      <c r="Y1656" t="s">
        <v>7259</v>
      </c>
      <c r="Z1656" t="s">
        <v>3080</v>
      </c>
      <c r="AA1656">
        <v>30020</v>
      </c>
      <c r="AB1656" t="s">
        <v>11</v>
      </c>
    </row>
    <row r="1657" spans="1:35" x14ac:dyDescent="0.25">
      <c r="A1657" t="s">
        <v>7260</v>
      </c>
      <c r="B1657" t="s">
        <v>7260</v>
      </c>
      <c r="C1657" t="s">
        <v>7261</v>
      </c>
      <c r="D1657" t="s">
        <v>7262</v>
      </c>
      <c r="E1657" t="s">
        <v>770</v>
      </c>
      <c r="F1657" t="s">
        <v>771</v>
      </c>
      <c r="G1657" t="s">
        <v>1854</v>
      </c>
      <c r="J1657" t="s">
        <v>783</v>
      </c>
      <c r="K1657" t="s">
        <v>1873</v>
      </c>
      <c r="L1657" t="s">
        <v>840</v>
      </c>
      <c r="M1657" t="s">
        <v>26</v>
      </c>
      <c r="N1657" t="s">
        <v>770</v>
      </c>
      <c r="O1657">
        <v>1</v>
      </c>
      <c r="P1657" t="s">
        <v>776</v>
      </c>
      <c r="Q1657">
        <v>34.9</v>
      </c>
      <c r="R1657">
        <v>6.29</v>
      </c>
      <c r="Y1657" t="s">
        <v>7263</v>
      </c>
      <c r="Z1657" t="s">
        <v>2533</v>
      </c>
      <c r="AA1657">
        <v>35020</v>
      </c>
      <c r="AB1657" t="s">
        <v>11</v>
      </c>
    </row>
    <row r="1658" spans="1:35" x14ac:dyDescent="0.25">
      <c r="A1658" t="s">
        <v>7264</v>
      </c>
      <c r="B1658" t="s">
        <v>7264</v>
      </c>
      <c r="C1658" t="s">
        <v>7265</v>
      </c>
      <c r="D1658" t="s">
        <v>7266</v>
      </c>
      <c r="E1658" t="s">
        <v>770</v>
      </c>
      <c r="F1658" t="s">
        <v>771</v>
      </c>
      <c r="G1658" t="s">
        <v>1854</v>
      </c>
      <c r="J1658" t="s">
        <v>783</v>
      </c>
      <c r="K1658" t="s">
        <v>2319</v>
      </c>
      <c r="L1658" t="s">
        <v>1080</v>
      </c>
      <c r="M1658" t="s">
        <v>186</v>
      </c>
      <c r="N1658" t="s">
        <v>770</v>
      </c>
      <c r="O1658">
        <v>1</v>
      </c>
      <c r="P1658" t="s">
        <v>776</v>
      </c>
      <c r="Q1658">
        <v>39.9</v>
      </c>
      <c r="R1658">
        <v>7.2</v>
      </c>
      <c r="Y1658" t="s">
        <v>1913</v>
      </c>
      <c r="Z1658" t="s">
        <v>1926</v>
      </c>
      <c r="AA1658">
        <v>168</v>
      </c>
      <c r="AB1658" t="s">
        <v>11</v>
      </c>
    </row>
    <row r="1659" spans="1:35" x14ac:dyDescent="0.25">
      <c r="A1659" t="s">
        <v>7267</v>
      </c>
      <c r="B1659" t="s">
        <v>7267</v>
      </c>
      <c r="C1659" t="s">
        <v>7268</v>
      </c>
      <c r="D1659" t="s">
        <v>7269</v>
      </c>
      <c r="E1659" t="s">
        <v>782</v>
      </c>
      <c r="F1659" t="s">
        <v>771</v>
      </c>
      <c r="G1659" t="s">
        <v>1854</v>
      </c>
      <c r="J1659" t="s">
        <v>783</v>
      </c>
      <c r="K1659" t="s">
        <v>1873</v>
      </c>
      <c r="L1659" t="s">
        <v>840</v>
      </c>
      <c r="M1659" t="s">
        <v>26</v>
      </c>
      <c r="N1659" t="s">
        <v>782</v>
      </c>
      <c r="O1659">
        <v>0</v>
      </c>
      <c r="Y1659" t="s">
        <v>7263</v>
      </c>
      <c r="Z1659" t="s">
        <v>2533</v>
      </c>
      <c r="AA1659">
        <v>35020</v>
      </c>
      <c r="AB1659" t="s">
        <v>11</v>
      </c>
    </row>
    <row r="1660" spans="1:35" x14ac:dyDescent="0.25">
      <c r="A1660" t="s">
        <v>7270</v>
      </c>
      <c r="C1660" t="s">
        <v>7271</v>
      </c>
      <c r="D1660" t="s">
        <v>7272</v>
      </c>
      <c r="E1660" t="s">
        <v>770</v>
      </c>
      <c r="F1660" t="s">
        <v>1884</v>
      </c>
      <c r="G1660" t="s">
        <v>1854</v>
      </c>
      <c r="H1660" t="s">
        <v>1885</v>
      </c>
      <c r="J1660" t="s">
        <v>773</v>
      </c>
      <c r="K1660" t="s">
        <v>1855</v>
      </c>
      <c r="L1660" t="s">
        <v>13</v>
      </c>
      <c r="M1660" t="s">
        <v>12</v>
      </c>
      <c r="N1660" t="s">
        <v>770</v>
      </c>
      <c r="O1660">
        <v>1</v>
      </c>
      <c r="P1660" t="s">
        <v>776</v>
      </c>
      <c r="Q1660">
        <v>19.899999999999999</v>
      </c>
      <c r="R1660">
        <v>3.59</v>
      </c>
      <c r="S1660">
        <v>3</v>
      </c>
      <c r="T1660">
        <v>0.54</v>
      </c>
      <c r="Y1660" t="s">
        <v>7273</v>
      </c>
      <c r="Z1660" t="s">
        <v>3012</v>
      </c>
      <c r="AA1660">
        <v>12080</v>
      </c>
      <c r="AB1660" t="s">
        <v>11</v>
      </c>
    </row>
    <row r="1661" spans="1:35" x14ac:dyDescent="0.25">
      <c r="A1661" t="s">
        <v>7274</v>
      </c>
      <c r="B1661" t="s">
        <v>7274</v>
      </c>
      <c r="C1661" t="s">
        <v>7275</v>
      </c>
      <c r="D1661" t="s">
        <v>7276</v>
      </c>
      <c r="E1661" t="s">
        <v>770</v>
      </c>
      <c r="F1661" t="s">
        <v>771</v>
      </c>
      <c r="G1661" t="s">
        <v>1854</v>
      </c>
      <c r="J1661" t="s">
        <v>783</v>
      </c>
      <c r="K1661" t="s">
        <v>1873</v>
      </c>
      <c r="L1661" t="s">
        <v>840</v>
      </c>
      <c r="M1661" t="s">
        <v>26</v>
      </c>
      <c r="N1661" t="s">
        <v>770</v>
      </c>
      <c r="O1661">
        <v>1</v>
      </c>
      <c r="P1661" t="s">
        <v>776</v>
      </c>
      <c r="Q1661">
        <v>34.9</v>
      </c>
      <c r="R1661">
        <v>6.29</v>
      </c>
      <c r="Y1661" t="s">
        <v>1913</v>
      </c>
      <c r="Z1661" t="s">
        <v>1926</v>
      </c>
      <c r="AA1661">
        <v>173</v>
      </c>
      <c r="AB1661" t="s">
        <v>11</v>
      </c>
      <c r="AG1661" t="s">
        <v>7277</v>
      </c>
      <c r="AH1661" t="s">
        <v>11</v>
      </c>
      <c r="AI1661" t="s">
        <v>2459</v>
      </c>
    </row>
    <row r="1662" spans="1:35" x14ac:dyDescent="0.25">
      <c r="A1662" t="s">
        <v>7278</v>
      </c>
      <c r="B1662" t="s">
        <v>7278</v>
      </c>
      <c r="C1662" t="s">
        <v>7279</v>
      </c>
      <c r="D1662" t="s">
        <v>7280</v>
      </c>
      <c r="E1662" t="s">
        <v>770</v>
      </c>
      <c r="F1662" t="s">
        <v>771</v>
      </c>
      <c r="G1662" t="s">
        <v>1854</v>
      </c>
      <c r="J1662" t="s">
        <v>783</v>
      </c>
      <c r="K1662" t="s">
        <v>1862</v>
      </c>
      <c r="L1662" t="s">
        <v>1505</v>
      </c>
      <c r="M1662" t="s">
        <v>53</v>
      </c>
      <c r="N1662" t="s">
        <v>770</v>
      </c>
      <c r="O1662">
        <v>1</v>
      </c>
      <c r="P1662" t="s">
        <v>776</v>
      </c>
      <c r="Q1662">
        <v>32.9</v>
      </c>
      <c r="R1662">
        <v>5.93</v>
      </c>
      <c r="Y1662" t="s">
        <v>3818</v>
      </c>
      <c r="Z1662" t="s">
        <v>3818</v>
      </c>
      <c r="AA1662">
        <v>2100</v>
      </c>
      <c r="AB1662" t="s">
        <v>11</v>
      </c>
    </row>
    <row r="1663" spans="1:35" x14ac:dyDescent="0.25">
      <c r="A1663" t="s">
        <v>7281</v>
      </c>
      <c r="C1663" t="s">
        <v>7282</v>
      </c>
      <c r="D1663" t="s">
        <v>7283</v>
      </c>
      <c r="E1663" t="s">
        <v>770</v>
      </c>
      <c r="F1663" t="s">
        <v>1884</v>
      </c>
      <c r="G1663" t="s">
        <v>1854</v>
      </c>
      <c r="H1663" t="s">
        <v>1885</v>
      </c>
      <c r="J1663" t="s">
        <v>773</v>
      </c>
      <c r="K1663" t="s">
        <v>3042</v>
      </c>
      <c r="L1663" s="2">
        <v>90825</v>
      </c>
      <c r="M1663" t="s">
        <v>320</v>
      </c>
      <c r="N1663" t="s">
        <v>770</v>
      </c>
      <c r="O1663">
        <v>1</v>
      </c>
      <c r="P1663" t="s">
        <v>776</v>
      </c>
      <c r="Q1663">
        <v>46.9</v>
      </c>
      <c r="R1663">
        <v>8.4600000000000009</v>
      </c>
      <c r="S1663">
        <v>3</v>
      </c>
      <c r="T1663">
        <v>0.54</v>
      </c>
      <c r="Y1663" t="s">
        <v>7284</v>
      </c>
      <c r="Z1663" t="s">
        <v>3089</v>
      </c>
      <c r="AA1663">
        <v>25062</v>
      </c>
      <c r="AB1663" t="s">
        <v>11</v>
      </c>
    </row>
    <row r="1664" spans="1:35" x14ac:dyDescent="0.25">
      <c r="A1664" t="s">
        <v>7285</v>
      </c>
      <c r="C1664" t="s">
        <v>7286</v>
      </c>
      <c r="D1664" t="s">
        <v>7287</v>
      </c>
      <c r="E1664" t="s">
        <v>770</v>
      </c>
      <c r="F1664" t="s">
        <v>1884</v>
      </c>
      <c r="G1664" t="s">
        <v>1854</v>
      </c>
      <c r="H1664" t="s">
        <v>1885</v>
      </c>
      <c r="J1664" t="s">
        <v>773</v>
      </c>
      <c r="K1664" t="s">
        <v>1855</v>
      </c>
      <c r="L1664" t="s">
        <v>13</v>
      </c>
      <c r="M1664" t="s">
        <v>12</v>
      </c>
      <c r="N1664" t="s">
        <v>770</v>
      </c>
      <c r="O1664">
        <v>1</v>
      </c>
      <c r="P1664" t="s">
        <v>776</v>
      </c>
      <c r="Q1664">
        <v>19.899999999999999</v>
      </c>
      <c r="R1664">
        <v>3.59</v>
      </c>
      <c r="S1664">
        <v>3</v>
      </c>
      <c r="T1664">
        <v>0.54</v>
      </c>
      <c r="Y1664" t="s">
        <v>1917</v>
      </c>
      <c r="Z1664" t="s">
        <v>1864</v>
      </c>
      <c r="AA1664">
        <v>20145</v>
      </c>
      <c r="AB1664" t="s">
        <v>11</v>
      </c>
    </row>
    <row r="1665" spans="1:35" x14ac:dyDescent="0.25">
      <c r="A1665" t="s">
        <v>7288</v>
      </c>
      <c r="B1665" t="s">
        <v>7288</v>
      </c>
      <c r="C1665" t="s">
        <v>7289</v>
      </c>
      <c r="D1665" t="s">
        <v>7290</v>
      </c>
      <c r="E1665" t="s">
        <v>770</v>
      </c>
      <c r="F1665" t="s">
        <v>771</v>
      </c>
      <c r="G1665" t="s">
        <v>1854</v>
      </c>
      <c r="J1665" t="s">
        <v>783</v>
      </c>
      <c r="K1665" t="s">
        <v>1930</v>
      </c>
      <c r="L1665" t="s">
        <v>775</v>
      </c>
      <c r="M1665" t="s">
        <v>65</v>
      </c>
      <c r="N1665" t="s">
        <v>770</v>
      </c>
      <c r="O1665">
        <v>1</v>
      </c>
      <c r="P1665" t="s">
        <v>776</v>
      </c>
      <c r="Q1665">
        <v>29.9</v>
      </c>
      <c r="R1665">
        <v>5.39</v>
      </c>
      <c r="Y1665" t="s">
        <v>7291</v>
      </c>
      <c r="Z1665" t="s">
        <v>2433</v>
      </c>
      <c r="AA1665">
        <v>37057</v>
      </c>
      <c r="AB1665" t="s">
        <v>11</v>
      </c>
    </row>
    <row r="1666" spans="1:35" x14ac:dyDescent="0.25">
      <c r="A1666" t="s">
        <v>7292</v>
      </c>
      <c r="B1666" t="s">
        <v>7292</v>
      </c>
      <c r="C1666" t="s">
        <v>7293</v>
      </c>
      <c r="D1666" t="s">
        <v>7294</v>
      </c>
      <c r="E1666" t="s">
        <v>770</v>
      </c>
      <c r="F1666" t="s">
        <v>771</v>
      </c>
      <c r="G1666" t="s">
        <v>1854</v>
      </c>
      <c r="J1666" t="s">
        <v>783</v>
      </c>
      <c r="K1666" t="s">
        <v>2294</v>
      </c>
      <c r="L1666" t="s">
        <v>2295</v>
      </c>
      <c r="M1666" t="s">
        <v>232</v>
      </c>
      <c r="N1666" t="s">
        <v>770</v>
      </c>
      <c r="O1666">
        <v>1</v>
      </c>
      <c r="P1666" t="s">
        <v>776</v>
      </c>
      <c r="Q1666">
        <v>49.9</v>
      </c>
      <c r="R1666">
        <v>9</v>
      </c>
      <c r="Y1666" t="s">
        <v>7295</v>
      </c>
      <c r="Z1666" t="s">
        <v>1864</v>
      </c>
      <c r="AA1666">
        <v>20044</v>
      </c>
      <c r="AB1666" t="s">
        <v>11</v>
      </c>
    </row>
    <row r="1667" spans="1:35" x14ac:dyDescent="0.25">
      <c r="A1667" t="s">
        <v>7296</v>
      </c>
      <c r="B1667" t="s">
        <v>7296</v>
      </c>
      <c r="C1667" t="s">
        <v>7297</v>
      </c>
      <c r="D1667" t="s">
        <v>7298</v>
      </c>
      <c r="E1667" t="s">
        <v>770</v>
      </c>
      <c r="F1667" t="s">
        <v>771</v>
      </c>
      <c r="G1667" t="s">
        <v>1854</v>
      </c>
      <c r="J1667" t="s">
        <v>783</v>
      </c>
      <c r="K1667" t="s">
        <v>1862</v>
      </c>
      <c r="L1667" t="s">
        <v>1505</v>
      </c>
      <c r="M1667" t="s">
        <v>53</v>
      </c>
      <c r="N1667" t="s">
        <v>770</v>
      </c>
      <c r="O1667">
        <v>1</v>
      </c>
      <c r="P1667" t="s">
        <v>776</v>
      </c>
      <c r="Q1667">
        <v>32.9</v>
      </c>
      <c r="R1667">
        <v>5.93</v>
      </c>
      <c r="S1667">
        <v>3.99</v>
      </c>
      <c r="T1667">
        <v>0.72</v>
      </c>
      <c r="Y1667" t="s">
        <v>3338</v>
      </c>
      <c r="Z1667" t="s">
        <v>3339</v>
      </c>
      <c r="AA1667">
        <v>9013</v>
      </c>
      <c r="AB1667" t="s">
        <v>11</v>
      </c>
    </row>
    <row r="1668" spans="1:35" x14ac:dyDescent="0.25">
      <c r="A1668" t="s">
        <v>7299</v>
      </c>
      <c r="C1668" t="s">
        <v>7300</v>
      </c>
      <c r="D1668" t="s">
        <v>7301</v>
      </c>
      <c r="E1668" t="s">
        <v>770</v>
      </c>
      <c r="F1668" t="s">
        <v>1884</v>
      </c>
      <c r="G1668" t="s">
        <v>1854</v>
      </c>
      <c r="H1668" t="s">
        <v>1885</v>
      </c>
      <c r="J1668" t="s">
        <v>773</v>
      </c>
      <c r="K1668" t="s">
        <v>1873</v>
      </c>
      <c r="L1668" t="s">
        <v>27</v>
      </c>
      <c r="M1668" t="s">
        <v>26</v>
      </c>
      <c r="N1668" t="s">
        <v>770</v>
      </c>
      <c r="O1668">
        <v>1</v>
      </c>
      <c r="P1668" t="s">
        <v>776</v>
      </c>
      <c r="Q1668">
        <v>34.9</v>
      </c>
      <c r="R1668">
        <v>6.29</v>
      </c>
      <c r="S1668">
        <v>3</v>
      </c>
      <c r="T1668">
        <v>0.54</v>
      </c>
      <c r="Y1668" t="s">
        <v>7302</v>
      </c>
      <c r="Z1668" t="s">
        <v>7303</v>
      </c>
      <c r="AA1668">
        <v>37040</v>
      </c>
      <c r="AB1668" t="s">
        <v>11</v>
      </c>
    </row>
    <row r="1669" spans="1:35" x14ac:dyDescent="0.25">
      <c r="A1669" t="s">
        <v>7304</v>
      </c>
      <c r="B1669" t="s">
        <v>7304</v>
      </c>
      <c r="C1669" t="s">
        <v>7305</v>
      </c>
      <c r="D1669" t="s">
        <v>7306</v>
      </c>
      <c r="E1669" t="s">
        <v>770</v>
      </c>
      <c r="F1669" t="s">
        <v>771</v>
      </c>
      <c r="G1669" t="s">
        <v>1854</v>
      </c>
      <c r="J1669" t="s">
        <v>773</v>
      </c>
      <c r="K1669" t="s">
        <v>1862</v>
      </c>
      <c r="L1669" t="s">
        <v>1505</v>
      </c>
      <c r="M1669" t="s">
        <v>53</v>
      </c>
      <c r="N1669" t="s">
        <v>770</v>
      </c>
      <c r="O1669">
        <v>1</v>
      </c>
      <c r="P1669" t="s">
        <v>776</v>
      </c>
      <c r="Q1669">
        <v>32.9</v>
      </c>
      <c r="S1669">
        <v>6.21</v>
      </c>
      <c r="Y1669" t="s">
        <v>7307</v>
      </c>
      <c r="Z1669" t="s">
        <v>7308</v>
      </c>
      <c r="AA1669" t="s">
        <v>7309</v>
      </c>
      <c r="AB1669" t="s">
        <v>266</v>
      </c>
    </row>
    <row r="1670" spans="1:35" x14ac:dyDescent="0.25">
      <c r="A1670" t="s">
        <v>7310</v>
      </c>
      <c r="C1670" t="s">
        <v>7311</v>
      </c>
      <c r="D1670" t="s">
        <v>7312</v>
      </c>
      <c r="E1670" t="s">
        <v>782</v>
      </c>
      <c r="F1670" t="s">
        <v>1884</v>
      </c>
      <c r="G1670" t="s">
        <v>1854</v>
      </c>
      <c r="H1670" t="s">
        <v>1885</v>
      </c>
      <c r="J1670" t="s">
        <v>773</v>
      </c>
      <c r="K1670" t="s">
        <v>1855</v>
      </c>
      <c r="L1670" t="s">
        <v>13</v>
      </c>
      <c r="M1670" t="s">
        <v>12</v>
      </c>
      <c r="O1670">
        <v>0</v>
      </c>
      <c r="Y1670" t="s">
        <v>4011</v>
      </c>
      <c r="Z1670" t="s">
        <v>4218</v>
      </c>
      <c r="AA1670">
        <v>9030</v>
      </c>
      <c r="AB1670" t="s">
        <v>11</v>
      </c>
    </row>
    <row r="1671" spans="1:35" x14ac:dyDescent="0.25">
      <c r="A1671" t="s">
        <v>7313</v>
      </c>
      <c r="C1671" t="s">
        <v>7314</v>
      </c>
      <c r="D1671" t="s">
        <v>6979</v>
      </c>
      <c r="E1671" t="s">
        <v>770</v>
      </c>
      <c r="F1671" t="s">
        <v>1884</v>
      </c>
      <c r="G1671" t="s">
        <v>1854</v>
      </c>
      <c r="H1671" t="s">
        <v>1885</v>
      </c>
      <c r="J1671" t="s">
        <v>773</v>
      </c>
      <c r="K1671" t="s">
        <v>1855</v>
      </c>
      <c r="L1671" t="s">
        <v>13</v>
      </c>
      <c r="M1671" t="s">
        <v>12</v>
      </c>
      <c r="N1671" t="s">
        <v>770</v>
      </c>
      <c r="O1671">
        <v>1</v>
      </c>
      <c r="P1671" t="s">
        <v>776</v>
      </c>
      <c r="Q1671">
        <v>19.899999999999999</v>
      </c>
      <c r="R1671">
        <v>3.59</v>
      </c>
      <c r="S1671">
        <v>3</v>
      </c>
      <c r="T1671">
        <v>0.54</v>
      </c>
      <c r="Y1671" t="s">
        <v>6548</v>
      </c>
      <c r="Z1671" t="s">
        <v>1875</v>
      </c>
      <c r="AA1671">
        <v>20093</v>
      </c>
      <c r="AB1671" t="s">
        <v>11</v>
      </c>
    </row>
    <row r="1672" spans="1:35" x14ac:dyDescent="0.25">
      <c r="A1672" t="s">
        <v>7315</v>
      </c>
      <c r="B1672" t="s">
        <v>7315</v>
      </c>
      <c r="C1672" t="s">
        <v>7316</v>
      </c>
      <c r="D1672" t="s">
        <v>7317</v>
      </c>
      <c r="E1672" t="s">
        <v>770</v>
      </c>
      <c r="F1672" t="s">
        <v>771</v>
      </c>
      <c r="G1672" t="s">
        <v>1854</v>
      </c>
      <c r="J1672" t="s">
        <v>783</v>
      </c>
      <c r="K1672" t="s">
        <v>1930</v>
      </c>
      <c r="L1672" t="s">
        <v>775</v>
      </c>
      <c r="M1672" t="s">
        <v>65</v>
      </c>
      <c r="N1672" t="s">
        <v>770</v>
      </c>
      <c r="O1672">
        <v>1</v>
      </c>
      <c r="P1672" t="s">
        <v>776</v>
      </c>
      <c r="Q1672">
        <v>29.9</v>
      </c>
      <c r="R1672">
        <v>5.39</v>
      </c>
      <c r="Y1672" t="s">
        <v>7318</v>
      </c>
      <c r="Z1672" t="s">
        <v>3740</v>
      </c>
      <c r="AA1672">
        <v>58017</v>
      </c>
      <c r="AB1672" t="s">
        <v>11</v>
      </c>
    </row>
    <row r="1673" spans="1:35" x14ac:dyDescent="0.25">
      <c r="A1673" t="s">
        <v>7319</v>
      </c>
      <c r="B1673" t="s">
        <v>7319</v>
      </c>
      <c r="C1673" t="s">
        <v>7320</v>
      </c>
      <c r="D1673" t="s">
        <v>7321</v>
      </c>
      <c r="E1673" t="s">
        <v>770</v>
      </c>
      <c r="F1673" t="s">
        <v>771</v>
      </c>
      <c r="G1673" t="s">
        <v>1854</v>
      </c>
      <c r="J1673" t="s">
        <v>783</v>
      </c>
      <c r="K1673" t="s">
        <v>1862</v>
      </c>
      <c r="L1673" t="s">
        <v>1505</v>
      </c>
      <c r="M1673" t="s">
        <v>53</v>
      </c>
      <c r="N1673" t="s">
        <v>770</v>
      </c>
      <c r="O1673">
        <v>1</v>
      </c>
      <c r="P1673" t="s">
        <v>776</v>
      </c>
      <c r="Q1673">
        <v>32.9</v>
      </c>
      <c r="R1673">
        <v>5.93</v>
      </c>
      <c r="Y1673" t="s">
        <v>7322</v>
      </c>
      <c r="Z1673" t="s">
        <v>7323</v>
      </c>
      <c r="AA1673">
        <v>82100</v>
      </c>
      <c r="AB1673" t="s">
        <v>11</v>
      </c>
    </row>
    <row r="1674" spans="1:35" x14ac:dyDescent="0.25">
      <c r="A1674" t="s">
        <v>7324</v>
      </c>
      <c r="B1674" t="s">
        <v>7324</v>
      </c>
      <c r="C1674" t="s">
        <v>7325</v>
      </c>
      <c r="D1674" t="s">
        <v>7326</v>
      </c>
      <c r="E1674" t="s">
        <v>770</v>
      </c>
      <c r="F1674" t="s">
        <v>771</v>
      </c>
      <c r="G1674" t="s">
        <v>1854</v>
      </c>
      <c r="J1674" t="s">
        <v>783</v>
      </c>
      <c r="K1674" t="s">
        <v>1862</v>
      </c>
      <c r="L1674" t="s">
        <v>1505</v>
      </c>
      <c r="M1674" t="s">
        <v>53</v>
      </c>
      <c r="N1674" t="s">
        <v>770</v>
      </c>
      <c r="O1674">
        <v>1</v>
      </c>
      <c r="P1674" t="s">
        <v>776</v>
      </c>
      <c r="Q1674">
        <v>32.9</v>
      </c>
      <c r="R1674">
        <v>5.93</v>
      </c>
      <c r="S1674">
        <v>2.5</v>
      </c>
      <c r="T1674">
        <v>0.45</v>
      </c>
      <c r="Y1674" t="s">
        <v>7327</v>
      </c>
      <c r="Z1674" t="s">
        <v>3374</v>
      </c>
      <c r="AA1674">
        <v>11010</v>
      </c>
      <c r="AB1674" t="s">
        <v>11</v>
      </c>
    </row>
    <row r="1675" spans="1:35" x14ac:dyDescent="0.25">
      <c r="A1675" t="s">
        <v>7328</v>
      </c>
      <c r="B1675" t="s">
        <v>7328</v>
      </c>
      <c r="C1675" t="s">
        <v>7329</v>
      </c>
      <c r="D1675" t="s">
        <v>7330</v>
      </c>
      <c r="E1675" t="s">
        <v>770</v>
      </c>
      <c r="F1675" t="s">
        <v>771</v>
      </c>
      <c r="G1675" t="s">
        <v>1854</v>
      </c>
      <c r="J1675" t="s">
        <v>783</v>
      </c>
      <c r="K1675" t="s">
        <v>1930</v>
      </c>
      <c r="L1675" t="s">
        <v>775</v>
      </c>
      <c r="M1675" t="s">
        <v>65</v>
      </c>
      <c r="N1675" t="s">
        <v>770</v>
      </c>
      <c r="O1675">
        <v>2</v>
      </c>
      <c r="P1675" t="s">
        <v>776</v>
      </c>
      <c r="Q1675">
        <v>59.8</v>
      </c>
      <c r="R1675">
        <v>10.78</v>
      </c>
      <c r="Y1675" t="s">
        <v>1913</v>
      </c>
      <c r="Z1675" t="s">
        <v>1913</v>
      </c>
      <c r="AA1675">
        <v>195</v>
      </c>
      <c r="AB1675" t="s">
        <v>11</v>
      </c>
    </row>
    <row r="1676" spans="1:35" x14ac:dyDescent="0.25">
      <c r="A1676" t="s">
        <v>7331</v>
      </c>
      <c r="B1676" t="s">
        <v>7331</v>
      </c>
      <c r="C1676" t="s">
        <v>7332</v>
      </c>
      <c r="D1676" t="s">
        <v>7333</v>
      </c>
      <c r="E1676" t="s">
        <v>770</v>
      </c>
      <c r="F1676" t="s">
        <v>771</v>
      </c>
      <c r="G1676" t="s">
        <v>1854</v>
      </c>
      <c r="J1676" t="s">
        <v>783</v>
      </c>
      <c r="K1676" t="s">
        <v>1930</v>
      </c>
      <c r="L1676" t="s">
        <v>775</v>
      </c>
      <c r="M1676" t="s">
        <v>65</v>
      </c>
      <c r="N1676" t="s">
        <v>770</v>
      </c>
      <c r="O1676">
        <v>1</v>
      </c>
      <c r="P1676" t="s">
        <v>776</v>
      </c>
      <c r="Q1676">
        <v>29.9</v>
      </c>
      <c r="R1676">
        <v>5.39</v>
      </c>
      <c r="Y1676" t="s">
        <v>7334</v>
      </c>
      <c r="Z1676" t="s">
        <v>4083</v>
      </c>
      <c r="AA1676">
        <v>10072</v>
      </c>
      <c r="AB1676" t="s">
        <v>11</v>
      </c>
    </row>
    <row r="1677" spans="1:35" x14ac:dyDescent="0.25">
      <c r="A1677" t="s">
        <v>7335</v>
      </c>
      <c r="B1677" t="s">
        <v>7335</v>
      </c>
      <c r="C1677" t="s">
        <v>7336</v>
      </c>
      <c r="D1677" t="s">
        <v>7337</v>
      </c>
      <c r="E1677" t="s">
        <v>770</v>
      </c>
      <c r="F1677" t="s">
        <v>771</v>
      </c>
      <c r="G1677" t="s">
        <v>1854</v>
      </c>
      <c r="J1677" t="s">
        <v>783</v>
      </c>
      <c r="K1677" t="s">
        <v>1862</v>
      </c>
      <c r="L1677" t="s">
        <v>1505</v>
      </c>
      <c r="M1677" t="s">
        <v>53</v>
      </c>
      <c r="N1677" t="s">
        <v>770</v>
      </c>
      <c r="O1677">
        <v>1</v>
      </c>
      <c r="P1677" t="s">
        <v>776</v>
      </c>
      <c r="Q1677">
        <v>32.9</v>
      </c>
      <c r="R1677">
        <v>5.93</v>
      </c>
      <c r="Y1677" t="s">
        <v>1961</v>
      </c>
      <c r="Z1677" t="s">
        <v>1864</v>
      </c>
      <c r="AA1677">
        <v>20129</v>
      </c>
      <c r="AB1677" t="s">
        <v>11</v>
      </c>
      <c r="AG1677" t="s">
        <v>7338</v>
      </c>
      <c r="AH1677" t="s">
        <v>11</v>
      </c>
      <c r="AI1677" t="s">
        <v>1258</v>
      </c>
    </row>
    <row r="1678" spans="1:35" x14ac:dyDescent="0.25">
      <c r="A1678" t="s">
        <v>7339</v>
      </c>
      <c r="B1678" t="s">
        <v>7339</v>
      </c>
      <c r="C1678" t="s">
        <v>7340</v>
      </c>
      <c r="D1678" t="s">
        <v>7341</v>
      </c>
      <c r="E1678" t="s">
        <v>770</v>
      </c>
      <c r="F1678" t="s">
        <v>771</v>
      </c>
      <c r="G1678" t="s">
        <v>1854</v>
      </c>
      <c r="J1678" t="s">
        <v>783</v>
      </c>
      <c r="K1678" t="s">
        <v>1862</v>
      </c>
      <c r="L1678" t="s">
        <v>1505</v>
      </c>
      <c r="M1678" t="s">
        <v>53</v>
      </c>
      <c r="N1678" t="s">
        <v>770</v>
      </c>
      <c r="O1678">
        <v>1</v>
      </c>
      <c r="P1678" t="s">
        <v>776</v>
      </c>
      <c r="Q1678">
        <v>32.9</v>
      </c>
      <c r="R1678">
        <v>5.93</v>
      </c>
      <c r="Y1678" t="s">
        <v>7342</v>
      </c>
      <c r="Z1678" t="s">
        <v>2057</v>
      </c>
      <c r="AA1678">
        <v>37050</v>
      </c>
      <c r="AB1678" t="s">
        <v>11</v>
      </c>
    </row>
    <row r="1679" spans="1:35" x14ac:dyDescent="0.25">
      <c r="A1679" t="s">
        <v>7343</v>
      </c>
      <c r="C1679" t="s">
        <v>7344</v>
      </c>
      <c r="D1679" t="s">
        <v>7085</v>
      </c>
      <c r="E1679" t="s">
        <v>770</v>
      </c>
      <c r="F1679" t="s">
        <v>1884</v>
      </c>
      <c r="G1679" t="s">
        <v>1854</v>
      </c>
      <c r="H1679" t="s">
        <v>1885</v>
      </c>
      <c r="J1679" t="s">
        <v>773</v>
      </c>
      <c r="K1679" t="s">
        <v>2248</v>
      </c>
      <c r="L1679" t="s">
        <v>173</v>
      </c>
      <c r="M1679" t="s">
        <v>172</v>
      </c>
      <c r="N1679" t="s">
        <v>770</v>
      </c>
      <c r="O1679">
        <v>1</v>
      </c>
      <c r="P1679" t="s">
        <v>776</v>
      </c>
      <c r="Q1679">
        <v>39.9</v>
      </c>
      <c r="R1679">
        <v>7.2</v>
      </c>
      <c r="S1679">
        <v>3</v>
      </c>
      <c r="T1679">
        <v>0.54</v>
      </c>
      <c r="Y1679" t="s">
        <v>7345</v>
      </c>
      <c r="Z1679" t="s">
        <v>4974</v>
      </c>
      <c r="AA1679">
        <v>91025</v>
      </c>
      <c r="AB1679" t="s">
        <v>11</v>
      </c>
    </row>
    <row r="1680" spans="1:35" x14ac:dyDescent="0.25">
      <c r="A1680" t="s">
        <v>7343</v>
      </c>
      <c r="C1680" t="s">
        <v>7344</v>
      </c>
      <c r="D1680" t="s">
        <v>7085</v>
      </c>
      <c r="E1680" t="s">
        <v>770</v>
      </c>
      <c r="F1680" t="s">
        <v>1884</v>
      </c>
      <c r="G1680" t="s">
        <v>1854</v>
      </c>
      <c r="H1680" t="s">
        <v>1885</v>
      </c>
      <c r="J1680" t="s">
        <v>773</v>
      </c>
      <c r="K1680" t="s">
        <v>2252</v>
      </c>
      <c r="L1680" t="s">
        <v>74</v>
      </c>
      <c r="M1680" t="s">
        <v>73</v>
      </c>
      <c r="N1680" t="s">
        <v>770</v>
      </c>
      <c r="O1680">
        <v>1</v>
      </c>
      <c r="P1680" t="s">
        <v>776</v>
      </c>
      <c r="Q1680">
        <v>14.9</v>
      </c>
      <c r="R1680">
        <v>2.69</v>
      </c>
      <c r="S1680">
        <v>3</v>
      </c>
      <c r="T1680">
        <v>0.54</v>
      </c>
      <c r="Y1680" t="s">
        <v>7345</v>
      </c>
      <c r="Z1680" t="s">
        <v>4974</v>
      </c>
      <c r="AA1680">
        <v>91025</v>
      </c>
      <c r="AB1680" t="s">
        <v>11</v>
      </c>
    </row>
    <row r="1681" spans="1:28" x14ac:dyDescent="0.25">
      <c r="A1681" t="s">
        <v>7346</v>
      </c>
      <c r="C1681" t="s">
        <v>7347</v>
      </c>
      <c r="D1681" t="s">
        <v>7348</v>
      </c>
      <c r="E1681" t="s">
        <v>770</v>
      </c>
      <c r="F1681" t="s">
        <v>1884</v>
      </c>
      <c r="G1681" t="s">
        <v>1854</v>
      </c>
      <c r="H1681" t="s">
        <v>1885</v>
      </c>
      <c r="J1681" t="s">
        <v>773</v>
      </c>
      <c r="K1681" t="s">
        <v>1886</v>
      </c>
      <c r="L1681" t="s">
        <v>18</v>
      </c>
      <c r="M1681" t="s">
        <v>17</v>
      </c>
      <c r="N1681" t="s">
        <v>770</v>
      </c>
      <c r="O1681">
        <v>2</v>
      </c>
      <c r="P1681" t="s">
        <v>776</v>
      </c>
      <c r="Q1681">
        <v>45.8</v>
      </c>
      <c r="R1681">
        <v>8.26</v>
      </c>
      <c r="S1681">
        <v>6</v>
      </c>
      <c r="T1681">
        <v>1.08</v>
      </c>
      <c r="Y1681" t="s">
        <v>7349</v>
      </c>
      <c r="Z1681" t="s">
        <v>7350</v>
      </c>
      <c r="AA1681">
        <v>35034</v>
      </c>
      <c r="AB1681" t="s">
        <v>11</v>
      </c>
    </row>
    <row r="1682" spans="1:28" x14ac:dyDescent="0.25">
      <c r="A1682" t="s">
        <v>7351</v>
      </c>
      <c r="B1682" t="s">
        <v>7351</v>
      </c>
      <c r="C1682" t="s">
        <v>7352</v>
      </c>
      <c r="D1682" t="s">
        <v>7353</v>
      </c>
      <c r="E1682" t="s">
        <v>770</v>
      </c>
      <c r="F1682" t="s">
        <v>771</v>
      </c>
      <c r="G1682" t="s">
        <v>1854</v>
      </c>
      <c r="J1682" t="s">
        <v>783</v>
      </c>
      <c r="K1682" t="s">
        <v>1862</v>
      </c>
      <c r="L1682" t="s">
        <v>1505</v>
      </c>
      <c r="M1682" t="s">
        <v>53</v>
      </c>
      <c r="N1682" t="s">
        <v>770</v>
      </c>
      <c r="O1682">
        <v>1</v>
      </c>
      <c r="P1682" t="s">
        <v>776</v>
      </c>
      <c r="Q1682">
        <v>32.9</v>
      </c>
      <c r="R1682">
        <v>5.93</v>
      </c>
      <c r="Y1682" t="s">
        <v>7354</v>
      </c>
      <c r="Z1682" t="s">
        <v>2663</v>
      </c>
      <c r="AA1682">
        <v>47012</v>
      </c>
      <c r="AB1682" t="s">
        <v>11</v>
      </c>
    </row>
    <row r="1683" spans="1:28" x14ac:dyDescent="0.25">
      <c r="A1683" t="s">
        <v>7355</v>
      </c>
      <c r="B1683" t="s">
        <v>7355</v>
      </c>
      <c r="C1683" t="s">
        <v>7356</v>
      </c>
      <c r="D1683" t="s">
        <v>7357</v>
      </c>
      <c r="E1683" t="s">
        <v>782</v>
      </c>
      <c r="F1683" t="s">
        <v>771</v>
      </c>
      <c r="G1683" t="s">
        <v>1854</v>
      </c>
      <c r="J1683" t="s">
        <v>783</v>
      </c>
      <c r="K1683" t="s">
        <v>2390</v>
      </c>
      <c r="L1683" t="s">
        <v>1094</v>
      </c>
      <c r="M1683" t="s">
        <v>208</v>
      </c>
      <c r="N1683" t="s">
        <v>782</v>
      </c>
      <c r="O1683">
        <v>0</v>
      </c>
      <c r="Y1683" t="s">
        <v>7358</v>
      </c>
      <c r="Z1683" t="s">
        <v>2392</v>
      </c>
      <c r="AA1683">
        <v>9047</v>
      </c>
      <c r="AB1683" t="s">
        <v>11</v>
      </c>
    </row>
    <row r="1684" spans="1:28" x14ac:dyDescent="0.25">
      <c r="A1684" t="s">
        <v>7359</v>
      </c>
      <c r="B1684" t="s">
        <v>7359</v>
      </c>
      <c r="C1684" t="s">
        <v>7360</v>
      </c>
      <c r="D1684" t="s">
        <v>7361</v>
      </c>
      <c r="E1684" t="s">
        <v>770</v>
      </c>
      <c r="F1684" t="s">
        <v>771</v>
      </c>
      <c r="G1684" t="s">
        <v>1854</v>
      </c>
      <c r="J1684" t="s">
        <v>783</v>
      </c>
      <c r="K1684" t="s">
        <v>1873</v>
      </c>
      <c r="L1684" t="s">
        <v>840</v>
      </c>
      <c r="M1684" t="s">
        <v>26</v>
      </c>
      <c r="N1684" t="s">
        <v>770</v>
      </c>
      <c r="O1684">
        <v>1</v>
      </c>
      <c r="P1684" t="s">
        <v>776</v>
      </c>
      <c r="Q1684">
        <v>34.9</v>
      </c>
      <c r="R1684">
        <v>6.29</v>
      </c>
      <c r="Y1684" t="s">
        <v>4510</v>
      </c>
      <c r="Z1684" t="s">
        <v>2153</v>
      </c>
      <c r="AA1684">
        <v>84012</v>
      </c>
      <c r="AB1684" t="s">
        <v>11</v>
      </c>
    </row>
    <row r="1685" spans="1:28" x14ac:dyDescent="0.25">
      <c r="A1685" t="s">
        <v>7362</v>
      </c>
      <c r="B1685" t="s">
        <v>7362</v>
      </c>
      <c r="C1685" t="s">
        <v>7363</v>
      </c>
      <c r="D1685" t="s">
        <v>7364</v>
      </c>
      <c r="E1685" t="s">
        <v>770</v>
      </c>
      <c r="F1685" t="s">
        <v>771</v>
      </c>
      <c r="G1685" t="s">
        <v>1854</v>
      </c>
      <c r="J1685" t="s">
        <v>783</v>
      </c>
      <c r="K1685" t="s">
        <v>1930</v>
      </c>
      <c r="L1685" t="s">
        <v>775</v>
      </c>
      <c r="M1685" t="s">
        <v>65</v>
      </c>
      <c r="N1685" t="s">
        <v>770</v>
      </c>
      <c r="O1685">
        <v>1</v>
      </c>
      <c r="P1685" t="s">
        <v>776</v>
      </c>
      <c r="Q1685">
        <v>29.9</v>
      </c>
      <c r="R1685">
        <v>5.39</v>
      </c>
      <c r="Y1685" t="s">
        <v>7365</v>
      </c>
      <c r="Z1685" t="s">
        <v>2030</v>
      </c>
      <c r="AA1685">
        <v>38056</v>
      </c>
      <c r="AB1685" t="s">
        <v>11</v>
      </c>
    </row>
    <row r="1686" spans="1:28" x14ac:dyDescent="0.25">
      <c r="A1686" t="s">
        <v>7366</v>
      </c>
      <c r="B1686" t="s">
        <v>7366</v>
      </c>
      <c r="C1686" t="s">
        <v>7367</v>
      </c>
      <c r="D1686" t="s">
        <v>7368</v>
      </c>
      <c r="E1686" t="s">
        <v>770</v>
      </c>
      <c r="F1686" t="s">
        <v>771</v>
      </c>
      <c r="G1686" t="s">
        <v>1854</v>
      </c>
      <c r="J1686" t="s">
        <v>783</v>
      </c>
      <c r="K1686" t="s">
        <v>1862</v>
      </c>
      <c r="L1686" t="s">
        <v>1505</v>
      </c>
      <c r="M1686" t="s">
        <v>53</v>
      </c>
      <c r="N1686" t="s">
        <v>770</v>
      </c>
      <c r="O1686">
        <v>1</v>
      </c>
      <c r="P1686" t="s">
        <v>776</v>
      </c>
      <c r="Q1686">
        <v>32.9</v>
      </c>
      <c r="R1686">
        <v>5.93</v>
      </c>
      <c r="Y1686" t="s">
        <v>7369</v>
      </c>
      <c r="Z1686" t="s">
        <v>3696</v>
      </c>
      <c r="AA1686">
        <v>41019</v>
      </c>
      <c r="AB1686" t="s">
        <v>11</v>
      </c>
    </row>
    <row r="1687" spans="1:28" x14ac:dyDescent="0.25">
      <c r="A1687" t="s">
        <v>7370</v>
      </c>
      <c r="B1687" t="s">
        <v>7370</v>
      </c>
      <c r="C1687" t="s">
        <v>7371</v>
      </c>
      <c r="D1687" t="s">
        <v>7372</v>
      </c>
      <c r="E1687" t="s">
        <v>770</v>
      </c>
      <c r="F1687" t="s">
        <v>771</v>
      </c>
      <c r="G1687" t="s">
        <v>1854</v>
      </c>
      <c r="J1687" t="s">
        <v>783</v>
      </c>
      <c r="K1687" t="s">
        <v>1873</v>
      </c>
      <c r="L1687" t="s">
        <v>840</v>
      </c>
      <c r="M1687" t="s">
        <v>26</v>
      </c>
      <c r="N1687" t="s">
        <v>770</v>
      </c>
      <c r="O1687">
        <v>1</v>
      </c>
      <c r="P1687" t="s">
        <v>776</v>
      </c>
      <c r="Q1687">
        <v>34.9</v>
      </c>
      <c r="R1687">
        <v>6.29</v>
      </c>
      <c r="Y1687" t="s">
        <v>7373</v>
      </c>
      <c r="Z1687" t="s">
        <v>1869</v>
      </c>
      <c r="AA1687">
        <v>10060</v>
      </c>
      <c r="AB1687" t="s">
        <v>11</v>
      </c>
    </row>
    <row r="1688" spans="1:28" x14ac:dyDescent="0.25">
      <c r="A1688" t="s">
        <v>7374</v>
      </c>
      <c r="B1688" t="s">
        <v>7374</v>
      </c>
      <c r="C1688" t="s">
        <v>7375</v>
      </c>
      <c r="D1688" t="s">
        <v>7376</v>
      </c>
      <c r="E1688" t="s">
        <v>770</v>
      </c>
      <c r="F1688" t="s">
        <v>771</v>
      </c>
      <c r="G1688" t="s">
        <v>1854</v>
      </c>
      <c r="J1688" t="s">
        <v>783</v>
      </c>
      <c r="K1688" t="s">
        <v>1873</v>
      </c>
      <c r="L1688" t="s">
        <v>840</v>
      </c>
      <c r="M1688" t="s">
        <v>26</v>
      </c>
      <c r="N1688" t="s">
        <v>770</v>
      </c>
      <c r="O1688">
        <v>1</v>
      </c>
      <c r="P1688" t="s">
        <v>776</v>
      </c>
      <c r="Q1688">
        <v>34.9</v>
      </c>
      <c r="R1688">
        <v>6.29</v>
      </c>
      <c r="Y1688" t="s">
        <v>7377</v>
      </c>
      <c r="Z1688" t="s">
        <v>2101</v>
      </c>
      <c r="AA1688">
        <v>47853</v>
      </c>
      <c r="AB1688" t="s">
        <v>11</v>
      </c>
    </row>
    <row r="1689" spans="1:28" x14ac:dyDescent="0.25">
      <c r="A1689" t="s">
        <v>7378</v>
      </c>
      <c r="B1689" t="s">
        <v>7378</v>
      </c>
      <c r="C1689" t="s">
        <v>7379</v>
      </c>
      <c r="D1689" t="s">
        <v>7380</v>
      </c>
      <c r="E1689" t="s">
        <v>770</v>
      </c>
      <c r="F1689" t="s">
        <v>771</v>
      </c>
      <c r="G1689" t="s">
        <v>1854</v>
      </c>
      <c r="J1689" t="s">
        <v>783</v>
      </c>
      <c r="K1689" t="s">
        <v>1873</v>
      </c>
      <c r="L1689" t="s">
        <v>840</v>
      </c>
      <c r="M1689" t="s">
        <v>26</v>
      </c>
      <c r="N1689" t="s">
        <v>770</v>
      </c>
      <c r="O1689">
        <v>1</v>
      </c>
      <c r="P1689" t="s">
        <v>776</v>
      </c>
      <c r="Q1689">
        <v>34.9</v>
      </c>
      <c r="R1689">
        <v>6.29</v>
      </c>
      <c r="Y1689" t="s">
        <v>7381</v>
      </c>
      <c r="Z1689" t="s">
        <v>7382</v>
      </c>
      <c r="AA1689">
        <v>23847</v>
      </c>
      <c r="AB1689" t="s">
        <v>11</v>
      </c>
    </row>
    <row r="1690" spans="1:28" x14ac:dyDescent="0.25">
      <c r="A1690" t="s">
        <v>7383</v>
      </c>
      <c r="B1690" t="s">
        <v>7383</v>
      </c>
      <c r="C1690" t="s">
        <v>7384</v>
      </c>
      <c r="D1690" t="s">
        <v>7385</v>
      </c>
      <c r="E1690" t="s">
        <v>770</v>
      </c>
      <c r="F1690" t="s">
        <v>771</v>
      </c>
      <c r="G1690" t="s">
        <v>1854</v>
      </c>
      <c r="J1690" t="s">
        <v>783</v>
      </c>
      <c r="K1690" t="s">
        <v>1960</v>
      </c>
      <c r="L1690" t="s">
        <v>1047</v>
      </c>
      <c r="M1690" t="s">
        <v>21</v>
      </c>
      <c r="N1690" t="s">
        <v>770</v>
      </c>
      <c r="O1690">
        <v>1</v>
      </c>
      <c r="P1690" t="s">
        <v>776</v>
      </c>
      <c r="Q1690">
        <v>29.9</v>
      </c>
      <c r="R1690">
        <v>5.39</v>
      </c>
      <c r="Y1690" t="s">
        <v>7386</v>
      </c>
      <c r="Z1690" t="s">
        <v>3080</v>
      </c>
      <c r="AA1690">
        <v>30174</v>
      </c>
      <c r="AB1690" t="s">
        <v>11</v>
      </c>
    </row>
    <row r="1691" spans="1:28" x14ac:dyDescent="0.25">
      <c r="A1691" t="s">
        <v>7387</v>
      </c>
      <c r="B1691" t="s">
        <v>7387</v>
      </c>
      <c r="C1691" t="s">
        <v>7388</v>
      </c>
      <c r="D1691" t="s">
        <v>7389</v>
      </c>
      <c r="E1691" t="s">
        <v>770</v>
      </c>
      <c r="F1691" t="s">
        <v>771</v>
      </c>
      <c r="G1691" t="s">
        <v>1854</v>
      </c>
      <c r="J1691" t="s">
        <v>783</v>
      </c>
      <c r="K1691" t="s">
        <v>1873</v>
      </c>
      <c r="L1691" t="s">
        <v>840</v>
      </c>
      <c r="M1691" t="s">
        <v>26</v>
      </c>
      <c r="N1691" t="s">
        <v>770</v>
      </c>
      <c r="O1691">
        <v>1</v>
      </c>
      <c r="P1691" t="s">
        <v>776</v>
      </c>
      <c r="Q1691">
        <v>34.9</v>
      </c>
      <c r="R1691">
        <v>6.29</v>
      </c>
      <c r="Y1691" t="s">
        <v>1913</v>
      </c>
      <c r="Z1691" t="s">
        <v>1913</v>
      </c>
      <c r="AA1691">
        <v>142</v>
      </c>
      <c r="AB1691" t="s">
        <v>11</v>
      </c>
    </row>
    <row r="1692" spans="1:28" x14ac:dyDescent="0.25">
      <c r="A1692" t="s">
        <v>7390</v>
      </c>
      <c r="B1692" t="s">
        <v>7390</v>
      </c>
      <c r="C1692" t="s">
        <v>7391</v>
      </c>
      <c r="D1692" t="s">
        <v>7392</v>
      </c>
      <c r="E1692" t="s">
        <v>770</v>
      </c>
      <c r="F1692" t="s">
        <v>771</v>
      </c>
      <c r="G1692" t="s">
        <v>1854</v>
      </c>
      <c r="J1692" t="s">
        <v>783</v>
      </c>
      <c r="K1692" t="s">
        <v>1862</v>
      </c>
      <c r="L1692" t="s">
        <v>1505</v>
      </c>
      <c r="M1692" t="s">
        <v>53</v>
      </c>
      <c r="N1692" t="s">
        <v>770</v>
      </c>
      <c r="O1692">
        <v>1</v>
      </c>
      <c r="P1692" t="s">
        <v>776</v>
      </c>
      <c r="Q1692">
        <v>32.9</v>
      </c>
      <c r="R1692">
        <v>5.93</v>
      </c>
      <c r="Y1692" t="s">
        <v>7393</v>
      </c>
      <c r="Z1692" t="s">
        <v>1913</v>
      </c>
      <c r="AA1692">
        <v>37</v>
      </c>
      <c r="AB1692" t="s">
        <v>11</v>
      </c>
    </row>
    <row r="1693" spans="1:28" x14ac:dyDescent="0.25">
      <c r="A1693" t="s">
        <v>7394</v>
      </c>
      <c r="B1693" t="s">
        <v>7394</v>
      </c>
      <c r="C1693" t="s">
        <v>7395</v>
      </c>
      <c r="D1693" t="s">
        <v>7396</v>
      </c>
      <c r="E1693" t="s">
        <v>770</v>
      </c>
      <c r="F1693" t="s">
        <v>771</v>
      </c>
      <c r="G1693" t="s">
        <v>1854</v>
      </c>
      <c r="J1693" t="s">
        <v>783</v>
      </c>
      <c r="K1693" t="s">
        <v>1862</v>
      </c>
      <c r="L1693" t="s">
        <v>1505</v>
      </c>
      <c r="M1693" t="s">
        <v>53</v>
      </c>
      <c r="N1693" t="s">
        <v>770</v>
      </c>
      <c r="O1693">
        <v>1</v>
      </c>
      <c r="P1693" t="s">
        <v>776</v>
      </c>
      <c r="Q1693">
        <v>32.9</v>
      </c>
      <c r="R1693">
        <v>5.93</v>
      </c>
      <c r="Y1693" t="s">
        <v>7397</v>
      </c>
      <c r="Z1693" t="s">
        <v>2486</v>
      </c>
      <c r="AA1693">
        <v>61011</v>
      </c>
      <c r="AB1693" t="s">
        <v>11</v>
      </c>
    </row>
    <row r="1694" spans="1:28" x14ac:dyDescent="0.25">
      <c r="A1694" t="s">
        <v>7398</v>
      </c>
      <c r="B1694" t="s">
        <v>7398</v>
      </c>
      <c r="C1694" t="s">
        <v>7399</v>
      </c>
      <c r="D1694" t="s">
        <v>7400</v>
      </c>
      <c r="E1694" t="s">
        <v>770</v>
      </c>
      <c r="F1694" t="s">
        <v>771</v>
      </c>
      <c r="G1694" t="s">
        <v>1854</v>
      </c>
      <c r="J1694" t="s">
        <v>783</v>
      </c>
      <c r="K1694" t="s">
        <v>1873</v>
      </c>
      <c r="L1694" t="s">
        <v>840</v>
      </c>
      <c r="M1694" t="s">
        <v>26</v>
      </c>
      <c r="N1694" t="s">
        <v>770</v>
      </c>
      <c r="O1694">
        <v>1</v>
      </c>
      <c r="P1694" t="s">
        <v>776</v>
      </c>
      <c r="Q1694">
        <v>34.9</v>
      </c>
      <c r="R1694">
        <v>6.29</v>
      </c>
      <c r="Y1694" t="s">
        <v>7401</v>
      </c>
      <c r="Z1694" t="s">
        <v>3089</v>
      </c>
      <c r="AA1694">
        <v>25018</v>
      </c>
      <c r="AB1694" t="s">
        <v>11</v>
      </c>
    </row>
    <row r="1695" spans="1:28" x14ac:dyDescent="0.25">
      <c r="A1695" t="s">
        <v>7402</v>
      </c>
      <c r="C1695" t="s">
        <v>7403</v>
      </c>
      <c r="D1695" t="s">
        <v>7404</v>
      </c>
      <c r="E1695" t="s">
        <v>770</v>
      </c>
      <c r="F1695" t="s">
        <v>1884</v>
      </c>
      <c r="G1695" t="s">
        <v>1854</v>
      </c>
      <c r="H1695" t="s">
        <v>1885</v>
      </c>
      <c r="J1695" t="s">
        <v>773</v>
      </c>
      <c r="K1695" t="s">
        <v>1855</v>
      </c>
      <c r="L1695" t="s">
        <v>13</v>
      </c>
      <c r="M1695" t="s">
        <v>12</v>
      </c>
      <c r="N1695" t="s">
        <v>770</v>
      </c>
      <c r="O1695">
        <v>1</v>
      </c>
      <c r="P1695" t="s">
        <v>776</v>
      </c>
      <c r="Q1695">
        <v>19.899999999999999</v>
      </c>
      <c r="R1695">
        <v>3.59</v>
      </c>
      <c r="S1695">
        <v>3</v>
      </c>
      <c r="T1695">
        <v>0.54</v>
      </c>
      <c r="Y1695" t="s">
        <v>7405</v>
      </c>
      <c r="Z1695" t="s">
        <v>2720</v>
      </c>
      <c r="AA1695">
        <v>27040</v>
      </c>
      <c r="AB1695" t="s">
        <v>11</v>
      </c>
    </row>
    <row r="1696" spans="1:28" x14ac:dyDescent="0.25">
      <c r="A1696" t="s">
        <v>7406</v>
      </c>
      <c r="B1696" t="s">
        <v>7406</v>
      </c>
      <c r="C1696" t="s">
        <v>7407</v>
      </c>
      <c r="D1696" t="s">
        <v>7408</v>
      </c>
      <c r="E1696" t="s">
        <v>770</v>
      </c>
      <c r="F1696" t="s">
        <v>771</v>
      </c>
      <c r="G1696" t="s">
        <v>1854</v>
      </c>
      <c r="J1696" t="s">
        <v>783</v>
      </c>
      <c r="K1696" t="s">
        <v>1873</v>
      </c>
      <c r="L1696" t="s">
        <v>840</v>
      </c>
      <c r="M1696" t="s">
        <v>26</v>
      </c>
      <c r="N1696" t="s">
        <v>770</v>
      </c>
      <c r="O1696">
        <v>1</v>
      </c>
      <c r="P1696" t="s">
        <v>776</v>
      </c>
      <c r="Q1696">
        <v>34.9</v>
      </c>
      <c r="R1696">
        <v>6.29</v>
      </c>
      <c r="Y1696" t="s">
        <v>2704</v>
      </c>
      <c r="AA1696">
        <v>44123</v>
      </c>
      <c r="AB1696" t="s">
        <v>11</v>
      </c>
    </row>
    <row r="1697" spans="1:35" x14ac:dyDescent="0.25">
      <c r="A1697" t="s">
        <v>7409</v>
      </c>
      <c r="C1697" t="s">
        <v>7410</v>
      </c>
      <c r="D1697" t="s">
        <v>7411</v>
      </c>
      <c r="E1697" t="s">
        <v>770</v>
      </c>
      <c r="F1697" t="s">
        <v>1884</v>
      </c>
      <c r="G1697" t="s">
        <v>1854</v>
      </c>
      <c r="H1697" t="s">
        <v>1885</v>
      </c>
      <c r="J1697" t="s">
        <v>773</v>
      </c>
      <c r="K1697" t="s">
        <v>1855</v>
      </c>
      <c r="L1697" t="s">
        <v>13</v>
      </c>
      <c r="M1697" t="s">
        <v>12</v>
      </c>
      <c r="N1697" t="s">
        <v>770</v>
      </c>
      <c r="O1697">
        <v>1</v>
      </c>
      <c r="P1697" t="s">
        <v>776</v>
      </c>
      <c r="Q1697">
        <v>19.899999999999999</v>
      </c>
      <c r="R1697">
        <v>3.59</v>
      </c>
      <c r="S1697">
        <v>3</v>
      </c>
      <c r="T1697">
        <v>0.54</v>
      </c>
      <c r="Y1697" t="s">
        <v>7412</v>
      </c>
      <c r="Z1697" t="s">
        <v>1875</v>
      </c>
      <c r="AA1697">
        <v>20019</v>
      </c>
      <c r="AB1697" t="s">
        <v>11</v>
      </c>
    </row>
    <row r="1698" spans="1:35" x14ac:dyDescent="0.25">
      <c r="A1698" t="s">
        <v>7413</v>
      </c>
      <c r="C1698" t="s">
        <v>7414</v>
      </c>
      <c r="D1698" t="s">
        <v>7415</v>
      </c>
      <c r="E1698" t="s">
        <v>770</v>
      </c>
      <c r="F1698" t="s">
        <v>1884</v>
      </c>
      <c r="G1698" t="s">
        <v>1854</v>
      </c>
      <c r="H1698" t="s">
        <v>1885</v>
      </c>
      <c r="J1698" t="s">
        <v>773</v>
      </c>
      <c r="K1698" t="s">
        <v>1855</v>
      </c>
      <c r="L1698" t="s">
        <v>13</v>
      </c>
      <c r="M1698" t="s">
        <v>12</v>
      </c>
      <c r="N1698" t="s">
        <v>770</v>
      </c>
      <c r="O1698">
        <v>1</v>
      </c>
      <c r="P1698" t="s">
        <v>776</v>
      </c>
      <c r="Q1698">
        <v>19.899999999999999</v>
      </c>
      <c r="R1698">
        <v>3.59</v>
      </c>
      <c r="S1698">
        <v>3</v>
      </c>
      <c r="T1698">
        <v>0.54</v>
      </c>
      <c r="Y1698" t="s">
        <v>7416</v>
      </c>
      <c r="Z1698" t="s">
        <v>2860</v>
      </c>
      <c r="AA1698">
        <v>36072</v>
      </c>
      <c r="AB1698" t="s">
        <v>11</v>
      </c>
    </row>
    <row r="1699" spans="1:35" x14ac:dyDescent="0.25">
      <c r="A1699" t="s">
        <v>7417</v>
      </c>
      <c r="C1699" t="s">
        <v>7418</v>
      </c>
      <c r="D1699" t="s">
        <v>7419</v>
      </c>
      <c r="E1699" t="s">
        <v>770</v>
      </c>
      <c r="F1699" t="s">
        <v>1884</v>
      </c>
      <c r="G1699" t="s">
        <v>1854</v>
      </c>
      <c r="H1699" t="s">
        <v>1885</v>
      </c>
      <c r="J1699" t="s">
        <v>773</v>
      </c>
      <c r="K1699" t="s">
        <v>1855</v>
      </c>
      <c r="L1699" t="s">
        <v>13</v>
      </c>
      <c r="M1699" t="s">
        <v>12</v>
      </c>
      <c r="N1699" t="s">
        <v>770</v>
      </c>
      <c r="O1699">
        <v>1</v>
      </c>
      <c r="P1699" t="s">
        <v>776</v>
      </c>
      <c r="Q1699">
        <v>19.899999999999999</v>
      </c>
      <c r="R1699">
        <v>3.59</v>
      </c>
      <c r="S1699">
        <v>3</v>
      </c>
      <c r="T1699">
        <v>0.54</v>
      </c>
      <c r="Y1699" t="s">
        <v>7420</v>
      </c>
      <c r="Z1699" t="s">
        <v>1908</v>
      </c>
      <c r="AA1699">
        <v>80023</v>
      </c>
      <c r="AB1699" t="s">
        <v>11</v>
      </c>
    </row>
    <row r="1700" spans="1:35" x14ac:dyDescent="0.25">
      <c r="A1700" t="s">
        <v>7421</v>
      </c>
      <c r="B1700" t="s">
        <v>7421</v>
      </c>
      <c r="C1700" t="s">
        <v>7422</v>
      </c>
      <c r="D1700" t="s">
        <v>7423</v>
      </c>
      <c r="E1700" t="s">
        <v>770</v>
      </c>
      <c r="F1700" t="s">
        <v>771</v>
      </c>
      <c r="G1700" t="s">
        <v>1854</v>
      </c>
      <c r="J1700" t="s">
        <v>783</v>
      </c>
      <c r="K1700" t="s">
        <v>1930</v>
      </c>
      <c r="L1700" t="s">
        <v>775</v>
      </c>
      <c r="M1700" t="s">
        <v>65</v>
      </c>
      <c r="N1700" t="s">
        <v>770</v>
      </c>
      <c r="O1700">
        <v>1</v>
      </c>
      <c r="P1700" t="s">
        <v>776</v>
      </c>
      <c r="Q1700">
        <v>29.9</v>
      </c>
      <c r="R1700">
        <v>5.39</v>
      </c>
      <c r="Y1700" t="s">
        <v>7424</v>
      </c>
      <c r="Z1700" t="s">
        <v>1888</v>
      </c>
      <c r="AA1700">
        <v>40011</v>
      </c>
      <c r="AB1700" t="s">
        <v>11</v>
      </c>
    </row>
    <row r="1701" spans="1:35" x14ac:dyDescent="0.25">
      <c r="A1701" t="s">
        <v>7425</v>
      </c>
      <c r="B1701" t="s">
        <v>7425</v>
      </c>
      <c r="C1701" t="s">
        <v>7426</v>
      </c>
      <c r="D1701" t="s">
        <v>7427</v>
      </c>
      <c r="E1701" t="s">
        <v>770</v>
      </c>
      <c r="F1701" t="s">
        <v>771</v>
      </c>
      <c r="G1701" t="s">
        <v>1854</v>
      </c>
      <c r="J1701" t="s">
        <v>783</v>
      </c>
      <c r="K1701" t="s">
        <v>1930</v>
      </c>
      <c r="L1701" t="s">
        <v>775</v>
      </c>
      <c r="M1701" t="s">
        <v>65</v>
      </c>
      <c r="N1701" t="s">
        <v>770</v>
      </c>
      <c r="O1701">
        <v>1</v>
      </c>
      <c r="P1701" t="s">
        <v>776</v>
      </c>
      <c r="Q1701">
        <v>29.9</v>
      </c>
      <c r="R1701">
        <v>5.39</v>
      </c>
      <c r="Y1701" t="s">
        <v>7428</v>
      </c>
      <c r="Z1701" t="s">
        <v>3089</v>
      </c>
      <c r="AA1701">
        <v>25020</v>
      </c>
      <c r="AB1701" t="s">
        <v>11</v>
      </c>
    </row>
    <row r="1702" spans="1:35" x14ac:dyDescent="0.25">
      <c r="A1702" t="s">
        <v>7429</v>
      </c>
      <c r="B1702" t="s">
        <v>7429</v>
      </c>
      <c r="C1702" t="s">
        <v>7430</v>
      </c>
      <c r="D1702" t="s">
        <v>7431</v>
      </c>
      <c r="E1702" t="s">
        <v>770</v>
      </c>
      <c r="F1702" t="s">
        <v>771</v>
      </c>
      <c r="G1702" t="s">
        <v>1854</v>
      </c>
      <c r="J1702" t="s">
        <v>783</v>
      </c>
      <c r="K1702" t="s">
        <v>1873</v>
      </c>
      <c r="L1702" t="s">
        <v>840</v>
      </c>
      <c r="M1702" t="s">
        <v>26</v>
      </c>
      <c r="N1702" t="s">
        <v>770</v>
      </c>
      <c r="O1702">
        <v>1</v>
      </c>
      <c r="P1702" t="s">
        <v>776</v>
      </c>
      <c r="Q1702">
        <v>34.9</v>
      </c>
      <c r="R1702">
        <v>6.29</v>
      </c>
      <c r="Y1702" t="s">
        <v>1903</v>
      </c>
      <c r="Z1702" t="s">
        <v>1903</v>
      </c>
      <c r="AA1702">
        <v>39100</v>
      </c>
      <c r="AB1702" t="s">
        <v>11</v>
      </c>
      <c r="AG1702">
        <v>2650520212</v>
      </c>
      <c r="AH1702" t="s">
        <v>11</v>
      </c>
      <c r="AI1702" t="s">
        <v>1258</v>
      </c>
    </row>
    <row r="1703" spans="1:35" x14ac:dyDescent="0.25">
      <c r="A1703" t="s">
        <v>7432</v>
      </c>
      <c r="C1703" t="s">
        <v>7433</v>
      </c>
      <c r="D1703" t="s">
        <v>7434</v>
      </c>
      <c r="E1703" t="s">
        <v>782</v>
      </c>
      <c r="F1703" t="s">
        <v>1884</v>
      </c>
      <c r="G1703" t="s">
        <v>1854</v>
      </c>
      <c r="H1703" t="s">
        <v>1885</v>
      </c>
      <c r="J1703" t="s">
        <v>773</v>
      </c>
      <c r="K1703" t="s">
        <v>1855</v>
      </c>
      <c r="L1703" t="s">
        <v>13</v>
      </c>
      <c r="M1703" t="s">
        <v>12</v>
      </c>
      <c r="O1703">
        <v>0</v>
      </c>
      <c r="Y1703" t="s">
        <v>2979</v>
      </c>
      <c r="Z1703" t="s">
        <v>1888</v>
      </c>
      <c r="AA1703">
        <v>40133</v>
      </c>
      <c r="AB1703" t="s">
        <v>11</v>
      </c>
    </row>
    <row r="1704" spans="1:35" x14ac:dyDescent="0.25">
      <c r="A1704" t="s">
        <v>7435</v>
      </c>
      <c r="B1704" t="s">
        <v>7435</v>
      </c>
      <c r="C1704" t="s">
        <v>7436</v>
      </c>
      <c r="D1704" t="s">
        <v>7437</v>
      </c>
      <c r="E1704" t="s">
        <v>782</v>
      </c>
      <c r="F1704" t="s">
        <v>771</v>
      </c>
      <c r="G1704" t="s">
        <v>1854</v>
      </c>
      <c r="J1704" t="s">
        <v>783</v>
      </c>
      <c r="K1704" t="s">
        <v>1862</v>
      </c>
      <c r="L1704" t="s">
        <v>1505</v>
      </c>
      <c r="M1704" t="s">
        <v>53</v>
      </c>
      <c r="N1704" t="s">
        <v>782</v>
      </c>
      <c r="O1704">
        <v>0</v>
      </c>
      <c r="Y1704" t="s">
        <v>1875</v>
      </c>
      <c r="Z1704" t="s">
        <v>1875</v>
      </c>
      <c r="AA1704">
        <v>20146</v>
      </c>
      <c r="AB1704" t="s">
        <v>11</v>
      </c>
    </row>
    <row r="1705" spans="1:35" x14ac:dyDescent="0.25">
      <c r="A1705" t="s">
        <v>7438</v>
      </c>
      <c r="C1705" t="s">
        <v>7439</v>
      </c>
      <c r="D1705" t="s">
        <v>7440</v>
      </c>
      <c r="E1705" t="s">
        <v>770</v>
      </c>
      <c r="F1705" t="s">
        <v>1884</v>
      </c>
      <c r="G1705" t="s">
        <v>1854</v>
      </c>
      <c r="H1705" t="s">
        <v>1885</v>
      </c>
      <c r="J1705" t="s">
        <v>773</v>
      </c>
      <c r="K1705" t="s">
        <v>1855</v>
      </c>
      <c r="L1705" t="s">
        <v>13</v>
      </c>
      <c r="M1705" t="s">
        <v>12</v>
      </c>
      <c r="N1705" t="s">
        <v>770</v>
      </c>
      <c r="O1705">
        <v>1</v>
      </c>
      <c r="P1705" t="s">
        <v>776</v>
      </c>
      <c r="Q1705">
        <v>19.899999999999999</v>
      </c>
      <c r="R1705">
        <v>3.59</v>
      </c>
      <c r="S1705">
        <v>3</v>
      </c>
      <c r="T1705">
        <v>0.54</v>
      </c>
      <c r="Y1705" t="s">
        <v>7441</v>
      </c>
      <c r="Z1705" t="s">
        <v>7442</v>
      </c>
      <c r="AA1705">
        <v>43036</v>
      </c>
      <c r="AB1705" t="s">
        <v>11</v>
      </c>
    </row>
    <row r="1706" spans="1:35" x14ac:dyDescent="0.25">
      <c r="A1706" t="s">
        <v>7443</v>
      </c>
      <c r="B1706" t="s">
        <v>7443</v>
      </c>
      <c r="C1706" t="s">
        <v>7444</v>
      </c>
      <c r="D1706" t="s">
        <v>7445</v>
      </c>
      <c r="E1706" t="s">
        <v>770</v>
      </c>
      <c r="F1706" t="s">
        <v>771</v>
      </c>
      <c r="G1706" t="s">
        <v>1854</v>
      </c>
      <c r="J1706" t="s">
        <v>783</v>
      </c>
      <c r="K1706" t="s">
        <v>1873</v>
      </c>
      <c r="L1706" t="s">
        <v>840</v>
      </c>
      <c r="M1706" t="s">
        <v>26</v>
      </c>
      <c r="N1706" t="s">
        <v>770</v>
      </c>
      <c r="O1706">
        <v>1</v>
      </c>
      <c r="P1706" t="s">
        <v>776</v>
      </c>
      <c r="Q1706">
        <v>34.9</v>
      </c>
      <c r="R1706">
        <v>6.29</v>
      </c>
      <c r="Y1706" t="s">
        <v>6042</v>
      </c>
      <c r="Z1706" t="s">
        <v>2134</v>
      </c>
      <c r="AA1706">
        <v>72</v>
      </c>
      <c r="AB1706" t="s">
        <v>11</v>
      </c>
    </row>
    <row r="1707" spans="1:35" x14ac:dyDescent="0.25">
      <c r="A1707" t="s">
        <v>7446</v>
      </c>
      <c r="B1707" t="s">
        <v>7446</v>
      </c>
      <c r="C1707" t="s">
        <v>7447</v>
      </c>
      <c r="D1707" t="s">
        <v>7448</v>
      </c>
      <c r="E1707" t="s">
        <v>770</v>
      </c>
      <c r="F1707" t="s">
        <v>771</v>
      </c>
      <c r="G1707" t="s">
        <v>1854</v>
      </c>
      <c r="J1707" t="s">
        <v>783</v>
      </c>
      <c r="K1707" t="s">
        <v>3363</v>
      </c>
      <c r="L1707" t="s">
        <v>5572</v>
      </c>
      <c r="M1707" t="s">
        <v>71</v>
      </c>
      <c r="N1707" t="s">
        <v>770</v>
      </c>
      <c r="O1707">
        <v>1</v>
      </c>
      <c r="P1707" t="s">
        <v>776</v>
      </c>
      <c r="Q1707">
        <v>29.9</v>
      </c>
      <c r="R1707">
        <v>5.39</v>
      </c>
      <c r="Y1707" t="s">
        <v>7449</v>
      </c>
      <c r="Z1707" t="s">
        <v>1997</v>
      </c>
      <c r="AA1707">
        <v>50022</v>
      </c>
      <c r="AB1707" t="s">
        <v>11</v>
      </c>
    </row>
    <row r="1708" spans="1:35" x14ac:dyDescent="0.25">
      <c r="A1708" t="s">
        <v>7450</v>
      </c>
      <c r="C1708" t="s">
        <v>7451</v>
      </c>
      <c r="D1708" t="s">
        <v>7452</v>
      </c>
      <c r="E1708" t="s">
        <v>770</v>
      </c>
      <c r="F1708" t="s">
        <v>1884</v>
      </c>
      <c r="G1708" t="s">
        <v>1854</v>
      </c>
      <c r="H1708" t="s">
        <v>1885</v>
      </c>
      <c r="J1708" t="s">
        <v>773</v>
      </c>
      <c r="K1708" t="s">
        <v>1855</v>
      </c>
      <c r="L1708" t="s">
        <v>13</v>
      </c>
      <c r="M1708" t="s">
        <v>12</v>
      </c>
      <c r="N1708" t="s">
        <v>770</v>
      </c>
      <c r="O1708">
        <v>1</v>
      </c>
      <c r="P1708" t="s">
        <v>776</v>
      </c>
      <c r="Q1708">
        <v>19.899999999999999</v>
      </c>
      <c r="R1708">
        <v>3.59</v>
      </c>
      <c r="S1708">
        <v>3</v>
      </c>
      <c r="T1708">
        <v>0.54</v>
      </c>
      <c r="Y1708" t="s">
        <v>7453</v>
      </c>
      <c r="Z1708" t="s">
        <v>2153</v>
      </c>
      <c r="AA1708">
        <v>84010</v>
      </c>
      <c r="AB1708" t="s">
        <v>11</v>
      </c>
    </row>
    <row r="1709" spans="1:35" x14ac:dyDescent="0.25">
      <c r="A1709" t="s">
        <v>7454</v>
      </c>
      <c r="B1709" t="s">
        <v>7454</v>
      </c>
      <c r="C1709" t="s">
        <v>7455</v>
      </c>
      <c r="D1709" t="s">
        <v>7456</v>
      </c>
      <c r="E1709" t="s">
        <v>770</v>
      </c>
      <c r="F1709" t="s">
        <v>771</v>
      </c>
      <c r="G1709" t="s">
        <v>1854</v>
      </c>
      <c r="J1709" t="s">
        <v>783</v>
      </c>
      <c r="K1709" t="s">
        <v>2390</v>
      </c>
      <c r="L1709" t="s">
        <v>1094</v>
      </c>
      <c r="M1709" t="s">
        <v>208</v>
      </c>
      <c r="N1709" t="s">
        <v>770</v>
      </c>
      <c r="O1709">
        <v>1</v>
      </c>
      <c r="P1709" t="s">
        <v>776</v>
      </c>
      <c r="Q1709">
        <v>79.900000000000006</v>
      </c>
      <c r="R1709">
        <v>14.41</v>
      </c>
      <c r="Y1709" t="s">
        <v>7457</v>
      </c>
      <c r="Z1709" t="s">
        <v>3339</v>
      </c>
      <c r="AA1709">
        <v>9034</v>
      </c>
      <c r="AB1709" t="s">
        <v>11</v>
      </c>
    </row>
    <row r="1710" spans="1:35" x14ac:dyDescent="0.25">
      <c r="A1710" t="s">
        <v>7458</v>
      </c>
      <c r="B1710" t="s">
        <v>7458</v>
      </c>
      <c r="C1710" t="s">
        <v>7459</v>
      </c>
      <c r="D1710" t="s">
        <v>7460</v>
      </c>
      <c r="E1710" t="s">
        <v>770</v>
      </c>
      <c r="F1710" t="s">
        <v>771</v>
      </c>
      <c r="G1710" t="s">
        <v>1854</v>
      </c>
      <c r="J1710" t="s">
        <v>783</v>
      </c>
      <c r="K1710" t="s">
        <v>1862</v>
      </c>
      <c r="L1710" t="s">
        <v>1505</v>
      </c>
      <c r="M1710" t="s">
        <v>53</v>
      </c>
      <c r="N1710" t="s">
        <v>770</v>
      </c>
      <c r="O1710">
        <v>1</v>
      </c>
      <c r="P1710" t="s">
        <v>776</v>
      </c>
      <c r="Q1710">
        <v>32.9</v>
      </c>
      <c r="R1710">
        <v>5.93</v>
      </c>
      <c r="Y1710" t="s">
        <v>1893</v>
      </c>
      <c r="Z1710" t="s">
        <v>1869</v>
      </c>
      <c r="AA1710">
        <v>10149</v>
      </c>
      <c r="AB1710" t="s">
        <v>11</v>
      </c>
    </row>
    <row r="1711" spans="1:35" x14ac:dyDescent="0.25">
      <c r="A1711" t="s">
        <v>7461</v>
      </c>
      <c r="B1711" t="s">
        <v>7461</v>
      </c>
      <c r="C1711" t="s">
        <v>7462</v>
      </c>
      <c r="D1711" t="s">
        <v>7463</v>
      </c>
      <c r="E1711" t="s">
        <v>770</v>
      </c>
      <c r="F1711" t="s">
        <v>771</v>
      </c>
      <c r="G1711" t="s">
        <v>1854</v>
      </c>
      <c r="J1711" t="s">
        <v>783</v>
      </c>
      <c r="K1711" t="s">
        <v>2162</v>
      </c>
      <c r="L1711" t="s">
        <v>2163</v>
      </c>
      <c r="M1711" t="s">
        <v>59</v>
      </c>
      <c r="N1711" t="s">
        <v>770</v>
      </c>
      <c r="O1711">
        <v>1</v>
      </c>
      <c r="P1711" t="s">
        <v>776</v>
      </c>
      <c r="Q1711">
        <v>29.9</v>
      </c>
      <c r="R1711">
        <v>5.39</v>
      </c>
      <c r="Y1711" t="s">
        <v>7464</v>
      </c>
      <c r="Z1711" t="s">
        <v>2342</v>
      </c>
      <c r="AA1711">
        <v>90010</v>
      </c>
      <c r="AB1711" t="s">
        <v>11</v>
      </c>
    </row>
    <row r="1712" spans="1:35" x14ac:dyDescent="0.25">
      <c r="A1712" t="s">
        <v>7465</v>
      </c>
      <c r="B1712" t="s">
        <v>7465</v>
      </c>
      <c r="C1712" t="s">
        <v>7466</v>
      </c>
      <c r="D1712" t="s">
        <v>7467</v>
      </c>
      <c r="E1712" t="s">
        <v>770</v>
      </c>
      <c r="F1712" t="s">
        <v>771</v>
      </c>
      <c r="G1712" t="s">
        <v>1854</v>
      </c>
      <c r="J1712" t="s">
        <v>783</v>
      </c>
      <c r="K1712" t="s">
        <v>1862</v>
      </c>
      <c r="L1712" t="s">
        <v>1505</v>
      </c>
      <c r="M1712" t="s">
        <v>53</v>
      </c>
      <c r="N1712" t="s">
        <v>770</v>
      </c>
      <c r="O1712">
        <v>1</v>
      </c>
      <c r="P1712" t="s">
        <v>776</v>
      </c>
      <c r="Q1712">
        <v>32.9</v>
      </c>
      <c r="R1712">
        <v>5.93</v>
      </c>
      <c r="Y1712" t="s">
        <v>1913</v>
      </c>
      <c r="Z1712" t="s">
        <v>1913</v>
      </c>
      <c r="AA1712">
        <v>121</v>
      </c>
      <c r="AB1712" t="s">
        <v>11</v>
      </c>
    </row>
    <row r="1713" spans="1:28" x14ac:dyDescent="0.25">
      <c r="A1713" t="s">
        <v>7468</v>
      </c>
      <c r="B1713" t="s">
        <v>7468</v>
      </c>
      <c r="C1713" t="s">
        <v>7469</v>
      </c>
      <c r="D1713" t="s">
        <v>7470</v>
      </c>
      <c r="E1713" t="s">
        <v>770</v>
      </c>
      <c r="F1713" t="s">
        <v>771</v>
      </c>
      <c r="G1713" t="s">
        <v>1854</v>
      </c>
      <c r="J1713" t="s">
        <v>773</v>
      </c>
      <c r="K1713" t="s">
        <v>1873</v>
      </c>
      <c r="L1713" t="s">
        <v>840</v>
      </c>
      <c r="M1713" t="s">
        <v>26</v>
      </c>
      <c r="N1713" t="s">
        <v>770</v>
      </c>
      <c r="O1713">
        <v>1</v>
      </c>
      <c r="P1713" t="s">
        <v>776</v>
      </c>
      <c r="Q1713">
        <v>28.61</v>
      </c>
      <c r="S1713">
        <v>2.33</v>
      </c>
      <c r="X1713">
        <v>2.33</v>
      </c>
      <c r="Y1713" t="s">
        <v>7471</v>
      </c>
      <c r="Z1713" t="s">
        <v>7472</v>
      </c>
      <c r="AA1713">
        <v>8805</v>
      </c>
      <c r="AB1713" t="s">
        <v>1716</v>
      </c>
    </row>
    <row r="1714" spans="1:28" x14ac:dyDescent="0.25">
      <c r="A1714" t="s">
        <v>7473</v>
      </c>
      <c r="B1714" t="s">
        <v>7473</v>
      </c>
      <c r="C1714" t="s">
        <v>7474</v>
      </c>
      <c r="D1714" t="s">
        <v>7475</v>
      </c>
      <c r="E1714" t="s">
        <v>770</v>
      </c>
      <c r="F1714" t="s">
        <v>771</v>
      </c>
      <c r="G1714" t="s">
        <v>1854</v>
      </c>
      <c r="J1714" t="s">
        <v>783</v>
      </c>
      <c r="K1714" t="s">
        <v>1862</v>
      </c>
      <c r="L1714" t="s">
        <v>1505</v>
      </c>
      <c r="M1714" t="s">
        <v>53</v>
      </c>
      <c r="N1714" t="s">
        <v>770</v>
      </c>
      <c r="O1714">
        <v>1</v>
      </c>
      <c r="P1714" t="s">
        <v>776</v>
      </c>
      <c r="Q1714">
        <v>32.9</v>
      </c>
      <c r="R1714">
        <v>5.93</v>
      </c>
      <c r="Y1714" t="s">
        <v>7476</v>
      </c>
      <c r="Z1714" t="s">
        <v>1888</v>
      </c>
      <c r="AA1714">
        <v>40017</v>
      </c>
      <c r="AB1714" t="s">
        <v>11</v>
      </c>
    </row>
    <row r="1715" spans="1:28" x14ac:dyDescent="0.25">
      <c r="A1715" t="s">
        <v>7477</v>
      </c>
      <c r="B1715" t="s">
        <v>7477</v>
      </c>
      <c r="C1715" t="s">
        <v>7478</v>
      </c>
      <c r="D1715" t="s">
        <v>7479</v>
      </c>
      <c r="E1715" t="s">
        <v>770</v>
      </c>
      <c r="F1715" t="s">
        <v>771</v>
      </c>
      <c r="G1715" t="s">
        <v>1854</v>
      </c>
      <c r="J1715" t="s">
        <v>783</v>
      </c>
      <c r="K1715" t="s">
        <v>1862</v>
      </c>
      <c r="L1715" t="s">
        <v>1505</v>
      </c>
      <c r="M1715" t="s">
        <v>53</v>
      </c>
      <c r="N1715" t="s">
        <v>770</v>
      </c>
      <c r="O1715">
        <v>1</v>
      </c>
      <c r="P1715" t="s">
        <v>776</v>
      </c>
      <c r="Q1715">
        <v>32.9</v>
      </c>
      <c r="R1715">
        <v>5.93</v>
      </c>
      <c r="S1715">
        <v>3.99</v>
      </c>
      <c r="T1715">
        <v>0.72</v>
      </c>
      <c r="Y1715" t="s">
        <v>7480</v>
      </c>
      <c r="Z1715" t="s">
        <v>7481</v>
      </c>
      <c r="AA1715">
        <v>76012</v>
      </c>
      <c r="AB1715" t="s">
        <v>11</v>
      </c>
    </row>
    <row r="1716" spans="1:28" x14ac:dyDescent="0.25">
      <c r="A1716" t="s">
        <v>7482</v>
      </c>
      <c r="B1716" t="s">
        <v>7482</v>
      </c>
      <c r="C1716" t="s">
        <v>7483</v>
      </c>
      <c r="D1716" t="s">
        <v>7484</v>
      </c>
      <c r="E1716" t="s">
        <v>770</v>
      </c>
      <c r="F1716" t="s">
        <v>771</v>
      </c>
      <c r="G1716" t="s">
        <v>1854</v>
      </c>
      <c r="J1716" t="s">
        <v>783</v>
      </c>
      <c r="K1716" t="s">
        <v>1873</v>
      </c>
      <c r="L1716" t="s">
        <v>840</v>
      </c>
      <c r="M1716" t="s">
        <v>26</v>
      </c>
      <c r="N1716" t="s">
        <v>770</v>
      </c>
      <c r="O1716">
        <v>1</v>
      </c>
      <c r="P1716" t="s">
        <v>776</v>
      </c>
      <c r="Q1716">
        <v>34.9</v>
      </c>
      <c r="R1716">
        <v>6.29</v>
      </c>
      <c r="Y1716" t="s">
        <v>7485</v>
      </c>
      <c r="Z1716" t="s">
        <v>1898</v>
      </c>
      <c r="AA1716">
        <v>46040</v>
      </c>
      <c r="AB1716" t="s">
        <v>11</v>
      </c>
    </row>
    <row r="1717" spans="1:28" x14ac:dyDescent="0.25">
      <c r="A1717" t="s">
        <v>7486</v>
      </c>
      <c r="B1717" t="s">
        <v>7486</v>
      </c>
      <c r="C1717" t="s">
        <v>7487</v>
      </c>
      <c r="D1717" t="s">
        <v>7488</v>
      </c>
      <c r="E1717" t="s">
        <v>770</v>
      </c>
      <c r="F1717" t="s">
        <v>771</v>
      </c>
      <c r="G1717" t="s">
        <v>1854</v>
      </c>
      <c r="J1717" t="s">
        <v>783</v>
      </c>
      <c r="K1717" t="s">
        <v>1873</v>
      </c>
      <c r="L1717" t="s">
        <v>840</v>
      </c>
      <c r="M1717" t="s">
        <v>26</v>
      </c>
      <c r="N1717" t="s">
        <v>770</v>
      </c>
      <c r="O1717">
        <v>1</v>
      </c>
      <c r="P1717" t="s">
        <v>776</v>
      </c>
      <c r="Q1717">
        <v>34.9</v>
      </c>
      <c r="R1717">
        <v>6.29</v>
      </c>
      <c r="Y1717" t="s">
        <v>7489</v>
      </c>
      <c r="Z1717" t="s">
        <v>1975</v>
      </c>
      <c r="AA1717">
        <v>40062</v>
      </c>
      <c r="AB1717" t="s">
        <v>11</v>
      </c>
    </row>
    <row r="1718" spans="1:28" x14ac:dyDescent="0.25">
      <c r="A1718" t="s">
        <v>7490</v>
      </c>
      <c r="C1718" t="s">
        <v>7491</v>
      </c>
      <c r="D1718" t="s">
        <v>7492</v>
      </c>
      <c r="E1718" t="s">
        <v>770</v>
      </c>
      <c r="F1718" t="s">
        <v>1884</v>
      </c>
      <c r="G1718" t="s">
        <v>1854</v>
      </c>
      <c r="H1718" t="s">
        <v>1885</v>
      </c>
      <c r="J1718" t="s">
        <v>773</v>
      </c>
      <c r="K1718" t="s">
        <v>2652</v>
      </c>
      <c r="L1718" t="s">
        <v>52</v>
      </c>
      <c r="M1718" t="s">
        <v>51</v>
      </c>
      <c r="N1718" t="s">
        <v>770</v>
      </c>
      <c r="O1718">
        <v>1</v>
      </c>
      <c r="P1718" t="s">
        <v>776</v>
      </c>
      <c r="Q1718">
        <v>24.9</v>
      </c>
      <c r="R1718">
        <v>4.49</v>
      </c>
      <c r="S1718">
        <v>3</v>
      </c>
      <c r="T1718">
        <v>0.54</v>
      </c>
      <c r="Y1718" t="s">
        <v>5129</v>
      </c>
      <c r="Z1718" t="s">
        <v>2597</v>
      </c>
      <c r="AA1718">
        <v>70018</v>
      </c>
      <c r="AB1718" t="s">
        <v>11</v>
      </c>
    </row>
    <row r="1719" spans="1:28" x14ac:dyDescent="0.25">
      <c r="A1719" t="s">
        <v>7493</v>
      </c>
      <c r="C1719" t="s">
        <v>7494</v>
      </c>
      <c r="D1719" t="s">
        <v>7495</v>
      </c>
      <c r="E1719" t="s">
        <v>770</v>
      </c>
      <c r="F1719" t="s">
        <v>1884</v>
      </c>
      <c r="G1719" t="s">
        <v>1854</v>
      </c>
      <c r="H1719" t="s">
        <v>1885</v>
      </c>
      <c r="J1719" t="s">
        <v>773</v>
      </c>
      <c r="K1719" t="s">
        <v>1855</v>
      </c>
      <c r="L1719" t="s">
        <v>13</v>
      </c>
      <c r="M1719" t="s">
        <v>12</v>
      </c>
      <c r="N1719" t="s">
        <v>770</v>
      </c>
      <c r="O1719">
        <v>1</v>
      </c>
      <c r="P1719" t="s">
        <v>776</v>
      </c>
      <c r="Q1719">
        <v>19.899999999999999</v>
      </c>
      <c r="R1719">
        <v>3.59</v>
      </c>
      <c r="S1719">
        <v>3</v>
      </c>
      <c r="T1719">
        <v>0.54</v>
      </c>
      <c r="Y1719" t="s">
        <v>1875</v>
      </c>
      <c r="Z1719" t="s">
        <v>1917</v>
      </c>
      <c r="AA1719">
        <v>20132</v>
      </c>
      <c r="AB1719" t="s">
        <v>11</v>
      </c>
    </row>
    <row r="1720" spans="1:28" x14ac:dyDescent="0.25">
      <c r="A1720" t="s">
        <v>7496</v>
      </c>
      <c r="B1720" t="s">
        <v>7496</v>
      </c>
      <c r="C1720" t="s">
        <v>7497</v>
      </c>
      <c r="D1720" t="s">
        <v>7498</v>
      </c>
      <c r="E1720" t="s">
        <v>770</v>
      </c>
      <c r="F1720" t="s">
        <v>771</v>
      </c>
      <c r="G1720" t="s">
        <v>1854</v>
      </c>
      <c r="J1720" t="s">
        <v>783</v>
      </c>
      <c r="K1720" t="s">
        <v>1873</v>
      </c>
      <c r="L1720" t="s">
        <v>840</v>
      </c>
      <c r="M1720" t="s">
        <v>26</v>
      </c>
      <c r="N1720" t="s">
        <v>770</v>
      </c>
      <c r="O1720">
        <v>1</v>
      </c>
      <c r="P1720" t="s">
        <v>776</v>
      </c>
      <c r="Q1720">
        <v>34.9</v>
      </c>
      <c r="R1720">
        <v>6.29</v>
      </c>
      <c r="Y1720" t="s">
        <v>7499</v>
      </c>
      <c r="Z1720" t="s">
        <v>2057</v>
      </c>
      <c r="AA1720">
        <v>37015</v>
      </c>
      <c r="AB1720" t="s">
        <v>11</v>
      </c>
    </row>
    <row r="1721" spans="1:28" x14ac:dyDescent="0.25">
      <c r="A1721" t="s">
        <v>7500</v>
      </c>
      <c r="B1721" t="s">
        <v>7500</v>
      </c>
      <c r="C1721" t="s">
        <v>7501</v>
      </c>
      <c r="D1721" t="s">
        <v>7502</v>
      </c>
      <c r="E1721" t="s">
        <v>770</v>
      </c>
      <c r="F1721" t="s">
        <v>771</v>
      </c>
      <c r="G1721" t="s">
        <v>1854</v>
      </c>
      <c r="J1721" t="s">
        <v>783</v>
      </c>
      <c r="K1721" t="s">
        <v>1873</v>
      </c>
      <c r="L1721" t="s">
        <v>840</v>
      </c>
      <c r="M1721" t="s">
        <v>26</v>
      </c>
      <c r="N1721" t="s">
        <v>770</v>
      </c>
      <c r="O1721">
        <v>1</v>
      </c>
      <c r="P1721" t="s">
        <v>776</v>
      </c>
      <c r="Q1721">
        <v>34.9</v>
      </c>
      <c r="R1721">
        <v>6.29</v>
      </c>
      <c r="Y1721" t="s">
        <v>1913</v>
      </c>
      <c r="Z1721" t="s">
        <v>1926</v>
      </c>
      <c r="AA1721">
        <v>152</v>
      </c>
      <c r="AB1721" t="s">
        <v>11</v>
      </c>
    </row>
    <row r="1722" spans="1:28" x14ac:dyDescent="0.25">
      <c r="A1722" t="s">
        <v>7503</v>
      </c>
      <c r="B1722" t="s">
        <v>7503</v>
      </c>
      <c r="C1722" t="s">
        <v>7504</v>
      </c>
      <c r="D1722" t="s">
        <v>7505</v>
      </c>
      <c r="E1722" t="s">
        <v>770</v>
      </c>
      <c r="F1722" t="s">
        <v>771</v>
      </c>
      <c r="G1722" t="s">
        <v>1854</v>
      </c>
      <c r="J1722" t="s">
        <v>783</v>
      </c>
      <c r="K1722" t="s">
        <v>1873</v>
      </c>
      <c r="L1722" t="s">
        <v>840</v>
      </c>
      <c r="M1722" t="s">
        <v>26</v>
      </c>
      <c r="N1722" t="s">
        <v>770</v>
      </c>
      <c r="O1722">
        <v>1</v>
      </c>
      <c r="P1722" t="s">
        <v>776</v>
      </c>
      <c r="Q1722">
        <v>34.9</v>
      </c>
      <c r="R1722">
        <v>6.29</v>
      </c>
      <c r="Y1722" t="s">
        <v>1913</v>
      </c>
      <c r="Z1722" t="s">
        <v>1926</v>
      </c>
      <c r="AA1722">
        <v>166</v>
      </c>
      <c r="AB1722" t="s">
        <v>11</v>
      </c>
    </row>
    <row r="1723" spans="1:28" x14ac:dyDescent="0.25">
      <c r="A1723" t="s">
        <v>7506</v>
      </c>
      <c r="C1723" t="s">
        <v>7507</v>
      </c>
      <c r="D1723" t="s">
        <v>7508</v>
      </c>
      <c r="E1723" t="s">
        <v>770</v>
      </c>
      <c r="F1723" t="s">
        <v>1884</v>
      </c>
      <c r="G1723" t="s">
        <v>1854</v>
      </c>
      <c r="H1723" t="s">
        <v>1885</v>
      </c>
      <c r="J1723" t="s">
        <v>773</v>
      </c>
      <c r="K1723" t="s">
        <v>1855</v>
      </c>
      <c r="L1723" t="s">
        <v>13</v>
      </c>
      <c r="M1723" t="s">
        <v>12</v>
      </c>
      <c r="N1723" t="s">
        <v>770</v>
      </c>
      <c r="O1723">
        <v>1</v>
      </c>
      <c r="P1723" t="s">
        <v>776</v>
      </c>
      <c r="Q1723">
        <v>19.899999999999999</v>
      </c>
      <c r="R1723">
        <v>3.59</v>
      </c>
      <c r="S1723">
        <v>3</v>
      </c>
      <c r="T1723">
        <v>0.54</v>
      </c>
      <c r="Y1723" t="s">
        <v>7509</v>
      </c>
      <c r="Z1723" t="s">
        <v>6670</v>
      </c>
      <c r="AA1723">
        <v>37060</v>
      </c>
      <c r="AB1723" t="s">
        <v>11</v>
      </c>
    </row>
    <row r="1724" spans="1:28" x14ac:dyDescent="0.25">
      <c r="A1724" t="s">
        <v>7510</v>
      </c>
      <c r="B1724" t="s">
        <v>7510</v>
      </c>
      <c r="C1724" t="s">
        <v>7511</v>
      </c>
      <c r="D1724" t="s">
        <v>7512</v>
      </c>
      <c r="E1724" t="s">
        <v>770</v>
      </c>
      <c r="F1724" t="s">
        <v>771</v>
      </c>
      <c r="G1724" t="s">
        <v>1854</v>
      </c>
      <c r="J1724" t="s">
        <v>783</v>
      </c>
      <c r="K1724" t="s">
        <v>1879</v>
      </c>
      <c r="L1724" t="s">
        <v>1056</v>
      </c>
      <c r="M1724" t="s">
        <v>212</v>
      </c>
      <c r="N1724" t="s">
        <v>770</v>
      </c>
      <c r="O1724">
        <v>1</v>
      </c>
      <c r="P1724" t="s">
        <v>776</v>
      </c>
      <c r="Q1724">
        <v>39.9</v>
      </c>
      <c r="R1724">
        <v>7.2</v>
      </c>
      <c r="Y1724" t="s">
        <v>7513</v>
      </c>
      <c r="Z1724" t="s">
        <v>1869</v>
      </c>
      <c r="AA1724">
        <v>10028</v>
      </c>
      <c r="AB1724" t="s">
        <v>11</v>
      </c>
    </row>
    <row r="1725" spans="1:28" x14ac:dyDescent="0.25">
      <c r="A1725" t="s">
        <v>7514</v>
      </c>
      <c r="B1725" t="s">
        <v>7514</v>
      </c>
      <c r="C1725" t="s">
        <v>7515</v>
      </c>
      <c r="D1725" t="s">
        <v>7516</v>
      </c>
      <c r="E1725" t="s">
        <v>770</v>
      </c>
      <c r="F1725" t="s">
        <v>771</v>
      </c>
      <c r="G1725" t="s">
        <v>1854</v>
      </c>
      <c r="J1725" t="s">
        <v>783</v>
      </c>
      <c r="K1725" t="s">
        <v>1873</v>
      </c>
      <c r="L1725" t="s">
        <v>840</v>
      </c>
      <c r="M1725" t="s">
        <v>26</v>
      </c>
      <c r="N1725" t="s">
        <v>770</v>
      </c>
      <c r="O1725">
        <v>1</v>
      </c>
      <c r="P1725" t="s">
        <v>776</v>
      </c>
      <c r="Q1725">
        <v>34.9</v>
      </c>
      <c r="R1725">
        <v>6.29</v>
      </c>
      <c r="Y1725" t="s">
        <v>7517</v>
      </c>
      <c r="Z1725" t="s">
        <v>4358</v>
      </c>
      <c r="AA1725">
        <v>46041</v>
      </c>
      <c r="AB1725" t="s">
        <v>11</v>
      </c>
    </row>
    <row r="1726" spans="1:28" x14ac:dyDescent="0.25">
      <c r="A1726" t="s">
        <v>7518</v>
      </c>
      <c r="B1726" t="s">
        <v>7518</v>
      </c>
      <c r="C1726" t="s">
        <v>7519</v>
      </c>
      <c r="D1726" t="s">
        <v>7520</v>
      </c>
      <c r="E1726" t="s">
        <v>770</v>
      </c>
      <c r="F1726" t="s">
        <v>771</v>
      </c>
      <c r="G1726" t="s">
        <v>1854</v>
      </c>
      <c r="J1726" t="s">
        <v>783</v>
      </c>
      <c r="K1726" t="s">
        <v>1930</v>
      </c>
      <c r="L1726" t="s">
        <v>775</v>
      </c>
      <c r="M1726" t="s">
        <v>65</v>
      </c>
      <c r="N1726" t="s">
        <v>770</v>
      </c>
      <c r="O1726">
        <v>1</v>
      </c>
      <c r="P1726" t="s">
        <v>776</v>
      </c>
      <c r="Q1726">
        <v>29.9</v>
      </c>
      <c r="R1726">
        <v>5.39</v>
      </c>
      <c r="Y1726" t="s">
        <v>5008</v>
      </c>
      <c r="Z1726" t="s">
        <v>1875</v>
      </c>
      <c r="AA1726">
        <v>20014</v>
      </c>
      <c r="AB1726" t="s">
        <v>11</v>
      </c>
    </row>
    <row r="1727" spans="1:28" x14ac:dyDescent="0.25">
      <c r="A1727" t="s">
        <v>7521</v>
      </c>
      <c r="C1727" t="s">
        <v>7522</v>
      </c>
      <c r="D1727" t="s">
        <v>7523</v>
      </c>
      <c r="E1727" t="s">
        <v>770</v>
      </c>
      <c r="F1727" t="s">
        <v>1884</v>
      </c>
      <c r="G1727" t="s">
        <v>1854</v>
      </c>
      <c r="H1727" t="s">
        <v>1885</v>
      </c>
      <c r="J1727" t="s">
        <v>773</v>
      </c>
      <c r="K1727" t="s">
        <v>1855</v>
      </c>
      <c r="L1727" t="s">
        <v>13</v>
      </c>
      <c r="M1727" t="s">
        <v>12</v>
      </c>
      <c r="N1727" t="s">
        <v>770</v>
      </c>
      <c r="O1727">
        <v>1</v>
      </c>
      <c r="P1727" t="s">
        <v>776</v>
      </c>
      <c r="Q1727">
        <v>19.899999999999999</v>
      </c>
      <c r="R1727">
        <v>3.59</v>
      </c>
      <c r="S1727">
        <v>3</v>
      </c>
      <c r="T1727">
        <v>0.54</v>
      </c>
      <c r="Y1727" t="s">
        <v>6605</v>
      </c>
      <c r="Z1727" t="s">
        <v>2269</v>
      </c>
      <c r="AA1727">
        <v>9032</v>
      </c>
      <c r="AB1727" t="s">
        <v>11</v>
      </c>
    </row>
    <row r="1728" spans="1:28" x14ac:dyDescent="0.25">
      <c r="A1728" t="s">
        <v>7524</v>
      </c>
      <c r="B1728" t="s">
        <v>7524</v>
      </c>
      <c r="C1728" t="s">
        <v>7525</v>
      </c>
      <c r="D1728" t="s">
        <v>7526</v>
      </c>
      <c r="E1728" t="s">
        <v>770</v>
      </c>
      <c r="F1728" t="s">
        <v>771</v>
      </c>
      <c r="G1728" t="s">
        <v>1854</v>
      </c>
      <c r="J1728" t="s">
        <v>783</v>
      </c>
      <c r="K1728" t="s">
        <v>1862</v>
      </c>
      <c r="L1728" t="s">
        <v>1505</v>
      </c>
      <c r="M1728" t="s">
        <v>53</v>
      </c>
      <c r="N1728" t="s">
        <v>770</v>
      </c>
      <c r="O1728">
        <v>1</v>
      </c>
      <c r="P1728" t="s">
        <v>776</v>
      </c>
      <c r="Q1728">
        <v>32.9</v>
      </c>
      <c r="R1728">
        <v>5.93</v>
      </c>
      <c r="Y1728" t="s">
        <v>7527</v>
      </c>
      <c r="Z1728" t="s">
        <v>2342</v>
      </c>
      <c r="AA1728">
        <v>90049</v>
      </c>
      <c r="AB1728" t="s">
        <v>11</v>
      </c>
    </row>
    <row r="1729" spans="1:28" x14ac:dyDescent="0.25">
      <c r="A1729" t="s">
        <v>7528</v>
      </c>
      <c r="C1729" t="s">
        <v>7529</v>
      </c>
      <c r="D1729" t="s">
        <v>7530</v>
      </c>
      <c r="E1729" t="s">
        <v>770</v>
      </c>
      <c r="F1729" t="s">
        <v>1884</v>
      </c>
      <c r="G1729" t="s">
        <v>1854</v>
      </c>
      <c r="H1729" t="s">
        <v>1885</v>
      </c>
      <c r="J1729" t="s">
        <v>773</v>
      </c>
      <c r="K1729" t="s">
        <v>1855</v>
      </c>
      <c r="L1729" t="s">
        <v>13</v>
      </c>
      <c r="M1729" t="s">
        <v>12</v>
      </c>
      <c r="N1729" t="s">
        <v>770</v>
      </c>
      <c r="O1729">
        <v>1</v>
      </c>
      <c r="P1729" t="s">
        <v>776</v>
      </c>
      <c r="Q1729">
        <v>19.899999999999999</v>
      </c>
      <c r="R1729">
        <v>3.59</v>
      </c>
      <c r="S1729">
        <v>3</v>
      </c>
      <c r="T1729">
        <v>0.54</v>
      </c>
      <c r="Y1729" t="s">
        <v>5130</v>
      </c>
      <c r="Z1729" t="s">
        <v>4833</v>
      </c>
      <c r="AA1729">
        <v>70122</v>
      </c>
      <c r="AB1729" t="s">
        <v>11</v>
      </c>
    </row>
    <row r="1730" spans="1:28" x14ac:dyDescent="0.25">
      <c r="A1730" t="s">
        <v>7531</v>
      </c>
      <c r="C1730" t="s">
        <v>7532</v>
      </c>
      <c r="D1730" t="s">
        <v>7533</v>
      </c>
      <c r="E1730" t="s">
        <v>770</v>
      </c>
      <c r="F1730" t="s">
        <v>1884</v>
      </c>
      <c r="G1730" t="s">
        <v>1854</v>
      </c>
      <c r="H1730" t="s">
        <v>1885</v>
      </c>
      <c r="J1730" t="s">
        <v>773</v>
      </c>
      <c r="K1730" t="s">
        <v>1855</v>
      </c>
      <c r="L1730" t="s">
        <v>13</v>
      </c>
      <c r="M1730" t="s">
        <v>12</v>
      </c>
      <c r="N1730" t="s">
        <v>770</v>
      </c>
      <c r="O1730">
        <v>1</v>
      </c>
      <c r="P1730" t="s">
        <v>776</v>
      </c>
      <c r="Q1730">
        <v>19.899999999999999</v>
      </c>
      <c r="R1730">
        <v>3.59</v>
      </c>
      <c r="S1730">
        <v>3</v>
      </c>
      <c r="T1730">
        <v>0.54</v>
      </c>
      <c r="Y1730" t="s">
        <v>7534</v>
      </c>
      <c r="Z1730" t="s">
        <v>1908</v>
      </c>
      <c r="AA1730">
        <v>80069</v>
      </c>
      <c r="AB1730" t="s">
        <v>11</v>
      </c>
    </row>
    <row r="1731" spans="1:28" x14ac:dyDescent="0.25">
      <c r="A1731" t="s">
        <v>7535</v>
      </c>
      <c r="C1731" t="s">
        <v>7536</v>
      </c>
      <c r="D1731" t="s">
        <v>7537</v>
      </c>
      <c r="E1731" t="s">
        <v>770</v>
      </c>
      <c r="F1731" t="s">
        <v>1884</v>
      </c>
      <c r="G1731" t="s">
        <v>1854</v>
      </c>
      <c r="H1731" t="s">
        <v>1885</v>
      </c>
      <c r="J1731" t="s">
        <v>773</v>
      </c>
      <c r="K1731" t="s">
        <v>1855</v>
      </c>
      <c r="L1731" t="s">
        <v>13</v>
      </c>
      <c r="M1731" t="s">
        <v>12</v>
      </c>
      <c r="N1731" t="s">
        <v>770</v>
      </c>
      <c r="O1731">
        <v>1</v>
      </c>
      <c r="P1731" t="s">
        <v>776</v>
      </c>
      <c r="Q1731">
        <v>19.899999999999999</v>
      </c>
      <c r="R1731">
        <v>3.59</v>
      </c>
      <c r="S1731">
        <v>3</v>
      </c>
      <c r="T1731">
        <v>0.54</v>
      </c>
      <c r="Y1731" t="s">
        <v>7538</v>
      </c>
      <c r="Z1731" t="s">
        <v>3121</v>
      </c>
      <c r="AA1731">
        <v>9086</v>
      </c>
      <c r="AB1731" t="s">
        <v>11</v>
      </c>
    </row>
    <row r="1732" spans="1:28" x14ac:dyDescent="0.25">
      <c r="A1732" t="s">
        <v>7539</v>
      </c>
      <c r="B1732" t="s">
        <v>7539</v>
      </c>
      <c r="C1732" t="s">
        <v>7540</v>
      </c>
      <c r="D1732" t="s">
        <v>7541</v>
      </c>
      <c r="E1732" t="s">
        <v>770</v>
      </c>
      <c r="F1732" t="s">
        <v>771</v>
      </c>
      <c r="G1732" t="s">
        <v>1854</v>
      </c>
      <c r="J1732" t="s">
        <v>783</v>
      </c>
      <c r="K1732" t="s">
        <v>3308</v>
      </c>
      <c r="L1732" s="2">
        <v>50700</v>
      </c>
      <c r="M1732" t="s">
        <v>61</v>
      </c>
      <c r="N1732" t="s">
        <v>770</v>
      </c>
      <c r="O1732">
        <v>1</v>
      </c>
      <c r="P1732" t="s">
        <v>776</v>
      </c>
      <c r="Q1732">
        <v>44.9</v>
      </c>
      <c r="R1732">
        <v>8.1</v>
      </c>
      <c r="Y1732" t="s">
        <v>7542</v>
      </c>
      <c r="Z1732" t="s">
        <v>7543</v>
      </c>
      <c r="AA1732">
        <v>1033</v>
      </c>
      <c r="AB1732" t="s">
        <v>11</v>
      </c>
    </row>
    <row r="1733" spans="1:28" x14ac:dyDescent="0.25">
      <c r="A1733" t="s">
        <v>7544</v>
      </c>
      <c r="B1733" t="s">
        <v>7544</v>
      </c>
      <c r="C1733" t="s">
        <v>7545</v>
      </c>
      <c r="D1733" t="s">
        <v>7546</v>
      </c>
      <c r="E1733" t="s">
        <v>770</v>
      </c>
      <c r="F1733" t="s">
        <v>771</v>
      </c>
      <c r="G1733" t="s">
        <v>1854</v>
      </c>
      <c r="J1733" t="s">
        <v>783</v>
      </c>
      <c r="K1733" t="s">
        <v>2044</v>
      </c>
      <c r="L1733" t="s">
        <v>1489</v>
      </c>
      <c r="M1733" t="s">
        <v>75</v>
      </c>
      <c r="N1733" t="s">
        <v>770</v>
      </c>
      <c r="O1733">
        <v>1</v>
      </c>
      <c r="P1733" t="s">
        <v>776</v>
      </c>
      <c r="Q1733">
        <v>49.9</v>
      </c>
      <c r="R1733">
        <v>9</v>
      </c>
      <c r="S1733">
        <v>4.99</v>
      </c>
      <c r="T1733">
        <v>0.9</v>
      </c>
      <c r="Y1733" t="s">
        <v>7547</v>
      </c>
      <c r="Z1733" t="s">
        <v>2165</v>
      </c>
      <c r="AA1733">
        <v>55015</v>
      </c>
      <c r="AB1733" t="s">
        <v>11</v>
      </c>
    </row>
    <row r="1734" spans="1:28" x14ac:dyDescent="0.25">
      <c r="A1734" t="s">
        <v>7548</v>
      </c>
      <c r="B1734" t="s">
        <v>7548</v>
      </c>
      <c r="C1734" t="s">
        <v>7549</v>
      </c>
      <c r="D1734" t="s">
        <v>7550</v>
      </c>
      <c r="E1734" t="s">
        <v>770</v>
      </c>
      <c r="F1734" t="s">
        <v>771</v>
      </c>
      <c r="G1734" t="s">
        <v>1854</v>
      </c>
      <c r="J1734" t="s">
        <v>783</v>
      </c>
      <c r="K1734" t="s">
        <v>1873</v>
      </c>
      <c r="L1734" t="s">
        <v>840</v>
      </c>
      <c r="M1734" t="s">
        <v>26</v>
      </c>
      <c r="N1734" t="s">
        <v>770</v>
      </c>
      <c r="O1734">
        <v>1</v>
      </c>
      <c r="P1734" t="s">
        <v>776</v>
      </c>
      <c r="Q1734">
        <v>34.9</v>
      </c>
      <c r="R1734">
        <v>6.29</v>
      </c>
      <c r="Y1734" t="s">
        <v>7551</v>
      </c>
      <c r="Z1734" t="s">
        <v>1937</v>
      </c>
      <c r="AA1734">
        <v>24060</v>
      </c>
      <c r="AB1734" t="s">
        <v>11</v>
      </c>
    </row>
    <row r="1735" spans="1:28" x14ac:dyDescent="0.25">
      <c r="A1735" t="s">
        <v>7552</v>
      </c>
      <c r="B1735" t="s">
        <v>7552</v>
      </c>
      <c r="C1735" t="s">
        <v>7553</v>
      </c>
      <c r="D1735" t="s">
        <v>7554</v>
      </c>
      <c r="E1735" t="s">
        <v>770</v>
      </c>
      <c r="F1735" t="s">
        <v>771</v>
      </c>
      <c r="G1735" t="s">
        <v>1854</v>
      </c>
      <c r="J1735" t="s">
        <v>783</v>
      </c>
      <c r="K1735" t="s">
        <v>1960</v>
      </c>
      <c r="L1735" t="s">
        <v>1047</v>
      </c>
      <c r="M1735" t="s">
        <v>21</v>
      </c>
      <c r="N1735" t="s">
        <v>770</v>
      </c>
      <c r="O1735">
        <v>1</v>
      </c>
      <c r="P1735" t="s">
        <v>776</v>
      </c>
      <c r="Q1735">
        <v>29.9</v>
      </c>
      <c r="R1735">
        <v>5.39</v>
      </c>
      <c r="Y1735" t="s">
        <v>7555</v>
      </c>
      <c r="Z1735" t="s">
        <v>1893</v>
      </c>
      <c r="AA1735">
        <v>10060</v>
      </c>
      <c r="AB1735" t="s">
        <v>11</v>
      </c>
    </row>
    <row r="1736" spans="1:28" x14ac:dyDescent="0.25">
      <c r="A1736" t="s">
        <v>7556</v>
      </c>
      <c r="B1736" t="s">
        <v>7556</v>
      </c>
      <c r="C1736" t="s">
        <v>7557</v>
      </c>
      <c r="D1736" t="s">
        <v>7558</v>
      </c>
      <c r="E1736" t="s">
        <v>770</v>
      </c>
      <c r="F1736" t="s">
        <v>771</v>
      </c>
      <c r="G1736" t="s">
        <v>1854</v>
      </c>
      <c r="J1736" t="s">
        <v>783</v>
      </c>
      <c r="K1736" t="s">
        <v>1862</v>
      </c>
      <c r="L1736" t="s">
        <v>1505</v>
      </c>
      <c r="M1736" t="s">
        <v>53</v>
      </c>
      <c r="N1736" t="s">
        <v>770</v>
      </c>
      <c r="O1736">
        <v>1</v>
      </c>
      <c r="P1736" t="s">
        <v>776</v>
      </c>
      <c r="Q1736">
        <v>32.9</v>
      </c>
      <c r="R1736">
        <v>5.93</v>
      </c>
      <c r="Y1736" t="s">
        <v>7559</v>
      </c>
      <c r="Z1736" t="s">
        <v>2342</v>
      </c>
      <c r="AA1736">
        <v>90018</v>
      </c>
      <c r="AB1736" t="s">
        <v>11</v>
      </c>
    </row>
    <row r="1737" spans="1:28" x14ac:dyDescent="0.25">
      <c r="A1737" t="s">
        <v>7560</v>
      </c>
      <c r="B1737" t="s">
        <v>7560</v>
      </c>
      <c r="C1737" t="s">
        <v>7561</v>
      </c>
      <c r="D1737" t="s">
        <v>7562</v>
      </c>
      <c r="E1737" t="s">
        <v>770</v>
      </c>
      <c r="F1737" t="s">
        <v>771</v>
      </c>
      <c r="G1737" t="s">
        <v>1854</v>
      </c>
      <c r="J1737" t="s">
        <v>783</v>
      </c>
      <c r="K1737" t="s">
        <v>1862</v>
      </c>
      <c r="L1737" t="s">
        <v>1505</v>
      </c>
      <c r="M1737" t="s">
        <v>53</v>
      </c>
      <c r="N1737" t="s">
        <v>770</v>
      </c>
      <c r="O1737">
        <v>1</v>
      </c>
      <c r="P1737" t="s">
        <v>776</v>
      </c>
      <c r="Q1737">
        <v>32.9</v>
      </c>
      <c r="R1737">
        <v>5.93</v>
      </c>
      <c r="Y1737" t="s">
        <v>7563</v>
      </c>
      <c r="Z1737" t="s">
        <v>1067</v>
      </c>
      <c r="AA1737">
        <v>55100</v>
      </c>
      <c r="AB1737" t="s">
        <v>11</v>
      </c>
    </row>
    <row r="1738" spans="1:28" x14ac:dyDescent="0.25">
      <c r="A1738" t="s">
        <v>7564</v>
      </c>
      <c r="B1738" t="s">
        <v>7564</v>
      </c>
      <c r="C1738" t="s">
        <v>7565</v>
      </c>
      <c r="D1738" t="s">
        <v>7566</v>
      </c>
      <c r="E1738" t="s">
        <v>770</v>
      </c>
      <c r="F1738" t="s">
        <v>771</v>
      </c>
      <c r="G1738" t="s">
        <v>1854</v>
      </c>
      <c r="I1738" t="s">
        <v>2692</v>
      </c>
      <c r="J1738" t="s">
        <v>783</v>
      </c>
      <c r="K1738" t="s">
        <v>1930</v>
      </c>
      <c r="L1738" t="s">
        <v>775</v>
      </c>
      <c r="M1738" t="s">
        <v>65</v>
      </c>
      <c r="N1738" t="s">
        <v>770</v>
      </c>
      <c r="O1738">
        <v>1</v>
      </c>
      <c r="P1738" t="s">
        <v>776</v>
      </c>
      <c r="Q1738">
        <v>29.9</v>
      </c>
      <c r="R1738">
        <v>5.39</v>
      </c>
      <c r="Y1738" t="s">
        <v>2693</v>
      </c>
      <c r="Z1738" t="s">
        <v>2148</v>
      </c>
      <c r="AA1738">
        <v>45020</v>
      </c>
      <c r="AB1738" t="s">
        <v>11</v>
      </c>
    </row>
    <row r="1739" spans="1:28" x14ac:dyDescent="0.25">
      <c r="A1739" t="s">
        <v>7567</v>
      </c>
      <c r="C1739" t="s">
        <v>7568</v>
      </c>
      <c r="D1739" t="s">
        <v>7508</v>
      </c>
      <c r="E1739" t="s">
        <v>770</v>
      </c>
      <c r="F1739" t="s">
        <v>1884</v>
      </c>
      <c r="G1739" t="s">
        <v>1854</v>
      </c>
      <c r="H1739" t="s">
        <v>1885</v>
      </c>
      <c r="J1739" t="s">
        <v>773</v>
      </c>
      <c r="K1739" t="s">
        <v>1855</v>
      </c>
      <c r="L1739" t="s">
        <v>13</v>
      </c>
      <c r="M1739" t="s">
        <v>12</v>
      </c>
      <c r="N1739" t="s">
        <v>770</v>
      </c>
      <c r="O1739">
        <v>1</v>
      </c>
      <c r="P1739" t="s">
        <v>776</v>
      </c>
      <c r="Q1739">
        <v>19.899999999999999</v>
      </c>
      <c r="R1739">
        <v>3.59</v>
      </c>
      <c r="S1739">
        <v>3</v>
      </c>
      <c r="T1739">
        <v>0.54</v>
      </c>
      <c r="Y1739" t="s">
        <v>7569</v>
      </c>
      <c r="Z1739" t="s">
        <v>6696</v>
      </c>
      <c r="AA1739">
        <v>8025</v>
      </c>
      <c r="AB1739" t="s">
        <v>11</v>
      </c>
    </row>
    <row r="1740" spans="1:28" x14ac:dyDescent="0.25">
      <c r="A1740" t="s">
        <v>7570</v>
      </c>
      <c r="B1740" t="s">
        <v>7570</v>
      </c>
      <c r="C1740" t="s">
        <v>7571</v>
      </c>
      <c r="D1740" t="s">
        <v>7572</v>
      </c>
      <c r="E1740" t="s">
        <v>770</v>
      </c>
      <c r="F1740" t="s">
        <v>771</v>
      </c>
      <c r="G1740" t="s">
        <v>1854</v>
      </c>
      <c r="J1740" t="s">
        <v>783</v>
      </c>
      <c r="K1740" t="s">
        <v>1873</v>
      </c>
      <c r="L1740" t="s">
        <v>840</v>
      </c>
      <c r="M1740" t="s">
        <v>26</v>
      </c>
      <c r="N1740" t="s">
        <v>770</v>
      </c>
      <c r="O1740">
        <v>1</v>
      </c>
      <c r="P1740" t="s">
        <v>776</v>
      </c>
      <c r="Q1740">
        <v>34.9</v>
      </c>
      <c r="R1740">
        <v>6.29</v>
      </c>
      <c r="Y1740" t="s">
        <v>4429</v>
      </c>
      <c r="Z1740" t="s">
        <v>2257</v>
      </c>
      <c r="AA1740">
        <v>40024</v>
      </c>
      <c r="AB1740" t="s">
        <v>11</v>
      </c>
    </row>
    <row r="1741" spans="1:28" x14ac:dyDescent="0.25">
      <c r="A1741" t="s">
        <v>7573</v>
      </c>
      <c r="B1741" t="s">
        <v>7573</v>
      </c>
      <c r="C1741" t="s">
        <v>7574</v>
      </c>
      <c r="D1741" t="s">
        <v>7575</v>
      </c>
      <c r="E1741" t="s">
        <v>782</v>
      </c>
      <c r="F1741" t="s">
        <v>771</v>
      </c>
      <c r="G1741" t="s">
        <v>1854</v>
      </c>
      <c r="J1741" t="s">
        <v>783</v>
      </c>
      <c r="K1741" t="s">
        <v>1862</v>
      </c>
      <c r="L1741" t="s">
        <v>1505</v>
      </c>
      <c r="M1741" t="s">
        <v>53</v>
      </c>
      <c r="N1741" t="s">
        <v>782</v>
      </c>
      <c r="O1741">
        <v>0</v>
      </c>
      <c r="Y1741" t="s">
        <v>7576</v>
      </c>
      <c r="Z1741" t="s">
        <v>1926</v>
      </c>
      <c r="AA1741">
        <v>122</v>
      </c>
      <c r="AB1741" t="s">
        <v>11</v>
      </c>
    </row>
    <row r="1742" spans="1:28" x14ac:dyDescent="0.25">
      <c r="A1742" t="s">
        <v>7577</v>
      </c>
      <c r="C1742" t="s">
        <v>7578</v>
      </c>
      <c r="D1742" t="s">
        <v>7508</v>
      </c>
      <c r="E1742" t="s">
        <v>770</v>
      </c>
      <c r="F1742" t="s">
        <v>1884</v>
      </c>
      <c r="G1742" t="s">
        <v>1854</v>
      </c>
      <c r="H1742" t="s">
        <v>1885</v>
      </c>
      <c r="J1742" t="s">
        <v>773</v>
      </c>
      <c r="K1742" t="s">
        <v>4822</v>
      </c>
      <c r="L1742" t="s">
        <v>123</v>
      </c>
      <c r="M1742" t="s">
        <v>122</v>
      </c>
      <c r="N1742" t="s">
        <v>770</v>
      </c>
      <c r="O1742">
        <v>1</v>
      </c>
      <c r="P1742" t="s">
        <v>776</v>
      </c>
      <c r="Q1742">
        <v>28.9</v>
      </c>
      <c r="R1742">
        <v>5.21</v>
      </c>
      <c r="S1742">
        <v>3</v>
      </c>
      <c r="T1742">
        <v>0.54</v>
      </c>
      <c r="Y1742" t="s">
        <v>3802</v>
      </c>
      <c r="Z1742" t="s">
        <v>2342</v>
      </c>
      <c r="AA1742">
        <v>90138</v>
      </c>
      <c r="AB1742" t="s">
        <v>11</v>
      </c>
    </row>
    <row r="1743" spans="1:28" x14ac:dyDescent="0.25">
      <c r="A1743" t="s">
        <v>7579</v>
      </c>
      <c r="C1743" t="s">
        <v>7580</v>
      </c>
      <c r="D1743" t="s">
        <v>7581</v>
      </c>
      <c r="E1743" t="s">
        <v>770</v>
      </c>
      <c r="F1743" t="s">
        <v>1884</v>
      </c>
      <c r="G1743" t="s">
        <v>1854</v>
      </c>
      <c r="H1743" t="s">
        <v>1885</v>
      </c>
      <c r="J1743" t="s">
        <v>773</v>
      </c>
      <c r="K1743" t="s">
        <v>2396</v>
      </c>
      <c r="L1743" t="s">
        <v>89</v>
      </c>
      <c r="M1743" t="s">
        <v>88</v>
      </c>
      <c r="N1743" t="s">
        <v>770</v>
      </c>
      <c r="O1743">
        <v>1</v>
      </c>
      <c r="P1743" t="s">
        <v>776</v>
      </c>
      <c r="Q1743">
        <v>59.9</v>
      </c>
      <c r="R1743">
        <v>10.8</v>
      </c>
      <c r="S1743">
        <v>3</v>
      </c>
      <c r="T1743">
        <v>0.54</v>
      </c>
      <c r="Y1743" t="s">
        <v>2497</v>
      </c>
      <c r="Z1743" t="s">
        <v>2497</v>
      </c>
      <c r="AA1743">
        <v>34144</v>
      </c>
      <c r="AB1743" t="s">
        <v>11</v>
      </c>
    </row>
    <row r="1744" spans="1:28" x14ac:dyDescent="0.25">
      <c r="A1744" t="s">
        <v>7582</v>
      </c>
      <c r="B1744" t="s">
        <v>7582</v>
      </c>
      <c r="C1744" t="s">
        <v>7583</v>
      </c>
      <c r="D1744" t="s">
        <v>7584</v>
      </c>
      <c r="E1744" t="s">
        <v>770</v>
      </c>
      <c r="F1744" t="s">
        <v>771</v>
      </c>
      <c r="G1744" t="s">
        <v>1854</v>
      </c>
      <c r="J1744" t="s">
        <v>783</v>
      </c>
      <c r="K1744" t="s">
        <v>1930</v>
      </c>
      <c r="L1744" t="s">
        <v>775</v>
      </c>
      <c r="M1744" t="s">
        <v>65</v>
      </c>
      <c r="N1744" t="s">
        <v>770</v>
      </c>
      <c r="O1744">
        <v>1</v>
      </c>
      <c r="P1744" t="s">
        <v>776</v>
      </c>
      <c r="Q1744">
        <v>29.9</v>
      </c>
      <c r="R1744">
        <v>5.39</v>
      </c>
      <c r="Y1744" t="s">
        <v>7585</v>
      </c>
      <c r="Z1744" t="s">
        <v>3080</v>
      </c>
      <c r="AA1744">
        <v>30030</v>
      </c>
      <c r="AB1744" t="s">
        <v>11</v>
      </c>
    </row>
    <row r="1745" spans="1:35" x14ac:dyDescent="0.25">
      <c r="A1745" t="s">
        <v>7586</v>
      </c>
      <c r="B1745" t="s">
        <v>7586</v>
      </c>
      <c r="C1745" t="s">
        <v>7587</v>
      </c>
      <c r="D1745" t="s">
        <v>7588</v>
      </c>
      <c r="E1745" t="s">
        <v>770</v>
      </c>
      <c r="F1745" t="s">
        <v>771</v>
      </c>
      <c r="G1745" t="s">
        <v>1854</v>
      </c>
      <c r="J1745" t="s">
        <v>783</v>
      </c>
      <c r="K1745" t="s">
        <v>7589</v>
      </c>
      <c r="L1745" t="s">
        <v>7590</v>
      </c>
      <c r="M1745" t="s">
        <v>63</v>
      </c>
      <c r="N1745" t="s">
        <v>770</v>
      </c>
      <c r="O1745">
        <v>1</v>
      </c>
      <c r="P1745" t="s">
        <v>776</v>
      </c>
      <c r="Q1745">
        <v>89.9</v>
      </c>
      <c r="R1745">
        <v>16.21</v>
      </c>
      <c r="Y1745" t="s">
        <v>5083</v>
      </c>
      <c r="Z1745" t="s">
        <v>6842</v>
      </c>
      <c r="AA1745">
        <v>53100</v>
      </c>
      <c r="AB1745" t="s">
        <v>11</v>
      </c>
    </row>
    <row r="1746" spans="1:35" x14ac:dyDescent="0.25">
      <c r="A1746" t="s">
        <v>7591</v>
      </c>
      <c r="B1746" t="s">
        <v>7591</v>
      </c>
      <c r="C1746" t="s">
        <v>7592</v>
      </c>
      <c r="D1746" t="s">
        <v>7593</v>
      </c>
      <c r="E1746" t="s">
        <v>770</v>
      </c>
      <c r="F1746" t="s">
        <v>771</v>
      </c>
      <c r="G1746" t="s">
        <v>1854</v>
      </c>
      <c r="J1746" t="s">
        <v>783</v>
      </c>
      <c r="K1746" t="s">
        <v>1960</v>
      </c>
      <c r="L1746" t="s">
        <v>1047</v>
      </c>
      <c r="M1746" t="s">
        <v>21</v>
      </c>
      <c r="N1746" t="s">
        <v>770</v>
      </c>
      <c r="O1746">
        <v>1</v>
      </c>
      <c r="P1746" t="s">
        <v>776</v>
      </c>
      <c r="Q1746">
        <v>32.9</v>
      </c>
      <c r="R1746">
        <v>5.93</v>
      </c>
      <c r="Y1746" t="s">
        <v>7594</v>
      </c>
      <c r="Z1746" t="s">
        <v>6845</v>
      </c>
      <c r="AA1746">
        <v>58022</v>
      </c>
      <c r="AB1746" t="s">
        <v>11</v>
      </c>
    </row>
    <row r="1747" spans="1:35" x14ac:dyDescent="0.25">
      <c r="A1747" t="s">
        <v>7595</v>
      </c>
      <c r="C1747" t="s">
        <v>7596</v>
      </c>
      <c r="D1747" t="s">
        <v>7597</v>
      </c>
      <c r="E1747" t="s">
        <v>770</v>
      </c>
      <c r="F1747" t="s">
        <v>1884</v>
      </c>
      <c r="G1747" t="s">
        <v>1854</v>
      </c>
      <c r="H1747" t="s">
        <v>1885</v>
      </c>
      <c r="J1747" t="s">
        <v>773</v>
      </c>
      <c r="K1747" t="s">
        <v>1855</v>
      </c>
      <c r="L1747" t="s">
        <v>13</v>
      </c>
      <c r="M1747" t="s">
        <v>12</v>
      </c>
      <c r="N1747" t="s">
        <v>770</v>
      </c>
      <c r="O1747">
        <v>1</v>
      </c>
      <c r="P1747" t="s">
        <v>776</v>
      </c>
      <c r="Q1747">
        <v>19.899999999999999</v>
      </c>
      <c r="R1747">
        <v>3.59</v>
      </c>
      <c r="S1747">
        <v>3</v>
      </c>
      <c r="T1747">
        <v>0.54</v>
      </c>
      <c r="Y1747" t="s">
        <v>7598</v>
      </c>
      <c r="Z1747" t="s">
        <v>2153</v>
      </c>
      <c r="AA1747">
        <v>84077</v>
      </c>
      <c r="AB1747" t="s">
        <v>11</v>
      </c>
    </row>
    <row r="1748" spans="1:35" x14ac:dyDescent="0.25">
      <c r="A1748" t="s">
        <v>7599</v>
      </c>
      <c r="C1748" t="s">
        <v>7600</v>
      </c>
      <c r="D1748" t="s">
        <v>7415</v>
      </c>
      <c r="E1748" t="s">
        <v>770</v>
      </c>
      <c r="F1748" t="s">
        <v>1884</v>
      </c>
      <c r="G1748" t="s">
        <v>1854</v>
      </c>
      <c r="H1748" t="s">
        <v>1885</v>
      </c>
      <c r="J1748" t="s">
        <v>773</v>
      </c>
      <c r="K1748" t="s">
        <v>1886</v>
      </c>
      <c r="L1748" t="s">
        <v>18</v>
      </c>
      <c r="M1748" t="s">
        <v>17</v>
      </c>
      <c r="N1748" t="s">
        <v>770</v>
      </c>
      <c r="O1748">
        <v>1</v>
      </c>
      <c r="P1748" t="s">
        <v>776</v>
      </c>
      <c r="Q1748">
        <v>22.9</v>
      </c>
      <c r="R1748">
        <v>4.13</v>
      </c>
      <c r="S1748">
        <v>3</v>
      </c>
      <c r="T1748">
        <v>0.54</v>
      </c>
      <c r="Y1748" t="s">
        <v>1913</v>
      </c>
      <c r="Z1748" t="s">
        <v>1913</v>
      </c>
      <c r="AA1748">
        <v>139</v>
      </c>
      <c r="AB1748" t="s">
        <v>11</v>
      </c>
    </row>
    <row r="1749" spans="1:35" x14ac:dyDescent="0.25">
      <c r="A1749" t="s">
        <v>7601</v>
      </c>
      <c r="C1749" t="s">
        <v>7602</v>
      </c>
      <c r="D1749" t="s">
        <v>7603</v>
      </c>
      <c r="E1749" t="s">
        <v>770</v>
      </c>
      <c r="F1749" t="s">
        <v>1884</v>
      </c>
      <c r="G1749" t="s">
        <v>1854</v>
      </c>
      <c r="H1749" t="s">
        <v>1885</v>
      </c>
      <c r="J1749" t="s">
        <v>773</v>
      </c>
      <c r="K1749" t="s">
        <v>1902</v>
      </c>
      <c r="L1749" t="s">
        <v>15</v>
      </c>
      <c r="M1749" t="s">
        <v>14</v>
      </c>
      <c r="N1749" t="s">
        <v>770</v>
      </c>
      <c r="O1749">
        <v>1</v>
      </c>
      <c r="P1749" t="s">
        <v>776</v>
      </c>
      <c r="Q1749">
        <v>15.9</v>
      </c>
      <c r="R1749">
        <v>2.87</v>
      </c>
      <c r="S1749">
        <v>3</v>
      </c>
      <c r="T1749">
        <v>0.54</v>
      </c>
      <c r="Y1749" t="s">
        <v>7604</v>
      </c>
      <c r="Z1749" t="s">
        <v>1908</v>
      </c>
      <c r="AA1749">
        <v>80077</v>
      </c>
      <c r="AB1749" t="s">
        <v>11</v>
      </c>
    </row>
    <row r="1750" spans="1:35" x14ac:dyDescent="0.25">
      <c r="A1750" t="s">
        <v>7605</v>
      </c>
      <c r="B1750" t="s">
        <v>7605</v>
      </c>
      <c r="C1750" t="s">
        <v>7606</v>
      </c>
      <c r="D1750" t="s">
        <v>7607</v>
      </c>
      <c r="E1750" t="s">
        <v>770</v>
      </c>
      <c r="F1750" t="s">
        <v>771</v>
      </c>
      <c r="G1750" t="s">
        <v>1854</v>
      </c>
      <c r="J1750" t="s">
        <v>783</v>
      </c>
      <c r="K1750" t="s">
        <v>3363</v>
      </c>
      <c r="L1750" t="s">
        <v>5572</v>
      </c>
      <c r="M1750" t="s">
        <v>71</v>
      </c>
      <c r="N1750" t="s">
        <v>770</v>
      </c>
      <c r="O1750">
        <v>5</v>
      </c>
      <c r="P1750" t="s">
        <v>776</v>
      </c>
      <c r="Q1750">
        <v>149.5</v>
      </c>
      <c r="R1750">
        <v>26.95</v>
      </c>
      <c r="Y1750" t="s">
        <v>7608</v>
      </c>
      <c r="Z1750" t="s">
        <v>3126</v>
      </c>
      <c r="AA1750">
        <v>20861</v>
      </c>
      <c r="AB1750" t="s">
        <v>11</v>
      </c>
      <c r="AG1750">
        <v>11345990961</v>
      </c>
      <c r="AH1750" t="s">
        <v>11</v>
      </c>
      <c r="AI1750" t="s">
        <v>1258</v>
      </c>
    </row>
    <row r="1751" spans="1:35" x14ac:dyDescent="0.25">
      <c r="A1751" t="s">
        <v>7609</v>
      </c>
      <c r="C1751" t="s">
        <v>7610</v>
      </c>
      <c r="D1751" t="s">
        <v>7611</v>
      </c>
      <c r="E1751" t="s">
        <v>770</v>
      </c>
      <c r="F1751" t="s">
        <v>1884</v>
      </c>
      <c r="G1751" t="s">
        <v>1854</v>
      </c>
      <c r="H1751" t="s">
        <v>1885</v>
      </c>
      <c r="J1751" t="s">
        <v>773</v>
      </c>
      <c r="K1751" t="s">
        <v>1886</v>
      </c>
      <c r="L1751" t="s">
        <v>18</v>
      </c>
      <c r="M1751" t="s">
        <v>17</v>
      </c>
      <c r="N1751" t="s">
        <v>770</v>
      </c>
      <c r="O1751">
        <v>1</v>
      </c>
      <c r="P1751" t="s">
        <v>776</v>
      </c>
      <c r="Q1751">
        <v>22.9</v>
      </c>
      <c r="R1751">
        <v>4.13</v>
      </c>
      <c r="S1751">
        <v>3</v>
      </c>
      <c r="T1751">
        <v>0.54</v>
      </c>
      <c r="Y1751" t="s">
        <v>7612</v>
      </c>
      <c r="Z1751" t="s">
        <v>2219</v>
      </c>
      <c r="AA1751">
        <v>50025</v>
      </c>
      <c r="AB1751" t="s">
        <v>11</v>
      </c>
    </row>
    <row r="1752" spans="1:35" x14ac:dyDescent="0.25">
      <c r="A1752" t="s">
        <v>7613</v>
      </c>
      <c r="B1752" t="s">
        <v>7613</v>
      </c>
      <c r="C1752" t="s">
        <v>7614</v>
      </c>
      <c r="D1752" t="s">
        <v>7615</v>
      </c>
      <c r="E1752" t="s">
        <v>770</v>
      </c>
      <c r="F1752" t="s">
        <v>771</v>
      </c>
      <c r="G1752" t="s">
        <v>1854</v>
      </c>
      <c r="J1752" t="s">
        <v>783</v>
      </c>
      <c r="K1752" t="s">
        <v>1879</v>
      </c>
      <c r="L1752" t="s">
        <v>1056</v>
      </c>
      <c r="M1752" t="s">
        <v>212</v>
      </c>
      <c r="N1752" t="s">
        <v>770</v>
      </c>
      <c r="O1752">
        <v>1</v>
      </c>
      <c r="P1752" t="s">
        <v>776</v>
      </c>
      <c r="Q1752">
        <v>39.9</v>
      </c>
      <c r="R1752">
        <v>7.2</v>
      </c>
      <c r="Y1752" t="s">
        <v>7616</v>
      </c>
      <c r="Z1752" t="s">
        <v>6597</v>
      </c>
      <c r="AA1752">
        <v>47522</v>
      </c>
      <c r="AB1752" t="s">
        <v>11</v>
      </c>
    </row>
    <row r="1753" spans="1:35" x14ac:dyDescent="0.25">
      <c r="A1753" t="s">
        <v>7617</v>
      </c>
      <c r="B1753" t="s">
        <v>7617</v>
      </c>
      <c r="C1753" t="s">
        <v>7618</v>
      </c>
      <c r="D1753" t="s">
        <v>7619</v>
      </c>
      <c r="E1753" t="s">
        <v>770</v>
      </c>
      <c r="F1753" t="s">
        <v>771</v>
      </c>
      <c r="G1753" t="s">
        <v>1854</v>
      </c>
      <c r="J1753" t="s">
        <v>783</v>
      </c>
      <c r="K1753" t="s">
        <v>1873</v>
      </c>
      <c r="L1753" t="s">
        <v>840</v>
      </c>
      <c r="M1753" t="s">
        <v>26</v>
      </c>
      <c r="N1753" t="s">
        <v>770</v>
      </c>
      <c r="O1753">
        <v>1</v>
      </c>
      <c r="P1753" t="s">
        <v>776</v>
      </c>
      <c r="Q1753">
        <v>34.9</v>
      </c>
      <c r="R1753">
        <v>6.29</v>
      </c>
      <c r="Y1753" t="s">
        <v>7620</v>
      </c>
      <c r="Z1753" t="s">
        <v>1880</v>
      </c>
      <c r="AA1753">
        <v>41053</v>
      </c>
      <c r="AB1753" t="s">
        <v>11</v>
      </c>
    </row>
    <row r="1754" spans="1:35" x14ac:dyDescent="0.25">
      <c r="A1754" t="s">
        <v>7621</v>
      </c>
      <c r="B1754" t="s">
        <v>7621</v>
      </c>
      <c r="C1754" t="s">
        <v>7622</v>
      </c>
      <c r="D1754" t="s">
        <v>7623</v>
      </c>
      <c r="E1754" t="s">
        <v>770</v>
      </c>
      <c r="F1754" t="s">
        <v>771</v>
      </c>
      <c r="G1754" t="s">
        <v>1854</v>
      </c>
      <c r="J1754" t="s">
        <v>773</v>
      </c>
      <c r="K1754" t="s">
        <v>3328</v>
      </c>
      <c r="L1754" t="s">
        <v>3329</v>
      </c>
      <c r="M1754" t="s">
        <v>35</v>
      </c>
      <c r="N1754" t="s">
        <v>770</v>
      </c>
      <c r="O1754">
        <v>1</v>
      </c>
      <c r="P1754" t="s">
        <v>776</v>
      </c>
      <c r="Q1754">
        <v>20.41</v>
      </c>
      <c r="S1754">
        <v>3.5</v>
      </c>
      <c r="Y1754" t="s">
        <v>7624</v>
      </c>
      <c r="AA1754">
        <v>6945</v>
      </c>
      <c r="AB1754" t="s">
        <v>1716</v>
      </c>
    </row>
    <row r="1755" spans="1:35" x14ac:dyDescent="0.25">
      <c r="A1755" t="s">
        <v>7625</v>
      </c>
      <c r="B1755" t="s">
        <v>7625</v>
      </c>
      <c r="C1755" t="s">
        <v>7626</v>
      </c>
      <c r="D1755" t="s">
        <v>7627</v>
      </c>
      <c r="E1755" t="s">
        <v>770</v>
      </c>
      <c r="F1755" t="s">
        <v>771</v>
      </c>
      <c r="G1755" t="s">
        <v>1854</v>
      </c>
      <c r="J1755" t="s">
        <v>783</v>
      </c>
      <c r="K1755" t="s">
        <v>1930</v>
      </c>
      <c r="L1755" t="s">
        <v>775</v>
      </c>
      <c r="M1755" t="s">
        <v>65</v>
      </c>
      <c r="N1755" t="s">
        <v>770</v>
      </c>
      <c r="O1755">
        <v>1</v>
      </c>
      <c r="P1755" t="s">
        <v>776</v>
      </c>
      <c r="Q1755">
        <v>29.9</v>
      </c>
      <c r="R1755">
        <v>5.39</v>
      </c>
      <c r="Y1755" t="s">
        <v>7628</v>
      </c>
      <c r="Z1755" t="s">
        <v>3649</v>
      </c>
      <c r="AA1755">
        <v>9040</v>
      </c>
      <c r="AB1755" t="s">
        <v>11</v>
      </c>
    </row>
    <row r="1756" spans="1:35" x14ac:dyDescent="0.25">
      <c r="A1756" t="s">
        <v>7629</v>
      </c>
      <c r="B1756" t="s">
        <v>7629</v>
      </c>
      <c r="C1756" t="s">
        <v>7630</v>
      </c>
      <c r="D1756" t="s">
        <v>7631</v>
      </c>
      <c r="E1756" t="s">
        <v>770</v>
      </c>
      <c r="F1756" t="s">
        <v>771</v>
      </c>
      <c r="G1756" t="s">
        <v>1854</v>
      </c>
      <c r="J1756" t="s">
        <v>783</v>
      </c>
      <c r="K1756" t="s">
        <v>1930</v>
      </c>
      <c r="L1756" t="s">
        <v>775</v>
      </c>
      <c r="M1756" t="s">
        <v>65</v>
      </c>
      <c r="N1756" t="s">
        <v>770</v>
      </c>
      <c r="O1756">
        <v>1</v>
      </c>
      <c r="P1756" t="s">
        <v>776</v>
      </c>
      <c r="Q1756">
        <v>29.9</v>
      </c>
      <c r="R1756">
        <v>5.39</v>
      </c>
      <c r="Y1756" t="s">
        <v>5439</v>
      </c>
      <c r="Z1756" t="s">
        <v>2675</v>
      </c>
      <c r="AA1756">
        <v>20812</v>
      </c>
      <c r="AB1756" t="s">
        <v>11</v>
      </c>
    </row>
    <row r="1757" spans="1:35" x14ac:dyDescent="0.25">
      <c r="A1757" t="s">
        <v>7632</v>
      </c>
      <c r="C1757" t="s">
        <v>7633</v>
      </c>
      <c r="D1757" t="s">
        <v>7634</v>
      </c>
      <c r="E1757" t="s">
        <v>782</v>
      </c>
      <c r="F1757" t="s">
        <v>1884</v>
      </c>
      <c r="G1757" t="s">
        <v>1854</v>
      </c>
      <c r="H1757" t="s">
        <v>1885</v>
      </c>
      <c r="J1757" t="s">
        <v>773</v>
      </c>
      <c r="K1757" t="s">
        <v>2889</v>
      </c>
      <c r="L1757" t="s">
        <v>135</v>
      </c>
      <c r="M1757" t="s">
        <v>134</v>
      </c>
      <c r="O1757">
        <v>0</v>
      </c>
      <c r="Y1757" t="s">
        <v>3089</v>
      </c>
      <c r="Z1757" t="s">
        <v>3089</v>
      </c>
      <c r="AA1757">
        <v>25124</v>
      </c>
      <c r="AB1757" t="s">
        <v>11</v>
      </c>
    </row>
    <row r="1758" spans="1:35" x14ac:dyDescent="0.25">
      <c r="A1758" t="s">
        <v>7635</v>
      </c>
      <c r="B1758" t="s">
        <v>7635</v>
      </c>
      <c r="C1758" t="s">
        <v>7636</v>
      </c>
      <c r="D1758" t="s">
        <v>7637</v>
      </c>
      <c r="E1758" t="s">
        <v>770</v>
      </c>
      <c r="F1758" t="s">
        <v>771</v>
      </c>
      <c r="G1758" t="s">
        <v>1854</v>
      </c>
      <c r="J1758" t="s">
        <v>783</v>
      </c>
      <c r="K1758" t="s">
        <v>1862</v>
      </c>
      <c r="L1758" t="s">
        <v>1505</v>
      </c>
      <c r="M1758" t="s">
        <v>53</v>
      </c>
      <c r="N1758" t="s">
        <v>770</v>
      </c>
      <c r="O1758">
        <v>1</v>
      </c>
      <c r="P1758" t="s">
        <v>776</v>
      </c>
      <c r="Q1758">
        <v>32.9</v>
      </c>
      <c r="R1758">
        <v>5.93</v>
      </c>
      <c r="Y1758" t="s">
        <v>1875</v>
      </c>
      <c r="Z1758" t="s">
        <v>1875</v>
      </c>
      <c r="AA1758">
        <v>20123</v>
      </c>
      <c r="AB1758" t="s">
        <v>11</v>
      </c>
    </row>
    <row r="1759" spans="1:35" x14ac:dyDescent="0.25">
      <c r="A1759" t="s">
        <v>7638</v>
      </c>
      <c r="B1759" t="s">
        <v>7638</v>
      </c>
      <c r="C1759" t="s">
        <v>7639</v>
      </c>
      <c r="D1759" t="s">
        <v>7640</v>
      </c>
      <c r="E1759" t="s">
        <v>770</v>
      </c>
      <c r="F1759" t="s">
        <v>771</v>
      </c>
      <c r="G1759" t="s">
        <v>1854</v>
      </c>
      <c r="J1759" t="s">
        <v>783</v>
      </c>
      <c r="K1759" t="s">
        <v>1873</v>
      </c>
      <c r="L1759" t="s">
        <v>840</v>
      </c>
      <c r="M1759" t="s">
        <v>26</v>
      </c>
      <c r="N1759" t="s">
        <v>770</v>
      </c>
      <c r="O1759">
        <v>1</v>
      </c>
      <c r="P1759" t="s">
        <v>776</v>
      </c>
      <c r="Q1759">
        <v>34.9</v>
      </c>
      <c r="R1759">
        <v>6.29</v>
      </c>
      <c r="S1759">
        <v>1.64</v>
      </c>
      <c r="X1759">
        <v>1.64</v>
      </c>
      <c r="Y1759" t="s">
        <v>7641</v>
      </c>
      <c r="Z1759" t="s">
        <v>2481</v>
      </c>
      <c r="AA1759">
        <v>88833</v>
      </c>
      <c r="AB1759" t="s">
        <v>11</v>
      </c>
    </row>
    <row r="1760" spans="1:35" x14ac:dyDescent="0.25">
      <c r="A1760" t="s">
        <v>7642</v>
      </c>
      <c r="B1760" t="s">
        <v>7642</v>
      </c>
      <c r="C1760" t="s">
        <v>7643</v>
      </c>
      <c r="D1760" t="s">
        <v>7644</v>
      </c>
      <c r="E1760" t="s">
        <v>770</v>
      </c>
      <c r="F1760" t="s">
        <v>771</v>
      </c>
      <c r="G1760" t="s">
        <v>1854</v>
      </c>
      <c r="J1760" t="s">
        <v>783</v>
      </c>
      <c r="K1760" t="s">
        <v>1862</v>
      </c>
      <c r="L1760" t="s">
        <v>1505</v>
      </c>
      <c r="M1760" t="s">
        <v>53</v>
      </c>
      <c r="N1760" t="s">
        <v>770</v>
      </c>
      <c r="O1760">
        <v>1</v>
      </c>
      <c r="P1760" t="s">
        <v>776</v>
      </c>
      <c r="Q1760">
        <v>32.9</v>
      </c>
      <c r="R1760">
        <v>5.93</v>
      </c>
      <c r="Y1760" t="s">
        <v>1888</v>
      </c>
      <c r="Z1760" t="s">
        <v>1888</v>
      </c>
      <c r="AA1760">
        <v>40126</v>
      </c>
      <c r="AB1760" t="s">
        <v>11</v>
      </c>
    </row>
    <row r="1761" spans="1:35" x14ac:dyDescent="0.25">
      <c r="A1761" t="s">
        <v>7645</v>
      </c>
      <c r="C1761" t="s">
        <v>7646</v>
      </c>
      <c r="D1761" t="s">
        <v>7647</v>
      </c>
      <c r="E1761" t="s">
        <v>770</v>
      </c>
      <c r="F1761" t="s">
        <v>1884</v>
      </c>
      <c r="G1761" t="s">
        <v>1854</v>
      </c>
      <c r="H1761" t="s">
        <v>1885</v>
      </c>
      <c r="J1761" t="s">
        <v>773</v>
      </c>
      <c r="K1761" t="s">
        <v>1855</v>
      </c>
      <c r="L1761" t="s">
        <v>13</v>
      </c>
      <c r="M1761" t="s">
        <v>12</v>
      </c>
      <c r="N1761" t="s">
        <v>770</v>
      </c>
      <c r="O1761">
        <v>1</v>
      </c>
      <c r="P1761" t="s">
        <v>776</v>
      </c>
      <c r="Q1761">
        <v>19.899999999999999</v>
      </c>
      <c r="R1761">
        <v>3.59</v>
      </c>
      <c r="S1761">
        <v>3</v>
      </c>
      <c r="T1761">
        <v>0.54</v>
      </c>
      <c r="Y1761" t="s">
        <v>7648</v>
      </c>
      <c r="Z1761" t="s">
        <v>2126</v>
      </c>
      <c r="AA1761">
        <v>81047</v>
      </c>
      <c r="AB1761" t="s">
        <v>11</v>
      </c>
    </row>
    <row r="1762" spans="1:35" x14ac:dyDescent="0.25">
      <c r="A1762" t="s">
        <v>7649</v>
      </c>
      <c r="B1762" t="s">
        <v>7649</v>
      </c>
      <c r="C1762" t="s">
        <v>7650</v>
      </c>
      <c r="D1762" t="s">
        <v>7651</v>
      </c>
      <c r="E1762" t="s">
        <v>770</v>
      </c>
      <c r="F1762" t="s">
        <v>771</v>
      </c>
      <c r="G1762" t="s">
        <v>1854</v>
      </c>
      <c r="J1762" t="s">
        <v>783</v>
      </c>
      <c r="K1762" t="s">
        <v>1862</v>
      </c>
      <c r="L1762" t="s">
        <v>1505</v>
      </c>
      <c r="M1762" t="s">
        <v>53</v>
      </c>
      <c r="N1762" t="s">
        <v>770</v>
      </c>
      <c r="O1762">
        <v>1</v>
      </c>
      <c r="P1762" t="s">
        <v>776</v>
      </c>
      <c r="Q1762">
        <v>32.9</v>
      </c>
      <c r="R1762">
        <v>5.93</v>
      </c>
      <c r="Y1762" t="s">
        <v>1913</v>
      </c>
      <c r="Z1762" t="s">
        <v>1926</v>
      </c>
      <c r="AA1762">
        <v>189</v>
      </c>
      <c r="AB1762" t="s">
        <v>11</v>
      </c>
    </row>
    <row r="1763" spans="1:35" x14ac:dyDescent="0.25">
      <c r="A1763" t="s">
        <v>7652</v>
      </c>
      <c r="C1763" t="s">
        <v>7653</v>
      </c>
      <c r="D1763" t="s">
        <v>7654</v>
      </c>
      <c r="E1763" t="s">
        <v>770</v>
      </c>
      <c r="F1763" t="s">
        <v>1884</v>
      </c>
      <c r="G1763" t="s">
        <v>1854</v>
      </c>
      <c r="H1763" t="s">
        <v>1885</v>
      </c>
      <c r="J1763" t="s">
        <v>773</v>
      </c>
      <c r="K1763" t="s">
        <v>1855</v>
      </c>
      <c r="L1763" t="s">
        <v>13</v>
      </c>
      <c r="M1763" t="s">
        <v>12</v>
      </c>
      <c r="N1763" t="s">
        <v>770</v>
      </c>
      <c r="O1763">
        <v>1</v>
      </c>
      <c r="P1763" t="s">
        <v>776</v>
      </c>
      <c r="Q1763">
        <v>19.899999999999999</v>
      </c>
      <c r="R1763">
        <v>3.59</v>
      </c>
      <c r="S1763">
        <v>3</v>
      </c>
      <c r="T1763">
        <v>0.54</v>
      </c>
      <c r="Y1763" t="s">
        <v>7655</v>
      </c>
      <c r="Z1763" t="s">
        <v>7656</v>
      </c>
      <c r="AA1763">
        <v>87060</v>
      </c>
      <c r="AB1763" t="s">
        <v>11</v>
      </c>
    </row>
    <row r="1764" spans="1:35" x14ac:dyDescent="0.25">
      <c r="A1764" t="s">
        <v>7657</v>
      </c>
      <c r="B1764" t="s">
        <v>7657</v>
      </c>
      <c r="C1764" t="s">
        <v>7658</v>
      </c>
      <c r="D1764" t="s">
        <v>7659</v>
      </c>
      <c r="E1764" t="s">
        <v>770</v>
      </c>
      <c r="F1764" t="s">
        <v>771</v>
      </c>
      <c r="G1764" t="s">
        <v>1854</v>
      </c>
      <c r="J1764" t="s">
        <v>783</v>
      </c>
      <c r="K1764" t="s">
        <v>2294</v>
      </c>
      <c r="L1764" t="s">
        <v>2295</v>
      </c>
      <c r="M1764" t="s">
        <v>232</v>
      </c>
      <c r="N1764" t="s">
        <v>770</v>
      </c>
      <c r="O1764">
        <v>1</v>
      </c>
      <c r="P1764" t="s">
        <v>776</v>
      </c>
      <c r="Q1764">
        <v>49.9</v>
      </c>
      <c r="R1764">
        <v>9</v>
      </c>
      <c r="Y1764" t="s">
        <v>4424</v>
      </c>
      <c r="Z1764" t="s">
        <v>2463</v>
      </c>
      <c r="AA1764">
        <v>6073</v>
      </c>
      <c r="AB1764" t="s">
        <v>11</v>
      </c>
    </row>
    <row r="1765" spans="1:35" x14ac:dyDescent="0.25">
      <c r="A1765" t="s">
        <v>7660</v>
      </c>
      <c r="C1765" t="s">
        <v>7661</v>
      </c>
      <c r="D1765" t="s">
        <v>7662</v>
      </c>
      <c r="E1765" t="s">
        <v>770</v>
      </c>
      <c r="F1765" t="s">
        <v>1884</v>
      </c>
      <c r="G1765" t="s">
        <v>1854</v>
      </c>
      <c r="H1765" t="s">
        <v>1885</v>
      </c>
      <c r="J1765" t="s">
        <v>773</v>
      </c>
      <c r="K1765" t="s">
        <v>1855</v>
      </c>
      <c r="L1765" t="s">
        <v>13</v>
      </c>
      <c r="M1765" t="s">
        <v>12</v>
      </c>
      <c r="N1765" t="s">
        <v>770</v>
      </c>
      <c r="O1765">
        <v>1</v>
      </c>
      <c r="P1765" t="s">
        <v>776</v>
      </c>
      <c r="Q1765">
        <v>19.899999999999999</v>
      </c>
      <c r="R1765">
        <v>3.59</v>
      </c>
      <c r="S1765">
        <v>3</v>
      </c>
      <c r="T1765">
        <v>0.54</v>
      </c>
      <c r="Y1765" t="s">
        <v>2625</v>
      </c>
      <c r="Z1765" t="s">
        <v>2625</v>
      </c>
      <c r="AA1765">
        <v>51100</v>
      </c>
      <c r="AB1765" t="s">
        <v>11</v>
      </c>
    </row>
    <row r="1766" spans="1:35" x14ac:dyDescent="0.25">
      <c r="A1766" t="s">
        <v>7663</v>
      </c>
      <c r="B1766" t="s">
        <v>7663</v>
      </c>
      <c r="C1766" t="s">
        <v>7664</v>
      </c>
      <c r="D1766" t="s">
        <v>7665</v>
      </c>
      <c r="E1766" t="s">
        <v>770</v>
      </c>
      <c r="F1766" t="s">
        <v>771</v>
      </c>
      <c r="G1766" t="s">
        <v>1854</v>
      </c>
      <c r="J1766" t="s">
        <v>783</v>
      </c>
      <c r="K1766" t="s">
        <v>1873</v>
      </c>
      <c r="L1766" t="s">
        <v>840</v>
      </c>
      <c r="M1766" t="s">
        <v>26</v>
      </c>
      <c r="N1766" t="s">
        <v>770</v>
      </c>
      <c r="O1766">
        <v>1</v>
      </c>
      <c r="P1766" t="s">
        <v>776</v>
      </c>
      <c r="Q1766">
        <v>34.9</v>
      </c>
      <c r="R1766">
        <v>6.29</v>
      </c>
      <c r="Y1766" t="s">
        <v>2030</v>
      </c>
      <c r="Z1766" t="s">
        <v>2030</v>
      </c>
      <c r="AA1766">
        <v>38122</v>
      </c>
      <c r="AB1766" t="s">
        <v>11</v>
      </c>
    </row>
    <row r="1767" spans="1:35" x14ac:dyDescent="0.25">
      <c r="A1767" t="s">
        <v>7666</v>
      </c>
      <c r="B1767" t="s">
        <v>7666</v>
      </c>
      <c r="C1767" t="s">
        <v>7667</v>
      </c>
      <c r="D1767" t="s">
        <v>7668</v>
      </c>
      <c r="E1767" t="s">
        <v>770</v>
      </c>
      <c r="F1767" t="s">
        <v>771</v>
      </c>
      <c r="G1767" t="s">
        <v>1854</v>
      </c>
      <c r="J1767" t="s">
        <v>783</v>
      </c>
      <c r="K1767" t="s">
        <v>2294</v>
      </c>
      <c r="L1767" t="s">
        <v>2295</v>
      </c>
      <c r="M1767" t="s">
        <v>232</v>
      </c>
      <c r="N1767" t="s">
        <v>770</v>
      </c>
      <c r="O1767">
        <v>1</v>
      </c>
      <c r="P1767" t="s">
        <v>776</v>
      </c>
      <c r="Q1767">
        <v>49.9</v>
      </c>
      <c r="R1767">
        <v>9</v>
      </c>
      <c r="Y1767" t="s">
        <v>7669</v>
      </c>
      <c r="Z1767" t="s">
        <v>7670</v>
      </c>
      <c r="AA1767">
        <v>24054</v>
      </c>
      <c r="AB1767" t="s">
        <v>11</v>
      </c>
    </row>
    <row r="1768" spans="1:35" x14ac:dyDescent="0.25">
      <c r="A1768" t="s">
        <v>7671</v>
      </c>
      <c r="B1768" t="s">
        <v>7671</v>
      </c>
      <c r="C1768" t="s">
        <v>7672</v>
      </c>
      <c r="D1768" t="s">
        <v>7673</v>
      </c>
      <c r="E1768" t="s">
        <v>770</v>
      </c>
      <c r="F1768" t="s">
        <v>771</v>
      </c>
      <c r="G1768" t="s">
        <v>1854</v>
      </c>
      <c r="J1768" t="s">
        <v>783</v>
      </c>
      <c r="K1768" t="s">
        <v>1862</v>
      </c>
      <c r="L1768" t="s">
        <v>1505</v>
      </c>
      <c r="M1768" t="s">
        <v>53</v>
      </c>
      <c r="N1768" t="s">
        <v>770</v>
      </c>
      <c r="O1768">
        <v>1</v>
      </c>
      <c r="P1768" t="s">
        <v>776</v>
      </c>
      <c r="Q1768">
        <v>32.9</v>
      </c>
      <c r="R1768">
        <v>5.93</v>
      </c>
      <c r="Y1768" t="s">
        <v>7674</v>
      </c>
      <c r="Z1768" t="s">
        <v>1946</v>
      </c>
      <c r="AA1768">
        <v>86078</v>
      </c>
      <c r="AB1768" t="s">
        <v>11</v>
      </c>
      <c r="AG1768">
        <v>960670941</v>
      </c>
      <c r="AH1768" t="s">
        <v>11</v>
      </c>
      <c r="AI1768" t="s">
        <v>1258</v>
      </c>
    </row>
    <row r="1769" spans="1:35" x14ac:dyDescent="0.25">
      <c r="A1769" t="s">
        <v>7675</v>
      </c>
      <c r="B1769" t="s">
        <v>7675</v>
      </c>
      <c r="C1769" t="s">
        <v>7676</v>
      </c>
      <c r="D1769" t="s">
        <v>7677</v>
      </c>
      <c r="E1769" t="s">
        <v>770</v>
      </c>
      <c r="F1769" t="s">
        <v>771</v>
      </c>
      <c r="G1769" t="s">
        <v>1854</v>
      </c>
      <c r="J1769" t="s">
        <v>783</v>
      </c>
      <c r="K1769" t="s">
        <v>1862</v>
      </c>
      <c r="L1769" t="s">
        <v>1505</v>
      </c>
      <c r="M1769" t="s">
        <v>53</v>
      </c>
      <c r="N1769" t="s">
        <v>770</v>
      </c>
      <c r="O1769">
        <v>1</v>
      </c>
      <c r="P1769" t="s">
        <v>776</v>
      </c>
      <c r="Q1769">
        <v>32.9</v>
      </c>
      <c r="R1769">
        <v>5.93</v>
      </c>
      <c r="S1769">
        <v>4.99</v>
      </c>
      <c r="T1769">
        <v>0.9</v>
      </c>
      <c r="Y1769" t="s">
        <v>1913</v>
      </c>
      <c r="Z1769" t="s">
        <v>2548</v>
      </c>
      <c r="AA1769">
        <v>179</v>
      </c>
      <c r="AB1769" t="s">
        <v>11</v>
      </c>
    </row>
    <row r="1770" spans="1:35" x14ac:dyDescent="0.25">
      <c r="A1770" t="s">
        <v>7678</v>
      </c>
      <c r="C1770" t="s">
        <v>7679</v>
      </c>
      <c r="D1770" t="s">
        <v>7680</v>
      </c>
      <c r="E1770" t="s">
        <v>770</v>
      </c>
      <c r="F1770" t="s">
        <v>1884</v>
      </c>
      <c r="G1770" t="s">
        <v>1854</v>
      </c>
      <c r="H1770" t="s">
        <v>1885</v>
      </c>
      <c r="J1770" t="s">
        <v>773</v>
      </c>
      <c r="K1770" t="s">
        <v>1855</v>
      </c>
      <c r="L1770" t="s">
        <v>13</v>
      </c>
      <c r="M1770" t="s">
        <v>12</v>
      </c>
      <c r="N1770" t="s">
        <v>770</v>
      </c>
      <c r="O1770">
        <v>1</v>
      </c>
      <c r="P1770" t="s">
        <v>776</v>
      </c>
      <c r="Q1770">
        <v>19.899999999999999</v>
      </c>
      <c r="R1770">
        <v>3.59</v>
      </c>
      <c r="S1770">
        <v>3</v>
      </c>
      <c r="T1770">
        <v>0.54</v>
      </c>
      <c r="Y1770" t="s">
        <v>7681</v>
      </c>
      <c r="Z1770" t="s">
        <v>2819</v>
      </c>
      <c r="AA1770">
        <v>74011</v>
      </c>
      <c r="AB1770" t="s">
        <v>11</v>
      </c>
    </row>
    <row r="1771" spans="1:35" x14ac:dyDescent="0.25">
      <c r="A1771" t="s">
        <v>7682</v>
      </c>
      <c r="C1771" t="s">
        <v>7683</v>
      </c>
      <c r="D1771" t="s">
        <v>7684</v>
      </c>
      <c r="E1771" t="s">
        <v>770</v>
      </c>
      <c r="F1771" t="s">
        <v>1884</v>
      </c>
      <c r="G1771" t="s">
        <v>1854</v>
      </c>
      <c r="H1771" t="s">
        <v>1885</v>
      </c>
      <c r="J1771" t="s">
        <v>773</v>
      </c>
      <c r="K1771" t="s">
        <v>2248</v>
      </c>
      <c r="L1771" t="s">
        <v>173</v>
      </c>
      <c r="M1771" t="s">
        <v>172</v>
      </c>
      <c r="N1771" t="s">
        <v>770</v>
      </c>
      <c r="O1771">
        <v>1</v>
      </c>
      <c r="P1771" t="s">
        <v>776</v>
      </c>
      <c r="Q1771">
        <v>39.9</v>
      </c>
      <c r="R1771">
        <v>7.2</v>
      </c>
      <c r="S1771">
        <v>3</v>
      </c>
      <c r="T1771">
        <v>0.54</v>
      </c>
      <c r="Y1771" t="s">
        <v>7685</v>
      </c>
      <c r="Z1771" t="s">
        <v>2597</v>
      </c>
      <c r="AA1771">
        <v>70032</v>
      </c>
      <c r="AB1771" t="s">
        <v>11</v>
      </c>
    </row>
    <row r="1772" spans="1:35" x14ac:dyDescent="0.25">
      <c r="A1772" t="s">
        <v>7686</v>
      </c>
      <c r="B1772" t="s">
        <v>7686</v>
      </c>
      <c r="C1772" t="s">
        <v>7687</v>
      </c>
      <c r="D1772" t="s">
        <v>7688</v>
      </c>
      <c r="E1772" t="s">
        <v>770</v>
      </c>
      <c r="F1772" t="s">
        <v>771</v>
      </c>
      <c r="G1772" t="s">
        <v>1854</v>
      </c>
      <c r="J1772" t="s">
        <v>783</v>
      </c>
      <c r="K1772" t="s">
        <v>1960</v>
      </c>
      <c r="L1772" t="s">
        <v>1047</v>
      </c>
      <c r="M1772" t="s">
        <v>21</v>
      </c>
      <c r="N1772" t="s">
        <v>770</v>
      </c>
      <c r="O1772">
        <v>1</v>
      </c>
      <c r="P1772" t="s">
        <v>776</v>
      </c>
      <c r="Q1772">
        <v>32.9</v>
      </c>
      <c r="R1772">
        <v>5.93</v>
      </c>
      <c r="S1772">
        <v>4.99</v>
      </c>
      <c r="T1772">
        <v>0.9</v>
      </c>
      <c r="Y1772" t="s">
        <v>3615</v>
      </c>
      <c r="Z1772" t="s">
        <v>3012</v>
      </c>
      <c r="AA1772">
        <v>12061</v>
      </c>
      <c r="AB1772" t="s">
        <v>11</v>
      </c>
    </row>
    <row r="1773" spans="1:35" x14ac:dyDescent="0.25">
      <c r="A1773" t="s">
        <v>7689</v>
      </c>
      <c r="C1773" t="s">
        <v>7690</v>
      </c>
      <c r="D1773" t="s">
        <v>7691</v>
      </c>
      <c r="E1773" t="s">
        <v>770</v>
      </c>
      <c r="F1773" t="s">
        <v>1884</v>
      </c>
      <c r="G1773" t="s">
        <v>1854</v>
      </c>
      <c r="H1773" t="s">
        <v>1885</v>
      </c>
      <c r="J1773" t="s">
        <v>773</v>
      </c>
      <c r="K1773" t="s">
        <v>2248</v>
      </c>
      <c r="L1773" t="s">
        <v>173</v>
      </c>
      <c r="M1773" t="s">
        <v>172</v>
      </c>
      <c r="N1773" t="s">
        <v>770</v>
      </c>
      <c r="O1773">
        <v>1</v>
      </c>
      <c r="P1773" t="s">
        <v>776</v>
      </c>
      <c r="Q1773">
        <v>39.9</v>
      </c>
      <c r="R1773">
        <v>7.2</v>
      </c>
      <c r="S1773">
        <v>3</v>
      </c>
      <c r="T1773">
        <v>0.54</v>
      </c>
      <c r="Y1773" t="s">
        <v>4635</v>
      </c>
      <c r="Z1773" t="s">
        <v>2342</v>
      </c>
      <c r="AA1773">
        <v>90011</v>
      </c>
      <c r="AB1773" t="s">
        <v>11</v>
      </c>
    </row>
    <row r="1774" spans="1:35" x14ac:dyDescent="0.25">
      <c r="A1774" t="s">
        <v>7692</v>
      </c>
      <c r="B1774" t="s">
        <v>7692</v>
      </c>
      <c r="C1774" t="s">
        <v>7693</v>
      </c>
      <c r="D1774" t="s">
        <v>7694</v>
      </c>
      <c r="E1774" t="s">
        <v>770</v>
      </c>
      <c r="F1774" t="s">
        <v>771</v>
      </c>
      <c r="G1774" t="s">
        <v>1854</v>
      </c>
      <c r="J1774" t="s">
        <v>783</v>
      </c>
      <c r="K1774" t="s">
        <v>1873</v>
      </c>
      <c r="L1774" t="s">
        <v>840</v>
      </c>
      <c r="M1774" t="s">
        <v>26</v>
      </c>
      <c r="N1774" t="s">
        <v>770</v>
      </c>
      <c r="O1774">
        <v>1</v>
      </c>
      <c r="P1774" t="s">
        <v>776</v>
      </c>
      <c r="Q1774">
        <v>34.9</v>
      </c>
      <c r="R1774">
        <v>6.29</v>
      </c>
      <c r="Y1774" t="s">
        <v>7695</v>
      </c>
      <c r="Z1774" t="s">
        <v>3453</v>
      </c>
      <c r="AA1774">
        <v>33010</v>
      </c>
      <c r="AB1774" t="s">
        <v>11</v>
      </c>
    </row>
    <row r="1775" spans="1:35" x14ac:dyDescent="0.25">
      <c r="A1775" t="s">
        <v>7696</v>
      </c>
      <c r="C1775" t="s">
        <v>7697</v>
      </c>
      <c r="D1775" t="s">
        <v>7698</v>
      </c>
      <c r="E1775" t="s">
        <v>782</v>
      </c>
      <c r="F1775" t="s">
        <v>1884</v>
      </c>
      <c r="G1775" t="s">
        <v>1854</v>
      </c>
      <c r="H1775" t="s">
        <v>1885</v>
      </c>
      <c r="J1775" t="s">
        <v>773</v>
      </c>
      <c r="K1775" t="s">
        <v>1855</v>
      </c>
      <c r="L1775" t="s">
        <v>13</v>
      </c>
      <c r="M1775" t="s">
        <v>12</v>
      </c>
      <c r="O1775">
        <v>0</v>
      </c>
      <c r="Y1775" t="s">
        <v>4692</v>
      </c>
      <c r="Z1775" t="s">
        <v>7077</v>
      </c>
      <c r="AA1775">
        <v>60125</v>
      </c>
      <c r="AB1775" t="s">
        <v>11</v>
      </c>
    </row>
    <row r="1776" spans="1:35" x14ac:dyDescent="0.25">
      <c r="A1776" t="s">
        <v>7699</v>
      </c>
      <c r="B1776" t="s">
        <v>7699</v>
      </c>
      <c r="C1776" t="s">
        <v>7700</v>
      </c>
      <c r="D1776" t="s">
        <v>7701</v>
      </c>
      <c r="E1776" t="s">
        <v>770</v>
      </c>
      <c r="F1776" t="s">
        <v>771</v>
      </c>
      <c r="G1776" t="s">
        <v>1854</v>
      </c>
      <c r="J1776" t="s">
        <v>783</v>
      </c>
      <c r="K1776" t="s">
        <v>2390</v>
      </c>
      <c r="L1776" t="s">
        <v>1094</v>
      </c>
      <c r="M1776" t="s">
        <v>208</v>
      </c>
      <c r="N1776" t="s">
        <v>770</v>
      </c>
      <c r="O1776">
        <v>1</v>
      </c>
      <c r="P1776" t="s">
        <v>776</v>
      </c>
      <c r="Q1776">
        <v>79.900000000000006</v>
      </c>
      <c r="R1776">
        <v>14.41</v>
      </c>
      <c r="Y1776" t="s">
        <v>7702</v>
      </c>
      <c r="Z1776" t="s">
        <v>3089</v>
      </c>
      <c r="AA1776">
        <v>25080</v>
      </c>
      <c r="AB1776" t="s">
        <v>11</v>
      </c>
    </row>
    <row r="1777" spans="1:35" x14ac:dyDescent="0.25">
      <c r="A1777" t="s">
        <v>7703</v>
      </c>
      <c r="C1777" t="s">
        <v>7704</v>
      </c>
      <c r="D1777" t="s">
        <v>7705</v>
      </c>
      <c r="E1777" t="s">
        <v>770</v>
      </c>
      <c r="F1777" t="s">
        <v>1884</v>
      </c>
      <c r="G1777" t="s">
        <v>1854</v>
      </c>
      <c r="H1777" t="s">
        <v>1885</v>
      </c>
      <c r="J1777" t="s">
        <v>773</v>
      </c>
      <c r="K1777" t="s">
        <v>1855</v>
      </c>
      <c r="L1777" t="s">
        <v>13</v>
      </c>
      <c r="M1777" t="s">
        <v>12</v>
      </c>
      <c r="N1777" t="s">
        <v>770</v>
      </c>
      <c r="O1777">
        <v>1</v>
      </c>
      <c r="P1777" t="s">
        <v>776</v>
      </c>
      <c r="Q1777">
        <v>19.899999999999999</v>
      </c>
      <c r="R1777">
        <v>3.59</v>
      </c>
      <c r="S1777">
        <v>3</v>
      </c>
      <c r="T1777">
        <v>0.54</v>
      </c>
      <c r="Y1777" t="s">
        <v>7706</v>
      </c>
      <c r="Z1777" t="s">
        <v>1875</v>
      </c>
      <c r="AA1777">
        <v>20082</v>
      </c>
      <c r="AB1777" t="s">
        <v>11</v>
      </c>
    </row>
    <row r="1778" spans="1:35" x14ac:dyDescent="0.25">
      <c r="A1778" t="s">
        <v>7707</v>
      </c>
      <c r="C1778" t="s">
        <v>7708</v>
      </c>
      <c r="D1778" t="s">
        <v>7201</v>
      </c>
      <c r="E1778" t="s">
        <v>782</v>
      </c>
      <c r="F1778" t="s">
        <v>1884</v>
      </c>
      <c r="G1778" t="s">
        <v>1854</v>
      </c>
      <c r="H1778" t="s">
        <v>1885</v>
      </c>
      <c r="J1778" t="s">
        <v>773</v>
      </c>
      <c r="K1778" t="s">
        <v>1886</v>
      </c>
      <c r="L1778" t="s">
        <v>18</v>
      </c>
      <c r="M1778" t="s">
        <v>17</v>
      </c>
      <c r="O1778">
        <v>0</v>
      </c>
    </row>
    <row r="1779" spans="1:35" x14ac:dyDescent="0.25">
      <c r="A1779" t="s">
        <v>7709</v>
      </c>
      <c r="C1779" t="s">
        <v>7710</v>
      </c>
      <c r="D1779" t="s">
        <v>7711</v>
      </c>
      <c r="E1779" t="s">
        <v>770</v>
      </c>
      <c r="F1779" t="s">
        <v>1884</v>
      </c>
      <c r="G1779" t="s">
        <v>1854</v>
      </c>
      <c r="H1779" t="s">
        <v>1885</v>
      </c>
      <c r="J1779" t="s">
        <v>773</v>
      </c>
      <c r="K1779" t="s">
        <v>1855</v>
      </c>
      <c r="L1779" t="s">
        <v>13</v>
      </c>
      <c r="M1779" t="s">
        <v>12</v>
      </c>
      <c r="N1779" t="s">
        <v>770</v>
      </c>
      <c r="O1779">
        <v>1</v>
      </c>
      <c r="P1779" t="s">
        <v>776</v>
      </c>
      <c r="Q1779">
        <v>19.899999999999999</v>
      </c>
      <c r="R1779">
        <v>3.59</v>
      </c>
      <c r="S1779">
        <v>3</v>
      </c>
      <c r="T1779">
        <v>0.54</v>
      </c>
      <c r="Y1779" t="s">
        <v>3608</v>
      </c>
      <c r="Z1779" t="s">
        <v>2621</v>
      </c>
      <c r="AA1779">
        <v>21100</v>
      </c>
      <c r="AB1779" t="s">
        <v>11</v>
      </c>
    </row>
    <row r="1780" spans="1:35" x14ac:dyDescent="0.25">
      <c r="A1780" t="s">
        <v>7712</v>
      </c>
      <c r="B1780" t="s">
        <v>7712</v>
      </c>
      <c r="C1780" t="s">
        <v>7713</v>
      </c>
      <c r="D1780" t="s">
        <v>7714</v>
      </c>
      <c r="E1780" t="s">
        <v>770</v>
      </c>
      <c r="F1780" t="s">
        <v>771</v>
      </c>
      <c r="G1780" t="s">
        <v>1854</v>
      </c>
      <c r="J1780" t="s">
        <v>783</v>
      </c>
      <c r="K1780" t="s">
        <v>2162</v>
      </c>
      <c r="L1780" t="s">
        <v>2163</v>
      </c>
      <c r="M1780" t="s">
        <v>59</v>
      </c>
      <c r="N1780" t="s">
        <v>770</v>
      </c>
      <c r="O1780">
        <v>1</v>
      </c>
      <c r="P1780" t="s">
        <v>776</v>
      </c>
      <c r="Q1780">
        <v>29.9</v>
      </c>
      <c r="R1780">
        <v>5.39</v>
      </c>
      <c r="Y1780" t="s">
        <v>2001</v>
      </c>
      <c r="Z1780" t="s">
        <v>1864</v>
      </c>
      <c r="AA1780">
        <v>20094</v>
      </c>
      <c r="AB1780" t="s">
        <v>11</v>
      </c>
    </row>
    <row r="1781" spans="1:35" x14ac:dyDescent="0.25">
      <c r="A1781" t="s">
        <v>7715</v>
      </c>
      <c r="C1781" t="s">
        <v>7716</v>
      </c>
      <c r="D1781" t="s">
        <v>7717</v>
      </c>
      <c r="E1781" t="s">
        <v>770</v>
      </c>
      <c r="F1781" t="s">
        <v>1884</v>
      </c>
      <c r="G1781" t="s">
        <v>1854</v>
      </c>
      <c r="H1781" t="s">
        <v>1885</v>
      </c>
      <c r="J1781" t="s">
        <v>773</v>
      </c>
      <c r="K1781" t="s">
        <v>1855</v>
      </c>
      <c r="L1781" t="s">
        <v>13</v>
      </c>
      <c r="M1781" t="s">
        <v>12</v>
      </c>
      <c r="N1781" t="s">
        <v>770</v>
      </c>
      <c r="O1781">
        <v>1</v>
      </c>
      <c r="P1781" t="s">
        <v>776</v>
      </c>
      <c r="Q1781">
        <v>19.899999999999999</v>
      </c>
      <c r="R1781">
        <v>3.59</v>
      </c>
      <c r="S1781">
        <v>3</v>
      </c>
      <c r="T1781">
        <v>0.54</v>
      </c>
      <c r="Y1781" t="s">
        <v>2061</v>
      </c>
      <c r="Z1781" t="s">
        <v>1913</v>
      </c>
      <c r="AA1781">
        <v>13</v>
      </c>
      <c r="AB1781" t="s">
        <v>11</v>
      </c>
    </row>
    <row r="1782" spans="1:35" x14ac:dyDescent="0.25">
      <c r="A1782" t="s">
        <v>7718</v>
      </c>
      <c r="B1782" t="s">
        <v>7718</v>
      </c>
      <c r="C1782" t="s">
        <v>7719</v>
      </c>
      <c r="D1782" t="s">
        <v>7720</v>
      </c>
      <c r="E1782" t="s">
        <v>770</v>
      </c>
      <c r="F1782" t="s">
        <v>771</v>
      </c>
      <c r="G1782" t="s">
        <v>1854</v>
      </c>
      <c r="J1782" t="s">
        <v>783</v>
      </c>
      <c r="K1782" t="s">
        <v>2390</v>
      </c>
      <c r="L1782" t="s">
        <v>1094</v>
      </c>
      <c r="M1782" t="s">
        <v>208</v>
      </c>
      <c r="N1782" t="s">
        <v>770</v>
      </c>
      <c r="O1782">
        <v>1</v>
      </c>
      <c r="P1782" t="s">
        <v>776</v>
      </c>
      <c r="Q1782">
        <v>79.900000000000006</v>
      </c>
      <c r="R1782">
        <v>14.41</v>
      </c>
      <c r="Y1782" t="s">
        <v>7721</v>
      </c>
      <c r="Z1782" t="s">
        <v>7722</v>
      </c>
      <c r="AA1782">
        <v>45100</v>
      </c>
      <c r="AB1782" t="s">
        <v>11</v>
      </c>
      <c r="AG1782" t="s">
        <v>7723</v>
      </c>
      <c r="AH1782" t="s">
        <v>11</v>
      </c>
      <c r="AI1782" t="s">
        <v>2459</v>
      </c>
    </row>
    <row r="1783" spans="1:35" x14ac:dyDescent="0.25">
      <c r="A1783" t="s">
        <v>7724</v>
      </c>
      <c r="C1783" t="s">
        <v>7725</v>
      </c>
      <c r="D1783" t="s">
        <v>7726</v>
      </c>
      <c r="E1783" t="s">
        <v>770</v>
      </c>
      <c r="F1783" t="s">
        <v>1884</v>
      </c>
      <c r="G1783" t="s">
        <v>1854</v>
      </c>
      <c r="H1783" t="s">
        <v>1885</v>
      </c>
      <c r="J1783" t="s">
        <v>773</v>
      </c>
      <c r="K1783" t="s">
        <v>1855</v>
      </c>
      <c r="L1783" t="s">
        <v>13</v>
      </c>
      <c r="M1783" t="s">
        <v>12</v>
      </c>
      <c r="N1783" t="s">
        <v>770</v>
      </c>
      <c r="O1783">
        <v>1</v>
      </c>
      <c r="P1783" t="s">
        <v>776</v>
      </c>
      <c r="Q1783">
        <v>19.899999999999999</v>
      </c>
      <c r="R1783">
        <v>3.59</v>
      </c>
      <c r="S1783">
        <v>3</v>
      </c>
      <c r="T1783">
        <v>0.54</v>
      </c>
      <c r="Y1783" t="s">
        <v>1893</v>
      </c>
      <c r="Z1783" t="s">
        <v>4646</v>
      </c>
      <c r="AA1783">
        <v>10144</v>
      </c>
      <c r="AB1783" t="s">
        <v>11</v>
      </c>
    </row>
    <row r="1784" spans="1:35" x14ac:dyDescent="0.25">
      <c r="A1784" t="s">
        <v>7727</v>
      </c>
      <c r="C1784" t="s">
        <v>7728</v>
      </c>
      <c r="D1784" t="s">
        <v>7729</v>
      </c>
      <c r="E1784" t="s">
        <v>770</v>
      </c>
      <c r="F1784" t="s">
        <v>1884</v>
      </c>
      <c r="G1784" t="s">
        <v>1854</v>
      </c>
      <c r="H1784" t="s">
        <v>1885</v>
      </c>
      <c r="J1784" t="s">
        <v>773</v>
      </c>
      <c r="K1784" t="s">
        <v>1855</v>
      </c>
      <c r="L1784" t="s">
        <v>13</v>
      </c>
      <c r="M1784" t="s">
        <v>12</v>
      </c>
      <c r="N1784" t="s">
        <v>770</v>
      </c>
      <c r="O1784">
        <v>1</v>
      </c>
      <c r="P1784" t="s">
        <v>776</v>
      </c>
      <c r="Q1784">
        <v>19.899999999999999</v>
      </c>
      <c r="R1784">
        <v>3.59</v>
      </c>
      <c r="S1784">
        <v>3</v>
      </c>
      <c r="T1784">
        <v>0.54</v>
      </c>
      <c r="Y1784" t="s">
        <v>1913</v>
      </c>
      <c r="Z1784" t="s">
        <v>1926</v>
      </c>
      <c r="AA1784">
        <v>148</v>
      </c>
      <c r="AB1784" t="s">
        <v>11</v>
      </c>
    </row>
    <row r="1785" spans="1:35" x14ac:dyDescent="0.25">
      <c r="A1785" t="s">
        <v>7730</v>
      </c>
      <c r="B1785" t="s">
        <v>7730</v>
      </c>
      <c r="C1785" t="s">
        <v>7731</v>
      </c>
      <c r="D1785" t="s">
        <v>7732</v>
      </c>
      <c r="E1785" t="s">
        <v>770</v>
      </c>
      <c r="F1785" t="s">
        <v>771</v>
      </c>
      <c r="G1785" t="s">
        <v>1854</v>
      </c>
      <c r="J1785" t="s">
        <v>783</v>
      </c>
      <c r="K1785" t="s">
        <v>2162</v>
      </c>
      <c r="L1785" t="s">
        <v>2163</v>
      </c>
      <c r="M1785" t="s">
        <v>59</v>
      </c>
      <c r="N1785" t="s">
        <v>770</v>
      </c>
      <c r="O1785">
        <v>1</v>
      </c>
      <c r="P1785" t="s">
        <v>776</v>
      </c>
      <c r="Q1785">
        <v>29.9</v>
      </c>
      <c r="R1785">
        <v>5.39</v>
      </c>
      <c r="Y1785" t="s">
        <v>7733</v>
      </c>
      <c r="Z1785" t="s">
        <v>2597</v>
      </c>
      <c r="AA1785">
        <v>70010</v>
      </c>
      <c r="AB1785" t="s">
        <v>11</v>
      </c>
    </row>
    <row r="1786" spans="1:35" x14ac:dyDescent="0.25">
      <c r="A1786" t="s">
        <v>7734</v>
      </c>
      <c r="B1786" t="s">
        <v>7734</v>
      </c>
      <c r="C1786" t="s">
        <v>7735</v>
      </c>
      <c r="D1786" t="s">
        <v>7736</v>
      </c>
      <c r="E1786" t="s">
        <v>770</v>
      </c>
      <c r="F1786" t="s">
        <v>771</v>
      </c>
      <c r="G1786" t="s">
        <v>1854</v>
      </c>
      <c r="J1786" t="s">
        <v>783</v>
      </c>
      <c r="K1786" t="s">
        <v>1873</v>
      </c>
      <c r="L1786" t="s">
        <v>840</v>
      </c>
      <c r="M1786" t="s">
        <v>26</v>
      </c>
      <c r="N1786" t="s">
        <v>770</v>
      </c>
      <c r="O1786">
        <v>1</v>
      </c>
      <c r="P1786" t="s">
        <v>776</v>
      </c>
      <c r="Q1786">
        <v>34.9</v>
      </c>
      <c r="R1786">
        <v>6.29</v>
      </c>
      <c r="Y1786" t="s">
        <v>1875</v>
      </c>
      <c r="Z1786" t="s">
        <v>1875</v>
      </c>
      <c r="AA1786">
        <v>20135</v>
      </c>
      <c r="AB1786" t="s">
        <v>11</v>
      </c>
    </row>
    <row r="1787" spans="1:35" x14ac:dyDescent="0.25">
      <c r="A1787" t="s">
        <v>7737</v>
      </c>
      <c r="C1787" t="s">
        <v>7738</v>
      </c>
      <c r="D1787" t="s">
        <v>7739</v>
      </c>
      <c r="E1787" t="s">
        <v>770</v>
      </c>
      <c r="F1787" t="s">
        <v>1884</v>
      </c>
      <c r="G1787" t="s">
        <v>1854</v>
      </c>
      <c r="H1787" t="s">
        <v>1885</v>
      </c>
      <c r="J1787" t="s">
        <v>773</v>
      </c>
      <c r="K1787" t="s">
        <v>1855</v>
      </c>
      <c r="L1787" t="s">
        <v>13</v>
      </c>
      <c r="M1787" t="s">
        <v>12</v>
      </c>
      <c r="N1787" t="s">
        <v>770</v>
      </c>
      <c r="O1787">
        <v>1</v>
      </c>
      <c r="P1787" t="s">
        <v>776</v>
      </c>
      <c r="Q1787">
        <v>19.899999999999999</v>
      </c>
      <c r="R1787">
        <v>3.59</v>
      </c>
      <c r="S1787">
        <v>3</v>
      </c>
      <c r="T1787">
        <v>0.54</v>
      </c>
      <c r="Y1787" t="s">
        <v>2273</v>
      </c>
      <c r="Z1787" t="s">
        <v>2057</v>
      </c>
      <c r="AA1787">
        <v>37045</v>
      </c>
      <c r="AB1787" t="s">
        <v>11</v>
      </c>
    </row>
    <row r="1788" spans="1:35" x14ac:dyDescent="0.25">
      <c r="A1788" t="s">
        <v>7740</v>
      </c>
      <c r="B1788" t="s">
        <v>7740</v>
      </c>
      <c r="C1788" t="s">
        <v>7741</v>
      </c>
      <c r="D1788" t="s">
        <v>7742</v>
      </c>
      <c r="E1788" t="s">
        <v>770</v>
      </c>
      <c r="F1788" t="s">
        <v>771</v>
      </c>
      <c r="G1788" t="s">
        <v>1854</v>
      </c>
      <c r="J1788" t="s">
        <v>783</v>
      </c>
      <c r="K1788" t="s">
        <v>1873</v>
      </c>
      <c r="L1788" t="s">
        <v>840</v>
      </c>
      <c r="M1788" t="s">
        <v>26</v>
      </c>
      <c r="N1788" t="s">
        <v>770</v>
      </c>
      <c r="O1788">
        <v>1</v>
      </c>
      <c r="P1788" t="s">
        <v>776</v>
      </c>
      <c r="Q1788">
        <v>34.9</v>
      </c>
      <c r="R1788">
        <v>6.29</v>
      </c>
      <c r="Y1788" t="s">
        <v>7743</v>
      </c>
      <c r="Z1788" t="s">
        <v>2165</v>
      </c>
      <c r="AA1788">
        <v>55049</v>
      </c>
      <c r="AB1788" t="s">
        <v>11</v>
      </c>
    </row>
    <row r="1789" spans="1:35" x14ac:dyDescent="0.25">
      <c r="A1789" t="s">
        <v>7744</v>
      </c>
      <c r="B1789" t="s">
        <v>7744</v>
      </c>
      <c r="C1789" t="s">
        <v>7745</v>
      </c>
      <c r="D1789" t="s">
        <v>7746</v>
      </c>
      <c r="E1789" t="s">
        <v>770</v>
      </c>
      <c r="F1789" t="s">
        <v>771</v>
      </c>
      <c r="G1789" t="s">
        <v>1854</v>
      </c>
      <c r="J1789" t="s">
        <v>783</v>
      </c>
      <c r="K1789" t="s">
        <v>1862</v>
      </c>
      <c r="L1789" t="s">
        <v>1505</v>
      </c>
      <c r="M1789" t="s">
        <v>53</v>
      </c>
      <c r="N1789" t="s">
        <v>770</v>
      </c>
      <c r="O1789">
        <v>1</v>
      </c>
      <c r="P1789" t="s">
        <v>776</v>
      </c>
      <c r="Q1789">
        <v>32.9</v>
      </c>
      <c r="R1789">
        <v>5.93</v>
      </c>
      <c r="Y1789" t="s">
        <v>7747</v>
      </c>
      <c r="Z1789" t="s">
        <v>7748</v>
      </c>
      <c r="AA1789">
        <v>36045</v>
      </c>
      <c r="AB1789" t="s">
        <v>11</v>
      </c>
    </row>
    <row r="1790" spans="1:35" x14ac:dyDescent="0.25">
      <c r="A1790" t="s">
        <v>7749</v>
      </c>
      <c r="B1790" t="s">
        <v>7749</v>
      </c>
      <c r="C1790" t="s">
        <v>7750</v>
      </c>
      <c r="D1790" t="s">
        <v>7751</v>
      </c>
      <c r="E1790" t="s">
        <v>770</v>
      </c>
      <c r="F1790" t="s">
        <v>771</v>
      </c>
      <c r="G1790" t="s">
        <v>1854</v>
      </c>
      <c r="J1790" t="s">
        <v>783</v>
      </c>
      <c r="K1790" t="s">
        <v>1873</v>
      </c>
      <c r="L1790" t="s">
        <v>840</v>
      </c>
      <c r="M1790" t="s">
        <v>26</v>
      </c>
      <c r="N1790" t="s">
        <v>770</v>
      </c>
      <c r="O1790">
        <v>1</v>
      </c>
      <c r="P1790" t="s">
        <v>776</v>
      </c>
      <c r="Q1790">
        <v>34.9</v>
      </c>
      <c r="R1790">
        <v>6.29</v>
      </c>
      <c r="Y1790" t="s">
        <v>7752</v>
      </c>
      <c r="Z1790" t="s">
        <v>1922</v>
      </c>
      <c r="AA1790">
        <v>31048</v>
      </c>
      <c r="AB1790" t="s">
        <v>11</v>
      </c>
    </row>
    <row r="1791" spans="1:35" x14ac:dyDescent="0.25">
      <c r="A1791" t="s">
        <v>7753</v>
      </c>
      <c r="C1791" t="s">
        <v>7754</v>
      </c>
      <c r="D1791" t="s">
        <v>7684</v>
      </c>
      <c r="E1791" t="s">
        <v>770</v>
      </c>
      <c r="F1791" t="s">
        <v>1884</v>
      </c>
      <c r="G1791" t="s">
        <v>1854</v>
      </c>
      <c r="H1791" t="s">
        <v>1885</v>
      </c>
      <c r="J1791" t="s">
        <v>773</v>
      </c>
      <c r="K1791" t="s">
        <v>2248</v>
      </c>
      <c r="L1791" t="s">
        <v>173</v>
      </c>
      <c r="M1791" t="s">
        <v>172</v>
      </c>
      <c r="N1791" t="s">
        <v>770</v>
      </c>
      <c r="O1791">
        <v>1</v>
      </c>
      <c r="P1791" t="s">
        <v>776</v>
      </c>
      <c r="Q1791">
        <v>39.9</v>
      </c>
      <c r="R1791">
        <v>7.2</v>
      </c>
      <c r="S1791">
        <v>3</v>
      </c>
      <c r="T1791">
        <v>0.54</v>
      </c>
      <c r="Y1791" t="s">
        <v>3577</v>
      </c>
      <c r="Z1791" t="s">
        <v>2148</v>
      </c>
      <c r="AA1791">
        <v>28100</v>
      </c>
      <c r="AB1791" t="s">
        <v>11</v>
      </c>
    </row>
    <row r="1792" spans="1:35" x14ac:dyDescent="0.25">
      <c r="A1792" t="s">
        <v>7753</v>
      </c>
      <c r="C1792" t="s">
        <v>7754</v>
      </c>
      <c r="D1792" t="s">
        <v>7684</v>
      </c>
      <c r="E1792" t="s">
        <v>770</v>
      </c>
      <c r="F1792" t="s">
        <v>1884</v>
      </c>
      <c r="G1792" t="s">
        <v>1854</v>
      </c>
      <c r="H1792" t="s">
        <v>1885</v>
      </c>
      <c r="J1792" t="s">
        <v>773</v>
      </c>
      <c r="K1792" t="s">
        <v>2252</v>
      </c>
      <c r="L1792" t="s">
        <v>74</v>
      </c>
      <c r="M1792" t="s">
        <v>73</v>
      </c>
      <c r="N1792" t="s">
        <v>770</v>
      </c>
      <c r="O1792">
        <v>1</v>
      </c>
      <c r="P1792" t="s">
        <v>776</v>
      </c>
      <c r="Q1792">
        <v>14.9</v>
      </c>
      <c r="R1792">
        <v>2.69</v>
      </c>
      <c r="S1792">
        <v>3</v>
      </c>
      <c r="T1792">
        <v>0.54</v>
      </c>
      <c r="Y1792" t="s">
        <v>3577</v>
      </c>
      <c r="Z1792" t="s">
        <v>2148</v>
      </c>
      <c r="AA1792">
        <v>28100</v>
      </c>
      <c r="AB1792" t="s">
        <v>11</v>
      </c>
    </row>
    <row r="1793" spans="1:35" x14ac:dyDescent="0.25">
      <c r="A1793" t="s">
        <v>7755</v>
      </c>
      <c r="C1793" t="s">
        <v>7756</v>
      </c>
      <c r="D1793" t="s">
        <v>7757</v>
      </c>
      <c r="E1793" t="s">
        <v>770</v>
      </c>
      <c r="F1793" t="s">
        <v>1884</v>
      </c>
      <c r="G1793" t="s">
        <v>1854</v>
      </c>
      <c r="H1793" t="s">
        <v>1885</v>
      </c>
      <c r="J1793" t="s">
        <v>773</v>
      </c>
      <c r="K1793" t="s">
        <v>1855</v>
      </c>
      <c r="L1793" t="s">
        <v>13</v>
      </c>
      <c r="M1793" t="s">
        <v>12</v>
      </c>
      <c r="N1793" t="s">
        <v>770</v>
      </c>
      <c r="O1793">
        <v>1</v>
      </c>
      <c r="P1793" t="s">
        <v>776</v>
      </c>
      <c r="Q1793">
        <v>19.899999999999999</v>
      </c>
      <c r="R1793">
        <v>3.59</v>
      </c>
      <c r="S1793">
        <v>3</v>
      </c>
      <c r="T1793">
        <v>0.54</v>
      </c>
      <c r="Y1793" t="s">
        <v>7758</v>
      </c>
      <c r="Z1793" t="s">
        <v>2188</v>
      </c>
      <c r="AA1793">
        <v>64100</v>
      </c>
      <c r="AB1793" t="s">
        <v>11</v>
      </c>
    </row>
    <row r="1794" spans="1:35" x14ac:dyDescent="0.25">
      <c r="A1794" t="s">
        <v>7759</v>
      </c>
      <c r="C1794" t="s">
        <v>7760</v>
      </c>
      <c r="D1794" t="s">
        <v>7761</v>
      </c>
      <c r="E1794" t="s">
        <v>782</v>
      </c>
      <c r="F1794" t="s">
        <v>1884</v>
      </c>
      <c r="G1794" t="s">
        <v>1854</v>
      </c>
      <c r="H1794" t="s">
        <v>1885</v>
      </c>
      <c r="J1794" t="s">
        <v>773</v>
      </c>
      <c r="K1794" t="s">
        <v>1855</v>
      </c>
      <c r="L1794" t="s">
        <v>13</v>
      </c>
      <c r="M1794" t="s">
        <v>12</v>
      </c>
      <c r="O1794">
        <v>0</v>
      </c>
      <c r="Y1794" t="s">
        <v>5097</v>
      </c>
      <c r="Z1794" t="s">
        <v>2528</v>
      </c>
      <c r="AA1794">
        <v>85025</v>
      </c>
      <c r="AB1794" t="s">
        <v>11</v>
      </c>
    </row>
    <row r="1795" spans="1:35" x14ac:dyDescent="0.25">
      <c r="A1795" t="s">
        <v>7762</v>
      </c>
      <c r="B1795" t="s">
        <v>7762</v>
      </c>
      <c r="C1795" t="s">
        <v>7763</v>
      </c>
      <c r="D1795" t="s">
        <v>7764</v>
      </c>
      <c r="E1795" t="s">
        <v>770</v>
      </c>
      <c r="F1795" t="s">
        <v>771</v>
      </c>
      <c r="G1795" t="s">
        <v>1854</v>
      </c>
      <c r="J1795" t="s">
        <v>783</v>
      </c>
      <c r="K1795" t="s">
        <v>1879</v>
      </c>
      <c r="L1795" t="s">
        <v>1056</v>
      </c>
      <c r="M1795" t="s">
        <v>212</v>
      </c>
      <c r="N1795" t="s">
        <v>770</v>
      </c>
      <c r="O1795">
        <v>1</v>
      </c>
      <c r="P1795" t="s">
        <v>776</v>
      </c>
      <c r="Q1795">
        <v>39.9</v>
      </c>
      <c r="R1795">
        <v>7.2</v>
      </c>
      <c r="Y1795" t="s">
        <v>3544</v>
      </c>
      <c r="Z1795" t="s">
        <v>1864</v>
      </c>
      <c r="AA1795">
        <v>20098</v>
      </c>
      <c r="AB1795" t="s">
        <v>11</v>
      </c>
    </row>
    <row r="1796" spans="1:35" x14ac:dyDescent="0.25">
      <c r="A1796" t="s">
        <v>7765</v>
      </c>
      <c r="C1796" t="s">
        <v>7766</v>
      </c>
      <c r="D1796" t="s">
        <v>7767</v>
      </c>
      <c r="E1796" t="s">
        <v>770</v>
      </c>
      <c r="F1796" t="s">
        <v>1884</v>
      </c>
      <c r="G1796" t="s">
        <v>1854</v>
      </c>
      <c r="H1796" t="s">
        <v>1885</v>
      </c>
      <c r="J1796" t="s">
        <v>773</v>
      </c>
      <c r="K1796" t="s">
        <v>1855</v>
      </c>
      <c r="L1796" t="s">
        <v>13</v>
      </c>
      <c r="M1796" t="s">
        <v>12</v>
      </c>
      <c r="N1796" t="s">
        <v>770</v>
      </c>
      <c r="O1796">
        <v>1</v>
      </c>
      <c r="P1796" t="s">
        <v>776</v>
      </c>
      <c r="Q1796">
        <v>19.899999999999999</v>
      </c>
      <c r="R1796">
        <v>3.59</v>
      </c>
      <c r="S1796">
        <v>3</v>
      </c>
      <c r="T1796">
        <v>0.54</v>
      </c>
      <c r="Y1796" t="s">
        <v>1908</v>
      </c>
      <c r="Z1796" t="s">
        <v>1908</v>
      </c>
      <c r="AA1796">
        <v>80144</v>
      </c>
      <c r="AB1796" t="s">
        <v>11</v>
      </c>
    </row>
    <row r="1797" spans="1:35" x14ac:dyDescent="0.25">
      <c r="A1797" t="s">
        <v>7768</v>
      </c>
      <c r="B1797" t="s">
        <v>7768</v>
      </c>
      <c r="C1797" t="s">
        <v>7769</v>
      </c>
      <c r="D1797" t="s">
        <v>7770</v>
      </c>
      <c r="E1797" t="s">
        <v>770</v>
      </c>
      <c r="F1797" t="s">
        <v>771</v>
      </c>
      <c r="G1797" t="s">
        <v>1854</v>
      </c>
      <c r="J1797" t="s">
        <v>783</v>
      </c>
      <c r="K1797" t="s">
        <v>1862</v>
      </c>
      <c r="L1797" t="s">
        <v>1505</v>
      </c>
      <c r="M1797" t="s">
        <v>53</v>
      </c>
      <c r="N1797" t="s">
        <v>770</v>
      </c>
      <c r="O1797">
        <v>1</v>
      </c>
      <c r="P1797" t="s">
        <v>776</v>
      </c>
      <c r="Q1797">
        <v>32.9</v>
      </c>
      <c r="R1797">
        <v>5.93</v>
      </c>
      <c r="Y1797" t="s">
        <v>7771</v>
      </c>
      <c r="Z1797" t="s">
        <v>1908</v>
      </c>
      <c r="AA1797">
        <v>80046</v>
      </c>
      <c r="AB1797" t="s">
        <v>11</v>
      </c>
    </row>
    <row r="1798" spans="1:35" x14ac:dyDescent="0.25">
      <c r="A1798" t="s">
        <v>7772</v>
      </c>
      <c r="B1798" t="s">
        <v>7772</v>
      </c>
      <c r="C1798" t="s">
        <v>7773</v>
      </c>
      <c r="D1798" t="s">
        <v>7774</v>
      </c>
      <c r="E1798" t="s">
        <v>770</v>
      </c>
      <c r="F1798" t="s">
        <v>771</v>
      </c>
      <c r="G1798" t="s">
        <v>1854</v>
      </c>
      <c r="J1798" t="s">
        <v>783</v>
      </c>
      <c r="K1798" t="s">
        <v>3363</v>
      </c>
      <c r="L1798" t="s">
        <v>5572</v>
      </c>
      <c r="M1798" t="s">
        <v>71</v>
      </c>
      <c r="N1798" t="s">
        <v>770</v>
      </c>
      <c r="O1798">
        <v>1</v>
      </c>
      <c r="P1798" t="s">
        <v>776</v>
      </c>
      <c r="Q1798">
        <v>29.9</v>
      </c>
      <c r="R1798">
        <v>5.39</v>
      </c>
      <c r="Y1798" t="s">
        <v>2134</v>
      </c>
      <c r="Z1798" t="s">
        <v>1913</v>
      </c>
      <c r="AA1798">
        <v>139</v>
      </c>
      <c r="AB1798" t="s">
        <v>11</v>
      </c>
    </row>
    <row r="1799" spans="1:35" x14ac:dyDescent="0.25">
      <c r="A1799" t="s">
        <v>7775</v>
      </c>
      <c r="B1799" t="s">
        <v>7775</v>
      </c>
      <c r="C1799" t="s">
        <v>7776</v>
      </c>
      <c r="D1799" t="s">
        <v>7777</v>
      </c>
      <c r="E1799" t="s">
        <v>770</v>
      </c>
      <c r="F1799" t="s">
        <v>771</v>
      </c>
      <c r="G1799" t="s">
        <v>1854</v>
      </c>
      <c r="J1799" t="s">
        <v>783</v>
      </c>
      <c r="K1799" t="s">
        <v>1960</v>
      </c>
      <c r="L1799" t="s">
        <v>1047</v>
      </c>
      <c r="M1799" t="s">
        <v>21</v>
      </c>
      <c r="N1799" t="s">
        <v>770</v>
      </c>
      <c r="O1799">
        <v>1</v>
      </c>
      <c r="P1799" t="s">
        <v>776</v>
      </c>
      <c r="Q1799">
        <v>32.9</v>
      </c>
      <c r="R1799">
        <v>5.93</v>
      </c>
      <c r="S1799">
        <v>3.99</v>
      </c>
      <c r="T1799">
        <v>0.72</v>
      </c>
      <c r="Y1799" t="s">
        <v>2286</v>
      </c>
      <c r="Z1799" t="s">
        <v>4965</v>
      </c>
      <c r="AA1799">
        <v>56125</v>
      </c>
      <c r="AB1799" t="s">
        <v>11</v>
      </c>
    </row>
    <row r="1800" spans="1:35" x14ac:dyDescent="0.25">
      <c r="A1800" t="s">
        <v>7778</v>
      </c>
      <c r="C1800" t="s">
        <v>7779</v>
      </c>
      <c r="D1800" t="s">
        <v>7780</v>
      </c>
      <c r="E1800" t="s">
        <v>770</v>
      </c>
      <c r="F1800" t="s">
        <v>1884</v>
      </c>
      <c r="G1800" t="s">
        <v>1854</v>
      </c>
      <c r="H1800" t="s">
        <v>1885</v>
      </c>
      <c r="J1800" t="s">
        <v>773</v>
      </c>
      <c r="K1800" t="s">
        <v>1886</v>
      </c>
      <c r="L1800" t="s">
        <v>18</v>
      </c>
      <c r="M1800" t="s">
        <v>17</v>
      </c>
      <c r="N1800" t="s">
        <v>770</v>
      </c>
      <c r="O1800">
        <v>1</v>
      </c>
      <c r="P1800" t="s">
        <v>776</v>
      </c>
      <c r="Q1800">
        <v>22.9</v>
      </c>
      <c r="R1800">
        <v>4.13</v>
      </c>
      <c r="S1800">
        <v>3</v>
      </c>
      <c r="T1800">
        <v>0.54</v>
      </c>
      <c r="Y1800" t="s">
        <v>7781</v>
      </c>
      <c r="Z1800" t="s">
        <v>3185</v>
      </c>
      <c r="AA1800">
        <v>33085</v>
      </c>
      <c r="AB1800" t="s">
        <v>11</v>
      </c>
    </row>
    <row r="1801" spans="1:35" x14ac:dyDescent="0.25">
      <c r="A1801" t="s">
        <v>7782</v>
      </c>
      <c r="C1801" t="s">
        <v>7783</v>
      </c>
      <c r="D1801" t="s">
        <v>7684</v>
      </c>
      <c r="E1801" t="s">
        <v>770</v>
      </c>
      <c r="F1801" t="s">
        <v>1884</v>
      </c>
      <c r="G1801" t="s">
        <v>1854</v>
      </c>
      <c r="H1801" t="s">
        <v>1885</v>
      </c>
      <c r="J1801" t="s">
        <v>773</v>
      </c>
      <c r="K1801" t="s">
        <v>2248</v>
      </c>
      <c r="L1801" t="s">
        <v>173</v>
      </c>
      <c r="M1801" t="s">
        <v>172</v>
      </c>
      <c r="N1801" t="s">
        <v>770</v>
      </c>
      <c r="O1801">
        <v>1</v>
      </c>
      <c r="P1801" t="s">
        <v>776</v>
      </c>
      <c r="Q1801">
        <v>39.9</v>
      </c>
      <c r="R1801">
        <v>7.2</v>
      </c>
      <c r="S1801">
        <v>3</v>
      </c>
      <c r="T1801">
        <v>0.54</v>
      </c>
      <c r="Y1801" t="s">
        <v>7784</v>
      </c>
      <c r="Z1801" t="s">
        <v>1908</v>
      </c>
      <c r="AA1801">
        <v>80029</v>
      </c>
      <c r="AB1801" t="s">
        <v>11</v>
      </c>
    </row>
    <row r="1802" spans="1:35" x14ac:dyDescent="0.25">
      <c r="A1802" t="s">
        <v>7785</v>
      </c>
      <c r="B1802" t="s">
        <v>7785</v>
      </c>
      <c r="C1802" t="s">
        <v>7786</v>
      </c>
      <c r="D1802" t="s">
        <v>7787</v>
      </c>
      <c r="E1802" t="s">
        <v>770</v>
      </c>
      <c r="F1802" t="s">
        <v>771</v>
      </c>
      <c r="G1802" t="s">
        <v>1854</v>
      </c>
      <c r="J1802" t="s">
        <v>783</v>
      </c>
      <c r="K1802" t="s">
        <v>1930</v>
      </c>
      <c r="L1802" t="s">
        <v>775</v>
      </c>
      <c r="M1802" t="s">
        <v>65</v>
      </c>
      <c r="N1802" t="s">
        <v>770</v>
      </c>
      <c r="O1802">
        <v>1</v>
      </c>
      <c r="P1802" t="s">
        <v>776</v>
      </c>
      <c r="Q1802">
        <v>29.9</v>
      </c>
      <c r="R1802">
        <v>5.39</v>
      </c>
      <c r="Y1802" t="s">
        <v>7236</v>
      </c>
      <c r="AA1802">
        <v>40134</v>
      </c>
      <c r="AB1802" t="s">
        <v>11</v>
      </c>
    </row>
    <row r="1803" spans="1:35" x14ac:dyDescent="0.25">
      <c r="A1803" t="s">
        <v>7788</v>
      </c>
      <c r="B1803" t="s">
        <v>7788</v>
      </c>
      <c r="C1803" t="s">
        <v>7789</v>
      </c>
      <c r="D1803" t="s">
        <v>7790</v>
      </c>
      <c r="E1803" t="s">
        <v>770</v>
      </c>
      <c r="F1803" t="s">
        <v>771</v>
      </c>
      <c r="G1803" t="s">
        <v>1854</v>
      </c>
      <c r="J1803" t="s">
        <v>783</v>
      </c>
      <c r="K1803" t="s">
        <v>3363</v>
      </c>
      <c r="L1803" t="s">
        <v>5572</v>
      </c>
      <c r="M1803" t="s">
        <v>71</v>
      </c>
      <c r="N1803" t="s">
        <v>770</v>
      </c>
      <c r="O1803">
        <v>1</v>
      </c>
      <c r="P1803" t="s">
        <v>776</v>
      </c>
      <c r="Q1803">
        <v>29.9</v>
      </c>
      <c r="R1803">
        <v>5.39</v>
      </c>
      <c r="Y1803" t="s">
        <v>7791</v>
      </c>
      <c r="Z1803" t="s">
        <v>2449</v>
      </c>
      <c r="AA1803">
        <v>18012</v>
      </c>
      <c r="AB1803" t="s">
        <v>11</v>
      </c>
      <c r="AG1803" t="s">
        <v>7792</v>
      </c>
      <c r="AH1803" t="s">
        <v>11</v>
      </c>
      <c r="AI1803" t="s">
        <v>1258</v>
      </c>
    </row>
    <row r="1804" spans="1:35" x14ac:dyDescent="0.25">
      <c r="A1804" t="s">
        <v>7793</v>
      </c>
      <c r="B1804" t="s">
        <v>7793</v>
      </c>
      <c r="C1804" t="s">
        <v>7794</v>
      </c>
      <c r="D1804" t="s">
        <v>7795</v>
      </c>
      <c r="E1804" t="s">
        <v>770</v>
      </c>
      <c r="F1804" t="s">
        <v>771</v>
      </c>
      <c r="G1804" t="s">
        <v>1854</v>
      </c>
      <c r="J1804" t="s">
        <v>783</v>
      </c>
      <c r="K1804" t="s">
        <v>1930</v>
      </c>
      <c r="L1804" t="s">
        <v>775</v>
      </c>
      <c r="M1804" t="s">
        <v>65</v>
      </c>
      <c r="N1804" t="s">
        <v>770</v>
      </c>
      <c r="O1804">
        <v>1</v>
      </c>
      <c r="P1804" t="s">
        <v>776</v>
      </c>
      <c r="Q1804">
        <v>29.9</v>
      </c>
      <c r="R1804">
        <v>5.39</v>
      </c>
      <c r="Y1804" t="s">
        <v>7796</v>
      </c>
      <c r="Z1804" t="s">
        <v>2101</v>
      </c>
      <c r="AA1804">
        <v>47838</v>
      </c>
      <c r="AB1804" t="s">
        <v>11</v>
      </c>
    </row>
    <row r="1805" spans="1:35" x14ac:dyDescent="0.25">
      <c r="A1805" t="s">
        <v>7797</v>
      </c>
      <c r="B1805" t="s">
        <v>7797</v>
      </c>
      <c r="C1805" t="s">
        <v>7798</v>
      </c>
      <c r="D1805" t="s">
        <v>7799</v>
      </c>
      <c r="E1805" t="s">
        <v>770</v>
      </c>
      <c r="F1805" t="s">
        <v>771</v>
      </c>
      <c r="G1805" t="s">
        <v>1854</v>
      </c>
      <c r="J1805" t="s">
        <v>783</v>
      </c>
      <c r="K1805" t="s">
        <v>1960</v>
      </c>
      <c r="L1805" t="s">
        <v>1047</v>
      </c>
      <c r="M1805" t="s">
        <v>21</v>
      </c>
      <c r="N1805" t="s">
        <v>770</v>
      </c>
      <c r="O1805">
        <v>1</v>
      </c>
      <c r="P1805" t="s">
        <v>776</v>
      </c>
      <c r="Q1805">
        <v>32.9</v>
      </c>
      <c r="R1805">
        <v>5.93</v>
      </c>
      <c r="S1805">
        <v>1.95</v>
      </c>
      <c r="X1805">
        <v>1.95</v>
      </c>
      <c r="Y1805" t="s">
        <v>7800</v>
      </c>
      <c r="Z1805" t="s">
        <v>2116</v>
      </c>
      <c r="AA1805">
        <v>22063</v>
      </c>
      <c r="AB1805" t="s">
        <v>11</v>
      </c>
    </row>
    <row r="1806" spans="1:35" x14ac:dyDescent="0.25">
      <c r="A1806" t="s">
        <v>7801</v>
      </c>
      <c r="C1806" t="s">
        <v>7802</v>
      </c>
      <c r="D1806" t="s">
        <v>7803</v>
      </c>
      <c r="E1806" t="s">
        <v>770</v>
      </c>
      <c r="F1806" t="s">
        <v>1884</v>
      </c>
      <c r="G1806" t="s">
        <v>1854</v>
      </c>
      <c r="H1806" t="s">
        <v>1885</v>
      </c>
      <c r="J1806" t="s">
        <v>773</v>
      </c>
      <c r="K1806" t="s">
        <v>1855</v>
      </c>
      <c r="L1806" t="s">
        <v>13</v>
      </c>
      <c r="M1806" t="s">
        <v>12</v>
      </c>
      <c r="N1806" t="s">
        <v>770</v>
      </c>
      <c r="O1806">
        <v>1</v>
      </c>
      <c r="P1806" t="s">
        <v>776</v>
      </c>
      <c r="Q1806">
        <v>19.899999999999999</v>
      </c>
      <c r="R1806">
        <v>3.59</v>
      </c>
      <c r="S1806">
        <v>3</v>
      </c>
      <c r="T1806">
        <v>0.54</v>
      </c>
      <c r="Y1806" t="s">
        <v>7804</v>
      </c>
      <c r="Z1806" t="s">
        <v>2971</v>
      </c>
      <c r="AA1806">
        <v>26010</v>
      </c>
      <c r="AB1806" t="s">
        <v>11</v>
      </c>
    </row>
    <row r="1807" spans="1:35" x14ac:dyDescent="0.25">
      <c r="A1807" t="s">
        <v>7805</v>
      </c>
      <c r="C1807" t="s">
        <v>7806</v>
      </c>
      <c r="D1807" t="s">
        <v>7711</v>
      </c>
      <c r="E1807" t="s">
        <v>770</v>
      </c>
      <c r="F1807" t="s">
        <v>1884</v>
      </c>
      <c r="G1807" t="s">
        <v>1854</v>
      </c>
      <c r="H1807" t="s">
        <v>1885</v>
      </c>
      <c r="J1807" t="s">
        <v>773</v>
      </c>
      <c r="K1807" t="s">
        <v>1886</v>
      </c>
      <c r="L1807" t="s">
        <v>18</v>
      </c>
      <c r="M1807" t="s">
        <v>17</v>
      </c>
      <c r="N1807" t="s">
        <v>770</v>
      </c>
      <c r="O1807">
        <v>1</v>
      </c>
      <c r="P1807" t="s">
        <v>776</v>
      </c>
      <c r="Q1807">
        <v>22.9</v>
      </c>
      <c r="R1807">
        <v>4.13</v>
      </c>
      <c r="S1807">
        <v>3</v>
      </c>
      <c r="T1807">
        <v>0.54</v>
      </c>
      <c r="Y1807" t="s">
        <v>5173</v>
      </c>
      <c r="Z1807" t="s">
        <v>2503</v>
      </c>
      <c r="AA1807">
        <v>48018</v>
      </c>
      <c r="AB1807" t="s">
        <v>11</v>
      </c>
    </row>
    <row r="1808" spans="1:35" x14ac:dyDescent="0.25">
      <c r="A1808" t="s">
        <v>7807</v>
      </c>
      <c r="C1808" t="s">
        <v>7808</v>
      </c>
      <c r="D1808" t="s">
        <v>7809</v>
      </c>
      <c r="E1808" t="s">
        <v>770</v>
      </c>
      <c r="F1808" t="s">
        <v>1884</v>
      </c>
      <c r="G1808" t="s">
        <v>1854</v>
      </c>
      <c r="H1808" t="s">
        <v>1885</v>
      </c>
      <c r="J1808" t="s">
        <v>773</v>
      </c>
      <c r="K1808" t="s">
        <v>2396</v>
      </c>
      <c r="L1808" t="s">
        <v>89</v>
      </c>
      <c r="M1808" t="s">
        <v>88</v>
      </c>
      <c r="N1808" t="s">
        <v>770</v>
      </c>
      <c r="O1808">
        <v>1</v>
      </c>
      <c r="P1808" t="s">
        <v>776</v>
      </c>
      <c r="Q1808">
        <v>59.9</v>
      </c>
      <c r="R1808">
        <v>10.8</v>
      </c>
      <c r="S1808">
        <v>3</v>
      </c>
      <c r="T1808">
        <v>0.54</v>
      </c>
      <c r="Y1808" t="s">
        <v>7810</v>
      </c>
      <c r="Z1808" t="s">
        <v>7811</v>
      </c>
      <c r="AA1808">
        <v>86010</v>
      </c>
      <c r="AB1808" t="s">
        <v>11</v>
      </c>
    </row>
    <row r="1809" spans="1:35" x14ac:dyDescent="0.25">
      <c r="A1809" t="s">
        <v>7812</v>
      </c>
      <c r="C1809" t="s">
        <v>7813</v>
      </c>
      <c r="D1809" t="s">
        <v>7684</v>
      </c>
      <c r="E1809" t="s">
        <v>770</v>
      </c>
      <c r="F1809" t="s">
        <v>1884</v>
      </c>
      <c r="G1809" t="s">
        <v>1854</v>
      </c>
      <c r="H1809" t="s">
        <v>1885</v>
      </c>
      <c r="J1809" t="s">
        <v>773</v>
      </c>
      <c r="K1809" t="s">
        <v>1855</v>
      </c>
      <c r="L1809" t="s">
        <v>13</v>
      </c>
      <c r="M1809" t="s">
        <v>12</v>
      </c>
      <c r="N1809" t="s">
        <v>770</v>
      </c>
      <c r="O1809">
        <v>1</v>
      </c>
      <c r="P1809" t="s">
        <v>776</v>
      </c>
      <c r="Q1809">
        <v>19.899999999999999</v>
      </c>
      <c r="R1809">
        <v>3.59</v>
      </c>
      <c r="S1809">
        <v>3</v>
      </c>
      <c r="T1809">
        <v>0.54</v>
      </c>
      <c r="Y1809" t="s">
        <v>7814</v>
      </c>
      <c r="Z1809" t="s">
        <v>7815</v>
      </c>
      <c r="AA1809">
        <v>60025</v>
      </c>
      <c r="AB1809" t="s">
        <v>11</v>
      </c>
    </row>
    <row r="1810" spans="1:35" x14ac:dyDescent="0.25">
      <c r="A1810" t="s">
        <v>7816</v>
      </c>
      <c r="B1810" t="s">
        <v>7816</v>
      </c>
      <c r="C1810" t="s">
        <v>7817</v>
      </c>
      <c r="D1810" t="s">
        <v>7818</v>
      </c>
      <c r="E1810" t="s">
        <v>770</v>
      </c>
      <c r="F1810" t="s">
        <v>771</v>
      </c>
      <c r="G1810" t="s">
        <v>1854</v>
      </c>
      <c r="J1810" t="s">
        <v>783</v>
      </c>
      <c r="K1810" t="s">
        <v>1862</v>
      </c>
      <c r="L1810" t="s">
        <v>1505</v>
      </c>
      <c r="M1810" t="s">
        <v>53</v>
      </c>
      <c r="N1810" t="s">
        <v>770</v>
      </c>
      <c r="O1810">
        <v>1</v>
      </c>
      <c r="P1810" t="s">
        <v>776</v>
      </c>
      <c r="Q1810">
        <v>32.9</v>
      </c>
      <c r="R1810">
        <v>5.93</v>
      </c>
      <c r="Y1810" t="s">
        <v>2602</v>
      </c>
      <c r="Z1810" t="s">
        <v>2602</v>
      </c>
      <c r="AA1810">
        <v>16161</v>
      </c>
      <c r="AB1810" t="s">
        <v>11</v>
      </c>
    </row>
    <row r="1811" spans="1:35" x14ac:dyDescent="0.25">
      <c r="A1811" t="s">
        <v>7819</v>
      </c>
      <c r="B1811" t="s">
        <v>7819</v>
      </c>
      <c r="C1811" t="s">
        <v>7820</v>
      </c>
      <c r="D1811" t="s">
        <v>7821</v>
      </c>
      <c r="E1811" t="s">
        <v>770</v>
      </c>
      <c r="F1811" t="s">
        <v>771</v>
      </c>
      <c r="G1811" t="s">
        <v>1854</v>
      </c>
      <c r="J1811" t="s">
        <v>783</v>
      </c>
      <c r="K1811" t="s">
        <v>1930</v>
      </c>
      <c r="L1811" t="s">
        <v>775</v>
      </c>
      <c r="M1811" t="s">
        <v>65</v>
      </c>
      <c r="N1811" t="s">
        <v>770</v>
      </c>
      <c r="O1811">
        <v>1</v>
      </c>
      <c r="P1811" t="s">
        <v>776</v>
      </c>
      <c r="Q1811">
        <v>29.9</v>
      </c>
      <c r="R1811">
        <v>5.39</v>
      </c>
      <c r="Y1811" t="s">
        <v>7822</v>
      </c>
      <c r="Z1811" t="s">
        <v>7823</v>
      </c>
      <c r="AA1811">
        <v>45030</v>
      </c>
      <c r="AB1811" t="s">
        <v>11</v>
      </c>
    </row>
    <row r="1812" spans="1:35" x14ac:dyDescent="0.25">
      <c r="A1812" t="s">
        <v>7824</v>
      </c>
      <c r="B1812" t="s">
        <v>7824</v>
      </c>
      <c r="C1812" t="s">
        <v>7825</v>
      </c>
      <c r="D1812" t="s">
        <v>7826</v>
      </c>
      <c r="E1812" t="s">
        <v>770</v>
      </c>
      <c r="F1812" t="s">
        <v>771</v>
      </c>
      <c r="G1812" t="s">
        <v>1854</v>
      </c>
      <c r="J1812" t="s">
        <v>783</v>
      </c>
      <c r="K1812" t="s">
        <v>1873</v>
      </c>
      <c r="L1812" t="s">
        <v>840</v>
      </c>
      <c r="M1812" t="s">
        <v>26</v>
      </c>
      <c r="N1812" t="s">
        <v>770</v>
      </c>
      <c r="O1812">
        <v>1</v>
      </c>
      <c r="P1812" t="s">
        <v>776</v>
      </c>
      <c r="Q1812">
        <v>34.9</v>
      </c>
      <c r="R1812">
        <v>6.29</v>
      </c>
      <c r="Y1812" t="s">
        <v>7827</v>
      </c>
      <c r="Z1812" t="s">
        <v>3299</v>
      </c>
      <c r="AA1812">
        <v>35018</v>
      </c>
      <c r="AB1812" t="s">
        <v>11</v>
      </c>
    </row>
    <row r="1813" spans="1:35" x14ac:dyDescent="0.25">
      <c r="A1813" t="s">
        <v>7828</v>
      </c>
      <c r="B1813" t="s">
        <v>7828</v>
      </c>
      <c r="C1813" t="s">
        <v>7829</v>
      </c>
      <c r="D1813" t="s">
        <v>7830</v>
      </c>
      <c r="E1813" t="s">
        <v>770</v>
      </c>
      <c r="F1813" t="s">
        <v>771</v>
      </c>
      <c r="G1813" t="s">
        <v>1854</v>
      </c>
      <c r="J1813" t="s">
        <v>783</v>
      </c>
      <c r="K1813" t="s">
        <v>1960</v>
      </c>
      <c r="L1813" t="s">
        <v>1047</v>
      </c>
      <c r="M1813" t="s">
        <v>21</v>
      </c>
      <c r="N1813" t="s">
        <v>770</v>
      </c>
      <c r="O1813">
        <v>1</v>
      </c>
      <c r="P1813" t="s">
        <v>776</v>
      </c>
      <c r="Q1813">
        <v>32.9</v>
      </c>
      <c r="R1813">
        <v>5.93</v>
      </c>
      <c r="S1813">
        <v>4.99</v>
      </c>
      <c r="T1813">
        <v>0.9</v>
      </c>
      <c r="Y1813" t="s">
        <v>7831</v>
      </c>
      <c r="Z1813" t="s">
        <v>2533</v>
      </c>
      <c r="AA1813">
        <v>35027</v>
      </c>
      <c r="AB1813" t="s">
        <v>11</v>
      </c>
    </row>
    <row r="1814" spans="1:35" x14ac:dyDescent="0.25">
      <c r="A1814" t="s">
        <v>7832</v>
      </c>
      <c r="B1814" t="s">
        <v>7832</v>
      </c>
      <c r="C1814" t="s">
        <v>7833</v>
      </c>
      <c r="D1814" t="s">
        <v>7834</v>
      </c>
      <c r="E1814" t="s">
        <v>770</v>
      </c>
      <c r="F1814" t="s">
        <v>771</v>
      </c>
      <c r="G1814" t="s">
        <v>1854</v>
      </c>
      <c r="J1814" t="s">
        <v>783</v>
      </c>
      <c r="K1814" t="s">
        <v>1862</v>
      </c>
      <c r="L1814" t="s">
        <v>1505</v>
      </c>
      <c r="M1814" t="s">
        <v>53</v>
      </c>
      <c r="N1814" t="s">
        <v>770</v>
      </c>
      <c r="O1814">
        <v>1</v>
      </c>
      <c r="P1814" t="s">
        <v>776</v>
      </c>
      <c r="Q1814">
        <v>32.9</v>
      </c>
      <c r="R1814">
        <v>5.93</v>
      </c>
      <c r="Y1814" t="s">
        <v>7835</v>
      </c>
      <c r="Z1814" t="s">
        <v>1956</v>
      </c>
      <c r="AA1814">
        <v>40</v>
      </c>
      <c r="AB1814" t="s">
        <v>11</v>
      </c>
    </row>
    <row r="1815" spans="1:35" x14ac:dyDescent="0.25">
      <c r="A1815" t="s">
        <v>7836</v>
      </c>
      <c r="C1815" t="s">
        <v>7837</v>
      </c>
      <c r="D1815" t="s">
        <v>7838</v>
      </c>
      <c r="E1815" t="s">
        <v>770</v>
      </c>
      <c r="F1815" t="s">
        <v>1884</v>
      </c>
      <c r="G1815" t="s">
        <v>1854</v>
      </c>
      <c r="H1815" t="s">
        <v>1885</v>
      </c>
      <c r="J1815" t="s">
        <v>773</v>
      </c>
      <c r="K1815" t="s">
        <v>2210</v>
      </c>
      <c r="L1815" t="s">
        <v>64</v>
      </c>
      <c r="M1815" t="s">
        <v>63</v>
      </c>
      <c r="N1815" t="s">
        <v>770</v>
      </c>
      <c r="O1815">
        <v>1</v>
      </c>
      <c r="P1815" t="s">
        <v>776</v>
      </c>
      <c r="Q1815">
        <v>89.9</v>
      </c>
      <c r="R1815">
        <v>16.21</v>
      </c>
      <c r="S1815">
        <v>3</v>
      </c>
      <c r="T1815">
        <v>0.54</v>
      </c>
      <c r="Y1815" t="s">
        <v>7839</v>
      </c>
      <c r="Z1815" t="s">
        <v>7840</v>
      </c>
      <c r="AA1815">
        <v>38033</v>
      </c>
      <c r="AB1815" t="s">
        <v>11</v>
      </c>
      <c r="AG1815" t="s">
        <v>7841</v>
      </c>
      <c r="AH1815" t="s">
        <v>11</v>
      </c>
      <c r="AI1815" t="s">
        <v>1258</v>
      </c>
    </row>
    <row r="1816" spans="1:35" x14ac:dyDescent="0.25">
      <c r="A1816" t="s">
        <v>7842</v>
      </c>
      <c r="B1816" t="s">
        <v>7842</v>
      </c>
      <c r="C1816" t="s">
        <v>7843</v>
      </c>
      <c r="D1816" t="s">
        <v>7844</v>
      </c>
      <c r="E1816" t="s">
        <v>770</v>
      </c>
      <c r="F1816" t="s">
        <v>771</v>
      </c>
      <c r="G1816" t="s">
        <v>1854</v>
      </c>
      <c r="J1816" t="s">
        <v>783</v>
      </c>
      <c r="K1816" t="s">
        <v>1862</v>
      </c>
      <c r="L1816" t="s">
        <v>1505</v>
      </c>
      <c r="M1816" t="s">
        <v>53</v>
      </c>
      <c r="N1816" t="s">
        <v>770</v>
      </c>
      <c r="O1816">
        <v>1</v>
      </c>
      <c r="P1816" t="s">
        <v>776</v>
      </c>
      <c r="Q1816">
        <v>32.9</v>
      </c>
      <c r="R1816">
        <v>5.93</v>
      </c>
      <c r="Y1816" t="s">
        <v>1913</v>
      </c>
      <c r="Z1816" t="s">
        <v>2548</v>
      </c>
      <c r="AA1816">
        <v>135</v>
      </c>
      <c r="AB1816" t="s">
        <v>11</v>
      </c>
    </row>
    <row r="1817" spans="1:35" x14ac:dyDescent="0.25">
      <c r="A1817" t="s">
        <v>7845</v>
      </c>
      <c r="B1817" t="s">
        <v>7845</v>
      </c>
      <c r="C1817" t="s">
        <v>7846</v>
      </c>
      <c r="D1817" t="s">
        <v>7847</v>
      </c>
      <c r="E1817" t="s">
        <v>770</v>
      </c>
      <c r="F1817" t="s">
        <v>771</v>
      </c>
      <c r="G1817" t="s">
        <v>1854</v>
      </c>
      <c r="J1817" t="s">
        <v>783</v>
      </c>
      <c r="K1817" t="s">
        <v>1873</v>
      </c>
      <c r="L1817" t="s">
        <v>840</v>
      </c>
      <c r="M1817" t="s">
        <v>26</v>
      </c>
      <c r="N1817" t="s">
        <v>770</v>
      </c>
      <c r="O1817">
        <v>1</v>
      </c>
      <c r="P1817" t="s">
        <v>776</v>
      </c>
      <c r="Q1817">
        <v>34.9</v>
      </c>
      <c r="R1817">
        <v>6.29</v>
      </c>
      <c r="S1817">
        <v>1.64</v>
      </c>
      <c r="X1817">
        <v>1.64</v>
      </c>
      <c r="Y1817" t="s">
        <v>7848</v>
      </c>
      <c r="Z1817" t="s">
        <v>3089</v>
      </c>
      <c r="AA1817">
        <v>25038</v>
      </c>
      <c r="AB1817" t="s">
        <v>11</v>
      </c>
    </row>
    <row r="1818" spans="1:35" x14ac:dyDescent="0.25">
      <c r="A1818" t="s">
        <v>7849</v>
      </c>
      <c r="B1818" t="s">
        <v>7849</v>
      </c>
      <c r="C1818" t="s">
        <v>7850</v>
      </c>
      <c r="D1818" t="s">
        <v>7851</v>
      </c>
      <c r="E1818" t="s">
        <v>770</v>
      </c>
      <c r="F1818" t="s">
        <v>771</v>
      </c>
      <c r="G1818" t="s">
        <v>1854</v>
      </c>
      <c r="J1818" t="s">
        <v>783</v>
      </c>
      <c r="K1818" t="s">
        <v>1873</v>
      </c>
      <c r="L1818" t="s">
        <v>840</v>
      </c>
      <c r="M1818" t="s">
        <v>26</v>
      </c>
      <c r="N1818" t="s">
        <v>770</v>
      </c>
      <c r="O1818">
        <v>1</v>
      </c>
      <c r="P1818" t="s">
        <v>776</v>
      </c>
      <c r="Q1818">
        <v>34.9</v>
      </c>
      <c r="R1818">
        <v>6.29</v>
      </c>
      <c r="Y1818" t="s">
        <v>2568</v>
      </c>
      <c r="Z1818" t="s">
        <v>2663</v>
      </c>
      <c r="AA1818">
        <v>47522</v>
      </c>
      <c r="AB1818" t="s">
        <v>11</v>
      </c>
    </row>
    <row r="1819" spans="1:35" x14ac:dyDescent="0.25">
      <c r="A1819" t="s">
        <v>7852</v>
      </c>
      <c r="B1819" t="s">
        <v>7852</v>
      </c>
      <c r="C1819" t="s">
        <v>7853</v>
      </c>
      <c r="D1819" t="s">
        <v>7854</v>
      </c>
      <c r="E1819" t="s">
        <v>770</v>
      </c>
      <c r="F1819" t="s">
        <v>771</v>
      </c>
      <c r="G1819" t="s">
        <v>1854</v>
      </c>
      <c r="J1819" t="s">
        <v>783</v>
      </c>
      <c r="K1819" t="s">
        <v>1930</v>
      </c>
      <c r="L1819" t="s">
        <v>775</v>
      </c>
      <c r="M1819" t="s">
        <v>65</v>
      </c>
      <c r="N1819" t="s">
        <v>770</v>
      </c>
      <c r="O1819">
        <v>1</v>
      </c>
      <c r="P1819" t="s">
        <v>776</v>
      </c>
      <c r="Q1819">
        <v>29.9</v>
      </c>
      <c r="R1819">
        <v>5.39</v>
      </c>
      <c r="Y1819" t="s">
        <v>7855</v>
      </c>
      <c r="Z1819" t="s">
        <v>3012</v>
      </c>
      <c r="AA1819">
        <v>12040</v>
      </c>
      <c r="AB1819" t="s">
        <v>11</v>
      </c>
    </row>
    <row r="1820" spans="1:35" x14ac:dyDescent="0.25">
      <c r="A1820" t="s">
        <v>7856</v>
      </c>
      <c r="B1820" t="s">
        <v>7856</v>
      </c>
      <c r="C1820" t="s">
        <v>7857</v>
      </c>
      <c r="D1820" t="s">
        <v>7858</v>
      </c>
      <c r="E1820" t="s">
        <v>782</v>
      </c>
      <c r="F1820" t="s">
        <v>771</v>
      </c>
      <c r="G1820" t="s">
        <v>1854</v>
      </c>
      <c r="J1820" t="s">
        <v>783</v>
      </c>
      <c r="K1820" t="s">
        <v>1930</v>
      </c>
      <c r="L1820" t="s">
        <v>775</v>
      </c>
      <c r="M1820" t="s">
        <v>65</v>
      </c>
      <c r="N1820" t="s">
        <v>782</v>
      </c>
      <c r="O1820">
        <v>0</v>
      </c>
      <c r="Y1820" t="s">
        <v>2116</v>
      </c>
      <c r="Z1820" t="s">
        <v>2116</v>
      </c>
      <c r="AA1820">
        <v>22100</v>
      </c>
      <c r="AB1820" t="s">
        <v>11</v>
      </c>
    </row>
    <row r="1821" spans="1:35" x14ac:dyDescent="0.25">
      <c r="A1821" t="s">
        <v>7859</v>
      </c>
      <c r="B1821" t="s">
        <v>7859</v>
      </c>
      <c r="C1821" t="s">
        <v>7860</v>
      </c>
      <c r="D1821" t="s">
        <v>7861</v>
      </c>
      <c r="E1821" t="s">
        <v>770</v>
      </c>
      <c r="F1821" t="s">
        <v>771</v>
      </c>
      <c r="G1821" t="s">
        <v>1854</v>
      </c>
      <c r="J1821" t="s">
        <v>783</v>
      </c>
      <c r="K1821" t="s">
        <v>1873</v>
      </c>
      <c r="L1821" t="s">
        <v>840</v>
      </c>
      <c r="M1821" t="s">
        <v>26</v>
      </c>
      <c r="N1821" t="s">
        <v>770</v>
      </c>
      <c r="O1821">
        <v>1</v>
      </c>
      <c r="P1821" t="s">
        <v>776</v>
      </c>
      <c r="Q1821">
        <v>34.9</v>
      </c>
      <c r="R1821">
        <v>6.29</v>
      </c>
      <c r="Y1821" t="s">
        <v>7862</v>
      </c>
      <c r="Z1821" t="s">
        <v>3364</v>
      </c>
      <c r="AA1821">
        <v>88100</v>
      </c>
      <c r="AB1821" t="s">
        <v>11</v>
      </c>
    </row>
    <row r="1822" spans="1:35" x14ac:dyDescent="0.25">
      <c r="A1822" t="s">
        <v>7863</v>
      </c>
      <c r="B1822" t="s">
        <v>7863</v>
      </c>
      <c r="C1822" t="s">
        <v>7864</v>
      </c>
      <c r="D1822" t="s">
        <v>7865</v>
      </c>
      <c r="E1822" t="s">
        <v>770</v>
      </c>
      <c r="F1822" t="s">
        <v>771</v>
      </c>
      <c r="G1822" t="s">
        <v>1854</v>
      </c>
      <c r="J1822" t="s">
        <v>783</v>
      </c>
      <c r="K1822" t="s">
        <v>1873</v>
      </c>
      <c r="L1822" t="s">
        <v>840</v>
      </c>
      <c r="M1822" t="s">
        <v>26</v>
      </c>
      <c r="N1822" t="s">
        <v>770</v>
      </c>
      <c r="O1822">
        <v>1</v>
      </c>
      <c r="P1822" t="s">
        <v>776</v>
      </c>
      <c r="Q1822">
        <v>34.9</v>
      </c>
      <c r="R1822">
        <v>6.29</v>
      </c>
      <c r="Y1822" t="s">
        <v>7866</v>
      </c>
      <c r="Z1822" t="s">
        <v>2126</v>
      </c>
      <c r="AA1822">
        <v>81020</v>
      </c>
      <c r="AB1822" t="s">
        <v>11</v>
      </c>
    </row>
    <row r="1823" spans="1:35" x14ac:dyDescent="0.25">
      <c r="A1823" t="s">
        <v>7867</v>
      </c>
      <c r="B1823" t="s">
        <v>7867</v>
      </c>
      <c r="C1823" t="s">
        <v>7868</v>
      </c>
      <c r="D1823" t="s">
        <v>7869</v>
      </c>
      <c r="E1823" t="s">
        <v>770</v>
      </c>
      <c r="F1823" t="s">
        <v>771</v>
      </c>
      <c r="G1823" t="s">
        <v>1854</v>
      </c>
      <c r="J1823" t="s">
        <v>783</v>
      </c>
      <c r="K1823" t="s">
        <v>1930</v>
      </c>
      <c r="L1823" t="s">
        <v>775</v>
      </c>
      <c r="M1823" t="s">
        <v>65</v>
      </c>
      <c r="N1823" t="s">
        <v>770</v>
      </c>
      <c r="O1823">
        <v>1</v>
      </c>
      <c r="P1823" t="s">
        <v>776</v>
      </c>
      <c r="Q1823">
        <v>29.9</v>
      </c>
      <c r="R1823">
        <v>5.39</v>
      </c>
      <c r="Y1823" t="s">
        <v>7870</v>
      </c>
      <c r="Z1823" t="s">
        <v>1989</v>
      </c>
      <c r="AA1823">
        <v>36061</v>
      </c>
      <c r="AB1823" t="s">
        <v>11</v>
      </c>
    </row>
    <row r="1824" spans="1:35" x14ac:dyDescent="0.25">
      <c r="A1824" t="s">
        <v>7871</v>
      </c>
      <c r="B1824" t="s">
        <v>7871</v>
      </c>
      <c r="C1824" t="s">
        <v>7872</v>
      </c>
      <c r="D1824" t="s">
        <v>7873</v>
      </c>
      <c r="E1824" t="s">
        <v>770</v>
      </c>
      <c r="F1824" t="s">
        <v>771</v>
      </c>
      <c r="G1824" t="s">
        <v>1854</v>
      </c>
      <c r="J1824" t="s">
        <v>783</v>
      </c>
      <c r="K1824" t="s">
        <v>2390</v>
      </c>
      <c r="L1824" t="s">
        <v>1094</v>
      </c>
      <c r="M1824" t="s">
        <v>208</v>
      </c>
      <c r="N1824" t="s">
        <v>770</v>
      </c>
      <c r="O1824">
        <v>1</v>
      </c>
      <c r="P1824" t="s">
        <v>776</v>
      </c>
      <c r="Q1824">
        <v>79.900000000000006</v>
      </c>
      <c r="R1824">
        <v>14.41</v>
      </c>
      <c r="Y1824" t="s">
        <v>7874</v>
      </c>
      <c r="Z1824" t="s">
        <v>3017</v>
      </c>
      <c r="AA1824">
        <v>75013</v>
      </c>
      <c r="AB1824" t="s">
        <v>11</v>
      </c>
    </row>
    <row r="1825" spans="1:35" x14ac:dyDescent="0.25">
      <c r="A1825" t="s">
        <v>7875</v>
      </c>
      <c r="C1825" t="s">
        <v>7876</v>
      </c>
      <c r="D1825" t="s">
        <v>7877</v>
      </c>
      <c r="E1825" t="s">
        <v>770</v>
      </c>
      <c r="F1825" t="s">
        <v>1884</v>
      </c>
      <c r="G1825" t="s">
        <v>1854</v>
      </c>
      <c r="H1825" t="s">
        <v>1885</v>
      </c>
      <c r="J1825" t="s">
        <v>773</v>
      </c>
      <c r="K1825" t="s">
        <v>1855</v>
      </c>
      <c r="L1825" t="s">
        <v>13</v>
      </c>
      <c r="M1825" t="s">
        <v>12</v>
      </c>
      <c r="N1825" t="s">
        <v>770</v>
      </c>
      <c r="O1825">
        <v>1</v>
      </c>
      <c r="P1825" t="s">
        <v>776</v>
      </c>
      <c r="Q1825">
        <v>19.899999999999999</v>
      </c>
      <c r="R1825">
        <v>3.59</v>
      </c>
      <c r="S1825">
        <v>3</v>
      </c>
      <c r="T1825">
        <v>0.54</v>
      </c>
      <c r="Y1825" t="s">
        <v>7781</v>
      </c>
      <c r="Z1825" t="s">
        <v>3185</v>
      </c>
      <c r="AA1825">
        <v>33085</v>
      </c>
      <c r="AB1825" t="s">
        <v>11</v>
      </c>
    </row>
    <row r="1826" spans="1:35" x14ac:dyDescent="0.25">
      <c r="A1826" t="s">
        <v>7878</v>
      </c>
      <c r="C1826" t="s">
        <v>7879</v>
      </c>
      <c r="D1826" t="s">
        <v>7647</v>
      </c>
      <c r="E1826" t="s">
        <v>770</v>
      </c>
      <c r="F1826" t="s">
        <v>1884</v>
      </c>
      <c r="G1826" t="s">
        <v>1854</v>
      </c>
      <c r="H1826" t="s">
        <v>1885</v>
      </c>
      <c r="J1826" t="s">
        <v>773</v>
      </c>
      <c r="K1826" t="s">
        <v>1960</v>
      </c>
      <c r="L1826" t="s">
        <v>22</v>
      </c>
      <c r="M1826" t="s">
        <v>21</v>
      </c>
      <c r="N1826" t="s">
        <v>770</v>
      </c>
      <c r="O1826">
        <v>1</v>
      </c>
      <c r="P1826" t="s">
        <v>776</v>
      </c>
      <c r="Q1826">
        <v>29.9</v>
      </c>
      <c r="R1826">
        <v>5.39</v>
      </c>
      <c r="S1826">
        <v>3</v>
      </c>
      <c r="T1826">
        <v>0.54</v>
      </c>
      <c r="Y1826" t="s">
        <v>1864</v>
      </c>
      <c r="Z1826" t="s">
        <v>7880</v>
      </c>
      <c r="AA1826">
        <v>20081</v>
      </c>
      <c r="AB1826" t="s">
        <v>11</v>
      </c>
    </row>
    <row r="1827" spans="1:35" x14ac:dyDescent="0.25">
      <c r="A1827" t="s">
        <v>7881</v>
      </c>
      <c r="C1827" t="s">
        <v>7882</v>
      </c>
      <c r="D1827" t="s">
        <v>7883</v>
      </c>
      <c r="E1827" t="s">
        <v>782</v>
      </c>
      <c r="F1827" t="s">
        <v>1884</v>
      </c>
      <c r="G1827" t="s">
        <v>1854</v>
      </c>
      <c r="H1827" t="s">
        <v>1885</v>
      </c>
      <c r="J1827" t="s">
        <v>773</v>
      </c>
      <c r="K1827" t="s">
        <v>1855</v>
      </c>
      <c r="L1827" t="s">
        <v>13</v>
      </c>
      <c r="M1827" t="s">
        <v>12</v>
      </c>
      <c r="O1827">
        <v>0</v>
      </c>
      <c r="Y1827" t="s">
        <v>7781</v>
      </c>
      <c r="Z1827" t="s">
        <v>3185</v>
      </c>
      <c r="AA1827">
        <v>33085</v>
      </c>
      <c r="AB1827" t="s">
        <v>11</v>
      </c>
    </row>
    <row r="1828" spans="1:35" x14ac:dyDescent="0.25">
      <c r="A1828" t="s">
        <v>7884</v>
      </c>
      <c r="B1828" t="s">
        <v>7884</v>
      </c>
      <c r="C1828" t="s">
        <v>7885</v>
      </c>
      <c r="D1828" t="s">
        <v>7886</v>
      </c>
      <c r="E1828" t="s">
        <v>770</v>
      </c>
      <c r="F1828" t="s">
        <v>771</v>
      </c>
      <c r="G1828" t="s">
        <v>1854</v>
      </c>
      <c r="J1828" t="s">
        <v>783</v>
      </c>
      <c r="K1828" t="s">
        <v>1862</v>
      </c>
      <c r="L1828" t="s">
        <v>1505</v>
      </c>
      <c r="M1828" t="s">
        <v>53</v>
      </c>
      <c r="N1828" t="s">
        <v>770</v>
      </c>
      <c r="O1828">
        <v>1</v>
      </c>
      <c r="P1828" t="s">
        <v>776</v>
      </c>
      <c r="Q1828">
        <v>32.9</v>
      </c>
      <c r="R1828">
        <v>5.93</v>
      </c>
      <c r="Y1828" t="s">
        <v>4363</v>
      </c>
      <c r="Z1828" t="s">
        <v>2675</v>
      </c>
      <c r="AA1828">
        <v>20872</v>
      </c>
      <c r="AB1828" t="s">
        <v>11</v>
      </c>
    </row>
    <row r="1829" spans="1:35" x14ac:dyDescent="0.25">
      <c r="A1829" t="s">
        <v>7887</v>
      </c>
      <c r="B1829" t="s">
        <v>7887</v>
      </c>
      <c r="C1829" t="s">
        <v>7888</v>
      </c>
      <c r="D1829" t="s">
        <v>7889</v>
      </c>
      <c r="E1829" t="s">
        <v>770</v>
      </c>
      <c r="F1829" t="s">
        <v>771</v>
      </c>
      <c r="G1829" t="s">
        <v>1854</v>
      </c>
      <c r="J1829" t="s">
        <v>783</v>
      </c>
      <c r="K1829" t="s">
        <v>1930</v>
      </c>
      <c r="L1829" t="s">
        <v>775</v>
      </c>
      <c r="M1829" t="s">
        <v>65</v>
      </c>
      <c r="N1829" t="s">
        <v>770</v>
      </c>
      <c r="O1829">
        <v>1</v>
      </c>
      <c r="P1829" t="s">
        <v>776</v>
      </c>
      <c r="Q1829">
        <v>29.9</v>
      </c>
      <c r="R1829">
        <v>5.39</v>
      </c>
      <c r="Y1829" t="s">
        <v>6976</v>
      </c>
      <c r="Z1829" t="s">
        <v>4810</v>
      </c>
      <c r="AA1829">
        <v>65010</v>
      </c>
      <c r="AB1829" t="s">
        <v>11</v>
      </c>
    </row>
    <row r="1830" spans="1:35" x14ac:dyDescent="0.25">
      <c r="A1830" t="s">
        <v>7890</v>
      </c>
      <c r="C1830" t="s">
        <v>7891</v>
      </c>
      <c r="D1830" t="s">
        <v>7557</v>
      </c>
      <c r="E1830" t="s">
        <v>770</v>
      </c>
      <c r="F1830" t="s">
        <v>1884</v>
      </c>
      <c r="G1830" t="s">
        <v>1854</v>
      </c>
      <c r="H1830" t="s">
        <v>1885</v>
      </c>
      <c r="J1830" t="s">
        <v>773</v>
      </c>
      <c r="K1830" t="s">
        <v>1855</v>
      </c>
      <c r="L1830" t="s">
        <v>13</v>
      </c>
      <c r="M1830" t="s">
        <v>12</v>
      </c>
      <c r="N1830" t="s">
        <v>770</v>
      </c>
      <c r="O1830">
        <v>1</v>
      </c>
      <c r="P1830" t="s">
        <v>776</v>
      </c>
      <c r="Q1830">
        <v>19.899999999999999</v>
      </c>
      <c r="R1830">
        <v>3.59</v>
      </c>
      <c r="S1830">
        <v>3</v>
      </c>
      <c r="T1830">
        <v>0.54</v>
      </c>
      <c r="Y1830" t="s">
        <v>3121</v>
      </c>
      <c r="Z1830" t="s">
        <v>3121</v>
      </c>
      <c r="AA1830">
        <v>9170</v>
      </c>
      <c r="AB1830" t="s">
        <v>11</v>
      </c>
    </row>
    <row r="1831" spans="1:35" x14ac:dyDescent="0.25">
      <c r="A1831" t="s">
        <v>7892</v>
      </c>
      <c r="B1831" t="s">
        <v>7892</v>
      </c>
      <c r="C1831" t="s">
        <v>7893</v>
      </c>
      <c r="D1831" t="s">
        <v>7894</v>
      </c>
      <c r="E1831" t="s">
        <v>770</v>
      </c>
      <c r="F1831" t="s">
        <v>771</v>
      </c>
      <c r="G1831" t="s">
        <v>1854</v>
      </c>
      <c r="J1831" t="s">
        <v>783</v>
      </c>
      <c r="K1831" t="s">
        <v>1930</v>
      </c>
      <c r="L1831" t="s">
        <v>775</v>
      </c>
      <c r="M1831" t="s">
        <v>65</v>
      </c>
      <c r="N1831" t="s">
        <v>770</v>
      </c>
      <c r="O1831">
        <v>1</v>
      </c>
      <c r="P1831" t="s">
        <v>776</v>
      </c>
      <c r="Q1831">
        <v>29.9</v>
      </c>
      <c r="R1831">
        <v>5.39</v>
      </c>
      <c r="Y1831" t="s">
        <v>7895</v>
      </c>
      <c r="Z1831" t="s">
        <v>2116</v>
      </c>
      <c r="AA1831">
        <v>22029</v>
      </c>
      <c r="AB1831" t="s">
        <v>11</v>
      </c>
    </row>
    <row r="1832" spans="1:35" x14ac:dyDescent="0.25">
      <c r="A1832" t="s">
        <v>7896</v>
      </c>
      <c r="B1832" t="s">
        <v>7896</v>
      </c>
      <c r="C1832" t="s">
        <v>7897</v>
      </c>
      <c r="D1832" t="s">
        <v>7898</v>
      </c>
      <c r="E1832" t="s">
        <v>770</v>
      </c>
      <c r="F1832" t="s">
        <v>771</v>
      </c>
      <c r="G1832" t="s">
        <v>1854</v>
      </c>
      <c r="J1832" t="s">
        <v>783</v>
      </c>
      <c r="K1832" t="s">
        <v>1873</v>
      </c>
      <c r="L1832" t="s">
        <v>840</v>
      </c>
      <c r="M1832" t="s">
        <v>26</v>
      </c>
      <c r="N1832" t="s">
        <v>770</v>
      </c>
      <c r="O1832">
        <v>1</v>
      </c>
      <c r="P1832" t="s">
        <v>776</v>
      </c>
      <c r="Q1832">
        <v>34.9</v>
      </c>
      <c r="R1832">
        <v>6.29</v>
      </c>
      <c r="Y1832" t="s">
        <v>4137</v>
      </c>
      <c r="AA1832">
        <v>47121</v>
      </c>
      <c r="AB1832" t="s">
        <v>11</v>
      </c>
    </row>
    <row r="1833" spans="1:35" x14ac:dyDescent="0.25">
      <c r="A1833" t="s">
        <v>7899</v>
      </c>
      <c r="C1833" t="s">
        <v>7900</v>
      </c>
      <c r="D1833" t="s">
        <v>7901</v>
      </c>
      <c r="E1833" t="s">
        <v>782</v>
      </c>
      <c r="F1833" t="s">
        <v>1884</v>
      </c>
      <c r="G1833" t="s">
        <v>1854</v>
      </c>
      <c r="H1833" t="s">
        <v>1885</v>
      </c>
      <c r="J1833" t="s">
        <v>773</v>
      </c>
      <c r="K1833" t="s">
        <v>1902</v>
      </c>
      <c r="L1833" t="s">
        <v>15</v>
      </c>
      <c r="M1833" t="s">
        <v>14</v>
      </c>
      <c r="O1833">
        <v>0</v>
      </c>
      <c r="Y1833" t="s">
        <v>7604</v>
      </c>
      <c r="Z1833" t="s">
        <v>1908</v>
      </c>
      <c r="AA1833">
        <v>80077</v>
      </c>
      <c r="AB1833" t="s">
        <v>11</v>
      </c>
    </row>
    <row r="1834" spans="1:35" x14ac:dyDescent="0.25">
      <c r="A1834" t="s">
        <v>7902</v>
      </c>
      <c r="C1834" t="s">
        <v>7903</v>
      </c>
      <c r="D1834" t="s">
        <v>7711</v>
      </c>
      <c r="E1834" t="s">
        <v>770</v>
      </c>
      <c r="F1834" t="s">
        <v>1884</v>
      </c>
      <c r="G1834" t="s">
        <v>1854</v>
      </c>
      <c r="H1834" t="s">
        <v>1885</v>
      </c>
      <c r="J1834" t="s">
        <v>773</v>
      </c>
      <c r="K1834" t="s">
        <v>1855</v>
      </c>
      <c r="L1834" t="s">
        <v>13</v>
      </c>
      <c r="M1834" t="s">
        <v>12</v>
      </c>
      <c r="N1834" t="s">
        <v>770</v>
      </c>
      <c r="O1834">
        <v>1</v>
      </c>
      <c r="P1834" t="s">
        <v>776</v>
      </c>
      <c r="Q1834">
        <v>19.899999999999999</v>
      </c>
      <c r="R1834">
        <v>3.59</v>
      </c>
      <c r="S1834">
        <v>3</v>
      </c>
      <c r="T1834">
        <v>0.54</v>
      </c>
      <c r="Y1834" t="s">
        <v>3598</v>
      </c>
      <c r="Z1834" t="s">
        <v>3369</v>
      </c>
      <c r="AA1834">
        <v>72022</v>
      </c>
      <c r="AB1834" t="s">
        <v>11</v>
      </c>
    </row>
    <row r="1835" spans="1:35" x14ac:dyDescent="0.25">
      <c r="A1835" t="s">
        <v>7904</v>
      </c>
      <c r="B1835" t="s">
        <v>7904</v>
      </c>
      <c r="C1835" t="s">
        <v>7905</v>
      </c>
      <c r="D1835" t="s">
        <v>7906</v>
      </c>
      <c r="E1835" t="s">
        <v>770</v>
      </c>
      <c r="F1835" t="s">
        <v>771</v>
      </c>
      <c r="G1835" t="s">
        <v>1854</v>
      </c>
      <c r="J1835" t="s">
        <v>773</v>
      </c>
      <c r="K1835" t="s">
        <v>1873</v>
      </c>
      <c r="L1835" t="s">
        <v>840</v>
      </c>
      <c r="M1835" t="s">
        <v>26</v>
      </c>
      <c r="N1835" t="s">
        <v>770</v>
      </c>
      <c r="O1835">
        <v>1</v>
      </c>
      <c r="P1835" t="s">
        <v>776</v>
      </c>
      <c r="Q1835">
        <v>34.9</v>
      </c>
      <c r="S1835">
        <v>6.11</v>
      </c>
      <c r="Y1835" t="s">
        <v>7907</v>
      </c>
      <c r="Z1835" t="s">
        <v>7908</v>
      </c>
      <c r="AA1835" t="s">
        <v>7909</v>
      </c>
      <c r="AB1835" t="s">
        <v>266</v>
      </c>
    </row>
    <row r="1836" spans="1:35" x14ac:dyDescent="0.25">
      <c r="A1836" t="s">
        <v>7910</v>
      </c>
      <c r="C1836" t="s">
        <v>7911</v>
      </c>
      <c r="D1836" t="s">
        <v>7912</v>
      </c>
      <c r="E1836" t="s">
        <v>770</v>
      </c>
      <c r="F1836" t="s">
        <v>1884</v>
      </c>
      <c r="G1836" t="s">
        <v>1854</v>
      </c>
      <c r="H1836" t="s">
        <v>1885</v>
      </c>
      <c r="J1836" t="s">
        <v>773</v>
      </c>
      <c r="K1836" t="s">
        <v>2252</v>
      </c>
      <c r="L1836" t="s">
        <v>74</v>
      </c>
      <c r="M1836" t="s">
        <v>73</v>
      </c>
      <c r="N1836" t="s">
        <v>770</v>
      </c>
      <c r="O1836">
        <v>1</v>
      </c>
      <c r="P1836" t="s">
        <v>776</v>
      </c>
      <c r="Q1836">
        <v>14.9</v>
      </c>
      <c r="R1836">
        <v>2.69</v>
      </c>
      <c r="S1836">
        <v>3</v>
      </c>
      <c r="T1836">
        <v>0.54</v>
      </c>
      <c r="Y1836" t="s">
        <v>2244</v>
      </c>
      <c r="Z1836" t="s">
        <v>2244</v>
      </c>
      <c r="AA1836">
        <v>59100</v>
      </c>
      <c r="AB1836" t="s">
        <v>11</v>
      </c>
      <c r="AG1836" t="s">
        <v>7913</v>
      </c>
      <c r="AH1836" t="s">
        <v>11</v>
      </c>
      <c r="AI1836" t="s">
        <v>1258</v>
      </c>
    </row>
    <row r="1837" spans="1:35" x14ac:dyDescent="0.25">
      <c r="A1837" t="s">
        <v>7914</v>
      </c>
      <c r="C1837" t="s">
        <v>7915</v>
      </c>
      <c r="D1837" t="s">
        <v>7711</v>
      </c>
      <c r="E1837" t="s">
        <v>770</v>
      </c>
      <c r="F1837" t="s">
        <v>1884</v>
      </c>
      <c r="G1837" t="s">
        <v>1854</v>
      </c>
      <c r="H1837" t="s">
        <v>1885</v>
      </c>
      <c r="J1837" t="s">
        <v>773</v>
      </c>
      <c r="K1837" t="s">
        <v>2913</v>
      </c>
      <c r="L1837" t="s">
        <v>99</v>
      </c>
      <c r="M1837" t="s">
        <v>98</v>
      </c>
      <c r="N1837" t="s">
        <v>770</v>
      </c>
      <c r="O1837">
        <v>1</v>
      </c>
      <c r="P1837" t="s">
        <v>776</v>
      </c>
      <c r="Q1837">
        <v>29.9</v>
      </c>
      <c r="R1837">
        <v>5.39</v>
      </c>
      <c r="S1837">
        <v>3</v>
      </c>
      <c r="T1837">
        <v>0.54</v>
      </c>
      <c r="Y1837" t="s">
        <v>7916</v>
      </c>
      <c r="Z1837" t="s">
        <v>2463</v>
      </c>
      <c r="AA1837">
        <v>6056</v>
      </c>
      <c r="AB1837" t="s">
        <v>11</v>
      </c>
    </row>
    <row r="1838" spans="1:35" x14ac:dyDescent="0.25">
      <c r="A1838" t="s">
        <v>7917</v>
      </c>
      <c r="B1838" t="s">
        <v>7917</v>
      </c>
      <c r="C1838" t="s">
        <v>7918</v>
      </c>
      <c r="D1838" t="s">
        <v>7919</v>
      </c>
      <c r="E1838" t="s">
        <v>770</v>
      </c>
      <c r="F1838" t="s">
        <v>771</v>
      </c>
      <c r="G1838" t="s">
        <v>1854</v>
      </c>
      <c r="J1838" t="s">
        <v>783</v>
      </c>
      <c r="K1838" t="s">
        <v>1930</v>
      </c>
      <c r="L1838" t="s">
        <v>775</v>
      </c>
      <c r="M1838" t="s">
        <v>65</v>
      </c>
      <c r="N1838" t="s">
        <v>770</v>
      </c>
      <c r="O1838">
        <v>1</v>
      </c>
      <c r="P1838" t="s">
        <v>776</v>
      </c>
      <c r="Q1838">
        <v>29.9</v>
      </c>
      <c r="R1838">
        <v>5.39</v>
      </c>
      <c r="S1838">
        <v>3.99</v>
      </c>
      <c r="T1838">
        <v>0.72</v>
      </c>
      <c r="Y1838" t="s">
        <v>3663</v>
      </c>
      <c r="Z1838" t="s">
        <v>3153</v>
      </c>
      <c r="AA1838">
        <v>66026</v>
      </c>
      <c r="AB1838" t="s">
        <v>11</v>
      </c>
    </row>
    <row r="1839" spans="1:35" x14ac:dyDescent="0.25">
      <c r="A1839" t="s">
        <v>7920</v>
      </c>
      <c r="C1839" t="s">
        <v>7921</v>
      </c>
      <c r="D1839" t="s">
        <v>7922</v>
      </c>
      <c r="E1839" t="s">
        <v>770</v>
      </c>
      <c r="F1839" t="s">
        <v>1884</v>
      </c>
      <c r="G1839" t="s">
        <v>1854</v>
      </c>
      <c r="H1839" t="s">
        <v>1885</v>
      </c>
      <c r="J1839" t="s">
        <v>773</v>
      </c>
      <c r="K1839" t="s">
        <v>1855</v>
      </c>
      <c r="L1839" t="s">
        <v>13</v>
      </c>
      <c r="M1839" t="s">
        <v>12</v>
      </c>
      <c r="N1839" t="s">
        <v>770</v>
      </c>
      <c r="O1839">
        <v>1</v>
      </c>
      <c r="P1839" t="s">
        <v>776</v>
      </c>
      <c r="Q1839">
        <v>19.899999999999999</v>
      </c>
      <c r="R1839">
        <v>3.59</v>
      </c>
      <c r="S1839">
        <v>3</v>
      </c>
      <c r="T1839">
        <v>0.54</v>
      </c>
      <c r="Y1839" t="s">
        <v>7923</v>
      </c>
      <c r="Z1839" t="s">
        <v>2819</v>
      </c>
      <c r="AA1839">
        <v>74013</v>
      </c>
      <c r="AB1839" t="s">
        <v>11</v>
      </c>
    </row>
    <row r="1840" spans="1:35" x14ac:dyDescent="0.25">
      <c r="A1840" t="s">
        <v>7924</v>
      </c>
      <c r="C1840" t="s">
        <v>7925</v>
      </c>
      <c r="D1840" t="s">
        <v>7926</v>
      </c>
      <c r="E1840" t="s">
        <v>770</v>
      </c>
      <c r="F1840" t="s">
        <v>1884</v>
      </c>
      <c r="G1840" t="s">
        <v>1854</v>
      </c>
      <c r="H1840" t="s">
        <v>1885</v>
      </c>
      <c r="J1840" t="s">
        <v>773</v>
      </c>
      <c r="K1840" t="s">
        <v>1855</v>
      </c>
      <c r="L1840" t="s">
        <v>13</v>
      </c>
      <c r="M1840" t="s">
        <v>12</v>
      </c>
      <c r="N1840" t="s">
        <v>770</v>
      </c>
      <c r="O1840">
        <v>1</v>
      </c>
      <c r="P1840" t="s">
        <v>776</v>
      </c>
      <c r="Q1840">
        <v>19.899999999999999</v>
      </c>
      <c r="R1840">
        <v>3.59</v>
      </c>
      <c r="S1840">
        <v>3</v>
      </c>
      <c r="T1840">
        <v>0.54</v>
      </c>
      <c r="Y1840" t="s">
        <v>7927</v>
      </c>
      <c r="Z1840" t="s">
        <v>7928</v>
      </c>
      <c r="AA1840">
        <v>7010</v>
      </c>
      <c r="AB1840" t="s">
        <v>11</v>
      </c>
    </row>
    <row r="1841" spans="1:35" x14ac:dyDescent="0.25">
      <c r="A1841" t="s">
        <v>7929</v>
      </c>
      <c r="C1841" t="s">
        <v>7930</v>
      </c>
      <c r="D1841" t="s">
        <v>7931</v>
      </c>
      <c r="E1841" t="s">
        <v>770</v>
      </c>
      <c r="F1841" t="s">
        <v>1884</v>
      </c>
      <c r="G1841" t="s">
        <v>1854</v>
      </c>
      <c r="H1841" t="s">
        <v>1885</v>
      </c>
      <c r="J1841" t="s">
        <v>773</v>
      </c>
      <c r="K1841" t="s">
        <v>1855</v>
      </c>
      <c r="L1841" t="s">
        <v>13</v>
      </c>
      <c r="M1841" t="s">
        <v>12</v>
      </c>
      <c r="N1841" t="s">
        <v>770</v>
      </c>
      <c r="O1841">
        <v>1</v>
      </c>
      <c r="P1841" t="s">
        <v>776</v>
      </c>
      <c r="Q1841">
        <v>19.899999999999999</v>
      </c>
      <c r="R1841">
        <v>3.59</v>
      </c>
      <c r="S1841">
        <v>3</v>
      </c>
      <c r="T1841">
        <v>0.54</v>
      </c>
      <c r="Y1841" t="s">
        <v>7932</v>
      </c>
      <c r="Z1841" t="s">
        <v>1961</v>
      </c>
      <c r="AA1841">
        <v>20026</v>
      </c>
      <c r="AB1841" t="s">
        <v>11</v>
      </c>
    </row>
    <row r="1842" spans="1:35" x14ac:dyDescent="0.25">
      <c r="A1842" t="s">
        <v>7933</v>
      </c>
      <c r="B1842" t="s">
        <v>7933</v>
      </c>
      <c r="C1842" t="s">
        <v>7934</v>
      </c>
      <c r="D1842" t="s">
        <v>7935</v>
      </c>
      <c r="E1842" t="s">
        <v>770</v>
      </c>
      <c r="F1842" t="s">
        <v>771</v>
      </c>
      <c r="G1842" t="s">
        <v>1854</v>
      </c>
      <c r="J1842" t="s">
        <v>783</v>
      </c>
      <c r="K1842" t="s">
        <v>1930</v>
      </c>
      <c r="L1842" t="s">
        <v>775</v>
      </c>
      <c r="M1842" t="s">
        <v>65</v>
      </c>
      <c r="N1842" t="s">
        <v>770</v>
      </c>
      <c r="O1842">
        <v>1</v>
      </c>
      <c r="P1842" t="s">
        <v>776</v>
      </c>
      <c r="Q1842">
        <v>29.9</v>
      </c>
      <c r="R1842">
        <v>5.39</v>
      </c>
      <c r="Y1842" t="s">
        <v>7936</v>
      </c>
      <c r="Z1842" t="s">
        <v>1864</v>
      </c>
      <c r="AA1842">
        <v>20018</v>
      </c>
      <c r="AB1842" t="s">
        <v>11</v>
      </c>
    </row>
    <row r="1843" spans="1:35" x14ac:dyDescent="0.25">
      <c r="A1843" t="s">
        <v>7937</v>
      </c>
      <c r="C1843" t="s">
        <v>7938</v>
      </c>
      <c r="D1843" t="s">
        <v>7939</v>
      </c>
      <c r="E1843" t="s">
        <v>770</v>
      </c>
      <c r="F1843" t="s">
        <v>1884</v>
      </c>
      <c r="G1843" t="s">
        <v>1854</v>
      </c>
      <c r="H1843" t="s">
        <v>1885</v>
      </c>
      <c r="J1843" t="s">
        <v>773</v>
      </c>
      <c r="K1843" t="s">
        <v>1855</v>
      </c>
      <c r="L1843" t="s">
        <v>13</v>
      </c>
      <c r="M1843" t="s">
        <v>12</v>
      </c>
      <c r="N1843" t="s">
        <v>770</v>
      </c>
      <c r="O1843">
        <v>1</v>
      </c>
      <c r="P1843" t="s">
        <v>776</v>
      </c>
      <c r="Q1843">
        <v>19.899999999999999</v>
      </c>
      <c r="R1843">
        <v>3.59</v>
      </c>
      <c r="S1843">
        <v>3</v>
      </c>
      <c r="T1843">
        <v>0.54</v>
      </c>
      <c r="Y1843" t="s">
        <v>1956</v>
      </c>
      <c r="Z1843" t="s">
        <v>7940</v>
      </c>
      <c r="AA1843">
        <v>60</v>
      </c>
      <c r="AB1843" t="s">
        <v>11</v>
      </c>
      <c r="AG1843" t="s">
        <v>7941</v>
      </c>
      <c r="AH1843" t="s">
        <v>11</v>
      </c>
      <c r="AI1843" t="s">
        <v>2459</v>
      </c>
    </row>
    <row r="1844" spans="1:35" x14ac:dyDescent="0.25">
      <c r="A1844" t="s">
        <v>7942</v>
      </c>
      <c r="B1844" t="s">
        <v>7942</v>
      </c>
      <c r="C1844" t="s">
        <v>7943</v>
      </c>
      <c r="D1844" t="s">
        <v>7944</v>
      </c>
      <c r="E1844" t="s">
        <v>770</v>
      </c>
      <c r="F1844" t="s">
        <v>771</v>
      </c>
      <c r="G1844" t="s">
        <v>1854</v>
      </c>
      <c r="J1844" t="s">
        <v>783</v>
      </c>
      <c r="K1844" t="s">
        <v>1862</v>
      </c>
      <c r="L1844" t="s">
        <v>1505</v>
      </c>
      <c r="M1844" t="s">
        <v>53</v>
      </c>
      <c r="N1844" t="s">
        <v>770</v>
      </c>
      <c r="O1844">
        <v>1</v>
      </c>
      <c r="P1844" t="s">
        <v>776</v>
      </c>
      <c r="Q1844">
        <v>32.9</v>
      </c>
      <c r="R1844">
        <v>5.93</v>
      </c>
      <c r="Y1844" t="s">
        <v>4141</v>
      </c>
      <c r="Z1844" t="s">
        <v>1913</v>
      </c>
      <c r="AA1844">
        <v>54</v>
      </c>
      <c r="AB1844" t="s">
        <v>11</v>
      </c>
    </row>
    <row r="1845" spans="1:35" x14ac:dyDescent="0.25">
      <c r="A1845" t="s">
        <v>7945</v>
      </c>
      <c r="B1845" t="s">
        <v>7945</v>
      </c>
      <c r="C1845" t="s">
        <v>7946</v>
      </c>
      <c r="D1845" t="s">
        <v>7947</v>
      </c>
      <c r="E1845" t="s">
        <v>770</v>
      </c>
      <c r="F1845" t="s">
        <v>771</v>
      </c>
      <c r="G1845" t="s">
        <v>1854</v>
      </c>
      <c r="J1845" t="s">
        <v>783</v>
      </c>
      <c r="K1845" t="s">
        <v>7589</v>
      </c>
      <c r="L1845" t="s">
        <v>7590</v>
      </c>
      <c r="M1845" t="s">
        <v>63</v>
      </c>
      <c r="N1845" t="s">
        <v>770</v>
      </c>
      <c r="O1845">
        <v>1</v>
      </c>
      <c r="P1845" t="s">
        <v>776</v>
      </c>
      <c r="Q1845">
        <v>89.9</v>
      </c>
      <c r="R1845">
        <v>16.21</v>
      </c>
      <c r="Y1845" t="s">
        <v>7948</v>
      </c>
      <c r="Z1845" t="s">
        <v>2015</v>
      </c>
      <c r="AA1845">
        <v>44023</v>
      </c>
      <c r="AB1845" t="s">
        <v>11</v>
      </c>
    </row>
    <row r="1846" spans="1:35" x14ac:dyDescent="0.25">
      <c r="A1846" t="s">
        <v>7949</v>
      </c>
      <c r="B1846" t="s">
        <v>7949</v>
      </c>
      <c r="C1846" t="s">
        <v>7950</v>
      </c>
      <c r="D1846" t="s">
        <v>7951</v>
      </c>
      <c r="E1846" t="s">
        <v>770</v>
      </c>
      <c r="F1846" t="s">
        <v>771</v>
      </c>
      <c r="G1846" t="s">
        <v>1854</v>
      </c>
      <c r="J1846" t="s">
        <v>783</v>
      </c>
      <c r="K1846" t="s">
        <v>1873</v>
      </c>
      <c r="L1846" t="s">
        <v>840</v>
      </c>
      <c r="M1846" t="s">
        <v>26</v>
      </c>
      <c r="N1846" t="s">
        <v>770</v>
      </c>
      <c r="O1846">
        <v>1</v>
      </c>
      <c r="P1846" t="s">
        <v>776</v>
      </c>
      <c r="Q1846">
        <v>34.9</v>
      </c>
      <c r="R1846">
        <v>6.29</v>
      </c>
      <c r="Y1846" t="s">
        <v>7952</v>
      </c>
      <c r="Z1846" t="s">
        <v>1903</v>
      </c>
      <c r="AA1846">
        <v>39040</v>
      </c>
      <c r="AB1846" t="s">
        <v>11</v>
      </c>
    </row>
    <row r="1847" spans="1:35" x14ac:dyDescent="0.25">
      <c r="A1847" t="s">
        <v>7953</v>
      </c>
      <c r="C1847" t="s">
        <v>7954</v>
      </c>
      <c r="D1847" t="s">
        <v>7955</v>
      </c>
      <c r="E1847" t="s">
        <v>782</v>
      </c>
      <c r="F1847" t="s">
        <v>1884</v>
      </c>
      <c r="G1847" t="s">
        <v>1854</v>
      </c>
      <c r="H1847" t="s">
        <v>1885</v>
      </c>
      <c r="J1847" t="s">
        <v>773</v>
      </c>
      <c r="K1847" t="s">
        <v>1902</v>
      </c>
      <c r="L1847" t="s">
        <v>15</v>
      </c>
      <c r="M1847" t="s">
        <v>14</v>
      </c>
      <c r="O1847">
        <v>0</v>
      </c>
      <c r="Y1847" t="s">
        <v>7604</v>
      </c>
      <c r="Z1847" t="s">
        <v>1908</v>
      </c>
      <c r="AA1847">
        <v>80077</v>
      </c>
      <c r="AB1847" t="s">
        <v>11</v>
      </c>
    </row>
    <row r="1848" spans="1:35" x14ac:dyDescent="0.25">
      <c r="A1848" t="s">
        <v>7956</v>
      </c>
      <c r="B1848" t="s">
        <v>7956</v>
      </c>
      <c r="C1848" t="s">
        <v>7957</v>
      </c>
      <c r="D1848" t="s">
        <v>7958</v>
      </c>
      <c r="E1848" t="s">
        <v>782</v>
      </c>
      <c r="F1848" t="s">
        <v>771</v>
      </c>
      <c r="G1848" t="s">
        <v>1854</v>
      </c>
      <c r="J1848" t="s">
        <v>783</v>
      </c>
      <c r="K1848" t="s">
        <v>1862</v>
      </c>
      <c r="L1848" t="s">
        <v>1505</v>
      </c>
      <c r="M1848" t="s">
        <v>53</v>
      </c>
      <c r="N1848" t="s">
        <v>782</v>
      </c>
      <c r="O1848">
        <v>0</v>
      </c>
      <c r="Y1848" t="s">
        <v>4749</v>
      </c>
      <c r="Z1848" t="s">
        <v>1926</v>
      </c>
      <c r="AA1848">
        <v>54</v>
      </c>
      <c r="AB1848" t="s">
        <v>11</v>
      </c>
    </row>
    <row r="1849" spans="1:35" x14ac:dyDescent="0.25">
      <c r="A1849" t="s">
        <v>7959</v>
      </c>
      <c r="C1849" t="s">
        <v>7960</v>
      </c>
      <c r="D1849" t="s">
        <v>7961</v>
      </c>
      <c r="E1849" t="s">
        <v>770</v>
      </c>
      <c r="F1849" t="s">
        <v>1884</v>
      </c>
      <c r="G1849" t="s">
        <v>1854</v>
      </c>
      <c r="H1849" t="s">
        <v>1885</v>
      </c>
      <c r="J1849" t="s">
        <v>773</v>
      </c>
      <c r="K1849" t="s">
        <v>1886</v>
      </c>
      <c r="L1849" t="s">
        <v>18</v>
      </c>
      <c r="M1849" t="s">
        <v>17</v>
      </c>
      <c r="N1849" t="s">
        <v>770</v>
      </c>
      <c r="O1849">
        <v>1</v>
      </c>
      <c r="P1849" t="s">
        <v>776</v>
      </c>
      <c r="Q1849">
        <v>22.9</v>
      </c>
      <c r="R1849">
        <v>4.13</v>
      </c>
      <c r="S1849">
        <v>3</v>
      </c>
      <c r="T1849">
        <v>0.54</v>
      </c>
      <c r="Y1849" t="s">
        <v>7962</v>
      </c>
      <c r="Z1849" t="s">
        <v>5896</v>
      </c>
      <c r="AA1849">
        <v>14100</v>
      </c>
      <c r="AB1849" t="s">
        <v>11</v>
      </c>
    </row>
    <row r="1850" spans="1:35" x14ac:dyDescent="0.25">
      <c r="A1850" t="s">
        <v>7963</v>
      </c>
      <c r="B1850" t="s">
        <v>7963</v>
      </c>
      <c r="C1850" t="s">
        <v>7964</v>
      </c>
      <c r="D1850" t="s">
        <v>7965</v>
      </c>
      <c r="E1850" t="s">
        <v>770</v>
      </c>
      <c r="F1850" t="s">
        <v>771</v>
      </c>
      <c r="G1850" t="s">
        <v>1854</v>
      </c>
      <c r="J1850" t="s">
        <v>783</v>
      </c>
      <c r="K1850" t="s">
        <v>1873</v>
      </c>
      <c r="L1850" t="s">
        <v>840</v>
      </c>
      <c r="M1850" t="s">
        <v>26</v>
      </c>
      <c r="N1850" t="s">
        <v>770</v>
      </c>
      <c r="O1850">
        <v>1</v>
      </c>
      <c r="P1850" t="s">
        <v>776</v>
      </c>
      <c r="Q1850">
        <v>34.9</v>
      </c>
      <c r="R1850">
        <v>6.29</v>
      </c>
      <c r="Y1850" t="s">
        <v>1908</v>
      </c>
      <c r="Z1850" t="s">
        <v>1908</v>
      </c>
      <c r="AA1850">
        <v>80121</v>
      </c>
      <c r="AB1850" t="s">
        <v>11</v>
      </c>
    </row>
    <row r="1851" spans="1:35" x14ac:dyDescent="0.25">
      <c r="A1851" t="s">
        <v>7966</v>
      </c>
      <c r="B1851" t="s">
        <v>7966</v>
      </c>
      <c r="C1851" t="s">
        <v>7967</v>
      </c>
      <c r="D1851" t="s">
        <v>7968</v>
      </c>
      <c r="E1851" t="s">
        <v>770</v>
      </c>
      <c r="F1851" t="s">
        <v>771</v>
      </c>
      <c r="G1851" t="s">
        <v>1854</v>
      </c>
      <c r="J1851" t="s">
        <v>783</v>
      </c>
      <c r="K1851" t="s">
        <v>3328</v>
      </c>
      <c r="L1851" t="s">
        <v>3329</v>
      </c>
      <c r="M1851" t="s">
        <v>35</v>
      </c>
      <c r="N1851" t="s">
        <v>770</v>
      </c>
      <c r="O1851">
        <v>1</v>
      </c>
      <c r="P1851" t="s">
        <v>776</v>
      </c>
      <c r="Q1851">
        <v>24.9</v>
      </c>
      <c r="R1851">
        <v>4.49</v>
      </c>
      <c r="S1851">
        <v>1.64</v>
      </c>
      <c r="X1851">
        <v>1.64</v>
      </c>
      <c r="Y1851" t="s">
        <v>7969</v>
      </c>
      <c r="Z1851" t="s">
        <v>3404</v>
      </c>
      <c r="AA1851">
        <v>83045</v>
      </c>
      <c r="AB1851" t="s">
        <v>11</v>
      </c>
    </row>
    <row r="1852" spans="1:35" x14ac:dyDescent="0.25">
      <c r="A1852" t="s">
        <v>7970</v>
      </c>
      <c r="C1852" t="s">
        <v>7971</v>
      </c>
      <c r="D1852" t="s">
        <v>7972</v>
      </c>
      <c r="E1852" t="s">
        <v>770</v>
      </c>
      <c r="F1852" t="s">
        <v>1884</v>
      </c>
      <c r="G1852" t="s">
        <v>1854</v>
      </c>
      <c r="H1852" t="s">
        <v>1885</v>
      </c>
      <c r="J1852" t="s">
        <v>773</v>
      </c>
      <c r="K1852" t="s">
        <v>1886</v>
      </c>
      <c r="L1852" t="s">
        <v>18</v>
      </c>
      <c r="M1852" t="s">
        <v>17</v>
      </c>
      <c r="N1852" t="s">
        <v>770</v>
      </c>
      <c r="O1852">
        <v>1</v>
      </c>
      <c r="P1852" t="s">
        <v>776</v>
      </c>
      <c r="Q1852">
        <v>22.9</v>
      </c>
      <c r="R1852">
        <v>4.13</v>
      </c>
      <c r="S1852">
        <v>3</v>
      </c>
      <c r="T1852">
        <v>0.54</v>
      </c>
      <c r="Y1852" t="s">
        <v>7973</v>
      </c>
      <c r="Z1852" t="s">
        <v>2030</v>
      </c>
      <c r="AA1852">
        <v>38027</v>
      </c>
      <c r="AB1852" t="s">
        <v>11</v>
      </c>
    </row>
    <row r="1853" spans="1:35" x14ac:dyDescent="0.25">
      <c r="A1853" t="s">
        <v>7974</v>
      </c>
      <c r="C1853" t="s">
        <v>7975</v>
      </c>
      <c r="D1853" t="s">
        <v>7976</v>
      </c>
      <c r="E1853" t="s">
        <v>770</v>
      </c>
      <c r="F1853" t="s">
        <v>1884</v>
      </c>
      <c r="G1853" t="s">
        <v>1854</v>
      </c>
      <c r="H1853" t="s">
        <v>1885</v>
      </c>
      <c r="J1853" t="s">
        <v>773</v>
      </c>
      <c r="K1853" t="s">
        <v>1855</v>
      </c>
      <c r="L1853" t="s">
        <v>13</v>
      </c>
      <c r="M1853" t="s">
        <v>12</v>
      </c>
      <c r="N1853" t="s">
        <v>770</v>
      </c>
      <c r="O1853">
        <v>2</v>
      </c>
      <c r="P1853" t="s">
        <v>776</v>
      </c>
      <c r="Q1853">
        <v>39.799999999999997</v>
      </c>
      <c r="R1853">
        <v>7.18</v>
      </c>
      <c r="S1853">
        <v>6</v>
      </c>
      <c r="T1853">
        <v>1.08</v>
      </c>
      <c r="Y1853" t="s">
        <v>7977</v>
      </c>
      <c r="Z1853" t="s">
        <v>4965</v>
      </c>
      <c r="AA1853">
        <v>56048</v>
      </c>
      <c r="AB1853" t="s">
        <v>11</v>
      </c>
    </row>
    <row r="1854" spans="1:35" x14ac:dyDescent="0.25">
      <c r="A1854" t="s">
        <v>7978</v>
      </c>
      <c r="C1854" t="s">
        <v>7979</v>
      </c>
      <c r="D1854" t="s">
        <v>7980</v>
      </c>
      <c r="E1854" t="s">
        <v>770</v>
      </c>
      <c r="F1854" t="s">
        <v>1884</v>
      </c>
      <c r="G1854" t="s">
        <v>1854</v>
      </c>
      <c r="H1854" t="s">
        <v>1885</v>
      </c>
      <c r="J1854" t="s">
        <v>773</v>
      </c>
      <c r="K1854" t="s">
        <v>1855</v>
      </c>
      <c r="L1854" t="s">
        <v>13</v>
      </c>
      <c r="M1854" t="s">
        <v>12</v>
      </c>
      <c r="N1854" t="s">
        <v>770</v>
      </c>
      <c r="O1854">
        <v>1</v>
      </c>
      <c r="P1854" t="s">
        <v>776</v>
      </c>
      <c r="Q1854">
        <v>19.899999999999999</v>
      </c>
      <c r="R1854">
        <v>3.59</v>
      </c>
      <c r="S1854">
        <v>3</v>
      </c>
      <c r="T1854">
        <v>0.54</v>
      </c>
      <c r="Y1854" t="s">
        <v>1875</v>
      </c>
      <c r="Z1854" t="s">
        <v>3031</v>
      </c>
      <c r="AA1854">
        <v>20161</v>
      </c>
      <c r="AB1854" t="s">
        <v>11</v>
      </c>
    </row>
    <row r="1855" spans="1:35" x14ac:dyDescent="0.25">
      <c r="A1855" t="s">
        <v>7981</v>
      </c>
      <c r="B1855" t="s">
        <v>7981</v>
      </c>
      <c r="C1855" t="s">
        <v>7982</v>
      </c>
      <c r="D1855" t="s">
        <v>7983</v>
      </c>
      <c r="E1855" t="s">
        <v>770</v>
      </c>
      <c r="F1855" t="s">
        <v>771</v>
      </c>
      <c r="G1855" t="s">
        <v>1854</v>
      </c>
      <c r="J1855" t="s">
        <v>783</v>
      </c>
      <c r="K1855" t="s">
        <v>1873</v>
      </c>
      <c r="L1855" t="s">
        <v>840</v>
      </c>
      <c r="M1855" t="s">
        <v>26</v>
      </c>
      <c r="N1855" t="s">
        <v>770</v>
      </c>
      <c r="O1855">
        <v>1</v>
      </c>
      <c r="P1855" t="s">
        <v>776</v>
      </c>
      <c r="Q1855">
        <v>34.9</v>
      </c>
      <c r="R1855">
        <v>6.29</v>
      </c>
      <c r="Y1855" t="s">
        <v>7984</v>
      </c>
      <c r="Z1855" t="s">
        <v>7985</v>
      </c>
      <c r="AA1855">
        <v>93100</v>
      </c>
      <c r="AB1855" t="s">
        <v>11</v>
      </c>
    </row>
    <row r="1856" spans="1:35" x14ac:dyDescent="0.25">
      <c r="A1856" t="s">
        <v>7986</v>
      </c>
      <c r="B1856" t="s">
        <v>7986</v>
      </c>
      <c r="C1856" t="s">
        <v>7987</v>
      </c>
      <c r="D1856" t="s">
        <v>7988</v>
      </c>
      <c r="E1856" t="s">
        <v>770</v>
      </c>
      <c r="F1856" t="s">
        <v>771</v>
      </c>
      <c r="G1856" t="s">
        <v>1854</v>
      </c>
      <c r="J1856" t="s">
        <v>783</v>
      </c>
      <c r="K1856" t="s">
        <v>1873</v>
      </c>
      <c r="L1856" t="s">
        <v>840</v>
      </c>
      <c r="M1856" t="s">
        <v>26</v>
      </c>
      <c r="N1856" t="s">
        <v>770</v>
      </c>
      <c r="O1856">
        <v>1</v>
      </c>
      <c r="P1856" t="s">
        <v>776</v>
      </c>
      <c r="Q1856">
        <v>34.9</v>
      </c>
      <c r="R1856">
        <v>6.29</v>
      </c>
      <c r="Y1856" t="s">
        <v>7989</v>
      </c>
      <c r="Z1856" t="s">
        <v>1888</v>
      </c>
      <c r="AA1856">
        <v>40060</v>
      </c>
      <c r="AB1856" t="s">
        <v>11</v>
      </c>
    </row>
    <row r="1857" spans="1:35" x14ac:dyDescent="0.25">
      <c r="A1857" t="s">
        <v>7990</v>
      </c>
      <c r="B1857" t="s">
        <v>7990</v>
      </c>
      <c r="C1857" t="s">
        <v>7991</v>
      </c>
      <c r="D1857" t="s">
        <v>7992</v>
      </c>
      <c r="E1857" t="s">
        <v>770</v>
      </c>
      <c r="F1857" t="s">
        <v>771</v>
      </c>
      <c r="G1857" t="s">
        <v>1854</v>
      </c>
      <c r="J1857" t="s">
        <v>783</v>
      </c>
      <c r="K1857" t="s">
        <v>1879</v>
      </c>
      <c r="L1857" t="s">
        <v>1056</v>
      </c>
      <c r="M1857" t="s">
        <v>212</v>
      </c>
      <c r="N1857" t="s">
        <v>770</v>
      </c>
      <c r="O1857">
        <v>1</v>
      </c>
      <c r="P1857" t="s">
        <v>776</v>
      </c>
      <c r="Q1857">
        <v>39.9</v>
      </c>
      <c r="R1857">
        <v>7.2</v>
      </c>
      <c r="S1857">
        <v>3.27</v>
      </c>
      <c r="X1857">
        <v>3.27</v>
      </c>
      <c r="Y1857" t="s">
        <v>7993</v>
      </c>
      <c r="Z1857" t="s">
        <v>4457</v>
      </c>
      <c r="AA1857">
        <v>33083</v>
      </c>
      <c r="AB1857" t="s">
        <v>11</v>
      </c>
    </row>
    <row r="1858" spans="1:35" x14ac:dyDescent="0.25">
      <c r="A1858" t="s">
        <v>7994</v>
      </c>
      <c r="B1858" t="s">
        <v>7994</v>
      </c>
      <c r="C1858" t="s">
        <v>7995</v>
      </c>
      <c r="D1858" t="s">
        <v>7996</v>
      </c>
      <c r="E1858" t="s">
        <v>770</v>
      </c>
      <c r="F1858" t="s">
        <v>771</v>
      </c>
      <c r="G1858" t="s">
        <v>1854</v>
      </c>
      <c r="J1858" t="s">
        <v>783</v>
      </c>
      <c r="K1858" t="s">
        <v>1930</v>
      </c>
      <c r="L1858" t="s">
        <v>775</v>
      </c>
      <c r="M1858" t="s">
        <v>65</v>
      </c>
      <c r="N1858" t="s">
        <v>770</v>
      </c>
      <c r="O1858">
        <v>1</v>
      </c>
      <c r="P1858" t="s">
        <v>776</v>
      </c>
      <c r="Q1858">
        <v>29.9</v>
      </c>
      <c r="R1858">
        <v>5.39</v>
      </c>
      <c r="Y1858" t="s">
        <v>3740</v>
      </c>
      <c r="Z1858" t="s">
        <v>3861</v>
      </c>
      <c r="AA1858">
        <v>58100</v>
      </c>
      <c r="AB1858" t="s">
        <v>11</v>
      </c>
    </row>
    <row r="1859" spans="1:35" x14ac:dyDescent="0.25">
      <c r="A1859" t="s">
        <v>7997</v>
      </c>
      <c r="C1859" t="s">
        <v>7998</v>
      </c>
      <c r="D1859" t="s">
        <v>7999</v>
      </c>
      <c r="E1859" t="s">
        <v>770</v>
      </c>
      <c r="F1859" t="s">
        <v>1884</v>
      </c>
      <c r="G1859" t="s">
        <v>1854</v>
      </c>
      <c r="H1859" t="s">
        <v>1885</v>
      </c>
      <c r="J1859" t="s">
        <v>773</v>
      </c>
      <c r="K1859" t="s">
        <v>1886</v>
      </c>
      <c r="L1859" t="s">
        <v>18</v>
      </c>
      <c r="M1859" t="s">
        <v>17</v>
      </c>
      <c r="N1859" t="s">
        <v>770</v>
      </c>
      <c r="O1859">
        <v>2</v>
      </c>
      <c r="P1859" t="s">
        <v>776</v>
      </c>
      <c r="Q1859">
        <v>45.8</v>
      </c>
      <c r="R1859">
        <v>8.26</v>
      </c>
      <c r="S1859">
        <v>6</v>
      </c>
      <c r="T1859">
        <v>1.08</v>
      </c>
      <c r="Y1859" t="s">
        <v>8000</v>
      </c>
      <c r="Z1859" t="s">
        <v>3512</v>
      </c>
      <c r="AA1859">
        <v>32023</v>
      </c>
      <c r="AB1859" t="s">
        <v>11</v>
      </c>
      <c r="AG1859">
        <v>1236760250</v>
      </c>
      <c r="AH1859" t="s">
        <v>11</v>
      </c>
      <c r="AI1859" t="s">
        <v>1258</v>
      </c>
    </row>
    <row r="1860" spans="1:35" x14ac:dyDescent="0.25">
      <c r="A1860" t="s">
        <v>8001</v>
      </c>
      <c r="C1860" t="s">
        <v>8002</v>
      </c>
      <c r="D1860" t="s">
        <v>8003</v>
      </c>
      <c r="E1860" t="s">
        <v>770</v>
      </c>
      <c r="F1860" t="s">
        <v>1884</v>
      </c>
      <c r="G1860" t="s">
        <v>1854</v>
      </c>
      <c r="H1860" t="s">
        <v>1885</v>
      </c>
      <c r="J1860" t="s">
        <v>773</v>
      </c>
      <c r="K1860" t="s">
        <v>1855</v>
      </c>
      <c r="L1860" t="s">
        <v>13</v>
      </c>
      <c r="M1860" t="s">
        <v>12</v>
      </c>
      <c r="N1860" t="s">
        <v>770</v>
      </c>
      <c r="O1860">
        <v>1</v>
      </c>
      <c r="P1860" t="s">
        <v>776</v>
      </c>
      <c r="Q1860">
        <v>19.899999999999999</v>
      </c>
      <c r="R1860">
        <v>3.59</v>
      </c>
      <c r="S1860">
        <v>3</v>
      </c>
      <c r="T1860">
        <v>0.54</v>
      </c>
      <c r="Y1860" t="s">
        <v>8004</v>
      </c>
      <c r="Z1860" t="s">
        <v>2143</v>
      </c>
      <c r="AA1860">
        <v>3038</v>
      </c>
      <c r="AB1860" t="s">
        <v>11</v>
      </c>
    </row>
    <row r="1861" spans="1:35" x14ac:dyDescent="0.25">
      <c r="A1861" t="s">
        <v>8005</v>
      </c>
      <c r="B1861" t="s">
        <v>8005</v>
      </c>
      <c r="C1861" t="s">
        <v>8006</v>
      </c>
      <c r="D1861" t="s">
        <v>8007</v>
      </c>
      <c r="E1861" t="s">
        <v>770</v>
      </c>
      <c r="F1861" t="s">
        <v>771</v>
      </c>
      <c r="G1861" t="s">
        <v>1854</v>
      </c>
      <c r="J1861" t="s">
        <v>783</v>
      </c>
      <c r="K1861" t="s">
        <v>1930</v>
      </c>
      <c r="L1861" t="s">
        <v>775</v>
      </c>
      <c r="M1861" t="s">
        <v>65</v>
      </c>
      <c r="N1861" t="s">
        <v>770</v>
      </c>
      <c r="O1861">
        <v>1</v>
      </c>
      <c r="P1861" t="s">
        <v>776</v>
      </c>
      <c r="Q1861">
        <v>29.9</v>
      </c>
      <c r="R1861">
        <v>5.39</v>
      </c>
      <c r="Y1861" t="s">
        <v>8008</v>
      </c>
      <c r="Z1861" t="s">
        <v>3453</v>
      </c>
      <c r="AA1861">
        <v>33050</v>
      </c>
      <c r="AB1861" t="s">
        <v>11</v>
      </c>
    </row>
    <row r="1862" spans="1:35" x14ac:dyDescent="0.25">
      <c r="A1862" t="s">
        <v>8009</v>
      </c>
      <c r="C1862" t="s">
        <v>8010</v>
      </c>
      <c r="D1862" t="s">
        <v>8011</v>
      </c>
      <c r="E1862" t="s">
        <v>770</v>
      </c>
      <c r="F1862" t="s">
        <v>1884</v>
      </c>
      <c r="G1862" t="s">
        <v>1854</v>
      </c>
      <c r="H1862" t="s">
        <v>1885</v>
      </c>
      <c r="J1862" t="s">
        <v>773</v>
      </c>
      <c r="K1862" t="s">
        <v>1855</v>
      </c>
      <c r="L1862" t="s">
        <v>13</v>
      </c>
      <c r="M1862" t="s">
        <v>12</v>
      </c>
      <c r="N1862" t="s">
        <v>770</v>
      </c>
      <c r="O1862">
        <v>1</v>
      </c>
      <c r="P1862" t="s">
        <v>776</v>
      </c>
      <c r="Q1862">
        <v>19.899999999999999</v>
      </c>
      <c r="R1862">
        <v>3.59</v>
      </c>
      <c r="S1862">
        <v>3</v>
      </c>
      <c r="T1862">
        <v>0.54</v>
      </c>
      <c r="Y1862" t="s">
        <v>8012</v>
      </c>
      <c r="Z1862" t="s">
        <v>2057</v>
      </c>
      <c r="AA1862">
        <v>37046</v>
      </c>
      <c r="AB1862" t="s">
        <v>11</v>
      </c>
    </row>
    <row r="1863" spans="1:35" x14ac:dyDescent="0.25">
      <c r="A1863" t="s">
        <v>8013</v>
      </c>
      <c r="C1863" t="s">
        <v>8014</v>
      </c>
      <c r="D1863" t="s">
        <v>8015</v>
      </c>
      <c r="E1863" t="s">
        <v>770</v>
      </c>
      <c r="F1863" t="s">
        <v>1884</v>
      </c>
      <c r="G1863" t="s">
        <v>1854</v>
      </c>
      <c r="H1863" t="s">
        <v>1885</v>
      </c>
      <c r="J1863" t="s">
        <v>773</v>
      </c>
      <c r="K1863" t="s">
        <v>2055</v>
      </c>
      <c r="L1863" s="2">
        <v>40405</v>
      </c>
      <c r="M1863" t="s">
        <v>202</v>
      </c>
      <c r="N1863" t="s">
        <v>770</v>
      </c>
      <c r="O1863">
        <v>1</v>
      </c>
      <c r="P1863" t="s">
        <v>776</v>
      </c>
      <c r="Q1863">
        <v>14.9</v>
      </c>
      <c r="R1863">
        <v>2.69</v>
      </c>
      <c r="S1863">
        <v>3</v>
      </c>
      <c r="T1863">
        <v>0.54</v>
      </c>
      <c r="Y1863" t="s">
        <v>2644</v>
      </c>
      <c r="Z1863" t="s">
        <v>2644</v>
      </c>
      <c r="AA1863">
        <v>57122</v>
      </c>
      <c r="AB1863" t="s">
        <v>11</v>
      </c>
    </row>
    <row r="1864" spans="1:35" x14ac:dyDescent="0.25">
      <c r="A1864" t="s">
        <v>8016</v>
      </c>
      <c r="B1864" t="s">
        <v>8016</v>
      </c>
      <c r="C1864" t="s">
        <v>8017</v>
      </c>
      <c r="D1864" t="s">
        <v>8018</v>
      </c>
      <c r="E1864" t="s">
        <v>770</v>
      </c>
      <c r="F1864" t="s">
        <v>771</v>
      </c>
      <c r="G1864" t="s">
        <v>1854</v>
      </c>
      <c r="J1864" t="s">
        <v>783</v>
      </c>
      <c r="K1864" t="s">
        <v>2294</v>
      </c>
      <c r="L1864" t="s">
        <v>2295</v>
      </c>
      <c r="M1864" t="s">
        <v>232</v>
      </c>
      <c r="N1864" t="s">
        <v>770</v>
      </c>
      <c r="O1864">
        <v>1</v>
      </c>
      <c r="P1864" t="s">
        <v>776</v>
      </c>
      <c r="Q1864">
        <v>49.9</v>
      </c>
      <c r="R1864">
        <v>9</v>
      </c>
      <c r="Y1864" t="s">
        <v>8019</v>
      </c>
      <c r="Z1864" t="s">
        <v>2463</v>
      </c>
      <c r="AA1864">
        <v>6081</v>
      </c>
      <c r="AB1864" t="s">
        <v>11</v>
      </c>
    </row>
    <row r="1865" spans="1:35" x14ac:dyDescent="0.25">
      <c r="A1865" t="s">
        <v>8020</v>
      </c>
      <c r="B1865" t="s">
        <v>8020</v>
      </c>
      <c r="C1865" t="s">
        <v>8021</v>
      </c>
      <c r="D1865" t="s">
        <v>8022</v>
      </c>
      <c r="E1865" t="s">
        <v>770</v>
      </c>
      <c r="F1865" t="s">
        <v>771</v>
      </c>
      <c r="G1865" t="s">
        <v>1854</v>
      </c>
      <c r="J1865" t="s">
        <v>783</v>
      </c>
      <c r="K1865" t="s">
        <v>1873</v>
      </c>
      <c r="L1865" t="s">
        <v>840</v>
      </c>
      <c r="M1865" t="s">
        <v>26</v>
      </c>
      <c r="N1865" t="s">
        <v>770</v>
      </c>
      <c r="O1865">
        <v>1</v>
      </c>
      <c r="P1865" t="s">
        <v>776</v>
      </c>
      <c r="Q1865">
        <v>34.9</v>
      </c>
      <c r="R1865">
        <v>6.29</v>
      </c>
      <c r="Y1865" t="s">
        <v>8023</v>
      </c>
      <c r="Z1865" t="s">
        <v>3013</v>
      </c>
      <c r="AA1865">
        <v>12060</v>
      </c>
      <c r="AB1865" t="s">
        <v>11</v>
      </c>
    </row>
    <row r="1866" spans="1:35" x14ac:dyDescent="0.25">
      <c r="A1866" t="s">
        <v>8024</v>
      </c>
      <c r="B1866" t="s">
        <v>8024</v>
      </c>
      <c r="C1866" t="s">
        <v>8025</v>
      </c>
      <c r="D1866" t="s">
        <v>8026</v>
      </c>
      <c r="E1866" t="s">
        <v>770</v>
      </c>
      <c r="F1866" t="s">
        <v>771</v>
      </c>
      <c r="G1866" t="s">
        <v>1854</v>
      </c>
      <c r="J1866" t="s">
        <v>783</v>
      </c>
      <c r="K1866" t="s">
        <v>1862</v>
      </c>
      <c r="L1866" t="s">
        <v>1505</v>
      </c>
      <c r="M1866" t="s">
        <v>53</v>
      </c>
      <c r="N1866" t="s">
        <v>770</v>
      </c>
      <c r="O1866">
        <v>1</v>
      </c>
      <c r="P1866" t="s">
        <v>776</v>
      </c>
      <c r="Q1866">
        <v>32.9</v>
      </c>
      <c r="R1866">
        <v>5.93</v>
      </c>
      <c r="Y1866" t="s">
        <v>8027</v>
      </c>
      <c r="Z1866" t="s">
        <v>3287</v>
      </c>
      <c r="AA1866">
        <v>23813</v>
      </c>
      <c r="AB1866" t="s">
        <v>11</v>
      </c>
    </row>
    <row r="1867" spans="1:35" x14ac:dyDescent="0.25">
      <c r="A1867" t="s">
        <v>8028</v>
      </c>
      <c r="C1867" t="s">
        <v>8029</v>
      </c>
      <c r="D1867" t="s">
        <v>8030</v>
      </c>
      <c r="E1867" t="s">
        <v>770</v>
      </c>
      <c r="F1867" t="s">
        <v>1884</v>
      </c>
      <c r="G1867" t="s">
        <v>1854</v>
      </c>
      <c r="H1867" t="s">
        <v>1885</v>
      </c>
      <c r="J1867" t="s">
        <v>773</v>
      </c>
      <c r="K1867" t="s">
        <v>2252</v>
      </c>
      <c r="L1867" t="s">
        <v>74</v>
      </c>
      <c r="M1867" t="s">
        <v>73</v>
      </c>
      <c r="N1867" t="s">
        <v>770</v>
      </c>
      <c r="O1867">
        <v>1</v>
      </c>
      <c r="P1867" t="s">
        <v>776</v>
      </c>
      <c r="Q1867">
        <v>14.9</v>
      </c>
      <c r="R1867">
        <v>2.69</v>
      </c>
      <c r="S1867">
        <v>3</v>
      </c>
      <c r="T1867">
        <v>0.54</v>
      </c>
      <c r="Y1867" t="s">
        <v>8031</v>
      </c>
      <c r="Z1867" t="s">
        <v>1937</v>
      </c>
      <c r="AA1867">
        <v>24064</v>
      </c>
      <c r="AB1867" t="s">
        <v>11</v>
      </c>
    </row>
    <row r="1868" spans="1:35" x14ac:dyDescent="0.25">
      <c r="A1868" t="s">
        <v>8032</v>
      </c>
      <c r="B1868" t="s">
        <v>8032</v>
      </c>
      <c r="C1868" t="s">
        <v>8033</v>
      </c>
      <c r="D1868" t="s">
        <v>8034</v>
      </c>
      <c r="E1868" t="s">
        <v>770</v>
      </c>
      <c r="F1868" t="s">
        <v>771</v>
      </c>
      <c r="G1868" t="s">
        <v>1854</v>
      </c>
      <c r="J1868" t="s">
        <v>783</v>
      </c>
      <c r="K1868" t="s">
        <v>1873</v>
      </c>
      <c r="L1868" t="s">
        <v>840</v>
      </c>
      <c r="M1868" t="s">
        <v>26</v>
      </c>
      <c r="N1868" t="s">
        <v>770</v>
      </c>
      <c r="O1868">
        <v>1</v>
      </c>
      <c r="P1868" t="s">
        <v>776</v>
      </c>
      <c r="Q1868">
        <v>34.9</v>
      </c>
      <c r="R1868">
        <v>6.29</v>
      </c>
      <c r="Y1868" t="s">
        <v>2088</v>
      </c>
      <c r="Z1868" t="s">
        <v>2084</v>
      </c>
      <c r="AA1868">
        <v>98168</v>
      </c>
      <c r="AB1868" t="s">
        <v>11</v>
      </c>
    </row>
    <row r="1869" spans="1:35" x14ac:dyDescent="0.25">
      <c r="A1869" t="s">
        <v>8035</v>
      </c>
      <c r="C1869" t="s">
        <v>8036</v>
      </c>
      <c r="D1869" t="s">
        <v>8037</v>
      </c>
      <c r="E1869" t="s">
        <v>770</v>
      </c>
      <c r="F1869" t="s">
        <v>1884</v>
      </c>
      <c r="G1869" t="s">
        <v>1854</v>
      </c>
      <c r="H1869" t="s">
        <v>1885</v>
      </c>
      <c r="J1869" t="s">
        <v>773</v>
      </c>
      <c r="K1869" t="s">
        <v>1855</v>
      </c>
      <c r="L1869" t="s">
        <v>13</v>
      </c>
      <c r="M1869" t="s">
        <v>12</v>
      </c>
      <c r="N1869" t="s">
        <v>770</v>
      </c>
      <c r="O1869">
        <v>1</v>
      </c>
      <c r="P1869" t="s">
        <v>776</v>
      </c>
      <c r="Q1869">
        <v>19.899999999999999</v>
      </c>
      <c r="R1869">
        <v>3.59</v>
      </c>
      <c r="S1869">
        <v>3</v>
      </c>
      <c r="T1869">
        <v>0.54</v>
      </c>
      <c r="Y1869" t="s">
        <v>8038</v>
      </c>
      <c r="Z1869" t="s">
        <v>3870</v>
      </c>
      <c r="AA1869">
        <v>75015</v>
      </c>
      <c r="AB1869" t="s">
        <v>11</v>
      </c>
    </row>
    <row r="1870" spans="1:35" x14ac:dyDescent="0.25">
      <c r="A1870" t="s">
        <v>8039</v>
      </c>
      <c r="B1870" t="s">
        <v>8039</v>
      </c>
      <c r="C1870" t="s">
        <v>8040</v>
      </c>
      <c r="D1870" t="s">
        <v>8041</v>
      </c>
      <c r="E1870" t="s">
        <v>770</v>
      </c>
      <c r="F1870" t="s">
        <v>771</v>
      </c>
      <c r="G1870" t="s">
        <v>1854</v>
      </c>
      <c r="J1870" t="s">
        <v>783</v>
      </c>
      <c r="K1870" t="s">
        <v>1873</v>
      </c>
      <c r="L1870" t="s">
        <v>840</v>
      </c>
      <c r="M1870" t="s">
        <v>26</v>
      </c>
      <c r="N1870" t="s">
        <v>770</v>
      </c>
      <c r="O1870">
        <v>1</v>
      </c>
      <c r="P1870" t="s">
        <v>776</v>
      </c>
      <c r="Q1870">
        <v>34.9</v>
      </c>
      <c r="R1870">
        <v>6.29</v>
      </c>
      <c r="Y1870" t="s">
        <v>1913</v>
      </c>
      <c r="Z1870" t="s">
        <v>1913</v>
      </c>
      <c r="AA1870">
        <v>173</v>
      </c>
      <c r="AB1870" t="s">
        <v>11</v>
      </c>
    </row>
    <row r="1871" spans="1:35" x14ac:dyDescent="0.25">
      <c r="A1871" t="s">
        <v>8042</v>
      </c>
      <c r="B1871" t="s">
        <v>8042</v>
      </c>
      <c r="C1871" t="s">
        <v>8043</v>
      </c>
      <c r="D1871" t="s">
        <v>8044</v>
      </c>
      <c r="E1871" t="s">
        <v>770</v>
      </c>
      <c r="F1871" t="s">
        <v>771</v>
      </c>
      <c r="G1871" t="s">
        <v>1854</v>
      </c>
      <c r="J1871" t="s">
        <v>783</v>
      </c>
      <c r="K1871" t="s">
        <v>1873</v>
      </c>
      <c r="L1871" t="s">
        <v>840</v>
      </c>
      <c r="M1871" t="s">
        <v>26</v>
      </c>
      <c r="N1871" t="s">
        <v>770</v>
      </c>
      <c r="O1871">
        <v>1</v>
      </c>
      <c r="P1871" t="s">
        <v>776</v>
      </c>
      <c r="Q1871">
        <v>34.9</v>
      </c>
      <c r="R1871">
        <v>6.29</v>
      </c>
      <c r="Y1871" t="s">
        <v>8045</v>
      </c>
      <c r="Z1871" t="s">
        <v>2597</v>
      </c>
      <c r="AA1871">
        <v>70024</v>
      </c>
      <c r="AB1871" t="s">
        <v>11</v>
      </c>
    </row>
    <row r="1872" spans="1:35" x14ac:dyDescent="0.25">
      <c r="A1872" t="s">
        <v>8046</v>
      </c>
      <c r="C1872" t="s">
        <v>8047</v>
      </c>
      <c r="D1872" t="s">
        <v>8048</v>
      </c>
      <c r="E1872" t="s">
        <v>770</v>
      </c>
      <c r="F1872" t="s">
        <v>1884</v>
      </c>
      <c r="G1872" t="s">
        <v>1854</v>
      </c>
      <c r="H1872" t="s">
        <v>1885</v>
      </c>
      <c r="J1872" t="s">
        <v>773</v>
      </c>
      <c r="K1872" t="s">
        <v>1855</v>
      </c>
      <c r="L1872" t="s">
        <v>13</v>
      </c>
      <c r="M1872" t="s">
        <v>12</v>
      </c>
      <c r="N1872" t="s">
        <v>770</v>
      </c>
      <c r="O1872">
        <v>1</v>
      </c>
      <c r="P1872" t="s">
        <v>776</v>
      </c>
      <c r="Q1872">
        <v>19.899999999999999</v>
      </c>
      <c r="R1872">
        <v>3.59</v>
      </c>
      <c r="S1872">
        <v>3</v>
      </c>
      <c r="T1872">
        <v>0.54</v>
      </c>
      <c r="Y1872" t="s">
        <v>8049</v>
      </c>
      <c r="Z1872" t="s">
        <v>8050</v>
      </c>
      <c r="AA1872">
        <v>3010</v>
      </c>
      <c r="AB1872" t="s">
        <v>11</v>
      </c>
    </row>
    <row r="1873" spans="1:35" x14ac:dyDescent="0.25">
      <c r="A1873" t="s">
        <v>8051</v>
      </c>
      <c r="B1873" t="s">
        <v>8051</v>
      </c>
      <c r="C1873" t="s">
        <v>8052</v>
      </c>
      <c r="D1873" t="s">
        <v>8053</v>
      </c>
      <c r="E1873" t="s">
        <v>770</v>
      </c>
      <c r="F1873" t="s">
        <v>771</v>
      </c>
      <c r="G1873" t="s">
        <v>1854</v>
      </c>
      <c r="J1873" t="s">
        <v>783</v>
      </c>
      <c r="K1873" t="s">
        <v>3363</v>
      </c>
      <c r="L1873" t="s">
        <v>5572</v>
      </c>
      <c r="M1873" t="s">
        <v>71</v>
      </c>
      <c r="N1873" t="s">
        <v>770</v>
      </c>
      <c r="O1873">
        <v>1</v>
      </c>
      <c r="P1873" t="s">
        <v>776</v>
      </c>
      <c r="Q1873">
        <v>29.9</v>
      </c>
      <c r="R1873">
        <v>5.39</v>
      </c>
      <c r="Y1873" t="s">
        <v>8054</v>
      </c>
      <c r="Z1873" t="s">
        <v>1908</v>
      </c>
      <c r="AA1873">
        <v>80077</v>
      </c>
      <c r="AB1873" t="s">
        <v>11</v>
      </c>
      <c r="AG1873" t="s">
        <v>8055</v>
      </c>
      <c r="AH1873" t="s">
        <v>11</v>
      </c>
      <c r="AI1873" t="s">
        <v>1258</v>
      </c>
    </row>
    <row r="1874" spans="1:35" x14ac:dyDescent="0.25">
      <c r="A1874" t="s">
        <v>8056</v>
      </c>
      <c r="B1874" t="s">
        <v>8056</v>
      </c>
      <c r="C1874" t="s">
        <v>8057</v>
      </c>
      <c r="D1874" t="s">
        <v>8058</v>
      </c>
      <c r="E1874" t="s">
        <v>770</v>
      </c>
      <c r="F1874" t="s">
        <v>771</v>
      </c>
      <c r="G1874" t="s">
        <v>1854</v>
      </c>
      <c r="J1874" t="s">
        <v>783</v>
      </c>
      <c r="K1874" t="s">
        <v>1862</v>
      </c>
      <c r="L1874" t="s">
        <v>1505</v>
      </c>
      <c r="M1874" t="s">
        <v>53</v>
      </c>
      <c r="N1874" t="s">
        <v>770</v>
      </c>
      <c r="O1874">
        <v>1</v>
      </c>
      <c r="P1874" t="s">
        <v>776</v>
      </c>
      <c r="Q1874">
        <v>32.9</v>
      </c>
      <c r="R1874">
        <v>5.93</v>
      </c>
      <c r="Y1874" t="s">
        <v>1989</v>
      </c>
      <c r="Z1874" t="s">
        <v>2860</v>
      </c>
      <c r="AA1874">
        <v>36100</v>
      </c>
      <c r="AB1874" t="s">
        <v>11</v>
      </c>
    </row>
    <row r="1875" spans="1:35" x14ac:dyDescent="0.25">
      <c r="A1875" t="s">
        <v>8059</v>
      </c>
      <c r="B1875" t="s">
        <v>8059</v>
      </c>
      <c r="C1875" t="s">
        <v>8060</v>
      </c>
      <c r="D1875" t="s">
        <v>8061</v>
      </c>
      <c r="E1875" t="s">
        <v>770</v>
      </c>
      <c r="F1875" t="s">
        <v>771</v>
      </c>
      <c r="G1875" t="s">
        <v>1854</v>
      </c>
      <c r="J1875" t="s">
        <v>783</v>
      </c>
      <c r="K1875" t="s">
        <v>1930</v>
      </c>
      <c r="L1875" t="s">
        <v>775</v>
      </c>
      <c r="M1875" t="s">
        <v>65</v>
      </c>
      <c r="N1875" t="s">
        <v>770</v>
      </c>
      <c r="O1875">
        <v>1</v>
      </c>
      <c r="P1875" t="s">
        <v>776</v>
      </c>
      <c r="Q1875">
        <v>29.9</v>
      </c>
      <c r="R1875">
        <v>5.39</v>
      </c>
      <c r="Y1875" t="s">
        <v>8062</v>
      </c>
      <c r="Z1875" t="s">
        <v>7382</v>
      </c>
      <c r="AA1875">
        <v>23845</v>
      </c>
      <c r="AB1875" t="s">
        <v>11</v>
      </c>
    </row>
    <row r="1876" spans="1:35" x14ac:dyDescent="0.25">
      <c r="A1876" t="s">
        <v>8063</v>
      </c>
      <c r="B1876" t="s">
        <v>8063</v>
      </c>
      <c r="C1876" t="s">
        <v>8064</v>
      </c>
      <c r="D1876" t="s">
        <v>8065</v>
      </c>
      <c r="E1876" t="s">
        <v>770</v>
      </c>
      <c r="F1876" t="s">
        <v>771</v>
      </c>
      <c r="G1876" t="s">
        <v>1854</v>
      </c>
      <c r="J1876" t="s">
        <v>783</v>
      </c>
      <c r="K1876" t="s">
        <v>5765</v>
      </c>
      <c r="L1876" t="s">
        <v>5766</v>
      </c>
      <c r="M1876" t="s">
        <v>152</v>
      </c>
      <c r="N1876" t="s">
        <v>770</v>
      </c>
      <c r="O1876">
        <v>1</v>
      </c>
      <c r="P1876" t="s">
        <v>776</v>
      </c>
      <c r="Q1876">
        <v>24.9</v>
      </c>
      <c r="R1876">
        <v>4.49</v>
      </c>
      <c r="S1876">
        <v>0.65</v>
      </c>
      <c r="X1876">
        <v>0.65</v>
      </c>
      <c r="Y1876" t="s">
        <v>2153</v>
      </c>
      <c r="Z1876" t="s">
        <v>8066</v>
      </c>
      <c r="AA1876">
        <v>84131</v>
      </c>
      <c r="AB1876" t="s">
        <v>11</v>
      </c>
    </row>
    <row r="1877" spans="1:35" x14ac:dyDescent="0.25">
      <c r="A1877" t="s">
        <v>8067</v>
      </c>
      <c r="C1877" t="s">
        <v>8068</v>
      </c>
      <c r="D1877" t="s">
        <v>8069</v>
      </c>
      <c r="E1877" t="s">
        <v>770</v>
      </c>
      <c r="F1877" t="s">
        <v>1884</v>
      </c>
      <c r="G1877" t="s">
        <v>1854</v>
      </c>
      <c r="H1877" t="s">
        <v>1885</v>
      </c>
      <c r="J1877" t="s">
        <v>773</v>
      </c>
      <c r="K1877" t="s">
        <v>1855</v>
      </c>
      <c r="L1877" t="s">
        <v>13</v>
      </c>
      <c r="M1877" t="s">
        <v>12</v>
      </c>
      <c r="N1877" t="s">
        <v>770</v>
      </c>
      <c r="O1877">
        <v>1</v>
      </c>
      <c r="P1877" t="s">
        <v>776</v>
      </c>
      <c r="Q1877">
        <v>19.899999999999999</v>
      </c>
      <c r="R1877">
        <v>3.59</v>
      </c>
      <c r="S1877">
        <v>3</v>
      </c>
      <c r="T1877">
        <v>0.54</v>
      </c>
      <c r="Y1877" t="s">
        <v>8070</v>
      </c>
      <c r="Z1877" t="s">
        <v>1908</v>
      </c>
      <c r="AA1877">
        <v>80073</v>
      </c>
      <c r="AB1877" t="s">
        <v>11</v>
      </c>
      <c r="AG1877">
        <v>5717831217</v>
      </c>
      <c r="AH1877" t="s">
        <v>11</v>
      </c>
      <c r="AI1877" t="s">
        <v>1258</v>
      </c>
    </row>
    <row r="1878" spans="1:35" x14ac:dyDescent="0.25">
      <c r="A1878" t="s">
        <v>8071</v>
      </c>
      <c r="B1878" t="s">
        <v>8071</v>
      </c>
      <c r="C1878" t="s">
        <v>8072</v>
      </c>
      <c r="D1878" t="s">
        <v>8073</v>
      </c>
      <c r="E1878" t="s">
        <v>770</v>
      </c>
      <c r="F1878" t="s">
        <v>771</v>
      </c>
      <c r="G1878" t="s">
        <v>1854</v>
      </c>
      <c r="J1878" t="s">
        <v>783</v>
      </c>
      <c r="K1878" t="s">
        <v>1873</v>
      </c>
      <c r="L1878" t="s">
        <v>840</v>
      </c>
      <c r="M1878" t="s">
        <v>26</v>
      </c>
      <c r="N1878" t="s">
        <v>770</v>
      </c>
      <c r="O1878">
        <v>1</v>
      </c>
      <c r="P1878" t="s">
        <v>776</v>
      </c>
      <c r="Q1878">
        <v>34.9</v>
      </c>
      <c r="R1878">
        <v>6.29</v>
      </c>
      <c r="S1878">
        <v>4.99</v>
      </c>
      <c r="T1878">
        <v>0.9</v>
      </c>
      <c r="Y1878" t="s">
        <v>8074</v>
      </c>
      <c r="Z1878" t="s">
        <v>3089</v>
      </c>
      <c r="AA1878">
        <v>25036</v>
      </c>
      <c r="AB1878" t="s">
        <v>11</v>
      </c>
    </row>
    <row r="1879" spans="1:35" x14ac:dyDescent="0.25">
      <c r="A1879" t="s">
        <v>8075</v>
      </c>
      <c r="B1879" t="s">
        <v>8075</v>
      </c>
      <c r="C1879" t="s">
        <v>8076</v>
      </c>
      <c r="D1879" t="s">
        <v>8077</v>
      </c>
      <c r="E1879" t="s">
        <v>770</v>
      </c>
      <c r="F1879" t="s">
        <v>771</v>
      </c>
      <c r="G1879" t="s">
        <v>1854</v>
      </c>
      <c r="J1879" t="s">
        <v>783</v>
      </c>
      <c r="K1879" t="s">
        <v>3363</v>
      </c>
      <c r="L1879" t="s">
        <v>5572</v>
      </c>
      <c r="M1879" t="s">
        <v>71</v>
      </c>
      <c r="N1879" t="s">
        <v>770</v>
      </c>
      <c r="O1879">
        <v>2</v>
      </c>
      <c r="P1879" t="s">
        <v>776</v>
      </c>
      <c r="Q1879">
        <v>59.8</v>
      </c>
      <c r="R1879">
        <v>10.78</v>
      </c>
      <c r="Y1879" t="s">
        <v>8078</v>
      </c>
      <c r="Z1879" t="s">
        <v>3500</v>
      </c>
      <c r="AA1879">
        <v>4027</v>
      </c>
      <c r="AB1879" t="s">
        <v>11</v>
      </c>
    </row>
    <row r="1880" spans="1:35" x14ac:dyDescent="0.25">
      <c r="A1880" t="s">
        <v>8079</v>
      </c>
      <c r="C1880" t="s">
        <v>8080</v>
      </c>
      <c r="D1880" t="s">
        <v>8081</v>
      </c>
      <c r="E1880" t="s">
        <v>770</v>
      </c>
      <c r="F1880" t="s">
        <v>1884</v>
      </c>
      <c r="G1880" t="s">
        <v>1854</v>
      </c>
      <c r="H1880" t="s">
        <v>1885</v>
      </c>
      <c r="J1880" t="s">
        <v>773</v>
      </c>
      <c r="K1880" t="s">
        <v>1902</v>
      </c>
      <c r="L1880" t="s">
        <v>15</v>
      </c>
      <c r="M1880" t="s">
        <v>14</v>
      </c>
      <c r="N1880" t="s">
        <v>770</v>
      </c>
      <c r="O1880">
        <v>1</v>
      </c>
      <c r="P1880" t="s">
        <v>776</v>
      </c>
      <c r="Q1880">
        <v>15.9</v>
      </c>
      <c r="R1880">
        <v>2.87</v>
      </c>
      <c r="S1880">
        <v>3</v>
      </c>
      <c r="T1880">
        <v>0.54</v>
      </c>
      <c r="Y1880" t="s">
        <v>8082</v>
      </c>
      <c r="Z1880" t="s">
        <v>8083</v>
      </c>
      <c r="AA1880">
        <v>26010</v>
      </c>
      <c r="AB1880" t="s">
        <v>11</v>
      </c>
    </row>
    <row r="1881" spans="1:35" x14ac:dyDescent="0.25">
      <c r="A1881" t="s">
        <v>8084</v>
      </c>
      <c r="B1881" t="s">
        <v>8084</v>
      </c>
      <c r="C1881" t="s">
        <v>8085</v>
      </c>
      <c r="D1881" t="s">
        <v>8086</v>
      </c>
      <c r="E1881" t="s">
        <v>770</v>
      </c>
      <c r="F1881" t="s">
        <v>771</v>
      </c>
      <c r="G1881" t="s">
        <v>1854</v>
      </c>
      <c r="J1881" t="s">
        <v>783</v>
      </c>
      <c r="K1881" t="s">
        <v>2162</v>
      </c>
      <c r="L1881" t="s">
        <v>2163</v>
      </c>
      <c r="M1881" t="s">
        <v>59</v>
      </c>
      <c r="N1881" t="s">
        <v>770</v>
      </c>
      <c r="O1881">
        <v>1</v>
      </c>
      <c r="P1881" t="s">
        <v>776</v>
      </c>
      <c r="Q1881">
        <v>29.9</v>
      </c>
      <c r="R1881">
        <v>5.39</v>
      </c>
      <c r="Y1881" t="s">
        <v>8087</v>
      </c>
      <c r="Z1881" t="s">
        <v>3080</v>
      </c>
      <c r="AA1881">
        <v>30036</v>
      </c>
      <c r="AB1881" t="s">
        <v>11</v>
      </c>
    </row>
    <row r="1882" spans="1:35" x14ac:dyDescent="0.25">
      <c r="A1882" t="s">
        <v>8088</v>
      </c>
      <c r="C1882" t="s">
        <v>8089</v>
      </c>
      <c r="D1882" t="s">
        <v>8090</v>
      </c>
      <c r="E1882" t="s">
        <v>782</v>
      </c>
      <c r="F1882" t="s">
        <v>1884</v>
      </c>
      <c r="G1882" t="s">
        <v>1854</v>
      </c>
      <c r="H1882" t="s">
        <v>1885</v>
      </c>
      <c r="J1882" t="s">
        <v>773</v>
      </c>
      <c r="K1882" t="s">
        <v>1855</v>
      </c>
      <c r="L1882" t="s">
        <v>13</v>
      </c>
      <c r="M1882" t="s">
        <v>12</v>
      </c>
      <c r="O1882">
        <v>0</v>
      </c>
      <c r="Y1882" t="s">
        <v>8091</v>
      </c>
      <c r="Z1882" t="s">
        <v>1898</v>
      </c>
      <c r="AA1882">
        <v>46040</v>
      </c>
      <c r="AB1882" t="s">
        <v>11</v>
      </c>
    </row>
    <row r="1883" spans="1:35" x14ac:dyDescent="0.25">
      <c r="A1883" t="s">
        <v>8092</v>
      </c>
      <c r="C1883" t="s">
        <v>8093</v>
      </c>
      <c r="D1883" t="s">
        <v>8094</v>
      </c>
      <c r="E1883" t="s">
        <v>770</v>
      </c>
      <c r="F1883" t="s">
        <v>1884</v>
      </c>
      <c r="G1883" t="s">
        <v>1854</v>
      </c>
      <c r="H1883" t="s">
        <v>1885</v>
      </c>
      <c r="J1883" t="s">
        <v>773</v>
      </c>
      <c r="K1883" t="s">
        <v>1855</v>
      </c>
      <c r="L1883" t="s">
        <v>13</v>
      </c>
      <c r="M1883" t="s">
        <v>12</v>
      </c>
      <c r="N1883" t="s">
        <v>770</v>
      </c>
      <c r="O1883">
        <v>1</v>
      </c>
      <c r="P1883" t="s">
        <v>776</v>
      </c>
      <c r="Q1883">
        <v>19.899999999999999</v>
      </c>
      <c r="R1883">
        <v>3.59</v>
      </c>
      <c r="S1883">
        <v>3</v>
      </c>
      <c r="T1883">
        <v>0.54</v>
      </c>
      <c r="Y1883" t="s">
        <v>8050</v>
      </c>
      <c r="Z1883" t="s">
        <v>2143</v>
      </c>
      <c r="AA1883">
        <v>3100</v>
      </c>
      <c r="AB1883" t="s">
        <v>11</v>
      </c>
    </row>
    <row r="1884" spans="1:35" x14ac:dyDescent="0.25">
      <c r="A1884" t="s">
        <v>8095</v>
      </c>
      <c r="B1884" t="s">
        <v>8095</v>
      </c>
      <c r="C1884" t="s">
        <v>8096</v>
      </c>
      <c r="D1884" t="s">
        <v>8097</v>
      </c>
      <c r="E1884" t="s">
        <v>782</v>
      </c>
      <c r="F1884" t="s">
        <v>771</v>
      </c>
      <c r="G1884" t="s">
        <v>1854</v>
      </c>
      <c r="J1884" t="s">
        <v>783</v>
      </c>
      <c r="K1884" t="s">
        <v>1873</v>
      </c>
      <c r="L1884" t="s">
        <v>840</v>
      </c>
      <c r="M1884" t="s">
        <v>26</v>
      </c>
      <c r="N1884" t="s">
        <v>782</v>
      </c>
      <c r="O1884">
        <v>0</v>
      </c>
      <c r="Y1884" t="s">
        <v>8098</v>
      </c>
      <c r="Z1884" t="s">
        <v>8099</v>
      </c>
      <c r="AA1884">
        <v>51035</v>
      </c>
      <c r="AB1884" t="s">
        <v>11</v>
      </c>
    </row>
    <row r="1885" spans="1:35" x14ac:dyDescent="0.25">
      <c r="A1885" t="s">
        <v>8100</v>
      </c>
      <c r="B1885" t="s">
        <v>8100</v>
      </c>
      <c r="C1885" t="s">
        <v>8101</v>
      </c>
      <c r="D1885" t="s">
        <v>8102</v>
      </c>
      <c r="E1885" t="s">
        <v>770</v>
      </c>
      <c r="F1885" t="s">
        <v>771</v>
      </c>
      <c r="G1885" t="s">
        <v>1854</v>
      </c>
      <c r="J1885" t="s">
        <v>773</v>
      </c>
      <c r="K1885" t="s">
        <v>1930</v>
      </c>
      <c r="L1885" t="s">
        <v>775</v>
      </c>
      <c r="M1885" t="s">
        <v>65</v>
      </c>
      <c r="N1885" t="s">
        <v>770</v>
      </c>
      <c r="O1885">
        <v>1</v>
      </c>
      <c r="P1885" t="s">
        <v>776</v>
      </c>
      <c r="Q1885">
        <v>24.51</v>
      </c>
      <c r="S1885">
        <v>6.63</v>
      </c>
      <c r="Y1885" t="s">
        <v>8103</v>
      </c>
      <c r="AA1885" t="s">
        <v>8104</v>
      </c>
      <c r="AB1885" t="s">
        <v>3870</v>
      </c>
      <c r="AG1885" t="s">
        <v>8105</v>
      </c>
      <c r="AH1885" t="s">
        <v>3870</v>
      </c>
      <c r="AI1885" t="s">
        <v>1258</v>
      </c>
    </row>
    <row r="1886" spans="1:35" x14ac:dyDescent="0.25">
      <c r="A1886" t="s">
        <v>8106</v>
      </c>
      <c r="B1886" t="s">
        <v>8106</v>
      </c>
      <c r="C1886" t="s">
        <v>8107</v>
      </c>
      <c r="D1886" t="s">
        <v>8108</v>
      </c>
      <c r="E1886" t="s">
        <v>770</v>
      </c>
      <c r="F1886" t="s">
        <v>771</v>
      </c>
      <c r="G1886" t="s">
        <v>1854</v>
      </c>
      <c r="J1886" t="s">
        <v>783</v>
      </c>
      <c r="K1886" t="s">
        <v>2294</v>
      </c>
      <c r="L1886" t="s">
        <v>2295</v>
      </c>
      <c r="M1886" t="s">
        <v>232</v>
      </c>
      <c r="N1886" t="s">
        <v>770</v>
      </c>
      <c r="O1886">
        <v>1</v>
      </c>
      <c r="P1886" t="s">
        <v>776</v>
      </c>
      <c r="Q1886">
        <v>49.9</v>
      </c>
      <c r="R1886">
        <v>9</v>
      </c>
      <c r="Y1886" t="s">
        <v>1913</v>
      </c>
      <c r="Z1886" t="s">
        <v>1926</v>
      </c>
      <c r="AA1886">
        <v>145</v>
      </c>
      <c r="AB1886" t="s">
        <v>11</v>
      </c>
    </row>
    <row r="1887" spans="1:35" x14ac:dyDescent="0.25">
      <c r="A1887" t="s">
        <v>8109</v>
      </c>
      <c r="B1887" t="s">
        <v>8109</v>
      </c>
      <c r="C1887" t="s">
        <v>8110</v>
      </c>
      <c r="D1887" t="s">
        <v>8111</v>
      </c>
      <c r="E1887" t="s">
        <v>770</v>
      </c>
      <c r="F1887" t="s">
        <v>771</v>
      </c>
      <c r="G1887" t="s">
        <v>1854</v>
      </c>
      <c r="J1887" t="s">
        <v>783</v>
      </c>
      <c r="K1887" t="s">
        <v>1873</v>
      </c>
      <c r="L1887" t="s">
        <v>840</v>
      </c>
      <c r="M1887" t="s">
        <v>26</v>
      </c>
      <c r="N1887" t="s">
        <v>770</v>
      </c>
      <c r="O1887">
        <v>1</v>
      </c>
      <c r="P1887" t="s">
        <v>776</v>
      </c>
      <c r="Q1887">
        <v>34.9</v>
      </c>
      <c r="R1887">
        <v>6.29</v>
      </c>
      <c r="Y1887" t="s">
        <v>8112</v>
      </c>
      <c r="Z1887" t="s">
        <v>1893</v>
      </c>
      <c r="AA1887">
        <v>10035</v>
      </c>
      <c r="AB1887" t="s">
        <v>11</v>
      </c>
    </row>
    <row r="1888" spans="1:35" x14ac:dyDescent="0.25">
      <c r="A1888" t="s">
        <v>8113</v>
      </c>
      <c r="B1888" t="s">
        <v>8113</v>
      </c>
      <c r="C1888" t="s">
        <v>8114</v>
      </c>
      <c r="D1888" t="s">
        <v>8115</v>
      </c>
      <c r="E1888" t="s">
        <v>770</v>
      </c>
      <c r="F1888" t="s">
        <v>771</v>
      </c>
      <c r="G1888" t="s">
        <v>1854</v>
      </c>
      <c r="J1888" t="s">
        <v>783</v>
      </c>
      <c r="K1888" t="s">
        <v>1862</v>
      </c>
      <c r="L1888" t="s">
        <v>1505</v>
      </c>
      <c r="M1888" t="s">
        <v>53</v>
      </c>
      <c r="N1888" t="s">
        <v>770</v>
      </c>
      <c r="O1888">
        <v>1</v>
      </c>
      <c r="P1888" t="s">
        <v>776</v>
      </c>
      <c r="Q1888">
        <v>32.9</v>
      </c>
      <c r="R1888">
        <v>5.93</v>
      </c>
      <c r="Y1888" t="s">
        <v>8116</v>
      </c>
      <c r="Z1888" t="s">
        <v>3113</v>
      </c>
      <c r="AA1888">
        <v>80041</v>
      </c>
      <c r="AB1888" t="s">
        <v>11</v>
      </c>
    </row>
    <row r="1889" spans="1:28" x14ac:dyDescent="0.25">
      <c r="A1889" t="s">
        <v>8117</v>
      </c>
      <c r="B1889" t="s">
        <v>8117</v>
      </c>
      <c r="C1889" t="s">
        <v>8118</v>
      </c>
      <c r="D1889" t="s">
        <v>8119</v>
      </c>
      <c r="E1889" t="s">
        <v>770</v>
      </c>
      <c r="F1889" t="s">
        <v>771</v>
      </c>
      <c r="G1889" t="s">
        <v>1854</v>
      </c>
      <c r="J1889" t="s">
        <v>783</v>
      </c>
      <c r="K1889" t="s">
        <v>1873</v>
      </c>
      <c r="L1889" t="s">
        <v>840</v>
      </c>
      <c r="M1889" t="s">
        <v>26</v>
      </c>
      <c r="N1889" t="s">
        <v>770</v>
      </c>
      <c r="O1889">
        <v>1</v>
      </c>
      <c r="P1889" t="s">
        <v>776</v>
      </c>
      <c r="Q1889">
        <v>34.9</v>
      </c>
      <c r="R1889">
        <v>6.29</v>
      </c>
      <c r="Y1889" t="s">
        <v>1913</v>
      </c>
      <c r="Z1889" t="s">
        <v>1913</v>
      </c>
      <c r="AA1889">
        <v>162</v>
      </c>
      <c r="AB1889" t="s">
        <v>11</v>
      </c>
    </row>
    <row r="1890" spans="1:28" x14ac:dyDescent="0.25">
      <c r="A1890" t="s">
        <v>8120</v>
      </c>
      <c r="B1890" t="s">
        <v>8120</v>
      </c>
      <c r="C1890" t="s">
        <v>8121</v>
      </c>
      <c r="D1890" t="s">
        <v>8122</v>
      </c>
      <c r="E1890" t="s">
        <v>770</v>
      </c>
      <c r="F1890" t="s">
        <v>771</v>
      </c>
      <c r="G1890" t="s">
        <v>1854</v>
      </c>
      <c r="J1890" t="s">
        <v>783</v>
      </c>
      <c r="K1890" t="s">
        <v>1930</v>
      </c>
      <c r="L1890" t="s">
        <v>775</v>
      </c>
      <c r="M1890" t="s">
        <v>65</v>
      </c>
      <c r="N1890" t="s">
        <v>770</v>
      </c>
      <c r="O1890">
        <v>1</v>
      </c>
      <c r="P1890" t="s">
        <v>776</v>
      </c>
      <c r="Q1890">
        <v>29.9</v>
      </c>
      <c r="R1890">
        <v>5.39</v>
      </c>
      <c r="S1890">
        <v>4.99</v>
      </c>
      <c r="T1890">
        <v>0.9</v>
      </c>
      <c r="Y1890" t="s">
        <v>8123</v>
      </c>
      <c r="Z1890" t="s">
        <v>8124</v>
      </c>
      <c r="AA1890">
        <v>60044</v>
      </c>
      <c r="AB1890" t="s">
        <v>11</v>
      </c>
    </row>
    <row r="1891" spans="1:28" x14ac:dyDescent="0.25">
      <c r="A1891" t="s">
        <v>8125</v>
      </c>
      <c r="B1891" t="s">
        <v>8125</v>
      </c>
      <c r="C1891" t="s">
        <v>8126</v>
      </c>
      <c r="D1891" t="s">
        <v>8127</v>
      </c>
      <c r="E1891" t="s">
        <v>770</v>
      </c>
      <c r="F1891" t="s">
        <v>771</v>
      </c>
      <c r="G1891" t="s">
        <v>1854</v>
      </c>
      <c r="I1891" t="s">
        <v>2692</v>
      </c>
      <c r="J1891" t="s">
        <v>783</v>
      </c>
      <c r="K1891" t="s">
        <v>1930</v>
      </c>
      <c r="L1891" t="s">
        <v>775</v>
      </c>
      <c r="M1891" t="s">
        <v>65</v>
      </c>
      <c r="N1891" t="s">
        <v>770</v>
      </c>
      <c r="O1891">
        <v>1</v>
      </c>
      <c r="P1891" t="s">
        <v>776</v>
      </c>
      <c r="Q1891">
        <v>29.9</v>
      </c>
      <c r="R1891">
        <v>5.39</v>
      </c>
      <c r="Y1891" t="s">
        <v>2693</v>
      </c>
      <c r="Z1891" t="s">
        <v>2148</v>
      </c>
      <c r="AA1891">
        <v>45020</v>
      </c>
      <c r="AB1891" t="s">
        <v>11</v>
      </c>
    </row>
    <row r="1892" spans="1:28" x14ac:dyDescent="0.25">
      <c r="A1892" t="s">
        <v>8128</v>
      </c>
      <c r="B1892" t="s">
        <v>8128</v>
      </c>
      <c r="C1892" t="s">
        <v>8129</v>
      </c>
      <c r="D1892" t="s">
        <v>8130</v>
      </c>
      <c r="E1892" t="s">
        <v>770</v>
      </c>
      <c r="F1892" t="s">
        <v>771</v>
      </c>
      <c r="G1892" t="s">
        <v>1854</v>
      </c>
      <c r="J1892" t="s">
        <v>783</v>
      </c>
      <c r="K1892" t="s">
        <v>1873</v>
      </c>
      <c r="L1892" t="s">
        <v>840</v>
      </c>
      <c r="M1892" t="s">
        <v>26</v>
      </c>
      <c r="N1892" t="s">
        <v>770</v>
      </c>
      <c r="O1892">
        <v>1</v>
      </c>
      <c r="P1892" t="s">
        <v>776</v>
      </c>
      <c r="Q1892">
        <v>34.9</v>
      </c>
      <c r="R1892">
        <v>6.29</v>
      </c>
      <c r="Y1892" t="s">
        <v>8131</v>
      </c>
      <c r="Z1892" t="s">
        <v>2827</v>
      </c>
      <c r="AA1892">
        <v>25057</v>
      </c>
      <c r="AB1892" t="s">
        <v>11</v>
      </c>
    </row>
    <row r="1893" spans="1:28" x14ac:dyDescent="0.25">
      <c r="A1893" t="s">
        <v>8132</v>
      </c>
      <c r="B1893" t="s">
        <v>8132</v>
      </c>
      <c r="C1893" t="s">
        <v>8133</v>
      </c>
      <c r="D1893" t="s">
        <v>8134</v>
      </c>
      <c r="E1893" t="s">
        <v>770</v>
      </c>
      <c r="F1893" t="s">
        <v>771</v>
      </c>
      <c r="G1893" t="s">
        <v>1854</v>
      </c>
      <c r="J1893" t="s">
        <v>783</v>
      </c>
      <c r="K1893" t="s">
        <v>3363</v>
      </c>
      <c r="L1893" t="s">
        <v>5572</v>
      </c>
      <c r="M1893" t="s">
        <v>71</v>
      </c>
      <c r="N1893" t="s">
        <v>770</v>
      </c>
      <c r="O1893">
        <v>2</v>
      </c>
      <c r="P1893" t="s">
        <v>776</v>
      </c>
      <c r="Q1893">
        <v>59.8</v>
      </c>
      <c r="R1893">
        <v>10.78</v>
      </c>
      <c r="Y1893" t="s">
        <v>2101</v>
      </c>
      <c r="Z1893" t="s">
        <v>1975</v>
      </c>
      <c r="AA1893">
        <v>47924</v>
      </c>
      <c r="AB1893" t="s">
        <v>11</v>
      </c>
    </row>
    <row r="1894" spans="1:28" x14ac:dyDescent="0.25">
      <c r="A1894" t="s">
        <v>8135</v>
      </c>
      <c r="C1894" t="s">
        <v>8136</v>
      </c>
      <c r="D1894" t="s">
        <v>8137</v>
      </c>
      <c r="E1894" t="s">
        <v>770</v>
      </c>
      <c r="F1894" t="s">
        <v>1884</v>
      </c>
      <c r="G1894" t="s">
        <v>1854</v>
      </c>
      <c r="H1894" t="s">
        <v>1885</v>
      </c>
      <c r="J1894" t="s">
        <v>773</v>
      </c>
      <c r="K1894" t="s">
        <v>2252</v>
      </c>
      <c r="L1894" t="s">
        <v>74</v>
      </c>
      <c r="M1894" t="s">
        <v>73</v>
      </c>
      <c r="N1894" t="s">
        <v>770</v>
      </c>
      <c r="O1894">
        <v>1</v>
      </c>
      <c r="P1894" t="s">
        <v>776</v>
      </c>
      <c r="Q1894">
        <v>14.9</v>
      </c>
      <c r="R1894">
        <v>2.69</v>
      </c>
      <c r="S1894">
        <v>3</v>
      </c>
      <c r="T1894">
        <v>0.54</v>
      </c>
      <c r="Y1894" t="s">
        <v>1908</v>
      </c>
      <c r="Z1894" t="s">
        <v>1908</v>
      </c>
      <c r="AA1894">
        <v>80126</v>
      </c>
      <c r="AB1894" t="s">
        <v>11</v>
      </c>
    </row>
    <row r="1895" spans="1:28" x14ac:dyDescent="0.25">
      <c r="A1895" t="s">
        <v>8138</v>
      </c>
      <c r="B1895" t="s">
        <v>8138</v>
      </c>
      <c r="C1895" t="s">
        <v>8139</v>
      </c>
      <c r="D1895" t="s">
        <v>8140</v>
      </c>
      <c r="E1895" t="s">
        <v>770</v>
      </c>
      <c r="F1895" t="s">
        <v>771</v>
      </c>
      <c r="G1895" t="s">
        <v>1854</v>
      </c>
      <c r="J1895" t="s">
        <v>783</v>
      </c>
      <c r="K1895" t="s">
        <v>1862</v>
      </c>
      <c r="L1895" t="s">
        <v>1505</v>
      </c>
      <c r="M1895" t="s">
        <v>53</v>
      </c>
      <c r="N1895" t="s">
        <v>770</v>
      </c>
      <c r="O1895">
        <v>1</v>
      </c>
      <c r="P1895" t="s">
        <v>776</v>
      </c>
      <c r="Q1895">
        <v>32.9</v>
      </c>
      <c r="R1895">
        <v>5.93</v>
      </c>
      <c r="Y1895" t="s">
        <v>1875</v>
      </c>
      <c r="Z1895" t="s">
        <v>1875</v>
      </c>
      <c r="AA1895">
        <v>20125</v>
      </c>
      <c r="AB1895" t="s">
        <v>11</v>
      </c>
    </row>
    <row r="1896" spans="1:28" x14ac:dyDescent="0.25">
      <c r="A1896" t="s">
        <v>8141</v>
      </c>
      <c r="C1896" t="s">
        <v>8142</v>
      </c>
      <c r="D1896" t="s">
        <v>8030</v>
      </c>
      <c r="E1896" t="s">
        <v>770</v>
      </c>
      <c r="F1896" t="s">
        <v>1884</v>
      </c>
      <c r="G1896" t="s">
        <v>1854</v>
      </c>
      <c r="H1896" t="s">
        <v>1885</v>
      </c>
      <c r="J1896" t="s">
        <v>773</v>
      </c>
      <c r="K1896" t="s">
        <v>2889</v>
      </c>
      <c r="L1896" t="s">
        <v>135</v>
      </c>
      <c r="M1896" t="s">
        <v>134</v>
      </c>
      <c r="N1896" t="s">
        <v>770</v>
      </c>
      <c r="O1896">
        <v>1</v>
      </c>
      <c r="P1896" t="s">
        <v>776</v>
      </c>
      <c r="Q1896">
        <v>59.9</v>
      </c>
      <c r="R1896">
        <v>10.8</v>
      </c>
      <c r="S1896">
        <v>3</v>
      </c>
      <c r="T1896">
        <v>0.54</v>
      </c>
      <c r="Y1896" t="s">
        <v>3117</v>
      </c>
      <c r="Z1896" t="s">
        <v>2219</v>
      </c>
      <c r="AA1896">
        <v>50018</v>
      </c>
      <c r="AB1896" t="s">
        <v>11</v>
      </c>
    </row>
    <row r="1897" spans="1:28" x14ac:dyDescent="0.25">
      <c r="A1897" t="s">
        <v>8143</v>
      </c>
      <c r="C1897" t="s">
        <v>8144</v>
      </c>
      <c r="D1897" t="s">
        <v>8145</v>
      </c>
      <c r="E1897" t="s">
        <v>782</v>
      </c>
      <c r="F1897" t="s">
        <v>1884</v>
      </c>
      <c r="G1897" t="s">
        <v>1854</v>
      </c>
      <c r="H1897" t="s">
        <v>1885</v>
      </c>
      <c r="J1897" t="s">
        <v>773</v>
      </c>
      <c r="K1897" t="s">
        <v>1855</v>
      </c>
      <c r="L1897" t="s">
        <v>13</v>
      </c>
      <c r="M1897" t="s">
        <v>12</v>
      </c>
      <c r="O1897">
        <v>0</v>
      </c>
      <c r="P1897" t="s">
        <v>776</v>
      </c>
      <c r="Q1897">
        <v>16.309999999999999</v>
      </c>
      <c r="R1897">
        <v>3.59</v>
      </c>
      <c r="S1897">
        <v>3</v>
      </c>
      <c r="T1897">
        <v>0.54</v>
      </c>
      <c r="Y1897" t="s">
        <v>3180</v>
      </c>
      <c r="Z1897" t="s">
        <v>8146</v>
      </c>
      <c r="AA1897">
        <v>96100</v>
      </c>
      <c r="AB1897" t="s">
        <v>11</v>
      </c>
    </row>
    <row r="1898" spans="1:28" x14ac:dyDescent="0.25">
      <c r="A1898" t="s">
        <v>8147</v>
      </c>
      <c r="B1898" t="s">
        <v>8147</v>
      </c>
      <c r="C1898" t="s">
        <v>8148</v>
      </c>
      <c r="D1898" t="s">
        <v>8149</v>
      </c>
      <c r="E1898" t="s">
        <v>782</v>
      </c>
      <c r="F1898" t="s">
        <v>771</v>
      </c>
      <c r="G1898" t="s">
        <v>1854</v>
      </c>
      <c r="J1898" t="s">
        <v>783</v>
      </c>
      <c r="K1898" t="s">
        <v>1930</v>
      </c>
      <c r="L1898" t="s">
        <v>775</v>
      </c>
      <c r="M1898" t="s">
        <v>65</v>
      </c>
      <c r="N1898" t="s">
        <v>782</v>
      </c>
      <c r="O1898">
        <v>0</v>
      </c>
      <c r="Y1898" t="s">
        <v>8150</v>
      </c>
      <c r="Z1898" t="s">
        <v>2342</v>
      </c>
      <c r="AA1898">
        <v>90039</v>
      </c>
      <c r="AB1898" t="s">
        <v>11</v>
      </c>
    </row>
    <row r="1899" spans="1:28" x14ac:dyDescent="0.25">
      <c r="A1899" t="s">
        <v>8151</v>
      </c>
      <c r="B1899" t="s">
        <v>8151</v>
      </c>
      <c r="C1899" t="s">
        <v>8152</v>
      </c>
      <c r="D1899" t="s">
        <v>8153</v>
      </c>
      <c r="E1899" t="s">
        <v>770</v>
      </c>
      <c r="F1899" t="s">
        <v>771</v>
      </c>
      <c r="G1899" t="s">
        <v>1854</v>
      </c>
      <c r="J1899" t="s">
        <v>783</v>
      </c>
      <c r="K1899" t="s">
        <v>1930</v>
      </c>
      <c r="L1899" t="s">
        <v>775</v>
      </c>
      <c r="M1899" t="s">
        <v>65</v>
      </c>
      <c r="N1899" t="s">
        <v>770</v>
      </c>
      <c r="O1899">
        <v>1</v>
      </c>
      <c r="P1899" t="s">
        <v>776</v>
      </c>
      <c r="Q1899">
        <v>29.9</v>
      </c>
      <c r="R1899">
        <v>5.39</v>
      </c>
      <c r="Y1899" t="s">
        <v>8154</v>
      </c>
      <c r="Z1899" t="s">
        <v>1893</v>
      </c>
      <c r="AA1899">
        <v>10070</v>
      </c>
      <c r="AB1899" t="s">
        <v>11</v>
      </c>
    </row>
    <row r="1900" spans="1:28" x14ac:dyDescent="0.25">
      <c r="A1900" t="s">
        <v>8155</v>
      </c>
      <c r="B1900" t="s">
        <v>8155</v>
      </c>
      <c r="C1900" t="s">
        <v>8156</v>
      </c>
      <c r="D1900" t="s">
        <v>8157</v>
      </c>
      <c r="E1900" t="s">
        <v>770</v>
      </c>
      <c r="F1900" t="s">
        <v>771</v>
      </c>
      <c r="G1900" t="s">
        <v>1854</v>
      </c>
      <c r="J1900" t="s">
        <v>783</v>
      </c>
      <c r="K1900" t="s">
        <v>2162</v>
      </c>
      <c r="L1900" t="s">
        <v>2163</v>
      </c>
      <c r="M1900" t="s">
        <v>59</v>
      </c>
      <c r="N1900" t="s">
        <v>770</v>
      </c>
      <c r="O1900">
        <v>1</v>
      </c>
      <c r="P1900" t="s">
        <v>776</v>
      </c>
      <c r="Q1900">
        <v>29.9</v>
      </c>
      <c r="R1900">
        <v>5.39</v>
      </c>
      <c r="Y1900" t="s">
        <v>8158</v>
      </c>
      <c r="Z1900" t="s">
        <v>8158</v>
      </c>
      <c r="AA1900">
        <v>20148</v>
      </c>
      <c r="AB1900" t="s">
        <v>11</v>
      </c>
    </row>
    <row r="1901" spans="1:28" x14ac:dyDescent="0.25">
      <c r="A1901" t="s">
        <v>8159</v>
      </c>
      <c r="C1901" t="s">
        <v>8160</v>
      </c>
      <c r="D1901" t="s">
        <v>7976</v>
      </c>
      <c r="E1901" t="s">
        <v>770</v>
      </c>
      <c r="F1901" t="s">
        <v>1884</v>
      </c>
      <c r="G1901" t="s">
        <v>1854</v>
      </c>
      <c r="H1901" t="s">
        <v>1885</v>
      </c>
      <c r="J1901" t="s">
        <v>773</v>
      </c>
      <c r="K1901" t="s">
        <v>1855</v>
      </c>
      <c r="L1901" t="s">
        <v>13</v>
      </c>
      <c r="M1901" t="s">
        <v>12</v>
      </c>
      <c r="N1901" t="s">
        <v>770</v>
      </c>
      <c r="O1901">
        <v>1</v>
      </c>
      <c r="P1901" t="s">
        <v>776</v>
      </c>
      <c r="Q1901">
        <v>19.899999999999999</v>
      </c>
      <c r="R1901">
        <v>3.59</v>
      </c>
      <c r="S1901">
        <v>3</v>
      </c>
      <c r="T1901">
        <v>0.54</v>
      </c>
      <c r="Y1901" t="s">
        <v>8161</v>
      </c>
      <c r="Z1901" t="s">
        <v>5829</v>
      </c>
      <c r="AA1901">
        <v>71016</v>
      </c>
      <c r="AB1901" t="s">
        <v>11</v>
      </c>
    </row>
    <row r="1902" spans="1:28" x14ac:dyDescent="0.25">
      <c r="A1902" t="s">
        <v>8162</v>
      </c>
      <c r="B1902" t="s">
        <v>8162</v>
      </c>
      <c r="C1902" t="s">
        <v>8163</v>
      </c>
      <c r="D1902" t="s">
        <v>8164</v>
      </c>
      <c r="E1902" t="s">
        <v>770</v>
      </c>
      <c r="F1902" t="s">
        <v>771</v>
      </c>
      <c r="G1902" t="s">
        <v>1854</v>
      </c>
      <c r="J1902" t="s">
        <v>783</v>
      </c>
      <c r="K1902" t="s">
        <v>1960</v>
      </c>
      <c r="L1902" t="s">
        <v>1047</v>
      </c>
      <c r="M1902" t="s">
        <v>21</v>
      </c>
      <c r="N1902" t="s">
        <v>770</v>
      </c>
      <c r="O1902">
        <v>1</v>
      </c>
      <c r="P1902" t="s">
        <v>776</v>
      </c>
      <c r="Q1902">
        <v>32.9</v>
      </c>
      <c r="R1902">
        <v>5.93</v>
      </c>
      <c r="Y1902" t="s">
        <v>8165</v>
      </c>
      <c r="Z1902" t="s">
        <v>2720</v>
      </c>
      <c r="AA1902">
        <v>27020</v>
      </c>
      <c r="AB1902" t="s">
        <v>11</v>
      </c>
    </row>
    <row r="1903" spans="1:28" x14ac:dyDescent="0.25">
      <c r="A1903" t="s">
        <v>8166</v>
      </c>
      <c r="C1903" t="s">
        <v>8167</v>
      </c>
      <c r="D1903" t="s">
        <v>8030</v>
      </c>
      <c r="E1903" t="s">
        <v>770</v>
      </c>
      <c r="F1903" t="s">
        <v>1884</v>
      </c>
      <c r="G1903" t="s">
        <v>1854</v>
      </c>
      <c r="H1903" t="s">
        <v>1885</v>
      </c>
      <c r="J1903" t="s">
        <v>773</v>
      </c>
      <c r="K1903" t="s">
        <v>1855</v>
      </c>
      <c r="L1903" t="s">
        <v>13</v>
      </c>
      <c r="M1903" t="s">
        <v>12</v>
      </c>
      <c r="N1903" t="s">
        <v>770</v>
      </c>
      <c r="O1903">
        <v>1</v>
      </c>
      <c r="P1903" t="s">
        <v>776</v>
      </c>
      <c r="Q1903">
        <v>19.899999999999999</v>
      </c>
      <c r="R1903">
        <v>3.59</v>
      </c>
      <c r="S1903">
        <v>3</v>
      </c>
      <c r="T1903">
        <v>0.54</v>
      </c>
      <c r="Y1903" t="s">
        <v>8168</v>
      </c>
      <c r="Z1903" t="s">
        <v>3080</v>
      </c>
      <c r="AA1903">
        <v>30039</v>
      </c>
      <c r="AB1903" t="s">
        <v>11</v>
      </c>
    </row>
    <row r="1904" spans="1:28" x14ac:dyDescent="0.25">
      <c r="A1904" t="s">
        <v>8169</v>
      </c>
      <c r="B1904" t="s">
        <v>8169</v>
      </c>
      <c r="C1904" t="s">
        <v>8170</v>
      </c>
      <c r="D1904" t="s">
        <v>8171</v>
      </c>
      <c r="E1904" t="s">
        <v>770</v>
      </c>
      <c r="F1904" t="s">
        <v>771</v>
      </c>
      <c r="G1904" t="s">
        <v>1854</v>
      </c>
      <c r="J1904" t="s">
        <v>783</v>
      </c>
      <c r="K1904" t="s">
        <v>1930</v>
      </c>
      <c r="L1904" t="s">
        <v>775</v>
      </c>
      <c r="M1904" t="s">
        <v>65</v>
      </c>
      <c r="N1904" t="s">
        <v>770</v>
      </c>
      <c r="O1904">
        <v>1</v>
      </c>
      <c r="P1904" t="s">
        <v>776</v>
      </c>
      <c r="Q1904">
        <v>29.9</v>
      </c>
      <c r="R1904">
        <v>5.39</v>
      </c>
      <c r="Y1904" t="s">
        <v>8172</v>
      </c>
      <c r="Z1904" t="s">
        <v>5988</v>
      </c>
      <c r="AA1904">
        <v>52011</v>
      </c>
      <c r="AB1904" t="s">
        <v>11</v>
      </c>
    </row>
    <row r="1905" spans="1:28" x14ac:dyDescent="0.25">
      <c r="A1905" t="s">
        <v>8173</v>
      </c>
      <c r="B1905" t="s">
        <v>8173</v>
      </c>
      <c r="C1905" t="s">
        <v>8174</v>
      </c>
      <c r="D1905" t="s">
        <v>8175</v>
      </c>
      <c r="E1905" t="s">
        <v>770</v>
      </c>
      <c r="F1905" t="s">
        <v>771</v>
      </c>
      <c r="G1905" t="s">
        <v>1854</v>
      </c>
      <c r="J1905" t="s">
        <v>783</v>
      </c>
      <c r="K1905" t="s">
        <v>1862</v>
      </c>
      <c r="L1905" t="s">
        <v>1505</v>
      </c>
      <c r="M1905" t="s">
        <v>53</v>
      </c>
      <c r="N1905" t="s">
        <v>770</v>
      </c>
      <c r="O1905">
        <v>1</v>
      </c>
      <c r="P1905" t="s">
        <v>776</v>
      </c>
      <c r="Q1905">
        <v>32.9</v>
      </c>
      <c r="R1905">
        <v>5.93</v>
      </c>
      <c r="Y1905" t="s">
        <v>2503</v>
      </c>
      <c r="Z1905" t="s">
        <v>2503</v>
      </c>
      <c r="AA1905">
        <v>48121</v>
      </c>
      <c r="AB1905" t="s">
        <v>11</v>
      </c>
    </row>
    <row r="1906" spans="1:28" x14ac:dyDescent="0.25">
      <c r="A1906" t="s">
        <v>8176</v>
      </c>
      <c r="B1906" t="s">
        <v>8176</v>
      </c>
      <c r="C1906" t="s">
        <v>8177</v>
      </c>
      <c r="D1906" t="s">
        <v>8178</v>
      </c>
      <c r="E1906" t="s">
        <v>770</v>
      </c>
      <c r="F1906" t="s">
        <v>771</v>
      </c>
      <c r="G1906" t="s">
        <v>1854</v>
      </c>
      <c r="J1906" t="s">
        <v>783</v>
      </c>
      <c r="K1906" t="s">
        <v>1873</v>
      </c>
      <c r="L1906" t="s">
        <v>840</v>
      </c>
      <c r="M1906" t="s">
        <v>26</v>
      </c>
      <c r="N1906" t="s">
        <v>770</v>
      </c>
      <c r="O1906">
        <v>1</v>
      </c>
      <c r="P1906" t="s">
        <v>776</v>
      </c>
      <c r="Q1906">
        <v>34.9</v>
      </c>
      <c r="R1906">
        <v>6.29</v>
      </c>
      <c r="Y1906" t="s">
        <v>2585</v>
      </c>
      <c r="Z1906" t="s">
        <v>2020</v>
      </c>
      <c r="AA1906">
        <v>4011</v>
      </c>
      <c r="AB1906" t="s">
        <v>11</v>
      </c>
    </row>
    <row r="1907" spans="1:28" x14ac:dyDescent="0.25">
      <c r="A1907" t="s">
        <v>8179</v>
      </c>
      <c r="C1907" t="s">
        <v>8180</v>
      </c>
      <c r="D1907" t="s">
        <v>8003</v>
      </c>
      <c r="E1907" t="s">
        <v>770</v>
      </c>
      <c r="F1907" t="s">
        <v>1884</v>
      </c>
      <c r="G1907" t="s">
        <v>1854</v>
      </c>
      <c r="H1907" t="s">
        <v>1885</v>
      </c>
      <c r="J1907" t="s">
        <v>773</v>
      </c>
      <c r="K1907" t="s">
        <v>1855</v>
      </c>
      <c r="L1907" t="s">
        <v>13</v>
      </c>
      <c r="M1907" t="s">
        <v>12</v>
      </c>
      <c r="N1907" t="s">
        <v>770</v>
      </c>
      <c r="O1907">
        <v>1</v>
      </c>
      <c r="P1907" t="s">
        <v>776</v>
      </c>
      <c r="Q1907">
        <v>19.899999999999999</v>
      </c>
      <c r="R1907">
        <v>3.59</v>
      </c>
      <c r="S1907">
        <v>3</v>
      </c>
      <c r="T1907">
        <v>0.54</v>
      </c>
      <c r="Y1907" t="s">
        <v>2088</v>
      </c>
      <c r="Z1907" t="s">
        <v>2084</v>
      </c>
      <c r="AA1907">
        <v>98123</v>
      </c>
      <c r="AB1907" t="s">
        <v>11</v>
      </c>
    </row>
    <row r="1908" spans="1:28" x14ac:dyDescent="0.25">
      <c r="A1908" t="s">
        <v>8181</v>
      </c>
      <c r="B1908" t="s">
        <v>8181</v>
      </c>
      <c r="C1908" t="s">
        <v>8182</v>
      </c>
      <c r="D1908" t="s">
        <v>8183</v>
      </c>
      <c r="E1908" t="s">
        <v>770</v>
      </c>
      <c r="F1908" t="s">
        <v>771</v>
      </c>
      <c r="G1908" t="s">
        <v>1854</v>
      </c>
      <c r="J1908" t="s">
        <v>783</v>
      </c>
      <c r="K1908" t="s">
        <v>1873</v>
      </c>
      <c r="L1908" t="s">
        <v>840</v>
      </c>
      <c r="M1908" t="s">
        <v>26</v>
      </c>
      <c r="N1908" t="s">
        <v>770</v>
      </c>
      <c r="O1908">
        <v>1</v>
      </c>
      <c r="P1908" t="s">
        <v>776</v>
      </c>
      <c r="Q1908">
        <v>34.9</v>
      </c>
      <c r="R1908">
        <v>6.29</v>
      </c>
      <c r="Y1908" t="s">
        <v>2576</v>
      </c>
      <c r="Z1908" t="s">
        <v>1908</v>
      </c>
      <c r="AA1908">
        <v>80010</v>
      </c>
      <c r="AB1908" t="s">
        <v>11</v>
      </c>
    </row>
    <row r="1909" spans="1:28" x14ac:dyDescent="0.25">
      <c r="A1909" t="s">
        <v>8184</v>
      </c>
      <c r="C1909" t="s">
        <v>8185</v>
      </c>
      <c r="D1909" t="s">
        <v>8037</v>
      </c>
      <c r="E1909" t="s">
        <v>770</v>
      </c>
      <c r="F1909" t="s">
        <v>1884</v>
      </c>
      <c r="G1909" t="s">
        <v>1854</v>
      </c>
      <c r="H1909" t="s">
        <v>1885</v>
      </c>
      <c r="J1909" t="s">
        <v>773</v>
      </c>
      <c r="K1909" t="s">
        <v>1855</v>
      </c>
      <c r="L1909" t="s">
        <v>13</v>
      </c>
      <c r="M1909" t="s">
        <v>12</v>
      </c>
      <c r="N1909" t="s">
        <v>770</v>
      </c>
      <c r="O1909">
        <v>2</v>
      </c>
      <c r="P1909" t="s">
        <v>776</v>
      </c>
      <c r="Q1909">
        <v>39.799999999999997</v>
      </c>
      <c r="R1909">
        <v>7.18</v>
      </c>
      <c r="S1909">
        <v>6</v>
      </c>
      <c r="T1909">
        <v>1.08</v>
      </c>
      <c r="Y1909" t="s">
        <v>7236</v>
      </c>
      <c r="Z1909" t="s">
        <v>1888</v>
      </c>
      <c r="AA1909">
        <v>40121</v>
      </c>
      <c r="AB1909" t="s">
        <v>11</v>
      </c>
    </row>
    <row r="1910" spans="1:28" x14ac:dyDescent="0.25">
      <c r="A1910" t="s">
        <v>8186</v>
      </c>
      <c r="C1910" t="s">
        <v>8187</v>
      </c>
      <c r="D1910" t="s">
        <v>8188</v>
      </c>
      <c r="E1910" t="s">
        <v>770</v>
      </c>
      <c r="F1910" t="s">
        <v>1884</v>
      </c>
      <c r="G1910" t="s">
        <v>1854</v>
      </c>
      <c r="H1910" t="s">
        <v>1885</v>
      </c>
      <c r="J1910" t="s">
        <v>773</v>
      </c>
      <c r="K1910" t="s">
        <v>1855</v>
      </c>
      <c r="L1910" t="s">
        <v>13</v>
      </c>
      <c r="M1910" t="s">
        <v>12</v>
      </c>
      <c r="N1910" t="s">
        <v>770</v>
      </c>
      <c r="O1910">
        <v>1</v>
      </c>
      <c r="P1910" t="s">
        <v>776</v>
      </c>
      <c r="Q1910">
        <v>19.899999999999999</v>
      </c>
      <c r="R1910">
        <v>3.59</v>
      </c>
      <c r="S1910">
        <v>3</v>
      </c>
      <c r="T1910">
        <v>0.54</v>
      </c>
      <c r="Y1910" t="s">
        <v>1997</v>
      </c>
      <c r="Z1910" t="s">
        <v>1997</v>
      </c>
      <c r="AA1910">
        <v>50126</v>
      </c>
      <c r="AB1910" t="s">
        <v>11</v>
      </c>
    </row>
    <row r="1911" spans="1:28" x14ac:dyDescent="0.25">
      <c r="A1911" t="s">
        <v>8189</v>
      </c>
      <c r="C1911" t="s">
        <v>8190</v>
      </c>
      <c r="D1911" t="s">
        <v>8191</v>
      </c>
      <c r="E1911" t="s">
        <v>770</v>
      </c>
      <c r="F1911" t="s">
        <v>1884</v>
      </c>
      <c r="G1911" t="s">
        <v>1854</v>
      </c>
      <c r="H1911" t="s">
        <v>1885</v>
      </c>
      <c r="J1911" t="s">
        <v>773</v>
      </c>
      <c r="K1911" t="s">
        <v>1855</v>
      </c>
      <c r="L1911" t="s">
        <v>13</v>
      </c>
      <c r="M1911" t="s">
        <v>12</v>
      </c>
      <c r="N1911" t="s">
        <v>770</v>
      </c>
      <c r="O1911">
        <v>2</v>
      </c>
      <c r="P1911" t="s">
        <v>776</v>
      </c>
      <c r="Q1911">
        <v>39.799999999999997</v>
      </c>
      <c r="R1911">
        <v>7.18</v>
      </c>
      <c r="S1911">
        <v>6</v>
      </c>
      <c r="T1911">
        <v>1.08</v>
      </c>
      <c r="Y1911" t="s">
        <v>8192</v>
      </c>
      <c r="Z1911" t="s">
        <v>8193</v>
      </c>
      <c r="AA1911">
        <v>19020</v>
      </c>
      <c r="AB1911" t="s">
        <v>11</v>
      </c>
    </row>
    <row r="1912" spans="1:28" x14ac:dyDescent="0.25">
      <c r="A1912" t="s">
        <v>8194</v>
      </c>
      <c r="B1912" t="s">
        <v>8194</v>
      </c>
      <c r="C1912" t="s">
        <v>8195</v>
      </c>
      <c r="D1912" t="s">
        <v>8196</v>
      </c>
      <c r="E1912" t="s">
        <v>770</v>
      </c>
      <c r="F1912" t="s">
        <v>771</v>
      </c>
      <c r="G1912" t="s">
        <v>1854</v>
      </c>
      <c r="J1912" t="s">
        <v>783</v>
      </c>
      <c r="K1912" t="s">
        <v>1930</v>
      </c>
      <c r="L1912" t="s">
        <v>775</v>
      </c>
      <c r="M1912" t="s">
        <v>65</v>
      </c>
      <c r="N1912" t="s">
        <v>770</v>
      </c>
      <c r="O1912">
        <v>1</v>
      </c>
      <c r="P1912" t="s">
        <v>776</v>
      </c>
      <c r="Q1912">
        <v>29.9</v>
      </c>
      <c r="R1912">
        <v>5.39</v>
      </c>
      <c r="Y1912" t="s">
        <v>8197</v>
      </c>
      <c r="Z1912" t="s">
        <v>2975</v>
      </c>
      <c r="AA1912">
        <v>74027</v>
      </c>
      <c r="AB1912" t="s">
        <v>11</v>
      </c>
    </row>
    <row r="1913" spans="1:28" x14ac:dyDescent="0.25">
      <c r="A1913" t="s">
        <v>8198</v>
      </c>
      <c r="B1913" t="s">
        <v>8198</v>
      </c>
      <c r="C1913" t="s">
        <v>8199</v>
      </c>
      <c r="D1913" t="s">
        <v>8200</v>
      </c>
      <c r="E1913" t="s">
        <v>770</v>
      </c>
      <c r="F1913" t="s">
        <v>771</v>
      </c>
      <c r="G1913" t="s">
        <v>1854</v>
      </c>
      <c r="J1913" t="s">
        <v>783</v>
      </c>
      <c r="K1913" t="s">
        <v>1960</v>
      </c>
      <c r="L1913" t="s">
        <v>1047</v>
      </c>
      <c r="M1913" t="s">
        <v>21</v>
      </c>
      <c r="N1913" t="s">
        <v>770</v>
      </c>
      <c r="O1913">
        <v>1</v>
      </c>
      <c r="P1913" t="s">
        <v>776</v>
      </c>
      <c r="Q1913">
        <v>32.9</v>
      </c>
      <c r="R1913">
        <v>5.93</v>
      </c>
      <c r="Y1913" t="s">
        <v>1875</v>
      </c>
      <c r="Z1913" t="s">
        <v>1875</v>
      </c>
      <c r="AA1913">
        <v>20149</v>
      </c>
      <c r="AB1913" t="s">
        <v>11</v>
      </c>
    </row>
    <row r="1914" spans="1:28" x14ac:dyDescent="0.25">
      <c r="A1914" t="s">
        <v>8201</v>
      </c>
      <c r="B1914" t="s">
        <v>8201</v>
      </c>
      <c r="C1914" t="s">
        <v>8202</v>
      </c>
      <c r="D1914" t="s">
        <v>8203</v>
      </c>
      <c r="E1914" t="s">
        <v>770</v>
      </c>
      <c r="F1914" t="s">
        <v>771</v>
      </c>
      <c r="G1914" t="s">
        <v>1854</v>
      </c>
      <c r="J1914" t="s">
        <v>783</v>
      </c>
      <c r="K1914" t="s">
        <v>1873</v>
      </c>
      <c r="L1914" t="s">
        <v>840</v>
      </c>
      <c r="M1914" t="s">
        <v>26</v>
      </c>
      <c r="N1914" t="s">
        <v>770</v>
      </c>
      <c r="O1914">
        <v>1</v>
      </c>
      <c r="P1914" t="s">
        <v>776</v>
      </c>
      <c r="Q1914">
        <v>34.9</v>
      </c>
      <c r="R1914">
        <v>6.29</v>
      </c>
      <c r="Y1914" t="s">
        <v>8204</v>
      </c>
      <c r="Z1914" t="s">
        <v>4974</v>
      </c>
      <c r="AA1914">
        <v>91017</v>
      </c>
      <c r="AB1914" t="s">
        <v>11</v>
      </c>
    </row>
    <row r="1915" spans="1:28" x14ac:dyDescent="0.25">
      <c r="A1915" t="s">
        <v>8205</v>
      </c>
      <c r="B1915" t="s">
        <v>8205</v>
      </c>
      <c r="C1915" t="s">
        <v>8206</v>
      </c>
      <c r="D1915" t="s">
        <v>8207</v>
      </c>
      <c r="E1915" t="s">
        <v>782</v>
      </c>
      <c r="F1915" t="s">
        <v>771</v>
      </c>
      <c r="G1915" t="s">
        <v>1854</v>
      </c>
      <c r="J1915" t="s">
        <v>783</v>
      </c>
      <c r="K1915" t="s">
        <v>1862</v>
      </c>
      <c r="L1915" t="s">
        <v>1505</v>
      </c>
      <c r="M1915" t="s">
        <v>53</v>
      </c>
      <c r="N1915" t="s">
        <v>782</v>
      </c>
      <c r="O1915">
        <v>0</v>
      </c>
      <c r="Y1915" t="s">
        <v>7322</v>
      </c>
      <c r="Z1915" t="s">
        <v>7323</v>
      </c>
      <c r="AA1915">
        <v>82100</v>
      </c>
      <c r="AB1915" t="s">
        <v>11</v>
      </c>
    </row>
    <row r="1916" spans="1:28" x14ac:dyDescent="0.25">
      <c r="A1916" t="s">
        <v>8208</v>
      </c>
      <c r="B1916" t="s">
        <v>8208</v>
      </c>
      <c r="C1916" t="s">
        <v>8209</v>
      </c>
      <c r="D1916" t="s">
        <v>8210</v>
      </c>
      <c r="E1916" t="s">
        <v>770</v>
      </c>
      <c r="F1916" t="s">
        <v>771</v>
      </c>
      <c r="G1916" t="s">
        <v>1854</v>
      </c>
      <c r="J1916" t="s">
        <v>783</v>
      </c>
      <c r="K1916" t="s">
        <v>1873</v>
      </c>
      <c r="L1916" t="s">
        <v>840</v>
      </c>
      <c r="M1916" t="s">
        <v>26</v>
      </c>
      <c r="N1916" t="s">
        <v>770</v>
      </c>
      <c r="O1916">
        <v>1</v>
      </c>
      <c r="P1916" t="s">
        <v>776</v>
      </c>
      <c r="Q1916">
        <v>34.9</v>
      </c>
      <c r="R1916">
        <v>6.29</v>
      </c>
      <c r="Y1916" t="s">
        <v>8211</v>
      </c>
      <c r="Z1916" t="s">
        <v>2111</v>
      </c>
      <c r="AA1916">
        <v>42031</v>
      </c>
      <c r="AB1916" t="s">
        <v>11</v>
      </c>
    </row>
    <row r="1917" spans="1:28" x14ac:dyDescent="0.25">
      <c r="A1917" t="s">
        <v>8212</v>
      </c>
      <c r="B1917" t="s">
        <v>8212</v>
      </c>
      <c r="C1917" t="s">
        <v>8213</v>
      </c>
      <c r="D1917" t="s">
        <v>8214</v>
      </c>
      <c r="E1917" t="s">
        <v>770</v>
      </c>
      <c r="F1917" t="s">
        <v>771</v>
      </c>
      <c r="G1917" t="s">
        <v>1854</v>
      </c>
      <c r="J1917" t="s">
        <v>783</v>
      </c>
      <c r="K1917" t="s">
        <v>1862</v>
      </c>
      <c r="L1917" t="s">
        <v>1505</v>
      </c>
      <c r="M1917" t="s">
        <v>53</v>
      </c>
      <c r="N1917" t="s">
        <v>770</v>
      </c>
      <c r="O1917">
        <v>1</v>
      </c>
      <c r="P1917" t="s">
        <v>776</v>
      </c>
      <c r="Q1917">
        <v>32.9</v>
      </c>
      <c r="R1917">
        <v>5.93</v>
      </c>
      <c r="Y1917" t="s">
        <v>8215</v>
      </c>
      <c r="Z1917" t="s">
        <v>6764</v>
      </c>
      <c r="AA1917">
        <v>28040</v>
      </c>
      <c r="AB1917" t="s">
        <v>11</v>
      </c>
    </row>
    <row r="1918" spans="1:28" x14ac:dyDescent="0.25">
      <c r="A1918" t="s">
        <v>8216</v>
      </c>
      <c r="B1918" t="s">
        <v>8216</v>
      </c>
      <c r="C1918" t="s">
        <v>8217</v>
      </c>
      <c r="D1918" t="s">
        <v>8218</v>
      </c>
      <c r="E1918" t="s">
        <v>770</v>
      </c>
      <c r="F1918" t="s">
        <v>771</v>
      </c>
      <c r="G1918" t="s">
        <v>1854</v>
      </c>
      <c r="J1918" t="s">
        <v>783</v>
      </c>
      <c r="K1918" t="s">
        <v>1873</v>
      </c>
      <c r="L1918" t="s">
        <v>840</v>
      </c>
      <c r="M1918" t="s">
        <v>26</v>
      </c>
      <c r="N1918" t="s">
        <v>770</v>
      </c>
      <c r="O1918">
        <v>1</v>
      </c>
      <c r="P1918" t="s">
        <v>776</v>
      </c>
      <c r="Q1918">
        <v>34.9</v>
      </c>
      <c r="R1918">
        <v>6.29</v>
      </c>
      <c r="Y1918" t="s">
        <v>8219</v>
      </c>
      <c r="Z1918" t="s">
        <v>3404</v>
      </c>
      <c r="AA1918">
        <v>83031</v>
      </c>
      <c r="AB1918" t="s">
        <v>11</v>
      </c>
    </row>
    <row r="1919" spans="1:28" x14ac:dyDescent="0.25">
      <c r="A1919" t="s">
        <v>8220</v>
      </c>
      <c r="B1919" t="s">
        <v>8220</v>
      </c>
      <c r="C1919" t="s">
        <v>8221</v>
      </c>
      <c r="D1919" t="s">
        <v>8222</v>
      </c>
      <c r="E1919" t="s">
        <v>770</v>
      </c>
      <c r="F1919" t="s">
        <v>771</v>
      </c>
      <c r="G1919" t="s">
        <v>1854</v>
      </c>
      <c r="J1919" t="s">
        <v>783</v>
      </c>
      <c r="K1919" t="s">
        <v>1862</v>
      </c>
      <c r="L1919" t="s">
        <v>1505</v>
      </c>
      <c r="M1919" t="s">
        <v>53</v>
      </c>
      <c r="N1919" t="s">
        <v>770</v>
      </c>
      <c r="O1919">
        <v>1</v>
      </c>
      <c r="P1919" t="s">
        <v>776</v>
      </c>
      <c r="Q1919">
        <v>32.9</v>
      </c>
      <c r="R1919">
        <v>5.93</v>
      </c>
      <c r="Y1919" t="s">
        <v>8223</v>
      </c>
      <c r="Z1919" t="s">
        <v>8223</v>
      </c>
      <c r="AA1919">
        <v>73100</v>
      </c>
      <c r="AB1919" t="s">
        <v>11</v>
      </c>
    </row>
    <row r="1920" spans="1:28" x14ac:dyDescent="0.25">
      <c r="A1920" t="s">
        <v>8224</v>
      </c>
      <c r="B1920" t="s">
        <v>8224</v>
      </c>
      <c r="C1920" t="s">
        <v>8225</v>
      </c>
      <c r="D1920" t="s">
        <v>8226</v>
      </c>
      <c r="E1920" t="s">
        <v>770</v>
      </c>
      <c r="F1920" t="s">
        <v>771</v>
      </c>
      <c r="G1920" t="s">
        <v>1854</v>
      </c>
      <c r="J1920" t="s">
        <v>783</v>
      </c>
      <c r="K1920" t="s">
        <v>1873</v>
      </c>
      <c r="L1920" t="s">
        <v>840</v>
      </c>
      <c r="M1920" t="s">
        <v>26</v>
      </c>
      <c r="N1920" t="s">
        <v>770</v>
      </c>
      <c r="O1920">
        <v>1</v>
      </c>
      <c r="P1920" t="s">
        <v>776</v>
      </c>
      <c r="Q1920">
        <v>34.9</v>
      </c>
      <c r="R1920">
        <v>6.29</v>
      </c>
      <c r="Y1920" t="s">
        <v>5767</v>
      </c>
      <c r="Z1920" t="s">
        <v>1922</v>
      </c>
      <c r="AA1920">
        <v>31015</v>
      </c>
      <c r="AB1920" t="s">
        <v>11</v>
      </c>
    </row>
    <row r="1921" spans="1:28" x14ac:dyDescent="0.25">
      <c r="A1921" t="s">
        <v>8227</v>
      </c>
      <c r="C1921" t="s">
        <v>8228</v>
      </c>
      <c r="D1921" t="s">
        <v>8229</v>
      </c>
      <c r="E1921" t="s">
        <v>782</v>
      </c>
      <c r="F1921" t="s">
        <v>1884</v>
      </c>
      <c r="G1921" t="s">
        <v>1854</v>
      </c>
      <c r="H1921" t="s">
        <v>1885</v>
      </c>
      <c r="J1921" t="s">
        <v>773</v>
      </c>
      <c r="K1921" t="s">
        <v>1855</v>
      </c>
      <c r="L1921" t="s">
        <v>13</v>
      </c>
      <c r="M1921" t="s">
        <v>12</v>
      </c>
      <c r="O1921">
        <v>0</v>
      </c>
      <c r="P1921" t="s">
        <v>776</v>
      </c>
      <c r="Q1921">
        <v>16.309999999999999</v>
      </c>
      <c r="R1921">
        <v>3.59</v>
      </c>
      <c r="S1921">
        <v>3</v>
      </c>
      <c r="T1921">
        <v>0.54</v>
      </c>
      <c r="Y1921" t="s">
        <v>8230</v>
      </c>
      <c r="Z1921" t="s">
        <v>8230</v>
      </c>
      <c r="AA1921">
        <v>63100</v>
      </c>
      <c r="AB1921" t="s">
        <v>11</v>
      </c>
    </row>
    <row r="1922" spans="1:28" x14ac:dyDescent="0.25">
      <c r="A1922" t="s">
        <v>8231</v>
      </c>
      <c r="C1922" t="s">
        <v>8232</v>
      </c>
      <c r="D1922" t="s">
        <v>8233</v>
      </c>
      <c r="E1922" t="s">
        <v>770</v>
      </c>
      <c r="F1922" t="s">
        <v>1884</v>
      </c>
      <c r="G1922" t="s">
        <v>1854</v>
      </c>
      <c r="H1922" t="s">
        <v>1885</v>
      </c>
      <c r="J1922" t="s">
        <v>773</v>
      </c>
      <c r="K1922" t="s">
        <v>2396</v>
      </c>
      <c r="L1922" t="s">
        <v>89</v>
      </c>
      <c r="M1922" t="s">
        <v>88</v>
      </c>
      <c r="N1922" t="s">
        <v>770</v>
      </c>
      <c r="O1922">
        <v>1</v>
      </c>
      <c r="P1922" t="s">
        <v>776</v>
      </c>
      <c r="Q1922">
        <v>59.9</v>
      </c>
      <c r="R1922">
        <v>10.8</v>
      </c>
      <c r="S1922">
        <v>3</v>
      </c>
      <c r="T1922">
        <v>0.54</v>
      </c>
      <c r="Y1922" t="s">
        <v>8234</v>
      </c>
      <c r="Z1922" t="s">
        <v>2819</v>
      </c>
      <c r="AA1922">
        <v>74015</v>
      </c>
      <c r="AB1922" t="s">
        <v>11</v>
      </c>
    </row>
    <row r="1923" spans="1:28" x14ac:dyDescent="0.25">
      <c r="A1923" t="s">
        <v>8235</v>
      </c>
      <c r="B1923" t="s">
        <v>8235</v>
      </c>
      <c r="C1923" t="s">
        <v>8236</v>
      </c>
      <c r="D1923" t="s">
        <v>8237</v>
      </c>
      <c r="E1923" t="s">
        <v>770</v>
      </c>
      <c r="F1923" t="s">
        <v>771</v>
      </c>
      <c r="G1923" t="s">
        <v>1854</v>
      </c>
      <c r="J1923" t="s">
        <v>783</v>
      </c>
      <c r="K1923" t="s">
        <v>1873</v>
      </c>
      <c r="L1923" t="s">
        <v>840</v>
      </c>
      <c r="M1923" t="s">
        <v>26</v>
      </c>
      <c r="N1923" t="s">
        <v>770</v>
      </c>
      <c r="O1923">
        <v>1</v>
      </c>
      <c r="P1923" t="s">
        <v>776</v>
      </c>
      <c r="Q1923">
        <v>34.9</v>
      </c>
      <c r="R1923">
        <v>6.29</v>
      </c>
      <c r="Y1923" t="s">
        <v>3017</v>
      </c>
      <c r="Z1923" t="s">
        <v>3017</v>
      </c>
      <c r="AA1923">
        <v>75100</v>
      </c>
      <c r="AB1923" t="s">
        <v>11</v>
      </c>
    </row>
    <row r="1924" spans="1:28" x14ac:dyDescent="0.25">
      <c r="A1924" t="s">
        <v>8238</v>
      </c>
      <c r="B1924" t="s">
        <v>8238</v>
      </c>
      <c r="C1924" t="s">
        <v>8239</v>
      </c>
      <c r="D1924" t="s">
        <v>8240</v>
      </c>
      <c r="E1924" t="s">
        <v>770</v>
      </c>
      <c r="F1924" t="s">
        <v>771</v>
      </c>
      <c r="G1924" t="s">
        <v>1854</v>
      </c>
      <c r="J1924" t="s">
        <v>783</v>
      </c>
      <c r="K1924" t="s">
        <v>1930</v>
      </c>
      <c r="L1924" t="s">
        <v>775</v>
      </c>
      <c r="M1924" t="s">
        <v>65</v>
      </c>
      <c r="N1924" t="s">
        <v>770</v>
      </c>
      <c r="O1924">
        <v>1</v>
      </c>
      <c r="P1924" t="s">
        <v>776</v>
      </c>
      <c r="Q1924">
        <v>29.9</v>
      </c>
      <c r="R1924">
        <v>5.39</v>
      </c>
      <c r="S1924">
        <v>1.64</v>
      </c>
      <c r="X1924">
        <v>1.64</v>
      </c>
      <c r="Y1924" t="s">
        <v>4862</v>
      </c>
      <c r="Z1924" t="s">
        <v>2101</v>
      </c>
      <c r="AA1924">
        <v>47833</v>
      </c>
      <c r="AB1924" t="s">
        <v>11</v>
      </c>
    </row>
    <row r="1925" spans="1:28" x14ac:dyDescent="0.25">
      <c r="A1925" t="s">
        <v>8241</v>
      </c>
      <c r="B1925" t="s">
        <v>8241</v>
      </c>
      <c r="C1925" t="s">
        <v>8242</v>
      </c>
      <c r="D1925" t="s">
        <v>8243</v>
      </c>
      <c r="E1925" t="s">
        <v>770</v>
      </c>
      <c r="F1925" t="s">
        <v>771</v>
      </c>
      <c r="G1925" t="s">
        <v>1854</v>
      </c>
      <c r="J1925" t="s">
        <v>783</v>
      </c>
      <c r="K1925" t="s">
        <v>1862</v>
      </c>
      <c r="L1925" t="s">
        <v>1505</v>
      </c>
      <c r="M1925" t="s">
        <v>53</v>
      </c>
      <c r="N1925" t="s">
        <v>770</v>
      </c>
      <c r="O1925">
        <v>1</v>
      </c>
      <c r="P1925" t="s">
        <v>776</v>
      </c>
      <c r="Q1925">
        <v>32.9</v>
      </c>
      <c r="R1925">
        <v>5.93</v>
      </c>
      <c r="Y1925" t="s">
        <v>8244</v>
      </c>
      <c r="Z1925" t="s">
        <v>2219</v>
      </c>
      <c r="AA1925">
        <v>50014</v>
      </c>
      <c r="AB1925" t="s">
        <v>11</v>
      </c>
    </row>
    <row r="1926" spans="1:28" x14ac:dyDescent="0.25">
      <c r="A1926" t="s">
        <v>8245</v>
      </c>
      <c r="B1926" t="s">
        <v>8245</v>
      </c>
      <c r="C1926" t="s">
        <v>8246</v>
      </c>
      <c r="D1926" t="s">
        <v>8247</v>
      </c>
      <c r="E1926" t="s">
        <v>770</v>
      </c>
      <c r="F1926" t="s">
        <v>771</v>
      </c>
      <c r="G1926" t="s">
        <v>1854</v>
      </c>
      <c r="J1926" t="s">
        <v>783</v>
      </c>
      <c r="K1926" t="s">
        <v>1930</v>
      </c>
      <c r="L1926" t="s">
        <v>775</v>
      </c>
      <c r="M1926" t="s">
        <v>65</v>
      </c>
      <c r="N1926" t="s">
        <v>770</v>
      </c>
      <c r="O1926">
        <v>1</v>
      </c>
      <c r="P1926" t="s">
        <v>776</v>
      </c>
      <c r="Q1926">
        <v>29.9</v>
      </c>
      <c r="R1926">
        <v>5.39</v>
      </c>
      <c r="Y1926" t="s">
        <v>8248</v>
      </c>
      <c r="Z1926" t="s">
        <v>4083</v>
      </c>
      <c r="AA1926">
        <v>15046</v>
      </c>
      <c r="AB1926" t="s">
        <v>11</v>
      </c>
    </row>
    <row r="1927" spans="1:28" x14ac:dyDescent="0.25">
      <c r="A1927" t="s">
        <v>8249</v>
      </c>
      <c r="C1927" t="s">
        <v>8250</v>
      </c>
      <c r="D1927" t="s">
        <v>8251</v>
      </c>
      <c r="E1927" t="s">
        <v>770</v>
      </c>
      <c r="F1927" t="s">
        <v>1884</v>
      </c>
      <c r="G1927" t="s">
        <v>1854</v>
      </c>
      <c r="H1927" t="s">
        <v>1885</v>
      </c>
      <c r="J1927" t="s">
        <v>773</v>
      </c>
      <c r="K1927" t="s">
        <v>1855</v>
      </c>
      <c r="L1927" t="s">
        <v>13</v>
      </c>
      <c r="M1927" t="s">
        <v>12</v>
      </c>
      <c r="N1927" t="s">
        <v>770</v>
      </c>
      <c r="O1927">
        <v>1</v>
      </c>
      <c r="P1927" t="s">
        <v>776</v>
      </c>
      <c r="Q1927">
        <v>19.899999999999999</v>
      </c>
      <c r="R1927">
        <v>3.59</v>
      </c>
      <c r="S1927">
        <v>3</v>
      </c>
      <c r="T1927">
        <v>0.54</v>
      </c>
      <c r="Y1927" t="s">
        <v>8252</v>
      </c>
      <c r="Z1927" t="s">
        <v>3608</v>
      </c>
      <c r="AA1927">
        <v>21017</v>
      </c>
      <c r="AB1927" t="s">
        <v>11</v>
      </c>
    </row>
    <row r="1928" spans="1:28" x14ac:dyDescent="0.25">
      <c r="A1928" t="s">
        <v>8253</v>
      </c>
      <c r="C1928" t="s">
        <v>8254</v>
      </c>
      <c r="D1928" t="s">
        <v>8255</v>
      </c>
      <c r="E1928" t="s">
        <v>770</v>
      </c>
      <c r="F1928" t="s">
        <v>1884</v>
      </c>
      <c r="G1928" t="s">
        <v>1854</v>
      </c>
      <c r="H1928" t="s">
        <v>1885</v>
      </c>
      <c r="J1928" t="s">
        <v>773</v>
      </c>
      <c r="K1928" t="s">
        <v>1855</v>
      </c>
      <c r="L1928" t="s">
        <v>13</v>
      </c>
      <c r="M1928" t="s">
        <v>12</v>
      </c>
      <c r="N1928" t="s">
        <v>770</v>
      </c>
      <c r="O1928">
        <v>1</v>
      </c>
      <c r="P1928" t="s">
        <v>776</v>
      </c>
      <c r="Q1928">
        <v>19.899999999999999</v>
      </c>
      <c r="R1928">
        <v>3.59</v>
      </c>
      <c r="S1928">
        <v>3</v>
      </c>
      <c r="T1928">
        <v>0.54</v>
      </c>
      <c r="Y1928" t="s">
        <v>8256</v>
      </c>
      <c r="Z1928" t="s">
        <v>2486</v>
      </c>
      <c r="AA1928">
        <v>61032</v>
      </c>
      <c r="AB1928" t="s">
        <v>11</v>
      </c>
    </row>
    <row r="1929" spans="1:28" x14ac:dyDescent="0.25">
      <c r="A1929" t="s">
        <v>8257</v>
      </c>
      <c r="B1929" t="s">
        <v>8257</v>
      </c>
      <c r="C1929" t="s">
        <v>8258</v>
      </c>
      <c r="D1929" t="s">
        <v>8259</v>
      </c>
      <c r="E1929" t="s">
        <v>770</v>
      </c>
      <c r="F1929" t="s">
        <v>771</v>
      </c>
      <c r="G1929" t="s">
        <v>1854</v>
      </c>
      <c r="J1929" t="s">
        <v>783</v>
      </c>
      <c r="K1929" t="s">
        <v>1873</v>
      </c>
      <c r="L1929" t="s">
        <v>840</v>
      </c>
      <c r="M1929" t="s">
        <v>26</v>
      </c>
      <c r="N1929" t="s">
        <v>770</v>
      </c>
      <c r="O1929">
        <v>1</v>
      </c>
      <c r="P1929" t="s">
        <v>776</v>
      </c>
      <c r="Q1929">
        <v>34.9</v>
      </c>
      <c r="R1929">
        <v>6.29</v>
      </c>
      <c r="Y1929" t="s">
        <v>2088</v>
      </c>
      <c r="Z1929" t="s">
        <v>2088</v>
      </c>
      <c r="AA1929">
        <v>98121</v>
      </c>
      <c r="AB1929" t="s">
        <v>11</v>
      </c>
    </row>
    <row r="1930" spans="1:28" x14ac:dyDescent="0.25">
      <c r="A1930" t="s">
        <v>8260</v>
      </c>
      <c r="C1930" t="s">
        <v>8261</v>
      </c>
      <c r="D1930" t="s">
        <v>8262</v>
      </c>
      <c r="E1930" t="s">
        <v>770</v>
      </c>
      <c r="F1930" t="s">
        <v>1884</v>
      </c>
      <c r="G1930" t="s">
        <v>1854</v>
      </c>
      <c r="H1930" t="s">
        <v>1885</v>
      </c>
      <c r="J1930" t="s">
        <v>773</v>
      </c>
      <c r="K1930" t="s">
        <v>2055</v>
      </c>
      <c r="L1930" s="2">
        <v>40405</v>
      </c>
      <c r="M1930" t="s">
        <v>202</v>
      </c>
      <c r="N1930" t="s">
        <v>770</v>
      </c>
      <c r="O1930">
        <v>1</v>
      </c>
      <c r="P1930" t="s">
        <v>776</v>
      </c>
      <c r="Q1930">
        <v>14.9</v>
      </c>
      <c r="R1930">
        <v>2.69</v>
      </c>
      <c r="S1930">
        <v>3</v>
      </c>
      <c r="T1930">
        <v>0.54</v>
      </c>
      <c r="Y1930" t="s">
        <v>1875</v>
      </c>
      <c r="Z1930" t="s">
        <v>1875</v>
      </c>
      <c r="AA1930">
        <v>20162</v>
      </c>
      <c r="AB1930" t="s">
        <v>11</v>
      </c>
    </row>
    <row r="1931" spans="1:28" x14ac:dyDescent="0.25">
      <c r="A1931" t="s">
        <v>8263</v>
      </c>
      <c r="B1931" t="s">
        <v>8263</v>
      </c>
      <c r="C1931" t="s">
        <v>8264</v>
      </c>
      <c r="D1931" t="s">
        <v>8265</v>
      </c>
      <c r="E1931" t="s">
        <v>770</v>
      </c>
      <c r="F1931" t="s">
        <v>771</v>
      </c>
      <c r="G1931" t="s">
        <v>1854</v>
      </c>
      <c r="J1931" t="s">
        <v>783</v>
      </c>
      <c r="K1931" t="s">
        <v>1862</v>
      </c>
      <c r="L1931" t="s">
        <v>1505</v>
      </c>
      <c r="M1931" t="s">
        <v>53</v>
      </c>
      <c r="N1931" t="s">
        <v>770</v>
      </c>
      <c r="O1931">
        <v>1</v>
      </c>
      <c r="P1931" t="s">
        <v>776</v>
      </c>
      <c r="Q1931">
        <v>32.9</v>
      </c>
      <c r="R1931">
        <v>5.93</v>
      </c>
      <c r="Y1931" t="s">
        <v>8266</v>
      </c>
      <c r="Z1931" t="s">
        <v>3861</v>
      </c>
      <c r="AA1931">
        <v>58043</v>
      </c>
      <c r="AB1931" t="s">
        <v>11</v>
      </c>
    </row>
    <row r="1932" spans="1:28" x14ac:dyDescent="0.25">
      <c r="A1932" t="s">
        <v>8267</v>
      </c>
      <c r="B1932" t="s">
        <v>8267</v>
      </c>
      <c r="C1932" t="s">
        <v>8268</v>
      </c>
      <c r="D1932" t="s">
        <v>8269</v>
      </c>
      <c r="E1932" t="s">
        <v>770</v>
      </c>
      <c r="F1932" t="s">
        <v>771</v>
      </c>
      <c r="G1932" t="s">
        <v>1854</v>
      </c>
      <c r="J1932" t="s">
        <v>783</v>
      </c>
      <c r="K1932" t="s">
        <v>1862</v>
      </c>
      <c r="L1932" t="s">
        <v>1505</v>
      </c>
      <c r="M1932" t="s">
        <v>53</v>
      </c>
      <c r="N1932" t="s">
        <v>770</v>
      </c>
      <c r="O1932">
        <v>1</v>
      </c>
      <c r="P1932" t="s">
        <v>776</v>
      </c>
      <c r="Q1932">
        <v>32.9</v>
      </c>
      <c r="R1932">
        <v>5.93</v>
      </c>
      <c r="S1932">
        <v>1.1299999999999999</v>
      </c>
      <c r="T1932">
        <v>0.2</v>
      </c>
      <c r="Y1932" t="s">
        <v>8270</v>
      </c>
      <c r="Z1932" t="s">
        <v>8271</v>
      </c>
      <c r="AA1932">
        <v>48134</v>
      </c>
      <c r="AB1932" t="s">
        <v>11</v>
      </c>
    </row>
    <row r="1933" spans="1:28" x14ac:dyDescent="0.25">
      <c r="A1933" t="s">
        <v>8272</v>
      </c>
      <c r="B1933" t="s">
        <v>8272</v>
      </c>
      <c r="C1933" t="s">
        <v>8273</v>
      </c>
      <c r="D1933" t="s">
        <v>8274</v>
      </c>
      <c r="E1933" t="s">
        <v>770</v>
      </c>
      <c r="F1933" t="s">
        <v>771</v>
      </c>
      <c r="G1933" t="s">
        <v>1854</v>
      </c>
      <c r="J1933" t="s">
        <v>783</v>
      </c>
      <c r="K1933" t="s">
        <v>1873</v>
      </c>
      <c r="L1933" t="s">
        <v>840</v>
      </c>
      <c r="M1933" t="s">
        <v>26</v>
      </c>
      <c r="N1933" t="s">
        <v>770</v>
      </c>
      <c r="O1933">
        <v>1</v>
      </c>
      <c r="P1933" t="s">
        <v>776</v>
      </c>
      <c r="Q1933">
        <v>34.9</v>
      </c>
      <c r="R1933">
        <v>6.29</v>
      </c>
      <c r="Y1933" t="s">
        <v>8275</v>
      </c>
      <c r="Z1933" t="s">
        <v>3180</v>
      </c>
      <c r="AA1933">
        <v>96010</v>
      </c>
      <c r="AB1933" t="s">
        <v>11</v>
      </c>
    </row>
    <row r="1934" spans="1:28" x14ac:dyDescent="0.25">
      <c r="A1934" t="s">
        <v>8276</v>
      </c>
      <c r="C1934" t="s">
        <v>8277</v>
      </c>
      <c r="D1934" t="s">
        <v>8278</v>
      </c>
      <c r="E1934" t="s">
        <v>782</v>
      </c>
      <c r="F1934" t="s">
        <v>1884</v>
      </c>
      <c r="G1934" t="s">
        <v>1854</v>
      </c>
      <c r="H1934" t="s">
        <v>1885</v>
      </c>
      <c r="J1934" t="s">
        <v>773</v>
      </c>
      <c r="K1934" t="s">
        <v>1855</v>
      </c>
      <c r="L1934" t="s">
        <v>13</v>
      </c>
      <c r="M1934" t="s">
        <v>12</v>
      </c>
      <c r="O1934">
        <v>0</v>
      </c>
      <c r="P1934" t="s">
        <v>776</v>
      </c>
      <c r="Q1934">
        <v>16.309999999999999</v>
      </c>
      <c r="R1934">
        <v>3.59</v>
      </c>
      <c r="S1934">
        <v>3</v>
      </c>
      <c r="T1934">
        <v>0.54</v>
      </c>
      <c r="Y1934" t="s">
        <v>4749</v>
      </c>
      <c r="Z1934" t="s">
        <v>1913</v>
      </c>
      <c r="AA1934">
        <v>54</v>
      </c>
      <c r="AB1934" t="s">
        <v>11</v>
      </c>
    </row>
    <row r="1935" spans="1:28" x14ac:dyDescent="0.25">
      <c r="A1935" t="s">
        <v>8279</v>
      </c>
      <c r="B1935" t="s">
        <v>8279</v>
      </c>
      <c r="C1935" t="s">
        <v>8280</v>
      </c>
      <c r="D1935" t="s">
        <v>8281</v>
      </c>
      <c r="E1935" t="s">
        <v>770</v>
      </c>
      <c r="F1935" t="s">
        <v>771</v>
      </c>
      <c r="G1935" t="s">
        <v>1854</v>
      </c>
      <c r="J1935" t="s">
        <v>783</v>
      </c>
      <c r="K1935" t="s">
        <v>2162</v>
      </c>
      <c r="L1935" t="s">
        <v>2163</v>
      </c>
      <c r="M1935" t="s">
        <v>59</v>
      </c>
      <c r="N1935" t="s">
        <v>770</v>
      </c>
      <c r="O1935">
        <v>1</v>
      </c>
      <c r="P1935" t="s">
        <v>776</v>
      </c>
      <c r="Q1935">
        <v>29.9</v>
      </c>
      <c r="R1935">
        <v>5.39</v>
      </c>
      <c r="Y1935" t="s">
        <v>8282</v>
      </c>
      <c r="Z1935" t="s">
        <v>3012</v>
      </c>
      <c r="AA1935">
        <v>12081</v>
      </c>
      <c r="AB1935" t="s">
        <v>11</v>
      </c>
    </row>
    <row r="1936" spans="1:28" x14ac:dyDescent="0.25">
      <c r="A1936" t="s">
        <v>8283</v>
      </c>
      <c r="C1936" t="s">
        <v>8284</v>
      </c>
      <c r="D1936" t="s">
        <v>8285</v>
      </c>
      <c r="E1936" t="s">
        <v>770</v>
      </c>
      <c r="F1936" t="s">
        <v>1884</v>
      </c>
      <c r="G1936" t="s">
        <v>1854</v>
      </c>
      <c r="H1936" t="s">
        <v>1885</v>
      </c>
      <c r="J1936" t="s">
        <v>773</v>
      </c>
      <c r="K1936" t="s">
        <v>1886</v>
      </c>
      <c r="L1936" t="s">
        <v>18</v>
      </c>
      <c r="M1936" t="s">
        <v>17</v>
      </c>
      <c r="N1936" t="s">
        <v>770</v>
      </c>
      <c r="O1936">
        <v>1</v>
      </c>
      <c r="P1936" t="s">
        <v>776</v>
      </c>
      <c r="Q1936">
        <v>22.9</v>
      </c>
      <c r="R1936">
        <v>4.13</v>
      </c>
      <c r="S1936">
        <v>3</v>
      </c>
      <c r="T1936">
        <v>0.54</v>
      </c>
      <c r="Y1936" t="s">
        <v>1893</v>
      </c>
      <c r="Z1936" t="s">
        <v>1869</v>
      </c>
      <c r="AA1936">
        <v>10149</v>
      </c>
      <c r="AB1936" t="s">
        <v>11</v>
      </c>
    </row>
    <row r="1937" spans="1:28" x14ac:dyDescent="0.25">
      <c r="A1937" t="s">
        <v>8286</v>
      </c>
      <c r="B1937" t="s">
        <v>8286</v>
      </c>
      <c r="C1937" t="s">
        <v>8287</v>
      </c>
      <c r="D1937" t="s">
        <v>8288</v>
      </c>
      <c r="E1937" t="s">
        <v>770</v>
      </c>
      <c r="F1937" t="s">
        <v>771</v>
      </c>
      <c r="G1937" t="s">
        <v>1854</v>
      </c>
      <c r="J1937" t="s">
        <v>783</v>
      </c>
      <c r="K1937" t="s">
        <v>1862</v>
      </c>
      <c r="L1937" t="s">
        <v>1505</v>
      </c>
      <c r="M1937" t="s">
        <v>53</v>
      </c>
      <c r="N1937" t="s">
        <v>770</v>
      </c>
      <c r="O1937">
        <v>1</v>
      </c>
      <c r="P1937" t="s">
        <v>776</v>
      </c>
      <c r="Q1937">
        <v>32.9</v>
      </c>
      <c r="R1937">
        <v>5.93</v>
      </c>
      <c r="Y1937" t="s">
        <v>8289</v>
      </c>
      <c r="Z1937" t="s">
        <v>8290</v>
      </c>
      <c r="AA1937">
        <v>70018</v>
      </c>
      <c r="AB1937" t="s">
        <v>11</v>
      </c>
    </row>
    <row r="1938" spans="1:28" x14ac:dyDescent="0.25">
      <c r="A1938" t="s">
        <v>8291</v>
      </c>
      <c r="B1938" t="s">
        <v>8291</v>
      </c>
      <c r="C1938" t="s">
        <v>8292</v>
      </c>
      <c r="D1938" t="s">
        <v>8293</v>
      </c>
      <c r="E1938" t="s">
        <v>770</v>
      </c>
      <c r="F1938" t="s">
        <v>771</v>
      </c>
      <c r="G1938" t="s">
        <v>1854</v>
      </c>
      <c r="J1938" t="s">
        <v>783</v>
      </c>
      <c r="K1938" t="s">
        <v>1862</v>
      </c>
      <c r="L1938" t="s">
        <v>1505</v>
      </c>
      <c r="M1938" t="s">
        <v>53</v>
      </c>
      <c r="N1938" t="s">
        <v>770</v>
      </c>
      <c r="O1938">
        <v>1</v>
      </c>
      <c r="P1938" t="s">
        <v>776</v>
      </c>
      <c r="Q1938">
        <v>32.9</v>
      </c>
      <c r="R1938">
        <v>5.93</v>
      </c>
      <c r="Y1938" t="s">
        <v>2134</v>
      </c>
      <c r="Z1938" t="s">
        <v>1926</v>
      </c>
      <c r="AA1938">
        <v>146</v>
      </c>
      <c r="AB1938" t="s">
        <v>11</v>
      </c>
    </row>
    <row r="1939" spans="1:28" x14ac:dyDescent="0.25">
      <c r="A1939" t="s">
        <v>8294</v>
      </c>
      <c r="C1939" t="s">
        <v>8295</v>
      </c>
      <c r="D1939" t="s">
        <v>8296</v>
      </c>
      <c r="E1939" t="s">
        <v>770</v>
      </c>
      <c r="F1939" t="s">
        <v>1884</v>
      </c>
      <c r="G1939" t="s">
        <v>1854</v>
      </c>
      <c r="H1939" t="s">
        <v>1885</v>
      </c>
      <c r="J1939" t="s">
        <v>773</v>
      </c>
      <c r="K1939" t="s">
        <v>1855</v>
      </c>
      <c r="L1939" t="s">
        <v>13</v>
      </c>
      <c r="M1939" t="s">
        <v>12</v>
      </c>
      <c r="N1939" t="s">
        <v>770</v>
      </c>
      <c r="O1939">
        <v>1</v>
      </c>
      <c r="P1939" t="s">
        <v>776</v>
      </c>
      <c r="Q1939">
        <v>19.899999999999999</v>
      </c>
      <c r="R1939">
        <v>3.59</v>
      </c>
      <c r="S1939">
        <v>3</v>
      </c>
      <c r="T1939">
        <v>0.54</v>
      </c>
      <c r="Y1939" t="s">
        <v>2625</v>
      </c>
      <c r="Z1939" t="s">
        <v>2625</v>
      </c>
      <c r="AA1939">
        <v>51100</v>
      </c>
      <c r="AB1939" t="s">
        <v>11</v>
      </c>
    </row>
    <row r="1940" spans="1:28" x14ac:dyDescent="0.25">
      <c r="A1940" t="s">
        <v>8297</v>
      </c>
      <c r="B1940" t="s">
        <v>8297</v>
      </c>
      <c r="C1940" t="s">
        <v>8298</v>
      </c>
      <c r="D1940" t="s">
        <v>8299</v>
      </c>
      <c r="E1940" t="s">
        <v>770</v>
      </c>
      <c r="F1940" t="s">
        <v>771</v>
      </c>
      <c r="G1940" t="s">
        <v>1854</v>
      </c>
      <c r="J1940" t="s">
        <v>783</v>
      </c>
      <c r="K1940" t="s">
        <v>1873</v>
      </c>
      <c r="L1940" t="s">
        <v>840</v>
      </c>
      <c r="M1940" t="s">
        <v>26</v>
      </c>
      <c r="N1940" t="s">
        <v>770</v>
      </c>
      <c r="O1940">
        <v>1</v>
      </c>
      <c r="P1940" t="s">
        <v>776</v>
      </c>
      <c r="Q1940">
        <v>34.9</v>
      </c>
      <c r="R1940">
        <v>6.29</v>
      </c>
      <c r="Y1940" t="s">
        <v>8300</v>
      </c>
      <c r="Z1940" t="s">
        <v>2503</v>
      </c>
      <c r="AA1940">
        <v>48017</v>
      </c>
      <c r="AB1940" t="s">
        <v>11</v>
      </c>
    </row>
    <row r="1941" spans="1:28" x14ac:dyDescent="0.25">
      <c r="A1941" t="s">
        <v>8301</v>
      </c>
      <c r="B1941" t="s">
        <v>8301</v>
      </c>
      <c r="C1941" t="s">
        <v>8302</v>
      </c>
      <c r="D1941" t="s">
        <v>8303</v>
      </c>
      <c r="E1941" t="s">
        <v>770</v>
      </c>
      <c r="F1941" t="s">
        <v>771</v>
      </c>
      <c r="G1941" t="s">
        <v>1854</v>
      </c>
      <c r="J1941" t="s">
        <v>783</v>
      </c>
      <c r="K1941" t="s">
        <v>2162</v>
      </c>
      <c r="L1941" t="s">
        <v>2163</v>
      </c>
      <c r="M1941" t="s">
        <v>59</v>
      </c>
      <c r="N1941" t="s">
        <v>770</v>
      </c>
      <c r="O1941">
        <v>1</v>
      </c>
      <c r="P1941" t="s">
        <v>776</v>
      </c>
      <c r="Q1941">
        <v>29.9</v>
      </c>
      <c r="R1941">
        <v>5.39</v>
      </c>
      <c r="Y1941" t="s">
        <v>8304</v>
      </c>
      <c r="Z1941" t="s">
        <v>2503</v>
      </c>
      <c r="AA1941">
        <v>48121</v>
      </c>
      <c r="AB1941" t="s">
        <v>11</v>
      </c>
    </row>
    <row r="1942" spans="1:28" x14ac:dyDescent="0.25">
      <c r="A1942" t="s">
        <v>8305</v>
      </c>
      <c r="B1942" t="s">
        <v>8305</v>
      </c>
      <c r="C1942" t="s">
        <v>8306</v>
      </c>
      <c r="D1942" t="s">
        <v>8307</v>
      </c>
      <c r="E1942" t="s">
        <v>782</v>
      </c>
      <c r="F1942" t="s">
        <v>771</v>
      </c>
      <c r="G1942" t="s">
        <v>1854</v>
      </c>
      <c r="J1942" t="s">
        <v>783</v>
      </c>
      <c r="K1942" t="s">
        <v>2294</v>
      </c>
      <c r="L1942" t="s">
        <v>2295</v>
      </c>
      <c r="M1942" t="s">
        <v>232</v>
      </c>
      <c r="N1942" t="s">
        <v>782</v>
      </c>
      <c r="O1942">
        <v>0</v>
      </c>
      <c r="Y1942" t="s">
        <v>5818</v>
      </c>
      <c r="Z1942" t="s">
        <v>1716</v>
      </c>
      <c r="AA1942">
        <v>66043</v>
      </c>
      <c r="AB1942" t="s">
        <v>11</v>
      </c>
    </row>
    <row r="1943" spans="1:28" x14ac:dyDescent="0.25">
      <c r="A1943" t="s">
        <v>8308</v>
      </c>
      <c r="B1943" t="s">
        <v>8308</v>
      </c>
      <c r="C1943" t="s">
        <v>8309</v>
      </c>
      <c r="D1943" t="s">
        <v>8310</v>
      </c>
      <c r="E1943" t="s">
        <v>770</v>
      </c>
      <c r="F1943" t="s">
        <v>771</v>
      </c>
      <c r="G1943" t="s">
        <v>1854</v>
      </c>
      <c r="J1943" t="s">
        <v>783</v>
      </c>
      <c r="K1943" t="s">
        <v>1873</v>
      </c>
      <c r="L1943" t="s">
        <v>840</v>
      </c>
      <c r="M1943" t="s">
        <v>26</v>
      </c>
      <c r="N1943" t="s">
        <v>770</v>
      </c>
      <c r="O1943">
        <v>1</v>
      </c>
      <c r="P1943" t="s">
        <v>776</v>
      </c>
      <c r="Q1943">
        <v>34.9</v>
      </c>
      <c r="R1943">
        <v>6.29</v>
      </c>
      <c r="Y1943" t="s">
        <v>8311</v>
      </c>
      <c r="Z1943" t="s">
        <v>2188</v>
      </c>
      <c r="AA1943">
        <v>64010</v>
      </c>
      <c r="AB1943" t="s">
        <v>11</v>
      </c>
    </row>
    <row r="1944" spans="1:28" x14ac:dyDescent="0.25">
      <c r="A1944" t="s">
        <v>8312</v>
      </c>
      <c r="B1944" t="s">
        <v>8312</v>
      </c>
      <c r="C1944" t="s">
        <v>8313</v>
      </c>
      <c r="D1944" t="s">
        <v>8314</v>
      </c>
      <c r="E1944" t="s">
        <v>770</v>
      </c>
      <c r="F1944" t="s">
        <v>771</v>
      </c>
      <c r="G1944" t="s">
        <v>1854</v>
      </c>
      <c r="J1944" t="s">
        <v>783</v>
      </c>
      <c r="K1944" t="s">
        <v>1873</v>
      </c>
      <c r="L1944" t="s">
        <v>840</v>
      </c>
      <c r="M1944" t="s">
        <v>26</v>
      </c>
      <c r="N1944" t="s">
        <v>770</v>
      </c>
      <c r="O1944">
        <v>1</v>
      </c>
      <c r="P1944" t="s">
        <v>776</v>
      </c>
      <c r="Q1944">
        <v>34.9</v>
      </c>
      <c r="R1944">
        <v>6.29</v>
      </c>
      <c r="S1944">
        <v>4.99</v>
      </c>
      <c r="T1944">
        <v>0.9</v>
      </c>
      <c r="Y1944" t="s">
        <v>8315</v>
      </c>
      <c r="Z1944" t="s">
        <v>3453</v>
      </c>
      <c r="AA1944">
        <v>33010</v>
      </c>
      <c r="AB1944" t="s">
        <v>11</v>
      </c>
    </row>
    <row r="1945" spans="1:28" x14ac:dyDescent="0.25">
      <c r="A1945" t="s">
        <v>8316</v>
      </c>
      <c r="B1945" t="s">
        <v>8316</v>
      </c>
      <c r="C1945" t="s">
        <v>8317</v>
      </c>
      <c r="D1945" t="s">
        <v>8318</v>
      </c>
      <c r="E1945" t="s">
        <v>770</v>
      </c>
      <c r="F1945" t="s">
        <v>771</v>
      </c>
      <c r="G1945" t="s">
        <v>1854</v>
      </c>
      <c r="J1945" t="s">
        <v>783</v>
      </c>
      <c r="K1945" t="s">
        <v>1873</v>
      </c>
      <c r="L1945" t="s">
        <v>840</v>
      </c>
      <c r="M1945" t="s">
        <v>26</v>
      </c>
      <c r="N1945" t="s">
        <v>770</v>
      </c>
      <c r="O1945">
        <v>1</v>
      </c>
      <c r="P1945" t="s">
        <v>776</v>
      </c>
      <c r="Q1945">
        <v>34.9</v>
      </c>
      <c r="R1945">
        <v>6.29</v>
      </c>
      <c r="Y1945" t="s">
        <v>8319</v>
      </c>
      <c r="Z1945" t="s">
        <v>3089</v>
      </c>
      <c r="AA1945">
        <v>25014</v>
      </c>
      <c r="AB1945" t="s">
        <v>11</v>
      </c>
    </row>
    <row r="1946" spans="1:28" x14ac:dyDescent="0.25">
      <c r="A1946" t="s">
        <v>8320</v>
      </c>
      <c r="C1946" t="s">
        <v>8321</v>
      </c>
      <c r="D1946" t="s">
        <v>8322</v>
      </c>
      <c r="E1946" t="s">
        <v>770</v>
      </c>
      <c r="F1946" t="s">
        <v>1884</v>
      </c>
      <c r="G1946" t="s">
        <v>1854</v>
      </c>
      <c r="H1946" t="s">
        <v>1885</v>
      </c>
      <c r="J1946" t="s">
        <v>773</v>
      </c>
      <c r="K1946" t="s">
        <v>1855</v>
      </c>
      <c r="L1946" t="s">
        <v>13</v>
      </c>
      <c r="M1946" t="s">
        <v>12</v>
      </c>
      <c r="N1946" t="s">
        <v>770</v>
      </c>
      <c r="O1946">
        <v>1</v>
      </c>
      <c r="P1946" t="s">
        <v>776</v>
      </c>
      <c r="Q1946">
        <v>19.899999999999999</v>
      </c>
      <c r="R1946">
        <v>3.59</v>
      </c>
      <c r="S1946">
        <v>3</v>
      </c>
      <c r="T1946">
        <v>0.54</v>
      </c>
      <c r="Y1946" t="s">
        <v>2342</v>
      </c>
      <c r="Z1946" t="s">
        <v>2343</v>
      </c>
      <c r="AA1946">
        <v>90143</v>
      </c>
      <c r="AB1946" t="s">
        <v>11</v>
      </c>
    </row>
    <row r="1947" spans="1:28" x14ac:dyDescent="0.25">
      <c r="A1947" t="s">
        <v>8323</v>
      </c>
      <c r="B1947" t="s">
        <v>8323</v>
      </c>
      <c r="C1947" t="s">
        <v>8324</v>
      </c>
      <c r="D1947" t="s">
        <v>8325</v>
      </c>
      <c r="E1947" t="s">
        <v>770</v>
      </c>
      <c r="F1947" t="s">
        <v>771</v>
      </c>
      <c r="G1947" t="s">
        <v>1854</v>
      </c>
      <c r="J1947" t="s">
        <v>783</v>
      </c>
      <c r="K1947" t="s">
        <v>2162</v>
      </c>
      <c r="L1947" t="s">
        <v>2163</v>
      </c>
      <c r="M1947" t="s">
        <v>59</v>
      </c>
      <c r="N1947" t="s">
        <v>770</v>
      </c>
      <c r="O1947">
        <v>1</v>
      </c>
      <c r="P1947" t="s">
        <v>776</v>
      </c>
      <c r="Q1947">
        <v>29.9</v>
      </c>
      <c r="R1947">
        <v>5.39</v>
      </c>
      <c r="Y1947" t="s">
        <v>2533</v>
      </c>
      <c r="Z1947" t="s">
        <v>2533</v>
      </c>
      <c r="AA1947">
        <v>35129</v>
      </c>
      <c r="AB1947" t="s">
        <v>11</v>
      </c>
    </row>
    <row r="1948" spans="1:28" x14ac:dyDescent="0.25">
      <c r="A1948" t="s">
        <v>8326</v>
      </c>
      <c r="C1948" t="s">
        <v>8327</v>
      </c>
      <c r="D1948" t="s">
        <v>8328</v>
      </c>
      <c r="E1948" t="s">
        <v>770</v>
      </c>
      <c r="F1948" t="s">
        <v>1884</v>
      </c>
      <c r="G1948" t="s">
        <v>1854</v>
      </c>
      <c r="H1948" t="s">
        <v>1885</v>
      </c>
      <c r="J1948" t="s">
        <v>773</v>
      </c>
      <c r="K1948" t="s">
        <v>1855</v>
      </c>
      <c r="L1948" t="s">
        <v>13</v>
      </c>
      <c r="M1948" t="s">
        <v>12</v>
      </c>
      <c r="N1948" t="s">
        <v>770</v>
      </c>
      <c r="O1948">
        <v>1</v>
      </c>
      <c r="P1948" t="s">
        <v>776</v>
      </c>
      <c r="Q1948">
        <v>19.899999999999999</v>
      </c>
      <c r="R1948">
        <v>3.59</v>
      </c>
      <c r="S1948">
        <v>3</v>
      </c>
      <c r="T1948">
        <v>0.54</v>
      </c>
      <c r="Y1948" t="s">
        <v>8329</v>
      </c>
      <c r="Z1948" t="s">
        <v>3013</v>
      </c>
      <c r="AA1948">
        <v>12045</v>
      </c>
      <c r="AB1948" t="s">
        <v>11</v>
      </c>
    </row>
    <row r="1949" spans="1:28" x14ac:dyDescent="0.25">
      <c r="A1949" t="s">
        <v>8330</v>
      </c>
      <c r="B1949" t="s">
        <v>8330</v>
      </c>
      <c r="C1949" t="s">
        <v>8331</v>
      </c>
      <c r="D1949" t="s">
        <v>8332</v>
      </c>
      <c r="E1949" t="s">
        <v>770</v>
      </c>
      <c r="F1949" t="s">
        <v>771</v>
      </c>
      <c r="G1949" t="s">
        <v>1854</v>
      </c>
      <c r="J1949" t="s">
        <v>783</v>
      </c>
      <c r="K1949" t="s">
        <v>2044</v>
      </c>
      <c r="L1949" t="s">
        <v>1489</v>
      </c>
      <c r="M1949" t="s">
        <v>75</v>
      </c>
      <c r="N1949" t="s">
        <v>770</v>
      </c>
      <c r="O1949">
        <v>1</v>
      </c>
      <c r="P1949" t="s">
        <v>776</v>
      </c>
      <c r="Q1949">
        <v>49.9</v>
      </c>
      <c r="R1949">
        <v>9</v>
      </c>
      <c r="Y1949" t="s">
        <v>8333</v>
      </c>
      <c r="Z1949" t="s">
        <v>2057</v>
      </c>
      <c r="AA1949">
        <v>37135</v>
      </c>
      <c r="AB1949" t="s">
        <v>11</v>
      </c>
    </row>
    <row r="1950" spans="1:28" x14ac:dyDescent="0.25">
      <c r="A1950" t="s">
        <v>8334</v>
      </c>
      <c r="B1950" t="s">
        <v>8334</v>
      </c>
      <c r="C1950" t="s">
        <v>8335</v>
      </c>
      <c r="D1950" t="s">
        <v>8336</v>
      </c>
      <c r="E1950" t="s">
        <v>770</v>
      </c>
      <c r="F1950" t="s">
        <v>771</v>
      </c>
      <c r="G1950" t="s">
        <v>1854</v>
      </c>
      <c r="J1950" t="s">
        <v>783</v>
      </c>
      <c r="K1950" t="s">
        <v>1960</v>
      </c>
      <c r="L1950" t="s">
        <v>1047</v>
      </c>
      <c r="M1950" t="s">
        <v>21</v>
      </c>
      <c r="N1950" t="s">
        <v>770</v>
      </c>
      <c r="O1950">
        <v>1</v>
      </c>
      <c r="P1950" t="s">
        <v>776</v>
      </c>
      <c r="Q1950">
        <v>32.9</v>
      </c>
      <c r="R1950">
        <v>5.93</v>
      </c>
      <c r="Y1950" t="s">
        <v>8337</v>
      </c>
      <c r="Z1950" t="s">
        <v>2503</v>
      </c>
      <c r="AA1950">
        <v>48010</v>
      </c>
      <c r="AB1950" t="s">
        <v>11</v>
      </c>
    </row>
    <row r="1951" spans="1:28" x14ac:dyDescent="0.25">
      <c r="A1951" t="s">
        <v>8338</v>
      </c>
      <c r="B1951" t="s">
        <v>8338</v>
      </c>
      <c r="C1951" t="s">
        <v>8339</v>
      </c>
      <c r="D1951" t="s">
        <v>8340</v>
      </c>
      <c r="E1951" t="s">
        <v>770</v>
      </c>
      <c r="F1951" t="s">
        <v>771</v>
      </c>
      <c r="G1951" t="s">
        <v>1854</v>
      </c>
      <c r="J1951" t="s">
        <v>783</v>
      </c>
      <c r="K1951" t="s">
        <v>1873</v>
      </c>
      <c r="L1951" t="s">
        <v>840</v>
      </c>
      <c r="M1951" t="s">
        <v>26</v>
      </c>
      <c r="N1951" t="s">
        <v>770</v>
      </c>
      <c r="O1951">
        <v>1</v>
      </c>
      <c r="P1951" t="s">
        <v>776</v>
      </c>
      <c r="Q1951">
        <v>34.9</v>
      </c>
      <c r="R1951">
        <v>6.29</v>
      </c>
      <c r="Y1951" t="s">
        <v>8341</v>
      </c>
      <c r="Z1951" t="s">
        <v>8342</v>
      </c>
      <c r="AA1951">
        <v>56043</v>
      </c>
      <c r="AB1951" t="s">
        <v>11</v>
      </c>
    </row>
    <row r="1952" spans="1:28" x14ac:dyDescent="0.25">
      <c r="A1952" t="s">
        <v>8343</v>
      </c>
      <c r="B1952" t="s">
        <v>8343</v>
      </c>
      <c r="C1952" t="s">
        <v>8344</v>
      </c>
      <c r="D1952" t="s">
        <v>8345</v>
      </c>
      <c r="E1952" t="s">
        <v>770</v>
      </c>
      <c r="F1952" t="s">
        <v>771</v>
      </c>
      <c r="G1952" t="s">
        <v>1854</v>
      </c>
      <c r="J1952" t="s">
        <v>783</v>
      </c>
      <c r="K1952" t="s">
        <v>1862</v>
      </c>
      <c r="L1952" t="s">
        <v>1505</v>
      </c>
      <c r="M1952" t="s">
        <v>53</v>
      </c>
      <c r="N1952" t="s">
        <v>770</v>
      </c>
      <c r="O1952">
        <v>1</v>
      </c>
      <c r="P1952" t="s">
        <v>776</v>
      </c>
      <c r="Q1952">
        <v>32.9</v>
      </c>
      <c r="R1952">
        <v>5.93</v>
      </c>
      <c r="Y1952" t="s">
        <v>3684</v>
      </c>
      <c r="Z1952" t="s">
        <v>3685</v>
      </c>
      <c r="AA1952">
        <v>81031</v>
      </c>
      <c r="AB1952" t="s">
        <v>11</v>
      </c>
    </row>
    <row r="1953" spans="1:28" x14ac:dyDescent="0.25">
      <c r="A1953" t="s">
        <v>8346</v>
      </c>
      <c r="C1953" t="s">
        <v>8347</v>
      </c>
      <c r="D1953" t="s">
        <v>8348</v>
      </c>
      <c r="E1953" t="s">
        <v>770</v>
      </c>
      <c r="F1953" t="s">
        <v>1884</v>
      </c>
      <c r="G1953" t="s">
        <v>1854</v>
      </c>
      <c r="H1953" t="s">
        <v>1885</v>
      </c>
      <c r="J1953" t="s">
        <v>773</v>
      </c>
      <c r="K1953" t="s">
        <v>1855</v>
      </c>
      <c r="L1953" t="s">
        <v>13</v>
      </c>
      <c r="M1953" t="s">
        <v>12</v>
      </c>
      <c r="N1953" t="s">
        <v>770</v>
      </c>
      <c r="O1953">
        <v>1</v>
      </c>
      <c r="P1953" t="s">
        <v>776</v>
      </c>
      <c r="Q1953">
        <v>19.899999999999999</v>
      </c>
      <c r="R1953">
        <v>3.59</v>
      </c>
      <c r="S1953">
        <v>3</v>
      </c>
      <c r="T1953">
        <v>0.54</v>
      </c>
      <c r="Y1953" t="s">
        <v>2533</v>
      </c>
      <c r="Z1953" t="s">
        <v>2533</v>
      </c>
      <c r="AA1953">
        <v>35126</v>
      </c>
      <c r="AB1953" t="s">
        <v>11</v>
      </c>
    </row>
    <row r="1954" spans="1:28" x14ac:dyDescent="0.25">
      <c r="A1954" t="s">
        <v>8349</v>
      </c>
      <c r="C1954" t="s">
        <v>8350</v>
      </c>
      <c r="D1954" t="s">
        <v>8351</v>
      </c>
      <c r="E1954" t="s">
        <v>770</v>
      </c>
      <c r="F1954" t="s">
        <v>1884</v>
      </c>
      <c r="G1954" t="s">
        <v>1854</v>
      </c>
      <c r="H1954" t="s">
        <v>1885</v>
      </c>
      <c r="J1954" t="s">
        <v>773</v>
      </c>
      <c r="K1954" t="s">
        <v>1855</v>
      </c>
      <c r="L1954" t="s">
        <v>13</v>
      </c>
      <c r="M1954" t="s">
        <v>12</v>
      </c>
      <c r="N1954" t="s">
        <v>770</v>
      </c>
      <c r="O1954">
        <v>1</v>
      </c>
      <c r="P1954" t="s">
        <v>776</v>
      </c>
      <c r="Q1954">
        <v>19.899999999999999</v>
      </c>
      <c r="R1954">
        <v>3.59</v>
      </c>
      <c r="S1954">
        <v>3</v>
      </c>
      <c r="T1954">
        <v>0.54</v>
      </c>
      <c r="Y1954" t="s">
        <v>8352</v>
      </c>
      <c r="Z1954" t="s">
        <v>3126</v>
      </c>
      <c r="AA1954">
        <v>20853</v>
      </c>
      <c r="AB1954" t="s">
        <v>11</v>
      </c>
    </row>
    <row r="1955" spans="1:28" x14ac:dyDescent="0.25">
      <c r="A1955" t="s">
        <v>8353</v>
      </c>
      <c r="B1955" t="s">
        <v>8353</v>
      </c>
      <c r="C1955" t="s">
        <v>8354</v>
      </c>
      <c r="D1955" t="s">
        <v>8355</v>
      </c>
      <c r="E1955" t="s">
        <v>770</v>
      </c>
      <c r="F1955" t="s">
        <v>771</v>
      </c>
      <c r="G1955" t="s">
        <v>1854</v>
      </c>
      <c r="J1955" t="s">
        <v>783</v>
      </c>
      <c r="K1955" t="s">
        <v>1873</v>
      </c>
      <c r="L1955" t="s">
        <v>840</v>
      </c>
      <c r="M1955" t="s">
        <v>26</v>
      </c>
      <c r="N1955" t="s">
        <v>770</v>
      </c>
      <c r="O1955">
        <v>1</v>
      </c>
      <c r="P1955" t="s">
        <v>776</v>
      </c>
      <c r="Q1955">
        <v>34.9</v>
      </c>
      <c r="R1955">
        <v>6.29</v>
      </c>
      <c r="Y1955" t="s">
        <v>8356</v>
      </c>
      <c r="Z1955" t="s">
        <v>1875</v>
      </c>
      <c r="AA1955">
        <v>20015</v>
      </c>
      <c r="AB1955" t="s">
        <v>11</v>
      </c>
    </row>
    <row r="1956" spans="1:28" x14ac:dyDescent="0.25">
      <c r="A1956" t="s">
        <v>8357</v>
      </c>
      <c r="B1956" t="s">
        <v>8357</v>
      </c>
      <c r="C1956" t="s">
        <v>8358</v>
      </c>
      <c r="D1956" t="s">
        <v>8359</v>
      </c>
      <c r="E1956" t="s">
        <v>770</v>
      </c>
      <c r="F1956" t="s">
        <v>771</v>
      </c>
      <c r="G1956" t="s">
        <v>1854</v>
      </c>
      <c r="J1956" t="s">
        <v>783</v>
      </c>
      <c r="K1956" t="s">
        <v>2390</v>
      </c>
      <c r="L1956" t="s">
        <v>1094</v>
      </c>
      <c r="M1956" t="s">
        <v>208</v>
      </c>
      <c r="N1956" t="s">
        <v>770</v>
      </c>
      <c r="O1956">
        <v>1</v>
      </c>
      <c r="P1956" t="s">
        <v>776</v>
      </c>
      <c r="Q1956">
        <v>79.900000000000006</v>
      </c>
      <c r="R1956">
        <v>14.41</v>
      </c>
      <c r="Y1956" t="s">
        <v>8360</v>
      </c>
      <c r="Z1956" t="s">
        <v>4646</v>
      </c>
      <c r="AA1956">
        <v>10022</v>
      </c>
      <c r="AB1956" t="s">
        <v>11</v>
      </c>
    </row>
    <row r="1957" spans="1:28" x14ac:dyDescent="0.25">
      <c r="A1957" t="s">
        <v>8361</v>
      </c>
      <c r="B1957" t="s">
        <v>8361</v>
      </c>
      <c r="C1957" t="s">
        <v>8362</v>
      </c>
      <c r="D1957" t="s">
        <v>8363</v>
      </c>
      <c r="E1957" t="s">
        <v>782</v>
      </c>
      <c r="F1957" t="s">
        <v>771</v>
      </c>
      <c r="G1957" t="s">
        <v>1854</v>
      </c>
      <c r="J1957" t="s">
        <v>783</v>
      </c>
      <c r="K1957" t="s">
        <v>2390</v>
      </c>
      <c r="L1957" t="s">
        <v>1094</v>
      </c>
      <c r="M1957" t="s">
        <v>208</v>
      </c>
      <c r="N1957" t="s">
        <v>782</v>
      </c>
      <c r="O1957">
        <v>0</v>
      </c>
      <c r="Y1957" t="s">
        <v>8364</v>
      </c>
      <c r="AA1957">
        <v>10022</v>
      </c>
      <c r="AB1957" t="s">
        <v>11</v>
      </c>
    </row>
    <row r="1958" spans="1:28" x14ac:dyDescent="0.25">
      <c r="A1958" t="s">
        <v>8365</v>
      </c>
      <c r="C1958" t="s">
        <v>8366</v>
      </c>
      <c r="D1958" t="s">
        <v>8367</v>
      </c>
      <c r="E1958" t="s">
        <v>782</v>
      </c>
      <c r="F1958" t="s">
        <v>1884</v>
      </c>
      <c r="G1958" t="s">
        <v>1854</v>
      </c>
      <c r="H1958" t="s">
        <v>1885</v>
      </c>
      <c r="J1958" t="s">
        <v>773</v>
      </c>
      <c r="K1958" t="s">
        <v>1855</v>
      </c>
      <c r="L1958" t="s">
        <v>13</v>
      </c>
      <c r="M1958" t="s">
        <v>12</v>
      </c>
      <c r="O1958">
        <v>0</v>
      </c>
      <c r="Y1958" t="s">
        <v>8368</v>
      </c>
      <c r="Z1958" t="s">
        <v>2625</v>
      </c>
      <c r="AA1958">
        <v>51031</v>
      </c>
      <c r="AB1958" t="s">
        <v>11</v>
      </c>
    </row>
    <row r="1959" spans="1:28" x14ac:dyDescent="0.25">
      <c r="A1959" t="s">
        <v>8369</v>
      </c>
      <c r="C1959" t="s">
        <v>8370</v>
      </c>
      <c r="D1959" t="s">
        <v>8371</v>
      </c>
      <c r="E1959" t="s">
        <v>770</v>
      </c>
      <c r="F1959" t="s">
        <v>1884</v>
      </c>
      <c r="G1959" t="s">
        <v>1854</v>
      </c>
      <c r="H1959" t="s">
        <v>1885</v>
      </c>
      <c r="J1959" t="s">
        <v>773</v>
      </c>
      <c r="K1959" t="s">
        <v>2913</v>
      </c>
      <c r="L1959" t="s">
        <v>99</v>
      </c>
      <c r="M1959" t="s">
        <v>98</v>
      </c>
      <c r="N1959" t="s">
        <v>770</v>
      </c>
      <c r="O1959">
        <v>1</v>
      </c>
      <c r="P1959" t="s">
        <v>776</v>
      </c>
      <c r="Q1959">
        <v>29.9</v>
      </c>
      <c r="R1959">
        <v>5.39</v>
      </c>
      <c r="S1959">
        <v>3</v>
      </c>
      <c r="T1959">
        <v>0.54</v>
      </c>
      <c r="Y1959" t="s">
        <v>3101</v>
      </c>
      <c r="Z1959" t="s">
        <v>1875</v>
      </c>
      <c r="AA1959">
        <v>20064</v>
      </c>
      <c r="AB1959" t="s">
        <v>11</v>
      </c>
    </row>
    <row r="1960" spans="1:28" x14ac:dyDescent="0.25">
      <c r="A1960" t="s">
        <v>8372</v>
      </c>
      <c r="B1960" t="s">
        <v>8372</v>
      </c>
      <c r="C1960" t="s">
        <v>8373</v>
      </c>
      <c r="D1960" t="s">
        <v>8374</v>
      </c>
      <c r="E1960" t="s">
        <v>770</v>
      </c>
      <c r="F1960" t="s">
        <v>771</v>
      </c>
      <c r="G1960" t="s">
        <v>1854</v>
      </c>
      <c r="J1960" t="s">
        <v>783</v>
      </c>
      <c r="K1960" t="s">
        <v>1873</v>
      </c>
      <c r="L1960" t="s">
        <v>840</v>
      </c>
      <c r="M1960" t="s">
        <v>26</v>
      </c>
      <c r="N1960" t="s">
        <v>770</v>
      </c>
      <c r="O1960">
        <v>1</v>
      </c>
      <c r="P1960" t="s">
        <v>776</v>
      </c>
      <c r="Q1960">
        <v>34.9</v>
      </c>
      <c r="R1960">
        <v>6.29</v>
      </c>
      <c r="Y1960" t="s">
        <v>8375</v>
      </c>
      <c r="Z1960" t="s">
        <v>8376</v>
      </c>
      <c r="AA1960">
        <v>52027</v>
      </c>
      <c r="AB1960" t="s">
        <v>11</v>
      </c>
    </row>
    <row r="1961" spans="1:28" x14ac:dyDescent="0.25">
      <c r="A1961" t="s">
        <v>8377</v>
      </c>
      <c r="B1961" t="s">
        <v>8377</v>
      </c>
      <c r="C1961" t="s">
        <v>8378</v>
      </c>
      <c r="D1961" t="s">
        <v>8379</v>
      </c>
      <c r="E1961" t="s">
        <v>770</v>
      </c>
      <c r="F1961" t="s">
        <v>771</v>
      </c>
      <c r="G1961" t="s">
        <v>1854</v>
      </c>
      <c r="J1961" t="s">
        <v>783</v>
      </c>
      <c r="K1961" t="s">
        <v>2390</v>
      </c>
      <c r="L1961" t="s">
        <v>1094</v>
      </c>
      <c r="M1961" t="s">
        <v>208</v>
      </c>
      <c r="N1961" t="s">
        <v>770</v>
      </c>
      <c r="O1961">
        <v>1</v>
      </c>
      <c r="P1961" t="s">
        <v>776</v>
      </c>
      <c r="Q1961">
        <v>79.900000000000006</v>
      </c>
      <c r="R1961">
        <v>14.41</v>
      </c>
      <c r="Y1961" t="s">
        <v>8380</v>
      </c>
      <c r="Z1961" t="s">
        <v>3649</v>
      </c>
      <c r="AA1961">
        <v>9040</v>
      </c>
      <c r="AB1961" t="s">
        <v>11</v>
      </c>
    </row>
    <row r="1962" spans="1:28" x14ac:dyDescent="0.25">
      <c r="A1962" t="s">
        <v>8381</v>
      </c>
      <c r="B1962" t="s">
        <v>8381</v>
      </c>
      <c r="C1962" t="s">
        <v>8382</v>
      </c>
      <c r="D1962" t="s">
        <v>8383</v>
      </c>
      <c r="E1962" t="s">
        <v>770</v>
      </c>
      <c r="F1962" t="s">
        <v>771</v>
      </c>
      <c r="G1962" t="s">
        <v>1854</v>
      </c>
      <c r="J1962" t="s">
        <v>783</v>
      </c>
      <c r="K1962" t="s">
        <v>1873</v>
      </c>
      <c r="L1962" t="s">
        <v>840</v>
      </c>
      <c r="M1962" t="s">
        <v>26</v>
      </c>
      <c r="N1962" t="s">
        <v>770</v>
      </c>
      <c r="O1962">
        <v>1</v>
      </c>
      <c r="P1962" t="s">
        <v>776</v>
      </c>
      <c r="Q1962">
        <v>34.9</v>
      </c>
      <c r="R1962">
        <v>6.29</v>
      </c>
      <c r="Y1962" t="s">
        <v>8384</v>
      </c>
      <c r="Z1962" t="s">
        <v>5487</v>
      </c>
      <c r="AA1962">
        <v>76011</v>
      </c>
      <c r="AB1962" t="s">
        <v>11</v>
      </c>
    </row>
    <row r="1963" spans="1:28" x14ac:dyDescent="0.25">
      <c r="A1963" t="s">
        <v>8385</v>
      </c>
      <c r="C1963" t="s">
        <v>8386</v>
      </c>
      <c r="D1963" t="s">
        <v>8387</v>
      </c>
      <c r="E1963" t="s">
        <v>770</v>
      </c>
      <c r="F1963" t="s">
        <v>1884</v>
      </c>
      <c r="G1963" t="s">
        <v>1854</v>
      </c>
      <c r="H1963" t="s">
        <v>1885</v>
      </c>
      <c r="J1963" t="s">
        <v>773</v>
      </c>
      <c r="K1963" t="s">
        <v>1855</v>
      </c>
      <c r="L1963" t="s">
        <v>13</v>
      </c>
      <c r="M1963" t="s">
        <v>12</v>
      </c>
      <c r="N1963" t="s">
        <v>770</v>
      </c>
      <c r="O1963">
        <v>1</v>
      </c>
      <c r="P1963" t="s">
        <v>776</v>
      </c>
      <c r="Q1963">
        <v>18.899999999999999</v>
      </c>
      <c r="R1963">
        <v>3.41</v>
      </c>
      <c r="S1963">
        <v>3</v>
      </c>
      <c r="T1963">
        <v>0.54</v>
      </c>
      <c r="Y1963" t="s">
        <v>8388</v>
      </c>
      <c r="Z1963" t="s">
        <v>3608</v>
      </c>
      <c r="AA1963">
        <v>21010</v>
      </c>
      <c r="AB1963" t="s">
        <v>11</v>
      </c>
    </row>
    <row r="1964" spans="1:28" x14ac:dyDescent="0.25">
      <c r="A1964" t="s">
        <v>8389</v>
      </c>
      <c r="B1964" t="s">
        <v>8389</v>
      </c>
      <c r="C1964" t="s">
        <v>8390</v>
      </c>
      <c r="D1964" t="s">
        <v>8391</v>
      </c>
      <c r="E1964" t="s">
        <v>770</v>
      </c>
      <c r="F1964" t="s">
        <v>771</v>
      </c>
      <c r="G1964" t="s">
        <v>1854</v>
      </c>
      <c r="J1964" t="s">
        <v>783</v>
      </c>
      <c r="K1964" t="s">
        <v>1862</v>
      </c>
      <c r="L1964" t="s">
        <v>1505</v>
      </c>
      <c r="M1964" t="s">
        <v>53</v>
      </c>
      <c r="N1964" t="s">
        <v>770</v>
      </c>
      <c r="O1964">
        <v>1</v>
      </c>
      <c r="P1964" t="s">
        <v>776</v>
      </c>
      <c r="Q1964">
        <v>32.9</v>
      </c>
      <c r="R1964">
        <v>5.93</v>
      </c>
      <c r="Y1964" t="s">
        <v>2597</v>
      </c>
      <c r="Z1964" t="s">
        <v>2473</v>
      </c>
      <c r="AA1964">
        <v>70124</v>
      </c>
      <c r="AB1964" t="s">
        <v>11</v>
      </c>
    </row>
    <row r="1965" spans="1:28" x14ac:dyDescent="0.25">
      <c r="A1965" t="s">
        <v>8392</v>
      </c>
      <c r="B1965" t="s">
        <v>8392</v>
      </c>
      <c r="C1965" t="s">
        <v>8393</v>
      </c>
      <c r="D1965" t="s">
        <v>8394</v>
      </c>
      <c r="E1965" t="s">
        <v>770</v>
      </c>
      <c r="F1965" t="s">
        <v>771</v>
      </c>
      <c r="G1965" t="s">
        <v>1854</v>
      </c>
      <c r="J1965" t="s">
        <v>783</v>
      </c>
      <c r="K1965" t="s">
        <v>2390</v>
      </c>
      <c r="L1965" t="s">
        <v>1094</v>
      </c>
      <c r="M1965" t="s">
        <v>208</v>
      </c>
      <c r="N1965" t="s">
        <v>770</v>
      </c>
      <c r="O1965">
        <v>1</v>
      </c>
      <c r="P1965" t="s">
        <v>776</v>
      </c>
      <c r="Q1965">
        <v>79.900000000000006</v>
      </c>
      <c r="R1965">
        <v>14.41</v>
      </c>
      <c r="Y1965" t="s">
        <v>1908</v>
      </c>
      <c r="Z1965" t="s">
        <v>1908</v>
      </c>
      <c r="AA1965">
        <v>80124</v>
      </c>
      <c r="AB1965" t="s">
        <v>11</v>
      </c>
    </row>
    <row r="1966" spans="1:28" x14ac:dyDescent="0.25">
      <c r="A1966" t="s">
        <v>8395</v>
      </c>
      <c r="C1966" t="s">
        <v>8396</v>
      </c>
      <c r="D1966" t="s">
        <v>8397</v>
      </c>
      <c r="E1966" t="s">
        <v>770</v>
      </c>
      <c r="F1966" t="s">
        <v>1884</v>
      </c>
      <c r="G1966" t="s">
        <v>1854</v>
      </c>
      <c r="H1966" t="s">
        <v>1885</v>
      </c>
      <c r="J1966" t="s">
        <v>773</v>
      </c>
      <c r="K1966" t="s">
        <v>1930</v>
      </c>
      <c r="L1966" t="s">
        <v>66</v>
      </c>
      <c r="M1966" t="s">
        <v>65</v>
      </c>
      <c r="N1966" t="s">
        <v>770</v>
      </c>
      <c r="O1966">
        <v>1</v>
      </c>
      <c r="P1966" t="s">
        <v>776</v>
      </c>
      <c r="Q1966">
        <v>29.9</v>
      </c>
      <c r="R1966">
        <v>5.39</v>
      </c>
      <c r="S1966">
        <v>3</v>
      </c>
      <c r="T1966">
        <v>0.54</v>
      </c>
      <c r="Y1966" t="s">
        <v>8398</v>
      </c>
      <c r="Z1966" t="s">
        <v>3131</v>
      </c>
      <c r="AA1966">
        <v>7040</v>
      </c>
      <c r="AB1966" t="s">
        <v>11</v>
      </c>
    </row>
    <row r="1967" spans="1:28" x14ac:dyDescent="0.25">
      <c r="A1967" t="s">
        <v>8399</v>
      </c>
      <c r="B1967" t="s">
        <v>8399</v>
      </c>
      <c r="C1967" t="s">
        <v>8400</v>
      </c>
      <c r="D1967" t="s">
        <v>8401</v>
      </c>
      <c r="E1967" t="s">
        <v>770</v>
      </c>
      <c r="F1967" t="s">
        <v>771</v>
      </c>
      <c r="G1967" t="s">
        <v>1854</v>
      </c>
      <c r="J1967" t="s">
        <v>783</v>
      </c>
      <c r="K1967" t="s">
        <v>1873</v>
      </c>
      <c r="L1967" t="s">
        <v>840</v>
      </c>
      <c r="M1967" t="s">
        <v>26</v>
      </c>
      <c r="N1967" t="s">
        <v>770</v>
      </c>
      <c r="O1967">
        <v>1</v>
      </c>
      <c r="P1967" t="s">
        <v>776</v>
      </c>
      <c r="Q1967">
        <v>34.9</v>
      </c>
      <c r="R1967">
        <v>6.29</v>
      </c>
      <c r="Y1967" t="s">
        <v>8402</v>
      </c>
      <c r="Z1967" t="s">
        <v>8403</v>
      </c>
      <c r="AA1967">
        <v>23020</v>
      </c>
      <c r="AB1967" t="s">
        <v>11</v>
      </c>
    </row>
    <row r="1968" spans="1:28" x14ac:dyDescent="0.25">
      <c r="A1968" t="s">
        <v>8404</v>
      </c>
      <c r="B1968" t="s">
        <v>8404</v>
      </c>
      <c r="C1968" t="s">
        <v>8405</v>
      </c>
      <c r="D1968" t="s">
        <v>8406</v>
      </c>
      <c r="E1968" t="s">
        <v>770</v>
      </c>
      <c r="F1968" t="s">
        <v>771</v>
      </c>
      <c r="G1968" t="s">
        <v>1854</v>
      </c>
      <c r="J1968" t="s">
        <v>783</v>
      </c>
      <c r="K1968" t="s">
        <v>1873</v>
      </c>
      <c r="L1968" t="s">
        <v>840</v>
      </c>
      <c r="M1968" t="s">
        <v>26</v>
      </c>
      <c r="N1968" t="s">
        <v>770</v>
      </c>
      <c r="O1968">
        <v>1</v>
      </c>
      <c r="P1968" t="s">
        <v>776</v>
      </c>
      <c r="Q1968">
        <v>34.9</v>
      </c>
      <c r="R1968">
        <v>6.29</v>
      </c>
      <c r="Y1968" t="s">
        <v>8407</v>
      </c>
      <c r="Z1968" t="s">
        <v>2342</v>
      </c>
      <c r="AA1968">
        <v>90019</v>
      </c>
      <c r="AB1968" t="s">
        <v>11</v>
      </c>
    </row>
    <row r="1969" spans="1:35" x14ac:dyDescent="0.25">
      <c r="A1969" t="s">
        <v>8408</v>
      </c>
      <c r="B1969" t="s">
        <v>8408</v>
      </c>
      <c r="C1969" t="s">
        <v>8409</v>
      </c>
      <c r="D1969" t="s">
        <v>8410</v>
      </c>
      <c r="E1969" t="s">
        <v>770</v>
      </c>
      <c r="F1969" t="s">
        <v>771</v>
      </c>
      <c r="G1969" t="s">
        <v>1854</v>
      </c>
      <c r="J1969" t="s">
        <v>783</v>
      </c>
      <c r="K1969" t="s">
        <v>1873</v>
      </c>
      <c r="L1969" t="s">
        <v>840</v>
      </c>
      <c r="M1969" t="s">
        <v>26</v>
      </c>
      <c r="N1969" t="s">
        <v>770</v>
      </c>
      <c r="O1969">
        <v>1</v>
      </c>
      <c r="P1969" t="s">
        <v>776</v>
      </c>
      <c r="Q1969">
        <v>34.9</v>
      </c>
      <c r="R1969">
        <v>6.29</v>
      </c>
      <c r="Y1969" t="s">
        <v>4233</v>
      </c>
      <c r="Z1969" t="s">
        <v>2088</v>
      </c>
      <c r="AA1969">
        <v>98121</v>
      </c>
      <c r="AB1969" t="s">
        <v>11</v>
      </c>
    </row>
    <row r="1970" spans="1:35" x14ac:dyDescent="0.25">
      <c r="A1970" t="s">
        <v>8411</v>
      </c>
      <c r="B1970" t="s">
        <v>8411</v>
      </c>
      <c r="C1970" t="s">
        <v>8412</v>
      </c>
      <c r="D1970" t="s">
        <v>8413</v>
      </c>
      <c r="E1970" t="s">
        <v>770</v>
      </c>
      <c r="F1970" t="s">
        <v>771</v>
      </c>
      <c r="G1970" t="s">
        <v>1854</v>
      </c>
      <c r="J1970" t="s">
        <v>783</v>
      </c>
      <c r="K1970" t="s">
        <v>1873</v>
      </c>
      <c r="L1970" t="s">
        <v>840</v>
      </c>
      <c r="M1970" t="s">
        <v>26</v>
      </c>
      <c r="N1970" t="s">
        <v>770</v>
      </c>
      <c r="O1970">
        <v>1</v>
      </c>
      <c r="P1970" t="s">
        <v>776</v>
      </c>
      <c r="Q1970">
        <v>34.9</v>
      </c>
      <c r="R1970">
        <v>6.29</v>
      </c>
      <c r="U1970">
        <v>2.99</v>
      </c>
      <c r="V1970">
        <v>0.54</v>
      </c>
      <c r="Y1970" t="s">
        <v>1913</v>
      </c>
      <c r="Z1970" t="s">
        <v>1913</v>
      </c>
      <c r="AA1970">
        <v>172</v>
      </c>
      <c r="AB1970" t="s">
        <v>11</v>
      </c>
    </row>
    <row r="1971" spans="1:35" x14ac:dyDescent="0.25">
      <c r="A1971" t="s">
        <v>8414</v>
      </c>
      <c r="C1971" t="s">
        <v>8415</v>
      </c>
      <c r="D1971" t="s">
        <v>8416</v>
      </c>
      <c r="E1971" t="s">
        <v>770</v>
      </c>
      <c r="F1971" t="s">
        <v>1884</v>
      </c>
      <c r="G1971" t="s">
        <v>1854</v>
      </c>
      <c r="H1971" t="s">
        <v>1885</v>
      </c>
      <c r="J1971" t="s">
        <v>773</v>
      </c>
      <c r="K1971" t="s">
        <v>4822</v>
      </c>
      <c r="L1971" t="s">
        <v>123</v>
      </c>
      <c r="M1971" t="s">
        <v>122</v>
      </c>
      <c r="N1971" t="s">
        <v>770</v>
      </c>
      <c r="O1971">
        <v>2</v>
      </c>
      <c r="P1971" t="s">
        <v>776</v>
      </c>
      <c r="Q1971">
        <v>57.8</v>
      </c>
      <c r="R1971">
        <v>10.42</v>
      </c>
      <c r="S1971">
        <v>6</v>
      </c>
      <c r="T1971">
        <v>1.08</v>
      </c>
      <c r="Y1971" t="s">
        <v>1937</v>
      </c>
      <c r="Z1971" t="s">
        <v>1937</v>
      </c>
      <c r="AA1971">
        <v>24124</v>
      </c>
      <c r="AB1971" t="s">
        <v>11</v>
      </c>
      <c r="AG1971" t="s">
        <v>8417</v>
      </c>
      <c r="AH1971" t="s">
        <v>11</v>
      </c>
      <c r="AI1971" t="s">
        <v>1258</v>
      </c>
    </row>
    <row r="1972" spans="1:35" x14ac:dyDescent="0.25">
      <c r="A1972" t="s">
        <v>8418</v>
      </c>
      <c r="B1972" t="s">
        <v>8418</v>
      </c>
      <c r="C1972" t="s">
        <v>8419</v>
      </c>
      <c r="D1972" t="s">
        <v>8420</v>
      </c>
      <c r="E1972" t="s">
        <v>770</v>
      </c>
      <c r="F1972" t="s">
        <v>771</v>
      </c>
      <c r="G1972" t="s">
        <v>1854</v>
      </c>
      <c r="J1972" t="s">
        <v>783</v>
      </c>
      <c r="K1972" t="s">
        <v>1862</v>
      </c>
      <c r="L1972" t="s">
        <v>1505</v>
      </c>
      <c r="M1972" t="s">
        <v>53</v>
      </c>
      <c r="N1972" t="s">
        <v>770</v>
      </c>
      <c r="O1972">
        <v>1</v>
      </c>
      <c r="P1972" t="s">
        <v>776</v>
      </c>
      <c r="Q1972">
        <v>32.9</v>
      </c>
      <c r="R1972">
        <v>5.93</v>
      </c>
      <c r="Y1972" t="s">
        <v>8421</v>
      </c>
      <c r="Z1972" t="s">
        <v>4054</v>
      </c>
      <c r="AA1972">
        <v>63828</v>
      </c>
      <c r="AB1972" t="s">
        <v>11</v>
      </c>
    </row>
    <row r="1973" spans="1:35" x14ac:dyDescent="0.25">
      <c r="A1973" t="s">
        <v>8422</v>
      </c>
      <c r="B1973" t="s">
        <v>8422</v>
      </c>
      <c r="C1973" t="s">
        <v>8423</v>
      </c>
      <c r="D1973" t="s">
        <v>8424</v>
      </c>
      <c r="E1973" t="s">
        <v>770</v>
      </c>
      <c r="F1973" t="s">
        <v>771</v>
      </c>
      <c r="G1973" t="s">
        <v>1854</v>
      </c>
      <c r="J1973" t="s">
        <v>783</v>
      </c>
      <c r="K1973" t="s">
        <v>1960</v>
      </c>
      <c r="L1973" t="s">
        <v>1047</v>
      </c>
      <c r="M1973" t="s">
        <v>21</v>
      </c>
      <c r="N1973" t="s">
        <v>770</v>
      </c>
      <c r="O1973">
        <v>1</v>
      </c>
      <c r="P1973" t="s">
        <v>776</v>
      </c>
      <c r="Q1973">
        <v>32.9</v>
      </c>
      <c r="R1973">
        <v>5.93</v>
      </c>
      <c r="Y1973" t="s">
        <v>1875</v>
      </c>
      <c r="Z1973" t="s">
        <v>1875</v>
      </c>
      <c r="AA1973">
        <v>20146</v>
      </c>
      <c r="AB1973" t="s">
        <v>11</v>
      </c>
    </row>
    <row r="1974" spans="1:35" x14ac:dyDescent="0.25">
      <c r="A1974" t="s">
        <v>8425</v>
      </c>
      <c r="B1974" t="s">
        <v>8425</v>
      </c>
      <c r="C1974" t="s">
        <v>8426</v>
      </c>
      <c r="D1974" t="s">
        <v>8427</v>
      </c>
      <c r="E1974" t="s">
        <v>770</v>
      </c>
      <c r="F1974" t="s">
        <v>771</v>
      </c>
      <c r="G1974" t="s">
        <v>1854</v>
      </c>
      <c r="J1974" t="s">
        <v>783</v>
      </c>
      <c r="K1974" t="s">
        <v>1862</v>
      </c>
      <c r="L1974" t="s">
        <v>1505</v>
      </c>
      <c r="M1974" t="s">
        <v>53</v>
      </c>
      <c r="N1974" t="s">
        <v>770</v>
      </c>
      <c r="O1974">
        <v>1</v>
      </c>
      <c r="P1974" t="s">
        <v>776</v>
      </c>
      <c r="Q1974">
        <v>32.9</v>
      </c>
      <c r="R1974">
        <v>5.93</v>
      </c>
      <c r="Y1974" t="s">
        <v>8428</v>
      </c>
      <c r="Z1974" t="s">
        <v>1875</v>
      </c>
      <c r="AA1974">
        <v>20090</v>
      </c>
      <c r="AB1974" t="s">
        <v>11</v>
      </c>
    </row>
    <row r="1975" spans="1:35" x14ac:dyDescent="0.25">
      <c r="A1975" t="s">
        <v>8429</v>
      </c>
      <c r="B1975" t="s">
        <v>8429</v>
      </c>
      <c r="C1975" t="s">
        <v>8430</v>
      </c>
      <c r="D1975" t="s">
        <v>8431</v>
      </c>
      <c r="E1975" t="s">
        <v>770</v>
      </c>
      <c r="F1975" t="s">
        <v>771</v>
      </c>
      <c r="G1975" t="s">
        <v>1854</v>
      </c>
      <c r="J1975" t="s">
        <v>783</v>
      </c>
      <c r="K1975" t="s">
        <v>1873</v>
      </c>
      <c r="L1975" t="s">
        <v>840</v>
      </c>
      <c r="M1975" t="s">
        <v>26</v>
      </c>
      <c r="N1975" t="s">
        <v>770</v>
      </c>
      <c r="O1975">
        <v>1</v>
      </c>
      <c r="P1975" t="s">
        <v>776</v>
      </c>
      <c r="Q1975">
        <v>34.9</v>
      </c>
      <c r="R1975">
        <v>6.29</v>
      </c>
      <c r="Y1975" t="s">
        <v>8432</v>
      </c>
      <c r="Z1975" t="s">
        <v>3012</v>
      </c>
      <c r="AA1975">
        <v>12050</v>
      </c>
      <c r="AB1975" t="s">
        <v>11</v>
      </c>
    </row>
    <row r="1976" spans="1:35" x14ac:dyDescent="0.25">
      <c r="A1976" t="s">
        <v>8433</v>
      </c>
      <c r="C1976" t="s">
        <v>8434</v>
      </c>
      <c r="D1976" t="s">
        <v>8435</v>
      </c>
      <c r="E1976" t="s">
        <v>770</v>
      </c>
      <c r="F1976" t="s">
        <v>1884</v>
      </c>
      <c r="G1976" t="s">
        <v>1854</v>
      </c>
      <c r="H1976" t="s">
        <v>1885</v>
      </c>
      <c r="J1976" t="s">
        <v>773</v>
      </c>
      <c r="K1976" t="s">
        <v>1902</v>
      </c>
      <c r="L1976" t="s">
        <v>15</v>
      </c>
      <c r="M1976" t="s">
        <v>14</v>
      </c>
      <c r="N1976" t="s">
        <v>770</v>
      </c>
      <c r="O1976">
        <v>1</v>
      </c>
      <c r="P1976" t="s">
        <v>776</v>
      </c>
      <c r="Q1976">
        <v>15.9</v>
      </c>
      <c r="R1976">
        <v>2.87</v>
      </c>
      <c r="S1976">
        <v>3</v>
      </c>
      <c r="T1976">
        <v>0.54</v>
      </c>
      <c r="Y1976" t="s">
        <v>8436</v>
      </c>
      <c r="Z1976" t="s">
        <v>8437</v>
      </c>
      <c r="AA1976">
        <v>17047</v>
      </c>
      <c r="AB1976" t="s">
        <v>11</v>
      </c>
    </row>
    <row r="1977" spans="1:35" x14ac:dyDescent="0.25">
      <c r="A1977" t="s">
        <v>8438</v>
      </c>
      <c r="B1977" t="s">
        <v>8438</v>
      </c>
      <c r="C1977" t="s">
        <v>8439</v>
      </c>
      <c r="D1977" t="s">
        <v>8440</v>
      </c>
      <c r="E1977" t="s">
        <v>770</v>
      </c>
      <c r="F1977" t="s">
        <v>771</v>
      </c>
      <c r="G1977" t="s">
        <v>1854</v>
      </c>
      <c r="J1977" t="s">
        <v>783</v>
      </c>
      <c r="K1977" t="s">
        <v>1873</v>
      </c>
      <c r="L1977" t="s">
        <v>840</v>
      </c>
      <c r="M1977" t="s">
        <v>26</v>
      </c>
      <c r="N1977" t="s">
        <v>770</v>
      </c>
      <c r="O1977">
        <v>1</v>
      </c>
      <c r="P1977" t="s">
        <v>776</v>
      </c>
      <c r="Q1977">
        <v>34.9</v>
      </c>
      <c r="R1977">
        <v>6.29</v>
      </c>
      <c r="Y1977" t="s">
        <v>8441</v>
      </c>
      <c r="Z1977" t="s">
        <v>3500</v>
      </c>
      <c r="AA1977">
        <v>4022</v>
      </c>
      <c r="AB1977" t="s">
        <v>11</v>
      </c>
    </row>
    <row r="1978" spans="1:35" x14ac:dyDescent="0.25">
      <c r="A1978" t="s">
        <v>8442</v>
      </c>
      <c r="B1978" t="s">
        <v>8442</v>
      </c>
      <c r="C1978" t="s">
        <v>8443</v>
      </c>
      <c r="D1978" t="s">
        <v>8444</v>
      </c>
      <c r="E1978" t="s">
        <v>770</v>
      </c>
      <c r="F1978" t="s">
        <v>771</v>
      </c>
      <c r="G1978" t="s">
        <v>1854</v>
      </c>
      <c r="J1978" t="s">
        <v>783</v>
      </c>
      <c r="K1978" t="s">
        <v>1879</v>
      </c>
      <c r="L1978" t="s">
        <v>1056</v>
      </c>
      <c r="M1978" t="s">
        <v>212</v>
      </c>
      <c r="N1978" t="s">
        <v>770</v>
      </c>
      <c r="O1978">
        <v>1</v>
      </c>
      <c r="P1978" t="s">
        <v>776</v>
      </c>
      <c r="Q1978">
        <v>39.9</v>
      </c>
      <c r="R1978">
        <v>7.2</v>
      </c>
      <c r="Y1978" t="s">
        <v>2019</v>
      </c>
      <c r="Z1978" t="s">
        <v>3500</v>
      </c>
      <c r="AA1978">
        <v>4021</v>
      </c>
      <c r="AB1978" t="s">
        <v>11</v>
      </c>
    </row>
    <row r="1979" spans="1:35" x14ac:dyDescent="0.25">
      <c r="A1979" t="s">
        <v>8445</v>
      </c>
      <c r="C1979" t="s">
        <v>8446</v>
      </c>
      <c r="D1979" t="s">
        <v>8447</v>
      </c>
      <c r="E1979" t="s">
        <v>782</v>
      </c>
      <c r="F1979" t="s">
        <v>1884</v>
      </c>
      <c r="G1979" t="s">
        <v>1854</v>
      </c>
      <c r="H1979" t="s">
        <v>1885</v>
      </c>
      <c r="J1979" t="s">
        <v>773</v>
      </c>
      <c r="K1979" t="s">
        <v>1873</v>
      </c>
      <c r="L1979" t="s">
        <v>27</v>
      </c>
      <c r="M1979" t="s">
        <v>26</v>
      </c>
      <c r="O1979">
        <v>0</v>
      </c>
      <c r="Y1979" t="s">
        <v>7848</v>
      </c>
      <c r="Z1979" t="s">
        <v>3089</v>
      </c>
      <c r="AA1979">
        <v>25038</v>
      </c>
      <c r="AB1979" t="s">
        <v>11</v>
      </c>
    </row>
    <row r="1980" spans="1:35" x14ac:dyDescent="0.25">
      <c r="A1980" t="s">
        <v>8448</v>
      </c>
      <c r="B1980" t="s">
        <v>8448</v>
      </c>
      <c r="C1980" t="s">
        <v>8449</v>
      </c>
      <c r="D1980" t="s">
        <v>8450</v>
      </c>
      <c r="E1980" t="s">
        <v>770</v>
      </c>
      <c r="F1980" t="s">
        <v>771</v>
      </c>
      <c r="G1980" t="s">
        <v>1854</v>
      </c>
      <c r="J1980" t="s">
        <v>783</v>
      </c>
      <c r="K1980" t="s">
        <v>1873</v>
      </c>
      <c r="L1980" t="s">
        <v>840</v>
      </c>
      <c r="M1980" t="s">
        <v>26</v>
      </c>
      <c r="N1980" t="s">
        <v>770</v>
      </c>
      <c r="O1980">
        <v>1</v>
      </c>
      <c r="P1980" t="s">
        <v>776</v>
      </c>
      <c r="Q1980">
        <v>34.9</v>
      </c>
      <c r="R1980">
        <v>6.29</v>
      </c>
      <c r="Y1980" t="s">
        <v>8451</v>
      </c>
      <c r="Z1980" t="s">
        <v>6931</v>
      </c>
      <c r="AA1980">
        <v>42019</v>
      </c>
      <c r="AB1980" t="s">
        <v>11</v>
      </c>
    </row>
    <row r="1981" spans="1:35" x14ac:dyDescent="0.25">
      <c r="A1981" t="s">
        <v>8452</v>
      </c>
      <c r="B1981" t="s">
        <v>8452</v>
      </c>
      <c r="C1981" t="s">
        <v>8453</v>
      </c>
      <c r="D1981" t="s">
        <v>8454</v>
      </c>
      <c r="E1981" t="s">
        <v>770</v>
      </c>
      <c r="F1981" t="s">
        <v>771</v>
      </c>
      <c r="G1981" t="s">
        <v>1854</v>
      </c>
      <c r="J1981" t="s">
        <v>783</v>
      </c>
      <c r="K1981" t="s">
        <v>7589</v>
      </c>
      <c r="L1981" t="s">
        <v>7590</v>
      </c>
      <c r="M1981" t="s">
        <v>63</v>
      </c>
      <c r="N1981" t="s">
        <v>770</v>
      </c>
      <c r="O1981">
        <v>1</v>
      </c>
      <c r="P1981" t="s">
        <v>776</v>
      </c>
      <c r="Q1981">
        <v>89.9</v>
      </c>
      <c r="R1981">
        <v>16.21</v>
      </c>
      <c r="Y1981" t="s">
        <v>8455</v>
      </c>
      <c r="Z1981" t="s">
        <v>3453</v>
      </c>
      <c r="AA1981">
        <v>33013</v>
      </c>
      <c r="AB1981" t="s">
        <v>11</v>
      </c>
    </row>
    <row r="1982" spans="1:35" x14ac:dyDescent="0.25">
      <c r="A1982" t="s">
        <v>8456</v>
      </c>
      <c r="B1982" t="s">
        <v>8456</v>
      </c>
      <c r="C1982" t="s">
        <v>8457</v>
      </c>
      <c r="D1982" t="s">
        <v>8458</v>
      </c>
      <c r="E1982" t="s">
        <v>770</v>
      </c>
      <c r="F1982" t="s">
        <v>771</v>
      </c>
      <c r="G1982" t="s">
        <v>1854</v>
      </c>
      <c r="J1982" t="s">
        <v>783</v>
      </c>
      <c r="K1982" t="s">
        <v>1873</v>
      </c>
      <c r="L1982" t="s">
        <v>840</v>
      </c>
      <c r="M1982" t="s">
        <v>26</v>
      </c>
      <c r="N1982" t="s">
        <v>770</v>
      </c>
      <c r="O1982">
        <v>1</v>
      </c>
      <c r="P1982" t="s">
        <v>776</v>
      </c>
      <c r="Q1982">
        <v>34.9</v>
      </c>
      <c r="R1982">
        <v>6.29</v>
      </c>
      <c r="Y1982" t="s">
        <v>8459</v>
      </c>
      <c r="Z1982" t="s">
        <v>8460</v>
      </c>
      <c r="AA1982">
        <v>48012</v>
      </c>
      <c r="AB1982" t="s">
        <v>11</v>
      </c>
    </row>
    <row r="1983" spans="1:35" x14ac:dyDescent="0.25">
      <c r="A1983" t="s">
        <v>8461</v>
      </c>
      <c r="B1983" t="s">
        <v>8461</v>
      </c>
      <c r="C1983" t="s">
        <v>8462</v>
      </c>
      <c r="D1983" t="s">
        <v>8463</v>
      </c>
      <c r="E1983" t="s">
        <v>770</v>
      </c>
      <c r="F1983" t="s">
        <v>771</v>
      </c>
      <c r="G1983" t="s">
        <v>1854</v>
      </c>
      <c r="J1983" t="s">
        <v>783</v>
      </c>
      <c r="K1983" t="s">
        <v>1873</v>
      </c>
      <c r="L1983" t="s">
        <v>840</v>
      </c>
      <c r="M1983" t="s">
        <v>26</v>
      </c>
      <c r="N1983" t="s">
        <v>770</v>
      </c>
      <c r="O1983">
        <v>1</v>
      </c>
      <c r="P1983" t="s">
        <v>776</v>
      </c>
      <c r="Q1983">
        <v>34.9</v>
      </c>
      <c r="R1983">
        <v>6.29</v>
      </c>
      <c r="Y1983" t="s">
        <v>1898</v>
      </c>
      <c r="Z1983" t="s">
        <v>4358</v>
      </c>
      <c r="AA1983">
        <v>46100</v>
      </c>
      <c r="AB1983" t="s">
        <v>11</v>
      </c>
    </row>
    <row r="1984" spans="1:35" x14ac:dyDescent="0.25">
      <c r="A1984" t="s">
        <v>8464</v>
      </c>
      <c r="B1984" t="s">
        <v>8464</v>
      </c>
      <c r="C1984" t="s">
        <v>8465</v>
      </c>
      <c r="D1984" t="s">
        <v>8466</v>
      </c>
      <c r="E1984" t="s">
        <v>770</v>
      </c>
      <c r="F1984" t="s">
        <v>771</v>
      </c>
      <c r="G1984" t="s">
        <v>1854</v>
      </c>
      <c r="J1984" t="s">
        <v>783</v>
      </c>
      <c r="K1984" t="s">
        <v>1862</v>
      </c>
      <c r="L1984" t="s">
        <v>1505</v>
      </c>
      <c r="M1984" t="s">
        <v>53</v>
      </c>
      <c r="N1984" t="s">
        <v>770</v>
      </c>
      <c r="O1984">
        <v>1</v>
      </c>
      <c r="P1984" t="s">
        <v>776</v>
      </c>
      <c r="Q1984">
        <v>32.9</v>
      </c>
      <c r="R1984">
        <v>5.93</v>
      </c>
      <c r="Y1984" t="s">
        <v>8467</v>
      </c>
      <c r="Z1984" t="s">
        <v>8468</v>
      </c>
      <c r="AA1984">
        <v>86080</v>
      </c>
      <c r="AB1984" t="s">
        <v>11</v>
      </c>
    </row>
    <row r="1985" spans="1:28" x14ac:dyDescent="0.25">
      <c r="A1985" t="s">
        <v>8469</v>
      </c>
      <c r="B1985" t="s">
        <v>8469</v>
      </c>
      <c r="C1985" t="s">
        <v>8470</v>
      </c>
      <c r="D1985" t="s">
        <v>8471</v>
      </c>
      <c r="E1985" t="s">
        <v>770</v>
      </c>
      <c r="F1985" t="s">
        <v>771</v>
      </c>
      <c r="G1985" t="s">
        <v>1854</v>
      </c>
      <c r="J1985" t="s">
        <v>783</v>
      </c>
      <c r="K1985" t="s">
        <v>2390</v>
      </c>
      <c r="L1985" t="s">
        <v>1094</v>
      </c>
      <c r="M1985" t="s">
        <v>208</v>
      </c>
      <c r="N1985" t="s">
        <v>770</v>
      </c>
      <c r="O1985">
        <v>1</v>
      </c>
      <c r="P1985" t="s">
        <v>776</v>
      </c>
      <c r="Q1985">
        <v>79.900000000000006</v>
      </c>
      <c r="R1985">
        <v>14.41</v>
      </c>
      <c r="Y1985" t="s">
        <v>8472</v>
      </c>
      <c r="Z1985" t="s">
        <v>6696</v>
      </c>
      <c r="AA1985">
        <v>8027</v>
      </c>
      <c r="AB1985" t="s">
        <v>11</v>
      </c>
    </row>
    <row r="1986" spans="1:28" x14ac:dyDescent="0.25">
      <c r="A1986" t="s">
        <v>8473</v>
      </c>
      <c r="B1986" t="s">
        <v>8473</v>
      </c>
      <c r="C1986" t="s">
        <v>8474</v>
      </c>
      <c r="D1986" t="s">
        <v>8475</v>
      </c>
      <c r="E1986" t="s">
        <v>770</v>
      </c>
      <c r="F1986" t="s">
        <v>771</v>
      </c>
      <c r="G1986" t="s">
        <v>1854</v>
      </c>
      <c r="J1986" t="s">
        <v>783</v>
      </c>
      <c r="K1986" t="s">
        <v>1873</v>
      </c>
      <c r="L1986" t="s">
        <v>840</v>
      </c>
      <c r="M1986" t="s">
        <v>26</v>
      </c>
      <c r="N1986" t="s">
        <v>770</v>
      </c>
      <c r="O1986">
        <v>1</v>
      </c>
      <c r="P1986" t="s">
        <v>776</v>
      </c>
      <c r="Q1986">
        <v>34.9</v>
      </c>
      <c r="R1986">
        <v>6.29</v>
      </c>
      <c r="Y1986" t="s">
        <v>8476</v>
      </c>
      <c r="Z1986" t="s">
        <v>3153</v>
      </c>
      <c r="AA1986">
        <v>66010</v>
      </c>
      <c r="AB1986" t="s">
        <v>11</v>
      </c>
    </row>
    <row r="1987" spans="1:28" x14ac:dyDescent="0.25">
      <c r="A1987" t="s">
        <v>8477</v>
      </c>
      <c r="C1987" t="s">
        <v>8478</v>
      </c>
      <c r="D1987" t="s">
        <v>8479</v>
      </c>
      <c r="E1987" t="s">
        <v>770</v>
      </c>
      <c r="F1987" t="s">
        <v>1884</v>
      </c>
      <c r="G1987" t="s">
        <v>1854</v>
      </c>
      <c r="H1987" t="s">
        <v>1885</v>
      </c>
      <c r="J1987" t="s">
        <v>773</v>
      </c>
      <c r="K1987" t="s">
        <v>1902</v>
      </c>
      <c r="L1987" t="s">
        <v>15</v>
      </c>
      <c r="M1987" t="s">
        <v>14</v>
      </c>
      <c r="N1987" t="s">
        <v>770</v>
      </c>
      <c r="O1987">
        <v>2</v>
      </c>
      <c r="P1987" t="s">
        <v>776</v>
      </c>
      <c r="Q1987">
        <v>31.8</v>
      </c>
      <c r="R1987">
        <v>5.74</v>
      </c>
      <c r="S1987">
        <v>6</v>
      </c>
      <c r="T1987">
        <v>1.08</v>
      </c>
      <c r="Y1987" t="s">
        <v>8480</v>
      </c>
      <c r="Z1987" t="s">
        <v>2179</v>
      </c>
      <c r="AA1987">
        <v>29122</v>
      </c>
      <c r="AB1987" t="s">
        <v>11</v>
      </c>
    </row>
    <row r="1988" spans="1:28" x14ac:dyDescent="0.25">
      <c r="A1988" t="s">
        <v>8481</v>
      </c>
      <c r="C1988" t="s">
        <v>8482</v>
      </c>
      <c r="D1988" t="s">
        <v>8483</v>
      </c>
      <c r="E1988" t="s">
        <v>770</v>
      </c>
      <c r="F1988" t="s">
        <v>1884</v>
      </c>
      <c r="G1988" t="s">
        <v>1854</v>
      </c>
      <c r="H1988" t="s">
        <v>1885</v>
      </c>
      <c r="J1988" t="s">
        <v>773</v>
      </c>
      <c r="K1988" t="s">
        <v>2889</v>
      </c>
      <c r="L1988" t="s">
        <v>135</v>
      </c>
      <c r="M1988" t="s">
        <v>134</v>
      </c>
      <c r="N1988" t="s">
        <v>770</v>
      </c>
      <c r="O1988">
        <v>1</v>
      </c>
      <c r="P1988" t="s">
        <v>776</v>
      </c>
      <c r="Q1988">
        <v>59.9</v>
      </c>
      <c r="R1988">
        <v>10.8</v>
      </c>
      <c r="S1988">
        <v>3</v>
      </c>
      <c r="T1988">
        <v>0.54</v>
      </c>
      <c r="Y1988" t="s">
        <v>1956</v>
      </c>
      <c r="Z1988" t="s">
        <v>1913</v>
      </c>
      <c r="AA1988">
        <v>177</v>
      </c>
      <c r="AB1988" t="s">
        <v>11</v>
      </c>
    </row>
    <row r="1989" spans="1:28" x14ac:dyDescent="0.25">
      <c r="A1989" t="s">
        <v>8484</v>
      </c>
      <c r="B1989" t="s">
        <v>8484</v>
      </c>
      <c r="C1989" t="s">
        <v>8485</v>
      </c>
      <c r="D1989" t="s">
        <v>8486</v>
      </c>
      <c r="E1989" t="s">
        <v>770</v>
      </c>
      <c r="F1989" t="s">
        <v>771</v>
      </c>
      <c r="G1989" t="s">
        <v>1854</v>
      </c>
      <c r="J1989" t="s">
        <v>783</v>
      </c>
      <c r="K1989" t="s">
        <v>2162</v>
      </c>
      <c r="L1989" t="s">
        <v>2163</v>
      </c>
      <c r="M1989" t="s">
        <v>59</v>
      </c>
      <c r="N1989" t="s">
        <v>770</v>
      </c>
      <c r="O1989">
        <v>1</v>
      </c>
      <c r="P1989" t="s">
        <v>776</v>
      </c>
      <c r="Q1989">
        <v>29.9</v>
      </c>
      <c r="R1989">
        <v>5.39</v>
      </c>
      <c r="Y1989" t="s">
        <v>4102</v>
      </c>
      <c r="Z1989" t="s">
        <v>2101</v>
      </c>
      <c r="AA1989">
        <v>47924</v>
      </c>
      <c r="AB1989" t="s">
        <v>11</v>
      </c>
    </row>
    <row r="1990" spans="1:28" x14ac:dyDescent="0.25">
      <c r="A1990" t="s">
        <v>8487</v>
      </c>
      <c r="B1990" t="s">
        <v>8487</v>
      </c>
      <c r="C1990" t="s">
        <v>8488</v>
      </c>
      <c r="D1990" t="s">
        <v>8489</v>
      </c>
      <c r="E1990" t="s">
        <v>770</v>
      </c>
      <c r="F1990" t="s">
        <v>771</v>
      </c>
      <c r="G1990" t="s">
        <v>1854</v>
      </c>
      <c r="J1990" t="s">
        <v>783</v>
      </c>
      <c r="K1990" t="s">
        <v>1862</v>
      </c>
      <c r="L1990" t="s">
        <v>1505</v>
      </c>
      <c r="M1990" t="s">
        <v>53</v>
      </c>
      <c r="N1990" t="s">
        <v>770</v>
      </c>
      <c r="O1990">
        <v>1</v>
      </c>
      <c r="P1990" t="s">
        <v>776</v>
      </c>
      <c r="Q1990">
        <v>32.9</v>
      </c>
      <c r="R1990">
        <v>5.93</v>
      </c>
      <c r="Y1990" t="s">
        <v>1875</v>
      </c>
      <c r="Z1990" t="s">
        <v>8490</v>
      </c>
      <c r="AA1990">
        <v>20147</v>
      </c>
      <c r="AB1990" t="s">
        <v>11</v>
      </c>
    </row>
    <row r="1991" spans="1:28" x14ac:dyDescent="0.25">
      <c r="A1991" t="s">
        <v>8491</v>
      </c>
      <c r="C1991" t="s">
        <v>8492</v>
      </c>
      <c r="D1991" t="s">
        <v>8493</v>
      </c>
      <c r="E1991" t="s">
        <v>770</v>
      </c>
      <c r="F1991" t="s">
        <v>1884</v>
      </c>
      <c r="G1991" t="s">
        <v>1854</v>
      </c>
      <c r="H1991" t="s">
        <v>1885</v>
      </c>
      <c r="J1991" t="s">
        <v>773</v>
      </c>
      <c r="K1991" t="s">
        <v>1930</v>
      </c>
      <c r="L1991" t="s">
        <v>66</v>
      </c>
      <c r="M1991" t="s">
        <v>65</v>
      </c>
      <c r="N1991" t="s">
        <v>770</v>
      </c>
      <c r="O1991">
        <v>1</v>
      </c>
      <c r="P1991" t="s">
        <v>776</v>
      </c>
      <c r="Q1991">
        <v>29.9</v>
      </c>
      <c r="R1991">
        <v>5.39</v>
      </c>
      <c r="S1991">
        <v>3</v>
      </c>
      <c r="T1991">
        <v>0.54</v>
      </c>
      <c r="Y1991" t="s">
        <v>7594</v>
      </c>
      <c r="Z1991" t="s">
        <v>3861</v>
      </c>
      <c r="AA1991">
        <v>58022</v>
      </c>
      <c r="AB1991" t="s">
        <v>11</v>
      </c>
    </row>
    <row r="1992" spans="1:28" x14ac:dyDescent="0.25">
      <c r="A1992" t="s">
        <v>8494</v>
      </c>
      <c r="B1992" t="s">
        <v>8494</v>
      </c>
      <c r="C1992" t="s">
        <v>8495</v>
      </c>
      <c r="D1992" t="s">
        <v>8496</v>
      </c>
      <c r="E1992" t="s">
        <v>770</v>
      </c>
      <c r="F1992" t="s">
        <v>771</v>
      </c>
      <c r="G1992" t="s">
        <v>1854</v>
      </c>
      <c r="J1992" t="s">
        <v>783</v>
      </c>
      <c r="K1992" t="s">
        <v>1862</v>
      </c>
      <c r="L1992" t="s">
        <v>1505</v>
      </c>
      <c r="M1992" t="s">
        <v>53</v>
      </c>
      <c r="N1992" t="s">
        <v>770</v>
      </c>
      <c r="O1992">
        <v>1</v>
      </c>
      <c r="P1992" t="s">
        <v>776</v>
      </c>
      <c r="Q1992">
        <v>32.9</v>
      </c>
      <c r="R1992">
        <v>5.93</v>
      </c>
      <c r="Y1992" t="s">
        <v>1875</v>
      </c>
      <c r="Z1992" t="s">
        <v>1875</v>
      </c>
      <c r="AA1992">
        <v>20121</v>
      </c>
      <c r="AB1992" t="s">
        <v>11</v>
      </c>
    </row>
    <row r="1993" spans="1:28" x14ac:dyDescent="0.25">
      <c r="A1993" t="s">
        <v>8497</v>
      </c>
      <c r="B1993" t="s">
        <v>8497</v>
      </c>
      <c r="C1993" t="s">
        <v>8498</v>
      </c>
      <c r="D1993" t="s">
        <v>8499</v>
      </c>
      <c r="E1993" t="s">
        <v>782</v>
      </c>
      <c r="F1993" t="s">
        <v>771</v>
      </c>
      <c r="G1993" t="s">
        <v>1854</v>
      </c>
      <c r="J1993" t="s">
        <v>783</v>
      </c>
      <c r="K1993" t="s">
        <v>1862</v>
      </c>
      <c r="L1993" t="s">
        <v>1505</v>
      </c>
      <c r="M1993" t="s">
        <v>53</v>
      </c>
      <c r="N1993" t="s">
        <v>782</v>
      </c>
      <c r="O1993">
        <v>0</v>
      </c>
      <c r="Y1993" t="s">
        <v>3802</v>
      </c>
      <c r="Z1993" t="s">
        <v>2343</v>
      </c>
      <c r="AA1993">
        <v>90121</v>
      </c>
      <c r="AB1993" t="s">
        <v>11</v>
      </c>
    </row>
    <row r="1994" spans="1:28" x14ac:dyDescent="0.25">
      <c r="A1994" t="s">
        <v>8500</v>
      </c>
      <c r="B1994" t="s">
        <v>8500</v>
      </c>
      <c r="C1994" t="s">
        <v>8501</v>
      </c>
      <c r="D1994" t="s">
        <v>8502</v>
      </c>
      <c r="E1994" t="s">
        <v>770</v>
      </c>
      <c r="F1994" t="s">
        <v>771</v>
      </c>
      <c r="G1994" t="s">
        <v>1854</v>
      </c>
      <c r="J1994" t="s">
        <v>783</v>
      </c>
      <c r="K1994" t="s">
        <v>1862</v>
      </c>
      <c r="L1994" t="s">
        <v>1505</v>
      </c>
      <c r="M1994" t="s">
        <v>53</v>
      </c>
      <c r="N1994" t="s">
        <v>770</v>
      </c>
      <c r="O1994">
        <v>1</v>
      </c>
      <c r="P1994" t="s">
        <v>776</v>
      </c>
      <c r="Q1994">
        <v>32.9</v>
      </c>
      <c r="R1994">
        <v>5.93</v>
      </c>
      <c r="Y1994" t="s">
        <v>8503</v>
      </c>
      <c r="Z1994" t="s">
        <v>1864</v>
      </c>
      <c r="AA1994">
        <v>20076</v>
      </c>
      <c r="AB1994" t="s">
        <v>11</v>
      </c>
    </row>
    <row r="1995" spans="1:28" x14ac:dyDescent="0.25">
      <c r="A1995" t="s">
        <v>8504</v>
      </c>
      <c r="B1995" t="s">
        <v>8504</v>
      </c>
      <c r="C1995" t="s">
        <v>8505</v>
      </c>
      <c r="D1995" t="s">
        <v>8506</v>
      </c>
      <c r="E1995" t="s">
        <v>770</v>
      </c>
      <c r="F1995" t="s">
        <v>771</v>
      </c>
      <c r="G1995" t="s">
        <v>1854</v>
      </c>
      <c r="J1995" t="s">
        <v>783</v>
      </c>
      <c r="K1995" t="s">
        <v>1930</v>
      </c>
      <c r="L1995" t="s">
        <v>775</v>
      </c>
      <c r="M1995" t="s">
        <v>65</v>
      </c>
      <c r="N1995" t="s">
        <v>770</v>
      </c>
      <c r="O1995">
        <v>1</v>
      </c>
      <c r="P1995" t="s">
        <v>776</v>
      </c>
      <c r="Q1995">
        <v>29.9</v>
      </c>
      <c r="R1995">
        <v>5.39</v>
      </c>
      <c r="Y1995" t="s">
        <v>2040</v>
      </c>
      <c r="Z1995" t="s">
        <v>4810</v>
      </c>
      <c r="AA1995">
        <v>65124</v>
      </c>
      <c r="AB1995" t="s">
        <v>11</v>
      </c>
    </row>
    <row r="1996" spans="1:28" x14ac:dyDescent="0.25">
      <c r="A1996" t="s">
        <v>8507</v>
      </c>
      <c r="B1996" t="s">
        <v>8507</v>
      </c>
      <c r="C1996" t="s">
        <v>8508</v>
      </c>
      <c r="D1996" t="s">
        <v>8509</v>
      </c>
      <c r="E1996" t="s">
        <v>770</v>
      </c>
      <c r="F1996" t="s">
        <v>771</v>
      </c>
      <c r="G1996" t="s">
        <v>1854</v>
      </c>
      <c r="J1996" t="s">
        <v>783</v>
      </c>
      <c r="K1996" t="s">
        <v>1879</v>
      </c>
      <c r="L1996" t="s">
        <v>1056</v>
      </c>
      <c r="M1996" t="s">
        <v>212</v>
      </c>
      <c r="N1996" t="s">
        <v>770</v>
      </c>
      <c r="O1996">
        <v>1</v>
      </c>
      <c r="P1996" t="s">
        <v>776</v>
      </c>
      <c r="Q1996">
        <v>39.9</v>
      </c>
      <c r="R1996">
        <v>7.2</v>
      </c>
      <c r="Y1996" t="s">
        <v>8510</v>
      </c>
      <c r="Z1996" t="s">
        <v>2015</v>
      </c>
      <c r="AA1996">
        <v>44023</v>
      </c>
      <c r="AB1996" t="s">
        <v>11</v>
      </c>
    </row>
    <row r="1997" spans="1:28" x14ac:dyDescent="0.25">
      <c r="A1997" t="s">
        <v>8511</v>
      </c>
      <c r="B1997" t="s">
        <v>8511</v>
      </c>
      <c r="C1997" t="s">
        <v>8512</v>
      </c>
      <c r="D1997" t="s">
        <v>8513</v>
      </c>
      <c r="E1997" t="s">
        <v>770</v>
      </c>
      <c r="F1997" t="s">
        <v>771</v>
      </c>
      <c r="G1997" t="s">
        <v>1854</v>
      </c>
      <c r="J1997" t="s">
        <v>783</v>
      </c>
      <c r="K1997" t="s">
        <v>2162</v>
      </c>
      <c r="L1997" t="s">
        <v>2163</v>
      </c>
      <c r="M1997" t="s">
        <v>59</v>
      </c>
      <c r="N1997" t="s">
        <v>770</v>
      </c>
      <c r="O1997">
        <v>1</v>
      </c>
      <c r="P1997" t="s">
        <v>776</v>
      </c>
      <c r="Q1997">
        <v>29.9</v>
      </c>
      <c r="R1997">
        <v>5.39</v>
      </c>
      <c r="Y1997" t="s">
        <v>8514</v>
      </c>
      <c r="Z1997" t="s">
        <v>2088</v>
      </c>
      <c r="AA1997">
        <v>98051</v>
      </c>
      <c r="AB1997" t="s">
        <v>11</v>
      </c>
    </row>
    <row r="1998" spans="1:28" x14ac:dyDescent="0.25">
      <c r="A1998" t="s">
        <v>8515</v>
      </c>
      <c r="B1998" t="s">
        <v>8515</v>
      </c>
      <c r="C1998" t="s">
        <v>8516</v>
      </c>
      <c r="D1998" t="s">
        <v>8517</v>
      </c>
      <c r="E1998" t="s">
        <v>770</v>
      </c>
      <c r="F1998" t="s">
        <v>771</v>
      </c>
      <c r="G1998" t="s">
        <v>1854</v>
      </c>
      <c r="J1998" t="s">
        <v>783</v>
      </c>
      <c r="K1998" t="s">
        <v>1862</v>
      </c>
      <c r="L1998" t="s">
        <v>1505</v>
      </c>
      <c r="M1998" t="s">
        <v>53</v>
      </c>
      <c r="N1998" t="s">
        <v>770</v>
      </c>
      <c r="O1998">
        <v>1</v>
      </c>
      <c r="P1998" t="s">
        <v>776</v>
      </c>
      <c r="Q1998">
        <v>32.9</v>
      </c>
      <c r="R1998">
        <v>5.93</v>
      </c>
      <c r="Y1998" t="s">
        <v>8518</v>
      </c>
      <c r="Z1998" t="s">
        <v>3180</v>
      </c>
      <c r="AA1998">
        <v>96013</v>
      </c>
      <c r="AB1998" t="s">
        <v>11</v>
      </c>
    </row>
    <row r="1999" spans="1:28" x14ac:dyDescent="0.25">
      <c r="A1999" t="s">
        <v>8519</v>
      </c>
      <c r="C1999" t="s">
        <v>8520</v>
      </c>
      <c r="D1999" t="s">
        <v>8521</v>
      </c>
      <c r="E1999" t="s">
        <v>770</v>
      </c>
      <c r="F1999" t="s">
        <v>1884</v>
      </c>
      <c r="G1999" t="s">
        <v>1854</v>
      </c>
      <c r="H1999" t="s">
        <v>1885</v>
      </c>
      <c r="J1999" t="s">
        <v>773</v>
      </c>
      <c r="K1999" t="s">
        <v>1902</v>
      </c>
      <c r="L1999" t="s">
        <v>15</v>
      </c>
      <c r="M1999" t="s">
        <v>14</v>
      </c>
      <c r="N1999" t="s">
        <v>770</v>
      </c>
      <c r="O1999">
        <v>1</v>
      </c>
      <c r="P1999" t="s">
        <v>776</v>
      </c>
      <c r="Q1999">
        <v>15.9</v>
      </c>
      <c r="R1999">
        <v>2.87</v>
      </c>
      <c r="S1999">
        <v>3</v>
      </c>
      <c r="T1999">
        <v>0.54</v>
      </c>
      <c r="Y1999" t="s">
        <v>8522</v>
      </c>
      <c r="Z1999" t="s">
        <v>2116</v>
      </c>
      <c r="AA1999">
        <v>22040</v>
      </c>
      <c r="AB1999" t="s">
        <v>11</v>
      </c>
    </row>
    <row r="2000" spans="1:28" x14ac:dyDescent="0.25">
      <c r="A2000" t="s">
        <v>8523</v>
      </c>
      <c r="C2000" t="s">
        <v>8524</v>
      </c>
      <c r="D2000" t="s">
        <v>8525</v>
      </c>
      <c r="E2000" t="s">
        <v>770</v>
      </c>
      <c r="F2000" t="s">
        <v>1884</v>
      </c>
      <c r="G2000" t="s">
        <v>1854</v>
      </c>
      <c r="H2000" t="s">
        <v>1885</v>
      </c>
      <c r="J2000" t="s">
        <v>773</v>
      </c>
      <c r="K2000" t="s">
        <v>2652</v>
      </c>
      <c r="L2000" t="s">
        <v>52</v>
      </c>
      <c r="M2000" t="s">
        <v>51</v>
      </c>
      <c r="N2000" t="s">
        <v>770</v>
      </c>
      <c r="O2000">
        <v>1</v>
      </c>
      <c r="P2000" t="s">
        <v>776</v>
      </c>
      <c r="Q2000">
        <v>24.9</v>
      </c>
      <c r="R2000">
        <v>4.49</v>
      </c>
      <c r="S2000">
        <v>3</v>
      </c>
      <c r="T2000">
        <v>0.54</v>
      </c>
      <c r="Y2000" t="s">
        <v>7620</v>
      </c>
      <c r="Z2000" t="s">
        <v>1880</v>
      </c>
      <c r="AA2000">
        <v>41053</v>
      </c>
      <c r="AB2000" t="s">
        <v>11</v>
      </c>
    </row>
    <row r="2001" spans="1:35" x14ac:dyDescent="0.25">
      <c r="A2001" t="s">
        <v>8526</v>
      </c>
      <c r="C2001" t="s">
        <v>8527</v>
      </c>
      <c r="D2001" t="s">
        <v>8528</v>
      </c>
      <c r="E2001" t="s">
        <v>770</v>
      </c>
      <c r="F2001" t="s">
        <v>1884</v>
      </c>
      <c r="G2001" t="s">
        <v>1854</v>
      </c>
      <c r="H2001" t="s">
        <v>1885</v>
      </c>
      <c r="J2001" t="s">
        <v>773</v>
      </c>
      <c r="K2001" t="s">
        <v>4822</v>
      </c>
      <c r="L2001" t="s">
        <v>123</v>
      </c>
      <c r="M2001" t="s">
        <v>122</v>
      </c>
      <c r="N2001" t="s">
        <v>770</v>
      </c>
      <c r="O2001">
        <v>1</v>
      </c>
      <c r="P2001" t="s">
        <v>776</v>
      </c>
      <c r="Q2001">
        <v>28.9</v>
      </c>
      <c r="R2001">
        <v>5.21</v>
      </c>
      <c r="S2001">
        <v>3</v>
      </c>
      <c r="T2001">
        <v>0.54</v>
      </c>
      <c r="Y2001" t="s">
        <v>8529</v>
      </c>
      <c r="Z2001" t="s">
        <v>4172</v>
      </c>
      <c r="AA2001">
        <v>43012</v>
      </c>
      <c r="AB2001" t="s">
        <v>11</v>
      </c>
    </row>
    <row r="2002" spans="1:35" x14ac:dyDescent="0.25">
      <c r="A2002" t="s">
        <v>8530</v>
      </c>
      <c r="C2002" t="s">
        <v>8531</v>
      </c>
      <c r="D2002" t="s">
        <v>8532</v>
      </c>
      <c r="E2002" t="s">
        <v>770</v>
      </c>
      <c r="F2002" t="s">
        <v>1884</v>
      </c>
      <c r="G2002" t="s">
        <v>1854</v>
      </c>
      <c r="H2002" t="s">
        <v>1885</v>
      </c>
      <c r="J2002" t="s">
        <v>773</v>
      </c>
      <c r="K2002" t="s">
        <v>2913</v>
      </c>
      <c r="L2002" t="s">
        <v>99</v>
      </c>
      <c r="M2002" t="s">
        <v>98</v>
      </c>
      <c r="N2002" t="s">
        <v>770</v>
      </c>
      <c r="O2002">
        <v>1</v>
      </c>
      <c r="P2002" t="s">
        <v>776</v>
      </c>
      <c r="Q2002">
        <v>29.9</v>
      </c>
      <c r="R2002">
        <v>5.39</v>
      </c>
      <c r="S2002">
        <v>3</v>
      </c>
      <c r="T2002">
        <v>0.54</v>
      </c>
      <c r="Y2002" t="s">
        <v>8533</v>
      </c>
      <c r="Z2002" t="s">
        <v>2720</v>
      </c>
      <c r="AA2002">
        <v>27020</v>
      </c>
      <c r="AB2002" t="s">
        <v>11</v>
      </c>
    </row>
    <row r="2003" spans="1:35" x14ac:dyDescent="0.25">
      <c r="A2003" t="s">
        <v>8534</v>
      </c>
      <c r="B2003" t="s">
        <v>8534</v>
      </c>
      <c r="C2003" t="s">
        <v>8535</v>
      </c>
      <c r="D2003" t="s">
        <v>8536</v>
      </c>
      <c r="E2003" t="s">
        <v>770</v>
      </c>
      <c r="F2003" t="s">
        <v>771</v>
      </c>
      <c r="G2003" t="s">
        <v>1854</v>
      </c>
      <c r="J2003" t="s">
        <v>783</v>
      </c>
      <c r="K2003" t="s">
        <v>1862</v>
      </c>
      <c r="L2003" t="s">
        <v>1505</v>
      </c>
      <c r="M2003" t="s">
        <v>53</v>
      </c>
      <c r="N2003" t="s">
        <v>770</v>
      </c>
      <c r="O2003">
        <v>1</v>
      </c>
      <c r="P2003" t="s">
        <v>776</v>
      </c>
      <c r="Q2003">
        <v>32.9</v>
      </c>
      <c r="R2003">
        <v>5.93</v>
      </c>
      <c r="Y2003" t="s">
        <v>8537</v>
      </c>
      <c r="Z2003" t="s">
        <v>2030</v>
      </c>
      <c r="AA2003">
        <v>38027</v>
      </c>
      <c r="AB2003" t="s">
        <v>11</v>
      </c>
    </row>
    <row r="2004" spans="1:35" x14ac:dyDescent="0.25">
      <c r="A2004" t="s">
        <v>8538</v>
      </c>
      <c r="B2004" t="s">
        <v>8538</v>
      </c>
      <c r="C2004" t="s">
        <v>8539</v>
      </c>
      <c r="D2004" t="s">
        <v>8540</v>
      </c>
      <c r="E2004" t="s">
        <v>770</v>
      </c>
      <c r="F2004" t="s">
        <v>771</v>
      </c>
      <c r="G2004" t="s">
        <v>1854</v>
      </c>
      <c r="J2004" t="s">
        <v>783</v>
      </c>
      <c r="K2004" t="s">
        <v>2319</v>
      </c>
      <c r="L2004" t="s">
        <v>1080</v>
      </c>
      <c r="M2004" t="s">
        <v>186</v>
      </c>
      <c r="N2004" t="s">
        <v>770</v>
      </c>
      <c r="O2004">
        <v>1</v>
      </c>
      <c r="P2004" t="s">
        <v>776</v>
      </c>
      <c r="Q2004">
        <v>39.9</v>
      </c>
      <c r="R2004">
        <v>7.2</v>
      </c>
      <c r="Y2004" t="s">
        <v>8541</v>
      </c>
      <c r="Z2004" t="s">
        <v>1067</v>
      </c>
      <c r="AA2004">
        <v>55045</v>
      </c>
      <c r="AB2004" t="s">
        <v>11</v>
      </c>
    </row>
    <row r="2005" spans="1:35" x14ac:dyDescent="0.25">
      <c r="A2005" t="s">
        <v>8542</v>
      </c>
      <c r="B2005" t="s">
        <v>8542</v>
      </c>
      <c r="C2005" t="s">
        <v>8543</v>
      </c>
      <c r="D2005" t="s">
        <v>8544</v>
      </c>
      <c r="E2005" t="s">
        <v>770</v>
      </c>
      <c r="F2005" t="s">
        <v>771</v>
      </c>
      <c r="G2005" t="s">
        <v>1854</v>
      </c>
      <c r="J2005" t="s">
        <v>783</v>
      </c>
      <c r="K2005" t="s">
        <v>1862</v>
      </c>
      <c r="L2005" t="s">
        <v>1505</v>
      </c>
      <c r="M2005" t="s">
        <v>53</v>
      </c>
      <c r="N2005" t="s">
        <v>770</v>
      </c>
      <c r="O2005">
        <v>1</v>
      </c>
      <c r="P2005" t="s">
        <v>776</v>
      </c>
      <c r="Q2005">
        <v>32.9</v>
      </c>
      <c r="R2005">
        <v>5.93</v>
      </c>
      <c r="Y2005" t="s">
        <v>1888</v>
      </c>
      <c r="Z2005" t="s">
        <v>1888</v>
      </c>
      <c r="AA2005">
        <v>40126</v>
      </c>
      <c r="AB2005" t="s">
        <v>11</v>
      </c>
    </row>
    <row r="2006" spans="1:35" x14ac:dyDescent="0.25">
      <c r="A2006" t="s">
        <v>8545</v>
      </c>
      <c r="B2006" t="s">
        <v>8545</v>
      </c>
      <c r="C2006" t="s">
        <v>8546</v>
      </c>
      <c r="D2006" t="s">
        <v>8547</v>
      </c>
      <c r="E2006" t="s">
        <v>770</v>
      </c>
      <c r="F2006" t="s">
        <v>771</v>
      </c>
      <c r="G2006" t="s">
        <v>1854</v>
      </c>
      <c r="J2006" t="s">
        <v>783</v>
      </c>
      <c r="K2006" t="s">
        <v>1873</v>
      </c>
      <c r="L2006" t="s">
        <v>840</v>
      </c>
      <c r="M2006" t="s">
        <v>26</v>
      </c>
      <c r="N2006" t="s">
        <v>770</v>
      </c>
      <c r="O2006">
        <v>1</v>
      </c>
      <c r="P2006" t="s">
        <v>776</v>
      </c>
      <c r="Q2006">
        <v>34.9</v>
      </c>
      <c r="R2006">
        <v>6.29</v>
      </c>
      <c r="Y2006" t="s">
        <v>1956</v>
      </c>
      <c r="Z2006" t="s">
        <v>1956</v>
      </c>
      <c r="AA2006">
        <v>191</v>
      </c>
      <c r="AB2006" t="s">
        <v>11</v>
      </c>
    </row>
    <row r="2007" spans="1:35" x14ac:dyDescent="0.25">
      <c r="A2007" t="s">
        <v>8548</v>
      </c>
      <c r="B2007" t="s">
        <v>8548</v>
      </c>
      <c r="C2007" t="s">
        <v>8549</v>
      </c>
      <c r="D2007" t="s">
        <v>8550</v>
      </c>
      <c r="E2007" t="s">
        <v>770</v>
      </c>
      <c r="F2007" t="s">
        <v>771</v>
      </c>
      <c r="G2007" t="s">
        <v>1854</v>
      </c>
      <c r="J2007" t="s">
        <v>783</v>
      </c>
      <c r="K2007" t="s">
        <v>1873</v>
      </c>
      <c r="L2007" t="s">
        <v>840</v>
      </c>
      <c r="M2007" t="s">
        <v>26</v>
      </c>
      <c r="N2007" t="s">
        <v>770</v>
      </c>
      <c r="O2007">
        <v>1</v>
      </c>
      <c r="P2007" t="s">
        <v>776</v>
      </c>
      <c r="Q2007">
        <v>34.9</v>
      </c>
      <c r="R2007">
        <v>6.29</v>
      </c>
      <c r="Y2007" t="s">
        <v>8551</v>
      </c>
      <c r="Z2007" t="s">
        <v>2088</v>
      </c>
      <c r="AA2007">
        <v>98070</v>
      </c>
      <c r="AB2007" t="s">
        <v>11</v>
      </c>
    </row>
    <row r="2008" spans="1:35" x14ac:dyDescent="0.25">
      <c r="A2008" t="s">
        <v>8552</v>
      </c>
      <c r="B2008" t="s">
        <v>8552</v>
      </c>
      <c r="C2008" t="s">
        <v>8553</v>
      </c>
      <c r="D2008" t="s">
        <v>8554</v>
      </c>
      <c r="E2008" t="s">
        <v>770</v>
      </c>
      <c r="F2008" t="s">
        <v>771</v>
      </c>
      <c r="G2008" t="s">
        <v>1854</v>
      </c>
      <c r="J2008" t="s">
        <v>783</v>
      </c>
      <c r="K2008" t="s">
        <v>1930</v>
      </c>
      <c r="L2008" t="s">
        <v>775</v>
      </c>
      <c r="M2008" t="s">
        <v>65</v>
      </c>
      <c r="N2008" t="s">
        <v>770</v>
      </c>
      <c r="O2008">
        <v>1</v>
      </c>
      <c r="P2008" t="s">
        <v>776</v>
      </c>
      <c r="Q2008">
        <v>29.9</v>
      </c>
      <c r="R2008">
        <v>5.39</v>
      </c>
      <c r="Y2008" t="s">
        <v>8311</v>
      </c>
      <c r="Z2008" t="s">
        <v>2188</v>
      </c>
      <c r="AA2008">
        <v>64010</v>
      </c>
      <c r="AB2008" t="s">
        <v>11</v>
      </c>
    </row>
    <row r="2009" spans="1:35" x14ac:dyDescent="0.25">
      <c r="A2009" t="s">
        <v>8555</v>
      </c>
      <c r="B2009" t="s">
        <v>8555</v>
      </c>
      <c r="C2009" t="s">
        <v>8556</v>
      </c>
      <c r="D2009" t="s">
        <v>8557</v>
      </c>
      <c r="E2009" t="s">
        <v>770</v>
      </c>
      <c r="F2009" t="s">
        <v>771</v>
      </c>
      <c r="G2009" t="s">
        <v>1854</v>
      </c>
      <c r="J2009" t="s">
        <v>783</v>
      </c>
      <c r="K2009" t="s">
        <v>1873</v>
      </c>
      <c r="L2009" t="s">
        <v>840</v>
      </c>
      <c r="M2009" t="s">
        <v>26</v>
      </c>
      <c r="N2009" t="s">
        <v>770</v>
      </c>
      <c r="O2009">
        <v>1</v>
      </c>
      <c r="P2009" t="s">
        <v>776</v>
      </c>
      <c r="Q2009">
        <v>34.9</v>
      </c>
      <c r="R2009">
        <v>6.29</v>
      </c>
      <c r="Y2009" t="s">
        <v>8558</v>
      </c>
      <c r="Z2009" t="s">
        <v>2597</v>
      </c>
      <c r="AA2009">
        <v>70022</v>
      </c>
      <c r="AB2009" t="s">
        <v>11</v>
      </c>
    </row>
    <row r="2010" spans="1:35" x14ac:dyDescent="0.25">
      <c r="A2010" t="s">
        <v>8559</v>
      </c>
      <c r="B2010" t="s">
        <v>8559</v>
      </c>
      <c r="C2010" t="s">
        <v>8560</v>
      </c>
      <c r="D2010" t="s">
        <v>8561</v>
      </c>
      <c r="E2010" t="s">
        <v>770</v>
      </c>
      <c r="F2010" t="s">
        <v>771</v>
      </c>
      <c r="G2010" t="s">
        <v>1854</v>
      </c>
      <c r="J2010" t="s">
        <v>773</v>
      </c>
      <c r="K2010" t="s">
        <v>1873</v>
      </c>
      <c r="L2010" t="s">
        <v>840</v>
      </c>
      <c r="M2010" t="s">
        <v>26</v>
      </c>
      <c r="N2010" t="s">
        <v>770</v>
      </c>
      <c r="O2010">
        <v>1</v>
      </c>
      <c r="P2010" t="s">
        <v>776</v>
      </c>
      <c r="Q2010">
        <v>28.61</v>
      </c>
      <c r="S2010">
        <v>2.33</v>
      </c>
      <c r="X2010">
        <v>2.33</v>
      </c>
      <c r="Y2010" t="s">
        <v>8562</v>
      </c>
      <c r="AA2010">
        <v>8053</v>
      </c>
      <c r="AB2010" t="s">
        <v>1716</v>
      </c>
    </row>
    <row r="2011" spans="1:35" x14ac:dyDescent="0.25">
      <c r="A2011" t="s">
        <v>8563</v>
      </c>
      <c r="B2011" t="s">
        <v>8563</v>
      </c>
      <c r="C2011" t="s">
        <v>8564</v>
      </c>
      <c r="D2011" t="s">
        <v>8565</v>
      </c>
      <c r="E2011" t="s">
        <v>770</v>
      </c>
      <c r="F2011" t="s">
        <v>771</v>
      </c>
      <c r="G2011" t="s">
        <v>1854</v>
      </c>
      <c r="J2011" t="s">
        <v>783</v>
      </c>
      <c r="K2011" t="s">
        <v>1862</v>
      </c>
      <c r="L2011" t="s">
        <v>1505</v>
      </c>
      <c r="M2011" t="s">
        <v>53</v>
      </c>
      <c r="N2011" t="s">
        <v>770</v>
      </c>
      <c r="O2011">
        <v>1</v>
      </c>
      <c r="P2011" t="s">
        <v>776</v>
      </c>
      <c r="Q2011">
        <v>32.9</v>
      </c>
      <c r="R2011">
        <v>5.93</v>
      </c>
      <c r="S2011">
        <v>4.99</v>
      </c>
      <c r="T2011">
        <v>0.9</v>
      </c>
      <c r="Y2011" t="s">
        <v>8566</v>
      </c>
      <c r="Z2011" t="s">
        <v>4419</v>
      </c>
      <c r="AA2011">
        <v>34074</v>
      </c>
      <c r="AB2011" t="s">
        <v>11</v>
      </c>
    </row>
    <row r="2012" spans="1:35" x14ac:dyDescent="0.25">
      <c r="A2012" t="s">
        <v>8567</v>
      </c>
      <c r="B2012" t="s">
        <v>8567</v>
      </c>
      <c r="C2012" t="s">
        <v>8568</v>
      </c>
      <c r="D2012" t="s">
        <v>8569</v>
      </c>
      <c r="E2012" t="s">
        <v>770</v>
      </c>
      <c r="F2012" t="s">
        <v>771</v>
      </c>
      <c r="G2012" t="s">
        <v>1854</v>
      </c>
      <c r="J2012" t="s">
        <v>783</v>
      </c>
      <c r="K2012" t="s">
        <v>2162</v>
      </c>
      <c r="L2012" t="s">
        <v>2163</v>
      </c>
      <c r="M2012" t="s">
        <v>59</v>
      </c>
      <c r="N2012" t="s">
        <v>770</v>
      </c>
      <c r="O2012">
        <v>1</v>
      </c>
      <c r="P2012" t="s">
        <v>776</v>
      </c>
      <c r="Q2012">
        <v>29.9</v>
      </c>
      <c r="R2012">
        <v>5.39</v>
      </c>
      <c r="Y2012" t="s">
        <v>2030</v>
      </c>
      <c r="Z2012" t="s">
        <v>2030</v>
      </c>
      <c r="AA2012">
        <v>38121</v>
      </c>
      <c r="AB2012" t="s">
        <v>11</v>
      </c>
    </row>
    <row r="2013" spans="1:35" x14ac:dyDescent="0.25">
      <c r="A2013" t="s">
        <v>8570</v>
      </c>
      <c r="B2013" t="s">
        <v>8570</v>
      </c>
      <c r="C2013" t="s">
        <v>8571</v>
      </c>
      <c r="D2013" t="s">
        <v>8572</v>
      </c>
      <c r="E2013" t="s">
        <v>770</v>
      </c>
      <c r="F2013" t="s">
        <v>771</v>
      </c>
      <c r="G2013" t="s">
        <v>1854</v>
      </c>
      <c r="J2013" t="s">
        <v>783</v>
      </c>
      <c r="K2013" t="s">
        <v>1930</v>
      </c>
      <c r="L2013" t="s">
        <v>775</v>
      </c>
      <c r="M2013" t="s">
        <v>65</v>
      </c>
      <c r="N2013" t="s">
        <v>770</v>
      </c>
      <c r="O2013">
        <v>1</v>
      </c>
      <c r="P2013" t="s">
        <v>776</v>
      </c>
      <c r="Q2013">
        <v>29.9</v>
      </c>
      <c r="R2013">
        <v>5.39</v>
      </c>
      <c r="Y2013" t="s">
        <v>8573</v>
      </c>
      <c r="Z2013" t="s">
        <v>1989</v>
      </c>
      <c r="AA2013">
        <v>36040</v>
      </c>
      <c r="AB2013" t="s">
        <v>11</v>
      </c>
    </row>
    <row r="2014" spans="1:35" x14ac:dyDescent="0.25">
      <c r="A2014" t="s">
        <v>8574</v>
      </c>
      <c r="B2014" t="s">
        <v>8574</v>
      </c>
      <c r="C2014" t="s">
        <v>8575</v>
      </c>
      <c r="D2014" t="s">
        <v>8576</v>
      </c>
      <c r="E2014" t="s">
        <v>770</v>
      </c>
      <c r="F2014" t="s">
        <v>771</v>
      </c>
      <c r="G2014" t="s">
        <v>1854</v>
      </c>
      <c r="J2014" t="s">
        <v>783</v>
      </c>
      <c r="K2014" t="s">
        <v>1930</v>
      </c>
      <c r="L2014" t="s">
        <v>775</v>
      </c>
      <c r="M2014" t="s">
        <v>65</v>
      </c>
      <c r="N2014" t="s">
        <v>770</v>
      </c>
      <c r="O2014">
        <v>1</v>
      </c>
      <c r="P2014" t="s">
        <v>776</v>
      </c>
      <c r="Q2014">
        <v>29.9</v>
      </c>
      <c r="R2014">
        <v>5.39</v>
      </c>
      <c r="Y2014" t="s">
        <v>8577</v>
      </c>
      <c r="Z2014" t="s">
        <v>1880</v>
      </c>
      <c r="AA2014">
        <v>41030</v>
      </c>
      <c r="AB2014" t="s">
        <v>11</v>
      </c>
    </row>
    <row r="2015" spans="1:35" x14ac:dyDescent="0.25">
      <c r="A2015" t="s">
        <v>8578</v>
      </c>
      <c r="B2015" t="s">
        <v>8578</v>
      </c>
      <c r="C2015" t="s">
        <v>8579</v>
      </c>
      <c r="D2015" t="s">
        <v>8580</v>
      </c>
      <c r="E2015" t="s">
        <v>770</v>
      </c>
      <c r="F2015" t="s">
        <v>771</v>
      </c>
      <c r="G2015" t="s">
        <v>1854</v>
      </c>
      <c r="J2015" t="s">
        <v>783</v>
      </c>
      <c r="K2015" t="s">
        <v>1930</v>
      </c>
      <c r="L2015" t="s">
        <v>775</v>
      </c>
      <c r="M2015" t="s">
        <v>65</v>
      </c>
      <c r="N2015" t="s">
        <v>770</v>
      </c>
      <c r="O2015">
        <v>1</v>
      </c>
      <c r="P2015" t="s">
        <v>776</v>
      </c>
      <c r="Q2015">
        <v>29.9</v>
      </c>
      <c r="R2015">
        <v>5.39</v>
      </c>
      <c r="Y2015" t="s">
        <v>5304</v>
      </c>
      <c r="Z2015" t="s">
        <v>5304</v>
      </c>
      <c r="AA2015">
        <v>45100</v>
      </c>
      <c r="AB2015" t="s">
        <v>11</v>
      </c>
      <c r="AG2015" t="s">
        <v>8581</v>
      </c>
      <c r="AH2015" t="s">
        <v>11</v>
      </c>
      <c r="AI2015" t="s">
        <v>2459</v>
      </c>
    </row>
    <row r="2016" spans="1:35" x14ac:dyDescent="0.25">
      <c r="A2016" t="s">
        <v>8582</v>
      </c>
      <c r="B2016" t="s">
        <v>8582</v>
      </c>
      <c r="C2016" t="s">
        <v>8583</v>
      </c>
      <c r="D2016" t="s">
        <v>8584</v>
      </c>
      <c r="E2016" t="s">
        <v>770</v>
      </c>
      <c r="F2016" t="s">
        <v>771</v>
      </c>
      <c r="G2016" t="s">
        <v>1854</v>
      </c>
      <c r="J2016" t="s">
        <v>783</v>
      </c>
      <c r="K2016" t="s">
        <v>1873</v>
      </c>
      <c r="L2016" t="s">
        <v>840</v>
      </c>
      <c r="M2016" t="s">
        <v>26</v>
      </c>
      <c r="N2016" t="s">
        <v>770</v>
      </c>
      <c r="O2016">
        <v>1</v>
      </c>
      <c r="P2016" t="s">
        <v>776</v>
      </c>
      <c r="Q2016">
        <v>34.9</v>
      </c>
      <c r="R2016">
        <v>6.29</v>
      </c>
      <c r="S2016">
        <v>0.65</v>
      </c>
      <c r="X2016">
        <v>0.65</v>
      </c>
      <c r="Y2016" t="s">
        <v>8585</v>
      </c>
      <c r="Z2016" t="s">
        <v>8586</v>
      </c>
      <c r="AA2016">
        <v>42122</v>
      </c>
      <c r="AB2016" t="s">
        <v>11</v>
      </c>
    </row>
    <row r="2017" spans="1:28" x14ac:dyDescent="0.25">
      <c r="A2017" t="s">
        <v>8587</v>
      </c>
      <c r="C2017" t="s">
        <v>8588</v>
      </c>
      <c r="D2017" t="s">
        <v>8589</v>
      </c>
      <c r="E2017" t="s">
        <v>770</v>
      </c>
      <c r="F2017" t="s">
        <v>1884</v>
      </c>
      <c r="G2017" t="s">
        <v>1854</v>
      </c>
      <c r="H2017" t="s">
        <v>1885</v>
      </c>
      <c r="J2017" t="s">
        <v>773</v>
      </c>
      <c r="K2017" t="s">
        <v>1886</v>
      </c>
      <c r="L2017" t="s">
        <v>18</v>
      </c>
      <c r="M2017" t="s">
        <v>17</v>
      </c>
      <c r="N2017" t="s">
        <v>770</v>
      </c>
      <c r="O2017">
        <v>1</v>
      </c>
      <c r="P2017" t="s">
        <v>776</v>
      </c>
      <c r="Q2017">
        <v>22.9</v>
      </c>
      <c r="R2017">
        <v>4.13</v>
      </c>
      <c r="S2017">
        <v>3</v>
      </c>
      <c r="T2017">
        <v>0.54</v>
      </c>
      <c r="Y2017" t="s">
        <v>2602</v>
      </c>
      <c r="Z2017" t="s">
        <v>2602</v>
      </c>
      <c r="AA2017">
        <v>16124</v>
      </c>
      <c r="AB2017" t="s">
        <v>11</v>
      </c>
    </row>
    <row r="2018" spans="1:28" x14ac:dyDescent="0.25">
      <c r="A2018" t="s">
        <v>8590</v>
      </c>
      <c r="B2018" t="s">
        <v>8590</v>
      </c>
      <c r="C2018" t="s">
        <v>8591</v>
      </c>
      <c r="D2018" t="s">
        <v>8592</v>
      </c>
      <c r="E2018" t="s">
        <v>770</v>
      </c>
      <c r="F2018" t="s">
        <v>771</v>
      </c>
      <c r="G2018" t="s">
        <v>1854</v>
      </c>
      <c r="J2018" t="s">
        <v>783</v>
      </c>
      <c r="K2018" t="s">
        <v>2294</v>
      </c>
      <c r="L2018" t="s">
        <v>2295</v>
      </c>
      <c r="M2018" t="s">
        <v>232</v>
      </c>
      <c r="N2018" t="s">
        <v>770</v>
      </c>
      <c r="O2018">
        <v>1</v>
      </c>
      <c r="P2018" t="s">
        <v>776</v>
      </c>
      <c r="Q2018">
        <v>49.9</v>
      </c>
      <c r="R2018">
        <v>9</v>
      </c>
      <c r="Y2018" t="s">
        <v>8593</v>
      </c>
      <c r="Z2018" t="s">
        <v>2433</v>
      </c>
      <c r="AA2018">
        <v>37024</v>
      </c>
      <c r="AB2018" t="s">
        <v>11</v>
      </c>
    </row>
    <row r="2019" spans="1:28" x14ac:dyDescent="0.25">
      <c r="A2019" t="s">
        <v>8594</v>
      </c>
      <c r="B2019" t="s">
        <v>8594</v>
      </c>
      <c r="C2019" t="s">
        <v>8595</v>
      </c>
      <c r="D2019" t="s">
        <v>8596</v>
      </c>
      <c r="E2019" t="s">
        <v>770</v>
      </c>
      <c r="F2019" t="s">
        <v>771</v>
      </c>
      <c r="G2019" t="s">
        <v>1854</v>
      </c>
      <c r="J2019" t="s">
        <v>783</v>
      </c>
      <c r="K2019" t="s">
        <v>1862</v>
      </c>
      <c r="L2019" t="s">
        <v>1505</v>
      </c>
      <c r="M2019" t="s">
        <v>53</v>
      </c>
      <c r="N2019" t="s">
        <v>770</v>
      </c>
      <c r="O2019">
        <v>1</v>
      </c>
      <c r="P2019" t="s">
        <v>776</v>
      </c>
      <c r="Q2019">
        <v>32.9</v>
      </c>
      <c r="R2019">
        <v>5.93</v>
      </c>
      <c r="Y2019" t="s">
        <v>5077</v>
      </c>
      <c r="Z2019" t="s">
        <v>1875</v>
      </c>
      <c r="AA2019">
        <v>20061</v>
      </c>
      <c r="AB2019" t="s">
        <v>11</v>
      </c>
    </row>
    <row r="2020" spans="1:28" x14ac:dyDescent="0.25">
      <c r="A2020" t="s">
        <v>8597</v>
      </c>
      <c r="C2020" t="s">
        <v>8598</v>
      </c>
      <c r="D2020" t="s">
        <v>8599</v>
      </c>
      <c r="E2020" t="s">
        <v>770</v>
      </c>
      <c r="F2020" t="s">
        <v>1884</v>
      </c>
      <c r="G2020" t="s">
        <v>1854</v>
      </c>
      <c r="H2020" t="s">
        <v>1885</v>
      </c>
      <c r="J2020" t="s">
        <v>773</v>
      </c>
      <c r="K2020" t="s">
        <v>2652</v>
      </c>
      <c r="L2020" t="s">
        <v>52</v>
      </c>
      <c r="M2020" t="s">
        <v>51</v>
      </c>
      <c r="N2020" t="s">
        <v>770</v>
      </c>
      <c r="O2020">
        <v>1</v>
      </c>
      <c r="P2020" t="s">
        <v>776</v>
      </c>
      <c r="Q2020">
        <v>24.9</v>
      </c>
      <c r="R2020">
        <v>4.49</v>
      </c>
      <c r="S2020">
        <v>3</v>
      </c>
      <c r="T2020">
        <v>0.54</v>
      </c>
      <c r="Y2020" t="s">
        <v>8600</v>
      </c>
      <c r="Z2020" t="s">
        <v>8601</v>
      </c>
      <c r="AA2020">
        <v>57028</v>
      </c>
      <c r="AB2020" t="s">
        <v>11</v>
      </c>
    </row>
    <row r="2021" spans="1:28" x14ac:dyDescent="0.25">
      <c r="A2021" t="s">
        <v>8602</v>
      </c>
      <c r="B2021" t="s">
        <v>8602</v>
      </c>
      <c r="C2021" t="s">
        <v>8603</v>
      </c>
      <c r="D2021" t="s">
        <v>8604</v>
      </c>
      <c r="E2021" t="s">
        <v>770</v>
      </c>
      <c r="F2021" t="s">
        <v>771</v>
      </c>
      <c r="G2021" t="s">
        <v>1854</v>
      </c>
      <c r="J2021" t="s">
        <v>783</v>
      </c>
      <c r="K2021" t="s">
        <v>1873</v>
      </c>
      <c r="L2021" t="s">
        <v>840</v>
      </c>
      <c r="M2021" t="s">
        <v>26</v>
      </c>
      <c r="N2021" t="s">
        <v>770</v>
      </c>
      <c r="O2021">
        <v>1</v>
      </c>
      <c r="P2021" t="s">
        <v>776</v>
      </c>
      <c r="Q2021">
        <v>34.9</v>
      </c>
      <c r="R2021">
        <v>6.29</v>
      </c>
      <c r="Y2021" t="s">
        <v>8605</v>
      </c>
      <c r="Z2021" t="s">
        <v>7184</v>
      </c>
      <c r="AA2021">
        <v>59100</v>
      </c>
      <c r="AB2021" t="s">
        <v>11</v>
      </c>
    </row>
    <row r="2022" spans="1:28" x14ac:dyDescent="0.25">
      <c r="A2022" t="s">
        <v>8606</v>
      </c>
      <c r="C2022" t="s">
        <v>8607</v>
      </c>
      <c r="D2022" t="s">
        <v>8608</v>
      </c>
      <c r="E2022" t="s">
        <v>770</v>
      </c>
      <c r="F2022" t="s">
        <v>1884</v>
      </c>
      <c r="G2022" t="s">
        <v>1854</v>
      </c>
      <c r="H2022" t="s">
        <v>1885</v>
      </c>
      <c r="J2022" t="s">
        <v>773</v>
      </c>
      <c r="K2022" t="s">
        <v>2913</v>
      </c>
      <c r="L2022" t="s">
        <v>99</v>
      </c>
      <c r="M2022" t="s">
        <v>98</v>
      </c>
      <c r="N2022" t="s">
        <v>770</v>
      </c>
      <c r="O2022">
        <v>1</v>
      </c>
      <c r="P2022" t="s">
        <v>776</v>
      </c>
      <c r="Q2022">
        <v>29.9</v>
      </c>
      <c r="R2022">
        <v>5.39</v>
      </c>
      <c r="S2022">
        <v>3</v>
      </c>
      <c r="T2022">
        <v>0.54</v>
      </c>
      <c r="Y2022" t="s">
        <v>8609</v>
      </c>
      <c r="Z2022" t="s">
        <v>6376</v>
      </c>
      <c r="AA2022">
        <v>8025</v>
      </c>
      <c r="AB2022" t="s">
        <v>11</v>
      </c>
    </row>
    <row r="2023" spans="1:28" x14ac:dyDescent="0.25">
      <c r="A2023" t="s">
        <v>8610</v>
      </c>
      <c r="C2023" t="s">
        <v>8611</v>
      </c>
      <c r="D2023" t="s">
        <v>8612</v>
      </c>
      <c r="E2023" t="s">
        <v>782</v>
      </c>
      <c r="F2023" t="s">
        <v>1884</v>
      </c>
      <c r="G2023" t="s">
        <v>1854</v>
      </c>
      <c r="H2023" t="s">
        <v>1885</v>
      </c>
      <c r="J2023" t="s">
        <v>773</v>
      </c>
      <c r="K2023" t="s">
        <v>3308</v>
      </c>
      <c r="L2023" s="2">
        <v>50700</v>
      </c>
      <c r="M2023" t="s">
        <v>61</v>
      </c>
      <c r="O2023">
        <v>0</v>
      </c>
      <c r="P2023" t="s">
        <v>776</v>
      </c>
      <c r="Q2023">
        <v>73.599999999999994</v>
      </c>
      <c r="R2023">
        <v>16.2</v>
      </c>
      <c r="S2023">
        <v>6</v>
      </c>
      <c r="T2023">
        <v>1.08</v>
      </c>
      <c r="Y2023" t="s">
        <v>1913</v>
      </c>
      <c r="Z2023" t="s">
        <v>1913</v>
      </c>
      <c r="AA2023">
        <v>167</v>
      </c>
      <c r="AB2023" t="s">
        <v>11</v>
      </c>
    </row>
    <row r="2024" spans="1:28" x14ac:dyDescent="0.25">
      <c r="A2024" t="s">
        <v>8613</v>
      </c>
      <c r="B2024" t="s">
        <v>8613</v>
      </c>
      <c r="C2024" t="s">
        <v>8614</v>
      </c>
      <c r="D2024" t="s">
        <v>8615</v>
      </c>
      <c r="E2024" t="s">
        <v>770</v>
      </c>
      <c r="F2024" t="s">
        <v>771</v>
      </c>
      <c r="G2024" t="s">
        <v>1854</v>
      </c>
      <c r="J2024" t="s">
        <v>783</v>
      </c>
      <c r="K2024" t="s">
        <v>1873</v>
      </c>
      <c r="L2024" t="s">
        <v>840</v>
      </c>
      <c r="M2024" t="s">
        <v>26</v>
      </c>
      <c r="N2024" t="s">
        <v>770</v>
      </c>
      <c r="O2024">
        <v>1</v>
      </c>
      <c r="P2024" t="s">
        <v>776</v>
      </c>
      <c r="Q2024">
        <v>34.9</v>
      </c>
      <c r="R2024">
        <v>6.29</v>
      </c>
      <c r="Y2024" t="s">
        <v>8616</v>
      </c>
      <c r="Z2024" t="s">
        <v>3089</v>
      </c>
      <c r="AA2024">
        <v>25035</v>
      </c>
      <c r="AB2024" t="s">
        <v>11</v>
      </c>
    </row>
    <row r="2025" spans="1:28" x14ac:dyDescent="0.25">
      <c r="A2025" t="s">
        <v>8617</v>
      </c>
      <c r="B2025" t="s">
        <v>8617</v>
      </c>
      <c r="C2025" t="s">
        <v>8618</v>
      </c>
      <c r="D2025" t="s">
        <v>8619</v>
      </c>
      <c r="E2025" t="s">
        <v>770</v>
      </c>
      <c r="F2025" t="s">
        <v>771</v>
      </c>
      <c r="G2025" t="s">
        <v>1854</v>
      </c>
      <c r="J2025" t="s">
        <v>783</v>
      </c>
      <c r="K2025" t="s">
        <v>1873</v>
      </c>
      <c r="L2025" t="s">
        <v>840</v>
      </c>
      <c r="M2025" t="s">
        <v>26</v>
      </c>
      <c r="N2025" t="s">
        <v>770</v>
      </c>
      <c r="O2025">
        <v>1</v>
      </c>
      <c r="P2025" t="s">
        <v>776</v>
      </c>
      <c r="Q2025">
        <v>34.9</v>
      </c>
      <c r="R2025">
        <v>6.29</v>
      </c>
      <c r="Y2025" t="s">
        <v>8620</v>
      </c>
      <c r="Z2025" t="s">
        <v>3645</v>
      </c>
      <c r="AA2025">
        <v>35044</v>
      </c>
      <c r="AB2025" t="s">
        <v>11</v>
      </c>
    </row>
    <row r="2026" spans="1:28" x14ac:dyDescent="0.25">
      <c r="A2026" t="s">
        <v>8621</v>
      </c>
      <c r="B2026" t="s">
        <v>8621</v>
      </c>
      <c r="C2026" t="s">
        <v>8622</v>
      </c>
      <c r="D2026" t="s">
        <v>8623</v>
      </c>
      <c r="E2026" t="s">
        <v>770</v>
      </c>
      <c r="F2026" t="s">
        <v>771</v>
      </c>
      <c r="G2026" t="s">
        <v>1854</v>
      </c>
      <c r="J2026" t="s">
        <v>783</v>
      </c>
      <c r="K2026" t="s">
        <v>3328</v>
      </c>
      <c r="L2026" t="s">
        <v>3329</v>
      </c>
      <c r="M2026" t="s">
        <v>35</v>
      </c>
      <c r="N2026" t="s">
        <v>770</v>
      </c>
      <c r="O2026">
        <v>1</v>
      </c>
      <c r="P2026" t="s">
        <v>776</v>
      </c>
      <c r="Q2026">
        <v>24.9</v>
      </c>
      <c r="R2026">
        <v>4.49</v>
      </c>
      <c r="S2026">
        <v>1.64</v>
      </c>
      <c r="X2026">
        <v>1.64</v>
      </c>
      <c r="Y2026" t="s">
        <v>8624</v>
      </c>
      <c r="Z2026" t="s">
        <v>6632</v>
      </c>
      <c r="AA2026">
        <v>165</v>
      </c>
      <c r="AB2026" t="s">
        <v>11</v>
      </c>
    </row>
    <row r="2027" spans="1:28" x14ac:dyDescent="0.25">
      <c r="A2027" t="s">
        <v>8625</v>
      </c>
      <c r="B2027" t="s">
        <v>8625</v>
      </c>
      <c r="C2027" t="s">
        <v>8626</v>
      </c>
      <c r="D2027" t="s">
        <v>8627</v>
      </c>
      <c r="E2027" t="s">
        <v>782</v>
      </c>
      <c r="F2027" t="s">
        <v>771</v>
      </c>
      <c r="G2027" t="s">
        <v>1854</v>
      </c>
      <c r="J2027" t="s">
        <v>783</v>
      </c>
      <c r="K2027" t="s">
        <v>1873</v>
      </c>
      <c r="L2027" t="s">
        <v>840</v>
      </c>
      <c r="M2027" t="s">
        <v>26</v>
      </c>
      <c r="N2027" t="s">
        <v>782</v>
      </c>
      <c r="O2027">
        <v>0</v>
      </c>
      <c r="Y2027" t="s">
        <v>8628</v>
      </c>
      <c r="Z2027" t="s">
        <v>8629</v>
      </c>
      <c r="AA2027">
        <v>39034</v>
      </c>
      <c r="AB2027" t="s">
        <v>11</v>
      </c>
    </row>
    <row r="2028" spans="1:28" x14ac:dyDescent="0.25">
      <c r="A2028" t="s">
        <v>8630</v>
      </c>
      <c r="B2028" t="s">
        <v>8630</v>
      </c>
      <c r="C2028" t="s">
        <v>8631</v>
      </c>
      <c r="D2028" t="s">
        <v>8632</v>
      </c>
      <c r="E2028" t="s">
        <v>770</v>
      </c>
      <c r="F2028" t="s">
        <v>771</v>
      </c>
      <c r="G2028" t="s">
        <v>1854</v>
      </c>
      <c r="J2028" t="s">
        <v>783</v>
      </c>
      <c r="K2028" t="s">
        <v>1862</v>
      </c>
      <c r="L2028" t="s">
        <v>1505</v>
      </c>
      <c r="M2028" t="s">
        <v>53</v>
      </c>
      <c r="N2028" t="s">
        <v>770</v>
      </c>
      <c r="O2028">
        <v>1</v>
      </c>
      <c r="P2028" t="s">
        <v>776</v>
      </c>
      <c r="Q2028">
        <v>32.9</v>
      </c>
      <c r="R2028">
        <v>5.93</v>
      </c>
      <c r="S2028">
        <v>4.99</v>
      </c>
      <c r="T2028">
        <v>0.9</v>
      </c>
      <c r="Y2028" t="s">
        <v>8633</v>
      </c>
      <c r="Z2028" t="s">
        <v>1922</v>
      </c>
      <c r="AA2028">
        <v>31045</v>
      </c>
      <c r="AB2028" t="s">
        <v>11</v>
      </c>
    </row>
    <row r="2029" spans="1:28" x14ac:dyDescent="0.25">
      <c r="A2029" t="s">
        <v>8634</v>
      </c>
      <c r="B2029" t="s">
        <v>8634</v>
      </c>
      <c r="C2029" t="s">
        <v>8635</v>
      </c>
      <c r="D2029" t="s">
        <v>8636</v>
      </c>
      <c r="E2029" t="s">
        <v>770</v>
      </c>
      <c r="F2029" t="s">
        <v>771</v>
      </c>
      <c r="G2029" t="s">
        <v>1854</v>
      </c>
      <c r="J2029" t="s">
        <v>783</v>
      </c>
      <c r="K2029" t="s">
        <v>1873</v>
      </c>
      <c r="L2029" t="s">
        <v>840</v>
      </c>
      <c r="M2029" t="s">
        <v>26</v>
      </c>
      <c r="N2029" t="s">
        <v>770</v>
      </c>
      <c r="O2029">
        <v>1</v>
      </c>
      <c r="P2029" t="s">
        <v>776</v>
      </c>
      <c r="Q2029">
        <v>34.9</v>
      </c>
      <c r="R2029">
        <v>6.29</v>
      </c>
      <c r="Y2029" t="s">
        <v>8637</v>
      </c>
      <c r="Z2029" t="s">
        <v>3031</v>
      </c>
      <c r="AA2029">
        <v>20020</v>
      </c>
      <c r="AB2029" t="s">
        <v>11</v>
      </c>
    </row>
    <row r="2030" spans="1:28" x14ac:dyDescent="0.25">
      <c r="A2030" t="s">
        <v>8638</v>
      </c>
      <c r="B2030" t="s">
        <v>8638</v>
      </c>
      <c r="C2030" t="s">
        <v>8639</v>
      </c>
      <c r="D2030" t="s">
        <v>8640</v>
      </c>
      <c r="E2030" t="s">
        <v>770</v>
      </c>
      <c r="F2030" t="s">
        <v>771</v>
      </c>
      <c r="G2030" t="s">
        <v>1854</v>
      </c>
      <c r="J2030" t="s">
        <v>783</v>
      </c>
      <c r="K2030" t="s">
        <v>1930</v>
      </c>
      <c r="L2030" t="s">
        <v>775</v>
      </c>
      <c r="M2030" t="s">
        <v>65</v>
      </c>
      <c r="N2030" t="s">
        <v>770</v>
      </c>
      <c r="O2030">
        <v>1</v>
      </c>
      <c r="P2030" t="s">
        <v>776</v>
      </c>
      <c r="Q2030">
        <v>29.9</v>
      </c>
      <c r="R2030">
        <v>5.39</v>
      </c>
      <c r="S2030">
        <v>2.5</v>
      </c>
      <c r="T2030">
        <v>0.45</v>
      </c>
      <c r="Y2030" t="s">
        <v>8641</v>
      </c>
      <c r="Z2030" t="s">
        <v>3185</v>
      </c>
      <c r="AA2030">
        <v>33070</v>
      </c>
      <c r="AB2030" t="s">
        <v>11</v>
      </c>
    </row>
    <row r="2031" spans="1:28" x14ac:dyDescent="0.25">
      <c r="A2031" t="s">
        <v>8642</v>
      </c>
      <c r="C2031" t="s">
        <v>8643</v>
      </c>
      <c r="D2031" t="s">
        <v>8400</v>
      </c>
      <c r="E2031" t="s">
        <v>770</v>
      </c>
      <c r="F2031" t="s">
        <v>1884</v>
      </c>
      <c r="G2031" t="s">
        <v>1854</v>
      </c>
      <c r="H2031" t="s">
        <v>1885</v>
      </c>
      <c r="J2031" t="s">
        <v>773</v>
      </c>
      <c r="K2031" t="s">
        <v>1873</v>
      </c>
      <c r="L2031" t="s">
        <v>27</v>
      </c>
      <c r="M2031" t="s">
        <v>26</v>
      </c>
      <c r="N2031" t="s">
        <v>770</v>
      </c>
      <c r="O2031">
        <v>1</v>
      </c>
      <c r="P2031" t="s">
        <v>776</v>
      </c>
      <c r="Q2031">
        <v>34.9</v>
      </c>
      <c r="R2031">
        <v>6.29</v>
      </c>
      <c r="S2031">
        <v>3</v>
      </c>
      <c r="T2031">
        <v>0.54</v>
      </c>
      <c r="Y2031" t="s">
        <v>8644</v>
      </c>
      <c r="Z2031" t="s">
        <v>1875</v>
      </c>
      <c r="AA2031">
        <v>20007</v>
      </c>
      <c r="AB2031" t="s">
        <v>11</v>
      </c>
    </row>
    <row r="2032" spans="1:28" x14ac:dyDescent="0.25">
      <c r="A2032" t="s">
        <v>8645</v>
      </c>
      <c r="B2032" t="s">
        <v>8645</v>
      </c>
      <c r="C2032" t="s">
        <v>8646</v>
      </c>
      <c r="D2032" t="s">
        <v>8647</v>
      </c>
      <c r="E2032" t="s">
        <v>770</v>
      </c>
      <c r="F2032" t="s">
        <v>771</v>
      </c>
      <c r="G2032" t="s">
        <v>1854</v>
      </c>
      <c r="J2032" t="s">
        <v>783</v>
      </c>
      <c r="K2032" t="s">
        <v>1862</v>
      </c>
      <c r="L2032" t="s">
        <v>1505</v>
      </c>
      <c r="M2032" t="s">
        <v>53</v>
      </c>
      <c r="N2032" t="s">
        <v>770</v>
      </c>
      <c r="O2032">
        <v>1</v>
      </c>
      <c r="P2032" t="s">
        <v>776</v>
      </c>
      <c r="Q2032">
        <v>32.9</v>
      </c>
      <c r="R2032">
        <v>5.93</v>
      </c>
      <c r="Y2032" t="s">
        <v>8648</v>
      </c>
      <c r="Z2032" t="s">
        <v>2720</v>
      </c>
      <c r="AA2032">
        <v>27010</v>
      </c>
      <c r="AB2032" t="s">
        <v>11</v>
      </c>
    </row>
    <row r="2033" spans="1:35" x14ac:dyDescent="0.25">
      <c r="A2033" t="s">
        <v>8649</v>
      </c>
      <c r="B2033" t="s">
        <v>8649</v>
      </c>
      <c r="C2033" t="s">
        <v>8650</v>
      </c>
      <c r="D2033" t="s">
        <v>8651</v>
      </c>
      <c r="E2033" t="s">
        <v>770</v>
      </c>
      <c r="F2033" t="s">
        <v>771</v>
      </c>
      <c r="G2033" t="s">
        <v>1854</v>
      </c>
      <c r="J2033" t="s">
        <v>783</v>
      </c>
      <c r="K2033" t="s">
        <v>1862</v>
      </c>
      <c r="L2033" t="s">
        <v>1505</v>
      </c>
      <c r="M2033" t="s">
        <v>53</v>
      </c>
      <c r="N2033" t="s">
        <v>770</v>
      </c>
      <c r="O2033">
        <v>1</v>
      </c>
      <c r="P2033" t="s">
        <v>776</v>
      </c>
      <c r="Q2033">
        <v>32.9</v>
      </c>
      <c r="R2033">
        <v>5.93</v>
      </c>
      <c r="Y2033" t="s">
        <v>8652</v>
      </c>
      <c r="Z2033" t="s">
        <v>3559</v>
      </c>
      <c r="AA2033">
        <v>89020</v>
      </c>
      <c r="AB2033" t="s">
        <v>11</v>
      </c>
    </row>
    <row r="2034" spans="1:35" x14ac:dyDescent="0.25">
      <c r="A2034" t="s">
        <v>8653</v>
      </c>
      <c r="B2034" t="s">
        <v>8653</v>
      </c>
      <c r="C2034" t="s">
        <v>8654</v>
      </c>
      <c r="D2034" t="s">
        <v>8655</v>
      </c>
      <c r="E2034" t="s">
        <v>770</v>
      </c>
      <c r="F2034" t="s">
        <v>771</v>
      </c>
      <c r="G2034" t="s">
        <v>1854</v>
      </c>
      <c r="J2034" t="s">
        <v>783</v>
      </c>
      <c r="K2034" t="s">
        <v>1930</v>
      </c>
      <c r="L2034" t="s">
        <v>775</v>
      </c>
      <c r="M2034" t="s">
        <v>65</v>
      </c>
      <c r="N2034" t="s">
        <v>770</v>
      </c>
      <c r="O2034">
        <v>1</v>
      </c>
      <c r="P2034" t="s">
        <v>776</v>
      </c>
      <c r="Q2034">
        <v>29.9</v>
      </c>
      <c r="R2034">
        <v>5.39</v>
      </c>
      <c r="Y2034" t="s">
        <v>8656</v>
      </c>
      <c r="Z2034" t="s">
        <v>3126</v>
      </c>
      <c r="AA2034">
        <v>20821</v>
      </c>
      <c r="AB2034" t="s">
        <v>11</v>
      </c>
    </row>
    <row r="2035" spans="1:35" x14ac:dyDescent="0.25">
      <c r="A2035" t="s">
        <v>8657</v>
      </c>
      <c r="B2035" t="s">
        <v>8657</v>
      </c>
      <c r="C2035" t="s">
        <v>8658</v>
      </c>
      <c r="D2035" t="s">
        <v>8659</v>
      </c>
      <c r="E2035" t="s">
        <v>770</v>
      </c>
      <c r="F2035" t="s">
        <v>771</v>
      </c>
      <c r="G2035" t="s">
        <v>1854</v>
      </c>
      <c r="J2035" t="s">
        <v>783</v>
      </c>
      <c r="K2035" t="s">
        <v>3328</v>
      </c>
      <c r="L2035" t="s">
        <v>3329</v>
      </c>
      <c r="M2035" t="s">
        <v>35</v>
      </c>
      <c r="N2035" t="s">
        <v>770</v>
      </c>
      <c r="O2035">
        <v>1</v>
      </c>
      <c r="P2035" t="s">
        <v>776</v>
      </c>
      <c r="Q2035">
        <v>24.9</v>
      </c>
      <c r="R2035">
        <v>4.49</v>
      </c>
      <c r="Y2035" t="s">
        <v>8660</v>
      </c>
      <c r="Z2035" t="s">
        <v>2497</v>
      </c>
      <c r="AA2035">
        <v>34011</v>
      </c>
      <c r="AB2035" t="s">
        <v>11</v>
      </c>
    </row>
    <row r="2036" spans="1:35" x14ac:dyDescent="0.25">
      <c r="A2036" t="s">
        <v>8661</v>
      </c>
      <c r="B2036" t="s">
        <v>8661</v>
      </c>
      <c r="C2036" t="s">
        <v>8662</v>
      </c>
      <c r="D2036" t="s">
        <v>8663</v>
      </c>
      <c r="E2036" t="s">
        <v>770</v>
      </c>
      <c r="F2036" t="s">
        <v>771</v>
      </c>
      <c r="G2036" t="s">
        <v>1854</v>
      </c>
      <c r="J2036" t="s">
        <v>783</v>
      </c>
      <c r="K2036" t="s">
        <v>3363</v>
      </c>
      <c r="L2036" t="s">
        <v>5572</v>
      </c>
      <c r="M2036" t="s">
        <v>71</v>
      </c>
      <c r="N2036" t="s">
        <v>770</v>
      </c>
      <c r="O2036">
        <v>1</v>
      </c>
      <c r="P2036" t="s">
        <v>776</v>
      </c>
      <c r="Q2036">
        <v>29.9</v>
      </c>
      <c r="R2036">
        <v>5.39</v>
      </c>
      <c r="Y2036" t="s">
        <v>8664</v>
      </c>
      <c r="Z2036" t="s">
        <v>2153</v>
      </c>
      <c r="AA2036">
        <v>84051</v>
      </c>
      <c r="AB2036" t="s">
        <v>11</v>
      </c>
    </row>
    <row r="2037" spans="1:35" x14ac:dyDescent="0.25">
      <c r="A2037" t="s">
        <v>8665</v>
      </c>
      <c r="B2037" t="s">
        <v>8665</v>
      </c>
      <c r="C2037" t="s">
        <v>8666</v>
      </c>
      <c r="D2037" t="s">
        <v>8667</v>
      </c>
      <c r="E2037" t="s">
        <v>770</v>
      </c>
      <c r="F2037" t="s">
        <v>771</v>
      </c>
      <c r="G2037" t="s">
        <v>1854</v>
      </c>
      <c r="J2037" t="s">
        <v>783</v>
      </c>
      <c r="K2037" t="s">
        <v>1862</v>
      </c>
      <c r="L2037" t="s">
        <v>1505</v>
      </c>
      <c r="M2037" t="s">
        <v>53</v>
      </c>
      <c r="N2037" t="s">
        <v>770</v>
      </c>
      <c r="O2037">
        <v>1</v>
      </c>
      <c r="P2037" t="s">
        <v>776</v>
      </c>
      <c r="Q2037">
        <v>32.9</v>
      </c>
      <c r="R2037">
        <v>5.93</v>
      </c>
      <c r="Y2037" t="s">
        <v>8668</v>
      </c>
      <c r="Z2037" t="s">
        <v>8669</v>
      </c>
      <c r="AA2037">
        <v>85042</v>
      </c>
      <c r="AB2037" t="s">
        <v>11</v>
      </c>
    </row>
    <row r="2038" spans="1:35" x14ac:dyDescent="0.25">
      <c r="A2038" t="s">
        <v>8670</v>
      </c>
      <c r="C2038" t="s">
        <v>8671</v>
      </c>
      <c r="D2038" t="s">
        <v>8672</v>
      </c>
      <c r="E2038" t="s">
        <v>770</v>
      </c>
      <c r="F2038" t="s">
        <v>1884</v>
      </c>
      <c r="G2038" t="s">
        <v>1854</v>
      </c>
      <c r="H2038" t="s">
        <v>1885</v>
      </c>
      <c r="J2038" t="s">
        <v>773</v>
      </c>
      <c r="K2038" t="s">
        <v>2252</v>
      </c>
      <c r="L2038" t="s">
        <v>74</v>
      </c>
      <c r="M2038" t="s">
        <v>73</v>
      </c>
      <c r="N2038" t="s">
        <v>770</v>
      </c>
      <c r="O2038">
        <v>1</v>
      </c>
      <c r="P2038" t="s">
        <v>776</v>
      </c>
      <c r="Q2038">
        <v>14.9</v>
      </c>
      <c r="R2038">
        <v>2.69</v>
      </c>
      <c r="S2038">
        <v>3</v>
      </c>
      <c r="T2038">
        <v>0.54</v>
      </c>
      <c r="Y2038" t="s">
        <v>8673</v>
      </c>
      <c r="Z2038" t="s">
        <v>4046</v>
      </c>
      <c r="AA2038">
        <v>82019</v>
      </c>
      <c r="AB2038" t="s">
        <v>11</v>
      </c>
    </row>
    <row r="2039" spans="1:35" x14ac:dyDescent="0.25">
      <c r="A2039" t="s">
        <v>8674</v>
      </c>
      <c r="B2039" t="s">
        <v>8674</v>
      </c>
      <c r="C2039" t="s">
        <v>8675</v>
      </c>
      <c r="D2039" t="s">
        <v>8676</v>
      </c>
      <c r="E2039" t="s">
        <v>770</v>
      </c>
      <c r="F2039" t="s">
        <v>771</v>
      </c>
      <c r="G2039" t="s">
        <v>1854</v>
      </c>
      <c r="J2039" t="s">
        <v>783</v>
      </c>
      <c r="K2039" t="s">
        <v>1930</v>
      </c>
      <c r="L2039" t="s">
        <v>775</v>
      </c>
      <c r="M2039" t="s">
        <v>65</v>
      </c>
      <c r="N2039" t="s">
        <v>770</v>
      </c>
      <c r="O2039">
        <v>2</v>
      </c>
      <c r="P2039" t="s">
        <v>776</v>
      </c>
      <c r="Q2039">
        <v>59.8</v>
      </c>
      <c r="R2039">
        <v>10.78</v>
      </c>
      <c r="Y2039" t="s">
        <v>8459</v>
      </c>
      <c r="Z2039" t="s">
        <v>8460</v>
      </c>
      <c r="AA2039">
        <v>48012</v>
      </c>
      <c r="AB2039" t="s">
        <v>11</v>
      </c>
    </row>
    <row r="2040" spans="1:35" x14ac:dyDescent="0.25">
      <c r="A2040" t="s">
        <v>8677</v>
      </c>
      <c r="B2040" t="s">
        <v>8677</v>
      </c>
      <c r="C2040" t="s">
        <v>8678</v>
      </c>
      <c r="D2040" t="s">
        <v>8679</v>
      </c>
      <c r="E2040" t="s">
        <v>770</v>
      </c>
      <c r="F2040" t="s">
        <v>771</v>
      </c>
      <c r="G2040" t="s">
        <v>1854</v>
      </c>
      <c r="J2040" t="s">
        <v>783</v>
      </c>
      <c r="K2040" t="s">
        <v>1873</v>
      </c>
      <c r="L2040" t="s">
        <v>840</v>
      </c>
      <c r="M2040" t="s">
        <v>26</v>
      </c>
      <c r="N2040" t="s">
        <v>770</v>
      </c>
      <c r="O2040">
        <v>1</v>
      </c>
      <c r="P2040" t="s">
        <v>776</v>
      </c>
      <c r="Q2040">
        <v>34.9</v>
      </c>
      <c r="R2040">
        <v>6.29</v>
      </c>
      <c r="Y2040" t="s">
        <v>8680</v>
      </c>
      <c r="Z2040" t="s">
        <v>1913</v>
      </c>
      <c r="AA2040">
        <v>15</v>
      </c>
      <c r="AB2040" t="s">
        <v>11</v>
      </c>
    </row>
    <row r="2041" spans="1:35" x14ac:dyDescent="0.25">
      <c r="A2041" t="s">
        <v>8681</v>
      </c>
      <c r="C2041" t="s">
        <v>8682</v>
      </c>
      <c r="D2041" t="s">
        <v>8683</v>
      </c>
      <c r="E2041" t="s">
        <v>770</v>
      </c>
      <c r="F2041" t="s">
        <v>1884</v>
      </c>
      <c r="G2041" t="s">
        <v>1854</v>
      </c>
      <c r="H2041" t="s">
        <v>1885</v>
      </c>
      <c r="J2041" t="s">
        <v>773</v>
      </c>
      <c r="K2041" t="s">
        <v>2210</v>
      </c>
      <c r="L2041" t="s">
        <v>64</v>
      </c>
      <c r="M2041" t="s">
        <v>63</v>
      </c>
      <c r="N2041" t="s">
        <v>770</v>
      </c>
      <c r="O2041">
        <v>1</v>
      </c>
      <c r="P2041" t="s">
        <v>776</v>
      </c>
      <c r="Q2041">
        <v>89.9</v>
      </c>
      <c r="R2041">
        <v>16.21</v>
      </c>
      <c r="S2041">
        <v>3</v>
      </c>
      <c r="T2041">
        <v>0.54</v>
      </c>
      <c r="Y2041" t="s">
        <v>8684</v>
      </c>
      <c r="Z2041" t="s">
        <v>1908</v>
      </c>
      <c r="AA2041">
        <v>80059</v>
      </c>
      <c r="AB2041" t="s">
        <v>11</v>
      </c>
      <c r="AG2041">
        <v>8563031213</v>
      </c>
      <c r="AH2041" t="s">
        <v>11</v>
      </c>
      <c r="AI2041" t="s">
        <v>1258</v>
      </c>
    </row>
    <row r="2042" spans="1:35" x14ac:dyDescent="0.25">
      <c r="A2042" t="s">
        <v>8685</v>
      </c>
      <c r="C2042" t="s">
        <v>8686</v>
      </c>
      <c r="D2042" t="s">
        <v>8687</v>
      </c>
      <c r="E2042" t="s">
        <v>770</v>
      </c>
      <c r="F2042" t="s">
        <v>1884</v>
      </c>
      <c r="G2042" t="s">
        <v>1854</v>
      </c>
      <c r="H2042" t="s">
        <v>1885</v>
      </c>
      <c r="J2042" t="s">
        <v>773</v>
      </c>
      <c r="K2042" t="s">
        <v>3308</v>
      </c>
      <c r="L2042" s="2">
        <v>50700</v>
      </c>
      <c r="M2042" t="s">
        <v>61</v>
      </c>
      <c r="N2042" t="s">
        <v>770</v>
      </c>
      <c r="O2042">
        <v>1</v>
      </c>
      <c r="P2042" t="s">
        <v>776</v>
      </c>
      <c r="Q2042">
        <v>44.9</v>
      </c>
      <c r="R2042">
        <v>8.1</v>
      </c>
      <c r="S2042">
        <v>3</v>
      </c>
      <c r="T2042">
        <v>0.54</v>
      </c>
      <c r="Y2042" t="s">
        <v>4561</v>
      </c>
      <c r="Z2042" t="s">
        <v>8193</v>
      </c>
      <c r="AA2042">
        <v>19037</v>
      </c>
      <c r="AB2042" t="s">
        <v>11</v>
      </c>
    </row>
    <row r="2043" spans="1:35" x14ac:dyDescent="0.25">
      <c r="A2043" t="s">
        <v>8688</v>
      </c>
      <c r="C2043" t="s">
        <v>8689</v>
      </c>
      <c r="D2043" t="s">
        <v>8690</v>
      </c>
      <c r="E2043" t="s">
        <v>770</v>
      </c>
      <c r="F2043" t="s">
        <v>1884</v>
      </c>
      <c r="G2043" t="s">
        <v>1854</v>
      </c>
      <c r="H2043" t="s">
        <v>1885</v>
      </c>
      <c r="J2043" t="s">
        <v>773</v>
      </c>
      <c r="K2043" t="s">
        <v>1886</v>
      </c>
      <c r="L2043" t="s">
        <v>18</v>
      </c>
      <c r="M2043" t="s">
        <v>17</v>
      </c>
      <c r="N2043" t="s">
        <v>770</v>
      </c>
      <c r="O2043">
        <v>1</v>
      </c>
      <c r="P2043" t="s">
        <v>776</v>
      </c>
      <c r="Q2043">
        <v>22.9</v>
      </c>
      <c r="R2043">
        <v>4.13</v>
      </c>
      <c r="S2043">
        <v>3</v>
      </c>
      <c r="T2043">
        <v>0.54</v>
      </c>
      <c r="Y2043" t="s">
        <v>2134</v>
      </c>
      <c r="Z2043" t="s">
        <v>1926</v>
      </c>
      <c r="AA2043">
        <v>121</v>
      </c>
      <c r="AB2043" t="s">
        <v>11</v>
      </c>
    </row>
    <row r="2044" spans="1:35" x14ac:dyDescent="0.25">
      <c r="A2044" t="s">
        <v>8691</v>
      </c>
      <c r="C2044" t="s">
        <v>8692</v>
      </c>
      <c r="D2044" t="s">
        <v>8693</v>
      </c>
      <c r="E2044" t="s">
        <v>770</v>
      </c>
      <c r="F2044" t="s">
        <v>1884</v>
      </c>
      <c r="G2044" t="s">
        <v>1854</v>
      </c>
      <c r="H2044" t="s">
        <v>1885</v>
      </c>
      <c r="J2044" t="s">
        <v>773</v>
      </c>
      <c r="K2044" t="s">
        <v>1886</v>
      </c>
      <c r="L2044" t="s">
        <v>18</v>
      </c>
      <c r="M2044" t="s">
        <v>17</v>
      </c>
      <c r="N2044" t="s">
        <v>770</v>
      </c>
      <c r="O2044">
        <v>1</v>
      </c>
      <c r="P2044" t="s">
        <v>776</v>
      </c>
      <c r="Q2044">
        <v>22.9</v>
      </c>
      <c r="R2044">
        <v>4.13</v>
      </c>
      <c r="S2044">
        <v>3</v>
      </c>
      <c r="T2044">
        <v>0.54</v>
      </c>
      <c r="Y2044" t="s">
        <v>8694</v>
      </c>
      <c r="Z2044" t="s">
        <v>5304</v>
      </c>
      <c r="AA2044">
        <v>45012</v>
      </c>
      <c r="AB2044" t="s">
        <v>11</v>
      </c>
    </row>
    <row r="2045" spans="1:35" x14ac:dyDescent="0.25">
      <c r="A2045" t="s">
        <v>8695</v>
      </c>
      <c r="B2045" t="s">
        <v>8695</v>
      </c>
      <c r="C2045" t="s">
        <v>8696</v>
      </c>
      <c r="D2045" t="s">
        <v>8697</v>
      </c>
      <c r="E2045" t="s">
        <v>770</v>
      </c>
      <c r="F2045" t="s">
        <v>771</v>
      </c>
      <c r="G2045" t="s">
        <v>1854</v>
      </c>
      <c r="J2045" t="s">
        <v>783</v>
      </c>
      <c r="K2045" t="s">
        <v>1862</v>
      </c>
      <c r="L2045" t="s">
        <v>1505</v>
      </c>
      <c r="M2045" t="s">
        <v>53</v>
      </c>
      <c r="N2045" t="s">
        <v>770</v>
      </c>
      <c r="O2045">
        <v>1</v>
      </c>
      <c r="P2045" t="s">
        <v>776</v>
      </c>
      <c r="Q2045">
        <v>32.9</v>
      </c>
      <c r="R2045">
        <v>5.93</v>
      </c>
      <c r="Y2045" t="s">
        <v>1913</v>
      </c>
      <c r="Z2045" t="s">
        <v>1926</v>
      </c>
      <c r="AA2045">
        <v>165</v>
      </c>
      <c r="AB2045" t="s">
        <v>11</v>
      </c>
    </row>
    <row r="2046" spans="1:35" x14ac:dyDescent="0.25">
      <c r="A2046" t="s">
        <v>8698</v>
      </c>
      <c r="B2046" t="s">
        <v>8698</v>
      </c>
      <c r="C2046" t="s">
        <v>8699</v>
      </c>
      <c r="D2046" t="s">
        <v>8700</v>
      </c>
      <c r="E2046" t="s">
        <v>770</v>
      </c>
      <c r="F2046" t="s">
        <v>771</v>
      </c>
      <c r="G2046" t="s">
        <v>1854</v>
      </c>
      <c r="J2046" t="s">
        <v>783</v>
      </c>
      <c r="K2046" t="s">
        <v>2162</v>
      </c>
      <c r="L2046" t="s">
        <v>2163</v>
      </c>
      <c r="M2046" t="s">
        <v>59</v>
      </c>
      <c r="N2046" t="s">
        <v>770</v>
      </c>
      <c r="O2046">
        <v>1</v>
      </c>
      <c r="P2046" t="s">
        <v>776</v>
      </c>
      <c r="Q2046">
        <v>29.9</v>
      </c>
      <c r="R2046">
        <v>5.39</v>
      </c>
      <c r="Y2046" t="s">
        <v>6670</v>
      </c>
      <c r="Z2046" t="s">
        <v>2433</v>
      </c>
      <c r="AA2046">
        <v>37126</v>
      </c>
      <c r="AB2046" t="s">
        <v>11</v>
      </c>
    </row>
    <row r="2047" spans="1:35" x14ac:dyDescent="0.25">
      <c r="A2047" t="s">
        <v>8701</v>
      </c>
      <c r="B2047" t="s">
        <v>8701</v>
      </c>
      <c r="C2047" t="s">
        <v>8702</v>
      </c>
      <c r="D2047" t="s">
        <v>8703</v>
      </c>
      <c r="E2047" t="s">
        <v>770</v>
      </c>
      <c r="F2047" t="s">
        <v>771</v>
      </c>
      <c r="G2047" t="s">
        <v>1854</v>
      </c>
      <c r="J2047" t="s">
        <v>783</v>
      </c>
      <c r="K2047" t="s">
        <v>1960</v>
      </c>
      <c r="L2047" t="s">
        <v>1047</v>
      </c>
      <c r="M2047" t="s">
        <v>21</v>
      </c>
      <c r="N2047" t="s">
        <v>770</v>
      </c>
      <c r="O2047">
        <v>1</v>
      </c>
      <c r="P2047" t="s">
        <v>776</v>
      </c>
      <c r="Q2047">
        <v>32.9</v>
      </c>
      <c r="R2047">
        <v>5.93</v>
      </c>
      <c r="Y2047" t="s">
        <v>3287</v>
      </c>
      <c r="Z2047" t="s">
        <v>3287</v>
      </c>
      <c r="AA2047">
        <v>23900</v>
      </c>
      <c r="AB2047" t="s">
        <v>11</v>
      </c>
    </row>
    <row r="2048" spans="1:35" x14ac:dyDescent="0.25">
      <c r="A2048" t="s">
        <v>8704</v>
      </c>
      <c r="C2048" t="s">
        <v>8705</v>
      </c>
      <c r="D2048" t="s">
        <v>8706</v>
      </c>
      <c r="E2048" t="s">
        <v>770</v>
      </c>
      <c r="F2048" t="s">
        <v>1884</v>
      </c>
      <c r="G2048" t="s">
        <v>1854</v>
      </c>
      <c r="H2048" t="s">
        <v>1885</v>
      </c>
      <c r="J2048" t="s">
        <v>773</v>
      </c>
      <c r="K2048" t="s">
        <v>2913</v>
      </c>
      <c r="L2048" t="s">
        <v>99</v>
      </c>
      <c r="M2048" t="s">
        <v>98</v>
      </c>
      <c r="N2048" t="s">
        <v>770</v>
      </c>
      <c r="O2048">
        <v>1</v>
      </c>
      <c r="P2048" t="s">
        <v>776</v>
      </c>
      <c r="Q2048">
        <v>29.9</v>
      </c>
      <c r="R2048">
        <v>5.39</v>
      </c>
      <c r="S2048">
        <v>3</v>
      </c>
      <c r="T2048">
        <v>0.54</v>
      </c>
      <c r="Y2048" t="s">
        <v>8707</v>
      </c>
      <c r="Z2048" t="s">
        <v>1893</v>
      </c>
      <c r="AA2048">
        <v>10042</v>
      </c>
      <c r="AB2048" t="s">
        <v>11</v>
      </c>
    </row>
    <row r="2049" spans="1:35" x14ac:dyDescent="0.25">
      <c r="A2049" t="s">
        <v>8708</v>
      </c>
      <c r="B2049" t="s">
        <v>8708</v>
      </c>
      <c r="C2049" t="s">
        <v>8709</v>
      </c>
      <c r="D2049" t="s">
        <v>8710</v>
      </c>
      <c r="E2049" t="s">
        <v>770</v>
      </c>
      <c r="F2049" t="s">
        <v>771</v>
      </c>
      <c r="G2049" t="s">
        <v>1854</v>
      </c>
      <c r="J2049" t="s">
        <v>783</v>
      </c>
      <c r="K2049" t="s">
        <v>1873</v>
      </c>
      <c r="L2049" t="s">
        <v>840</v>
      </c>
      <c r="M2049" t="s">
        <v>26</v>
      </c>
      <c r="N2049" t="s">
        <v>770</v>
      </c>
      <c r="O2049">
        <v>1</v>
      </c>
      <c r="P2049" t="s">
        <v>776</v>
      </c>
      <c r="Q2049">
        <v>34.9</v>
      </c>
      <c r="R2049">
        <v>6.29</v>
      </c>
      <c r="S2049">
        <v>1.64</v>
      </c>
      <c r="X2049">
        <v>1.64</v>
      </c>
      <c r="Y2049" t="s">
        <v>8711</v>
      </c>
      <c r="Z2049" t="s">
        <v>2838</v>
      </c>
      <c r="AA2049">
        <v>5018</v>
      </c>
      <c r="AB2049" t="s">
        <v>11</v>
      </c>
    </row>
    <row r="2050" spans="1:35" x14ac:dyDescent="0.25">
      <c r="A2050" t="s">
        <v>8712</v>
      </c>
      <c r="B2050" t="s">
        <v>8712</v>
      </c>
      <c r="C2050" t="s">
        <v>8713</v>
      </c>
      <c r="D2050" t="s">
        <v>8714</v>
      </c>
      <c r="E2050" t="s">
        <v>770</v>
      </c>
      <c r="F2050" t="s">
        <v>771</v>
      </c>
      <c r="G2050" t="s">
        <v>1854</v>
      </c>
      <c r="J2050" t="s">
        <v>783</v>
      </c>
      <c r="K2050" t="s">
        <v>1873</v>
      </c>
      <c r="L2050" t="s">
        <v>840</v>
      </c>
      <c r="M2050" t="s">
        <v>26</v>
      </c>
      <c r="N2050" t="s">
        <v>770</v>
      </c>
      <c r="O2050">
        <v>1</v>
      </c>
      <c r="P2050" t="s">
        <v>776</v>
      </c>
      <c r="Q2050">
        <v>34.9</v>
      </c>
      <c r="R2050">
        <v>6.29</v>
      </c>
      <c r="Y2050" t="s">
        <v>8715</v>
      </c>
      <c r="Z2050" t="s">
        <v>1961</v>
      </c>
      <c r="AA2050">
        <v>20053</v>
      </c>
      <c r="AB2050" t="s">
        <v>11</v>
      </c>
    </row>
    <row r="2051" spans="1:35" x14ac:dyDescent="0.25">
      <c r="A2051" t="s">
        <v>8716</v>
      </c>
      <c r="B2051" t="s">
        <v>8716</v>
      </c>
      <c r="C2051" t="s">
        <v>8717</v>
      </c>
      <c r="D2051" t="s">
        <v>8718</v>
      </c>
      <c r="E2051" t="s">
        <v>770</v>
      </c>
      <c r="F2051" t="s">
        <v>771</v>
      </c>
      <c r="G2051" t="s">
        <v>1854</v>
      </c>
      <c r="J2051" t="s">
        <v>783</v>
      </c>
      <c r="K2051" t="s">
        <v>1862</v>
      </c>
      <c r="L2051" t="s">
        <v>1505</v>
      </c>
      <c r="M2051" t="s">
        <v>53</v>
      </c>
      <c r="N2051" t="s">
        <v>770</v>
      </c>
      <c r="O2051">
        <v>1</v>
      </c>
      <c r="P2051" t="s">
        <v>776</v>
      </c>
      <c r="Q2051">
        <v>32.9</v>
      </c>
      <c r="R2051">
        <v>5.93</v>
      </c>
      <c r="Y2051" t="s">
        <v>8648</v>
      </c>
      <c r="Z2051" t="s">
        <v>2720</v>
      </c>
      <c r="AA2051">
        <v>27010</v>
      </c>
      <c r="AB2051" t="s">
        <v>11</v>
      </c>
    </row>
    <row r="2052" spans="1:35" x14ac:dyDescent="0.25">
      <c r="A2052" t="s">
        <v>8719</v>
      </c>
      <c r="B2052" t="s">
        <v>8719</v>
      </c>
      <c r="C2052" t="s">
        <v>8720</v>
      </c>
      <c r="D2052" t="s">
        <v>8721</v>
      </c>
      <c r="E2052" t="s">
        <v>770</v>
      </c>
      <c r="F2052" t="s">
        <v>771</v>
      </c>
      <c r="G2052" t="s">
        <v>1854</v>
      </c>
      <c r="J2052" t="s">
        <v>783</v>
      </c>
      <c r="K2052" t="s">
        <v>1960</v>
      </c>
      <c r="L2052" t="s">
        <v>1047</v>
      </c>
      <c r="M2052" t="s">
        <v>21</v>
      </c>
      <c r="N2052" t="s">
        <v>770</v>
      </c>
      <c r="O2052">
        <v>1</v>
      </c>
      <c r="P2052" t="s">
        <v>776</v>
      </c>
      <c r="Q2052">
        <v>32.9</v>
      </c>
      <c r="R2052">
        <v>5.93</v>
      </c>
      <c r="Y2052" t="s">
        <v>8722</v>
      </c>
      <c r="Z2052" t="s">
        <v>4970</v>
      </c>
      <c r="AA2052">
        <v>27015</v>
      </c>
      <c r="AB2052" t="s">
        <v>11</v>
      </c>
    </row>
    <row r="2053" spans="1:35" x14ac:dyDescent="0.25">
      <c r="A2053" t="s">
        <v>8723</v>
      </c>
      <c r="C2053" t="s">
        <v>8724</v>
      </c>
      <c r="D2053" t="s">
        <v>8725</v>
      </c>
      <c r="E2053" t="s">
        <v>770</v>
      </c>
      <c r="F2053" t="s">
        <v>1884</v>
      </c>
      <c r="G2053" t="s">
        <v>1854</v>
      </c>
      <c r="H2053" t="s">
        <v>1885</v>
      </c>
      <c r="J2053" t="s">
        <v>773</v>
      </c>
      <c r="K2053" t="s">
        <v>1886</v>
      </c>
      <c r="L2053" t="s">
        <v>18</v>
      </c>
      <c r="M2053" t="s">
        <v>17</v>
      </c>
      <c r="N2053" t="s">
        <v>770</v>
      </c>
      <c r="O2053">
        <v>1</v>
      </c>
      <c r="P2053" t="s">
        <v>776</v>
      </c>
      <c r="Q2053">
        <v>22.9</v>
      </c>
      <c r="R2053">
        <v>4.13</v>
      </c>
      <c r="S2053">
        <v>3</v>
      </c>
      <c r="T2053">
        <v>0.54</v>
      </c>
      <c r="Y2053" t="s">
        <v>8726</v>
      </c>
      <c r="Z2053" t="s">
        <v>2538</v>
      </c>
      <c r="AA2053">
        <v>1023</v>
      </c>
      <c r="AB2053" t="s">
        <v>11</v>
      </c>
    </row>
    <row r="2054" spans="1:35" x14ac:dyDescent="0.25">
      <c r="A2054" t="s">
        <v>8727</v>
      </c>
      <c r="C2054" t="s">
        <v>8728</v>
      </c>
      <c r="D2054" t="s">
        <v>8729</v>
      </c>
      <c r="E2054" t="s">
        <v>770</v>
      </c>
      <c r="F2054" t="s">
        <v>1884</v>
      </c>
      <c r="G2054" t="s">
        <v>1854</v>
      </c>
      <c r="H2054" t="s">
        <v>1885</v>
      </c>
      <c r="J2054" t="s">
        <v>773</v>
      </c>
      <c r="K2054" t="s">
        <v>1902</v>
      </c>
      <c r="L2054" t="s">
        <v>15</v>
      </c>
      <c r="M2054" t="s">
        <v>14</v>
      </c>
      <c r="N2054" t="s">
        <v>770</v>
      </c>
      <c r="O2054">
        <v>1</v>
      </c>
      <c r="P2054" t="s">
        <v>776</v>
      </c>
      <c r="Q2054">
        <v>15.9</v>
      </c>
      <c r="R2054">
        <v>2.87</v>
      </c>
      <c r="S2054">
        <v>3</v>
      </c>
      <c r="T2054">
        <v>0.54</v>
      </c>
      <c r="Y2054" t="s">
        <v>2046</v>
      </c>
      <c r="Z2054" t="s">
        <v>2046</v>
      </c>
      <c r="AA2054">
        <v>89127</v>
      </c>
      <c r="AB2054" t="s">
        <v>11</v>
      </c>
    </row>
    <row r="2055" spans="1:35" x14ac:dyDescent="0.25">
      <c r="A2055" t="s">
        <v>8730</v>
      </c>
      <c r="B2055" t="s">
        <v>8730</v>
      </c>
      <c r="C2055" t="s">
        <v>8731</v>
      </c>
      <c r="D2055" t="s">
        <v>8732</v>
      </c>
      <c r="E2055" t="s">
        <v>770</v>
      </c>
      <c r="F2055" t="s">
        <v>771</v>
      </c>
      <c r="G2055" t="s">
        <v>1854</v>
      </c>
      <c r="J2055" t="s">
        <v>783</v>
      </c>
      <c r="K2055" t="s">
        <v>1862</v>
      </c>
      <c r="L2055" t="s">
        <v>1505</v>
      </c>
      <c r="M2055" t="s">
        <v>53</v>
      </c>
      <c r="N2055" t="s">
        <v>770</v>
      </c>
      <c r="O2055">
        <v>1</v>
      </c>
      <c r="P2055" t="s">
        <v>776</v>
      </c>
      <c r="Q2055">
        <v>32.9</v>
      </c>
      <c r="R2055">
        <v>5.93</v>
      </c>
      <c r="Y2055" t="s">
        <v>8733</v>
      </c>
      <c r="Z2055" t="s">
        <v>1937</v>
      </c>
      <c r="AA2055">
        <v>24060</v>
      </c>
      <c r="AB2055" t="s">
        <v>11</v>
      </c>
    </row>
    <row r="2056" spans="1:35" x14ac:dyDescent="0.25">
      <c r="A2056" t="s">
        <v>8734</v>
      </c>
      <c r="C2056" t="s">
        <v>8735</v>
      </c>
      <c r="D2056" t="s">
        <v>8736</v>
      </c>
      <c r="E2056" t="s">
        <v>770</v>
      </c>
      <c r="F2056" t="s">
        <v>1884</v>
      </c>
      <c r="G2056" t="s">
        <v>1854</v>
      </c>
      <c r="H2056" t="s">
        <v>1885</v>
      </c>
      <c r="J2056" t="s">
        <v>773</v>
      </c>
      <c r="K2056" t="s">
        <v>2652</v>
      </c>
      <c r="L2056" t="s">
        <v>52</v>
      </c>
      <c r="M2056" t="s">
        <v>51</v>
      </c>
      <c r="N2056" t="s">
        <v>770</v>
      </c>
      <c r="O2056">
        <v>1</v>
      </c>
      <c r="P2056" t="s">
        <v>776</v>
      </c>
      <c r="Q2056">
        <v>24.9</v>
      </c>
      <c r="R2056">
        <v>4.49</v>
      </c>
      <c r="S2056">
        <v>3</v>
      </c>
      <c r="T2056">
        <v>0.54</v>
      </c>
      <c r="Y2056" t="s">
        <v>2838</v>
      </c>
      <c r="Z2056" t="s">
        <v>8737</v>
      </c>
      <c r="AA2056">
        <v>5100</v>
      </c>
      <c r="AB2056" t="s">
        <v>11</v>
      </c>
    </row>
    <row r="2057" spans="1:35" x14ac:dyDescent="0.25">
      <c r="A2057" t="s">
        <v>8738</v>
      </c>
      <c r="B2057" t="s">
        <v>8738</v>
      </c>
      <c r="C2057" t="s">
        <v>8739</v>
      </c>
      <c r="D2057" t="s">
        <v>8740</v>
      </c>
      <c r="E2057" t="s">
        <v>770</v>
      </c>
      <c r="F2057" t="s">
        <v>771</v>
      </c>
      <c r="G2057" t="s">
        <v>1854</v>
      </c>
      <c r="J2057" t="s">
        <v>783</v>
      </c>
      <c r="K2057" t="s">
        <v>1873</v>
      </c>
      <c r="L2057" t="s">
        <v>840</v>
      </c>
      <c r="M2057" t="s">
        <v>26</v>
      </c>
      <c r="N2057" t="s">
        <v>770</v>
      </c>
      <c r="O2057">
        <v>1</v>
      </c>
      <c r="P2057" t="s">
        <v>776</v>
      </c>
      <c r="Q2057">
        <v>34.9</v>
      </c>
      <c r="R2057">
        <v>6.29</v>
      </c>
      <c r="Y2057" t="s">
        <v>1965</v>
      </c>
      <c r="Z2057" t="s">
        <v>5740</v>
      </c>
      <c r="AA2057">
        <v>20900</v>
      </c>
      <c r="AB2057" t="s">
        <v>11</v>
      </c>
    </row>
    <row r="2058" spans="1:35" x14ac:dyDescent="0.25">
      <c r="A2058" t="s">
        <v>8741</v>
      </c>
      <c r="B2058" t="s">
        <v>8741</v>
      </c>
      <c r="C2058" t="s">
        <v>8742</v>
      </c>
      <c r="D2058" t="s">
        <v>8743</v>
      </c>
      <c r="E2058" t="s">
        <v>770</v>
      </c>
      <c r="F2058" t="s">
        <v>771</v>
      </c>
      <c r="G2058" t="s">
        <v>1854</v>
      </c>
      <c r="J2058" t="s">
        <v>783</v>
      </c>
      <c r="K2058" t="s">
        <v>1873</v>
      </c>
      <c r="L2058" t="s">
        <v>840</v>
      </c>
      <c r="M2058" t="s">
        <v>26</v>
      </c>
      <c r="N2058" t="s">
        <v>770</v>
      </c>
      <c r="O2058">
        <v>1</v>
      </c>
      <c r="P2058" t="s">
        <v>776</v>
      </c>
      <c r="Q2058">
        <v>34.9</v>
      </c>
      <c r="R2058">
        <v>6.29</v>
      </c>
      <c r="Y2058" t="s">
        <v>8744</v>
      </c>
      <c r="Z2058" t="s">
        <v>8745</v>
      </c>
      <c r="AA2058">
        <v>26852</v>
      </c>
      <c r="AB2058" t="s">
        <v>11</v>
      </c>
    </row>
    <row r="2059" spans="1:35" x14ac:dyDescent="0.25">
      <c r="A2059" t="s">
        <v>8746</v>
      </c>
      <c r="B2059" t="s">
        <v>8746</v>
      </c>
      <c r="C2059" t="s">
        <v>8747</v>
      </c>
      <c r="D2059" t="s">
        <v>8748</v>
      </c>
      <c r="E2059" t="s">
        <v>770</v>
      </c>
      <c r="F2059" t="s">
        <v>771</v>
      </c>
      <c r="G2059" t="s">
        <v>1854</v>
      </c>
      <c r="J2059" t="s">
        <v>783</v>
      </c>
      <c r="K2059" t="s">
        <v>1873</v>
      </c>
      <c r="L2059" t="s">
        <v>840</v>
      </c>
      <c r="M2059" t="s">
        <v>26</v>
      </c>
      <c r="N2059" t="s">
        <v>770</v>
      </c>
      <c r="O2059">
        <v>1</v>
      </c>
      <c r="P2059" t="s">
        <v>776</v>
      </c>
      <c r="Q2059">
        <v>34.9</v>
      </c>
      <c r="R2059">
        <v>6.29</v>
      </c>
      <c r="Y2059" t="s">
        <v>8749</v>
      </c>
      <c r="Z2059" t="s">
        <v>3577</v>
      </c>
      <c r="AA2059">
        <v>28047</v>
      </c>
      <c r="AB2059" t="s">
        <v>11</v>
      </c>
    </row>
    <row r="2060" spans="1:35" x14ac:dyDescent="0.25">
      <c r="A2060" t="s">
        <v>8750</v>
      </c>
      <c r="C2060" t="s">
        <v>8751</v>
      </c>
      <c r="D2060" t="s">
        <v>8752</v>
      </c>
      <c r="E2060" t="s">
        <v>770</v>
      </c>
      <c r="F2060" t="s">
        <v>1884</v>
      </c>
      <c r="G2060" t="s">
        <v>1854</v>
      </c>
      <c r="H2060" t="s">
        <v>1885</v>
      </c>
      <c r="J2060" t="s">
        <v>773</v>
      </c>
      <c r="K2060" t="s">
        <v>3363</v>
      </c>
      <c r="L2060" s="2">
        <v>40490</v>
      </c>
      <c r="M2060" t="s">
        <v>71</v>
      </c>
      <c r="N2060" t="s">
        <v>770</v>
      </c>
      <c r="O2060">
        <v>5</v>
      </c>
      <c r="P2060" t="s">
        <v>776</v>
      </c>
      <c r="Q2060">
        <v>149.5</v>
      </c>
      <c r="R2060">
        <v>26.95</v>
      </c>
      <c r="S2060">
        <v>15</v>
      </c>
      <c r="T2060">
        <v>2.7</v>
      </c>
      <c r="Y2060" t="s">
        <v>8753</v>
      </c>
      <c r="Z2060" t="s">
        <v>8754</v>
      </c>
      <c r="AA2060">
        <v>11012</v>
      </c>
      <c r="AB2060" t="s">
        <v>11</v>
      </c>
      <c r="AG2060" t="s">
        <v>8755</v>
      </c>
      <c r="AH2060" t="s">
        <v>11</v>
      </c>
      <c r="AI2060" t="s">
        <v>1258</v>
      </c>
    </row>
    <row r="2061" spans="1:35" x14ac:dyDescent="0.25">
      <c r="A2061" t="s">
        <v>8756</v>
      </c>
      <c r="C2061" t="s">
        <v>8757</v>
      </c>
      <c r="D2061" t="s">
        <v>8758</v>
      </c>
      <c r="E2061" t="s">
        <v>770</v>
      </c>
      <c r="F2061" t="s">
        <v>1884</v>
      </c>
      <c r="G2061" t="s">
        <v>1854</v>
      </c>
      <c r="H2061" t="s">
        <v>1885</v>
      </c>
      <c r="J2061" t="s">
        <v>773</v>
      </c>
      <c r="K2061" t="s">
        <v>2396</v>
      </c>
      <c r="L2061" t="s">
        <v>89</v>
      </c>
      <c r="M2061" t="s">
        <v>88</v>
      </c>
      <c r="N2061" t="s">
        <v>770</v>
      </c>
      <c r="O2061">
        <v>1</v>
      </c>
      <c r="P2061" t="s">
        <v>776</v>
      </c>
      <c r="Q2061">
        <v>59.9</v>
      </c>
      <c r="R2061">
        <v>10.8</v>
      </c>
      <c r="S2061">
        <v>3</v>
      </c>
      <c r="T2061">
        <v>0.54</v>
      </c>
      <c r="Y2061" t="s">
        <v>8759</v>
      </c>
      <c r="Z2061" t="s">
        <v>2281</v>
      </c>
      <c r="AA2061">
        <v>73051</v>
      </c>
      <c r="AB2061" t="s">
        <v>11</v>
      </c>
    </row>
    <row r="2062" spans="1:35" x14ac:dyDescent="0.25">
      <c r="A2062" t="s">
        <v>8760</v>
      </c>
      <c r="C2062" t="s">
        <v>8761</v>
      </c>
      <c r="D2062" t="s">
        <v>8762</v>
      </c>
      <c r="E2062" t="s">
        <v>770</v>
      </c>
      <c r="F2062" t="s">
        <v>1884</v>
      </c>
      <c r="G2062" t="s">
        <v>1854</v>
      </c>
      <c r="H2062" t="s">
        <v>1885</v>
      </c>
      <c r="J2062" t="s">
        <v>773</v>
      </c>
      <c r="K2062" t="s">
        <v>2396</v>
      </c>
      <c r="L2062" t="s">
        <v>89</v>
      </c>
      <c r="M2062" t="s">
        <v>88</v>
      </c>
      <c r="N2062" t="s">
        <v>770</v>
      </c>
      <c r="O2062">
        <v>1</v>
      </c>
      <c r="P2062" t="s">
        <v>776</v>
      </c>
      <c r="Q2062">
        <v>59.9</v>
      </c>
      <c r="R2062">
        <v>10.8</v>
      </c>
      <c r="S2062">
        <v>3</v>
      </c>
      <c r="T2062">
        <v>0.54</v>
      </c>
      <c r="Y2062" t="s">
        <v>8763</v>
      </c>
      <c r="Z2062" t="s">
        <v>1880</v>
      </c>
      <c r="AA2062">
        <v>41013</v>
      </c>
      <c r="AB2062" t="s">
        <v>11</v>
      </c>
    </row>
    <row r="2063" spans="1:35" x14ac:dyDescent="0.25">
      <c r="A2063" t="s">
        <v>8764</v>
      </c>
      <c r="B2063" t="s">
        <v>8764</v>
      </c>
      <c r="C2063" t="s">
        <v>8765</v>
      </c>
      <c r="D2063" t="s">
        <v>8766</v>
      </c>
      <c r="E2063" t="s">
        <v>770</v>
      </c>
      <c r="F2063" t="s">
        <v>771</v>
      </c>
      <c r="G2063" t="s">
        <v>1854</v>
      </c>
      <c r="J2063" t="s">
        <v>783</v>
      </c>
      <c r="K2063" t="s">
        <v>1873</v>
      </c>
      <c r="L2063" t="s">
        <v>840</v>
      </c>
      <c r="M2063" t="s">
        <v>26</v>
      </c>
      <c r="N2063" t="s">
        <v>770</v>
      </c>
      <c r="O2063">
        <v>1</v>
      </c>
      <c r="P2063" t="s">
        <v>776</v>
      </c>
      <c r="Q2063">
        <v>34.9</v>
      </c>
      <c r="R2063">
        <v>6.29</v>
      </c>
      <c r="S2063">
        <v>4.99</v>
      </c>
      <c r="T2063">
        <v>0.9</v>
      </c>
      <c r="Y2063" t="s">
        <v>1913</v>
      </c>
      <c r="Z2063" t="s">
        <v>1913</v>
      </c>
      <c r="AA2063">
        <v>175</v>
      </c>
      <c r="AB2063" t="s">
        <v>11</v>
      </c>
    </row>
    <row r="2064" spans="1:35" x14ac:dyDescent="0.25">
      <c r="A2064" t="s">
        <v>8767</v>
      </c>
      <c r="B2064" t="s">
        <v>8767</v>
      </c>
      <c r="C2064" t="s">
        <v>8768</v>
      </c>
      <c r="D2064" t="s">
        <v>8769</v>
      </c>
      <c r="E2064" t="s">
        <v>770</v>
      </c>
      <c r="F2064" t="s">
        <v>771</v>
      </c>
      <c r="G2064" t="s">
        <v>1854</v>
      </c>
      <c r="J2064" t="s">
        <v>783</v>
      </c>
      <c r="K2064" t="s">
        <v>1873</v>
      </c>
      <c r="L2064" t="s">
        <v>840</v>
      </c>
      <c r="M2064" t="s">
        <v>26</v>
      </c>
      <c r="N2064" t="s">
        <v>770</v>
      </c>
      <c r="O2064">
        <v>1</v>
      </c>
      <c r="P2064" t="s">
        <v>776</v>
      </c>
      <c r="Q2064">
        <v>34.9</v>
      </c>
      <c r="R2064">
        <v>6.29</v>
      </c>
      <c r="Y2064" t="s">
        <v>8770</v>
      </c>
      <c r="Z2064" t="s">
        <v>2941</v>
      </c>
      <c r="AA2064">
        <v>24022</v>
      </c>
      <c r="AB2064" t="s">
        <v>11</v>
      </c>
    </row>
    <row r="2065" spans="1:28" x14ac:dyDescent="0.25">
      <c r="A2065" t="s">
        <v>8771</v>
      </c>
      <c r="B2065" t="s">
        <v>8771</v>
      </c>
      <c r="C2065" t="s">
        <v>8772</v>
      </c>
      <c r="D2065" t="s">
        <v>8773</v>
      </c>
      <c r="E2065" t="s">
        <v>770</v>
      </c>
      <c r="F2065" t="s">
        <v>771</v>
      </c>
      <c r="G2065" t="s">
        <v>1854</v>
      </c>
      <c r="J2065" t="s">
        <v>783</v>
      </c>
      <c r="K2065" t="s">
        <v>1930</v>
      </c>
      <c r="L2065" t="s">
        <v>775</v>
      </c>
      <c r="M2065" t="s">
        <v>65</v>
      </c>
      <c r="N2065" t="s">
        <v>770</v>
      </c>
      <c r="O2065">
        <v>2</v>
      </c>
      <c r="P2065" t="s">
        <v>776</v>
      </c>
      <c r="Q2065">
        <v>59.8</v>
      </c>
      <c r="R2065">
        <v>10.78</v>
      </c>
      <c r="Y2065" t="s">
        <v>8459</v>
      </c>
      <c r="Z2065" t="s">
        <v>8460</v>
      </c>
      <c r="AA2065">
        <v>48012</v>
      </c>
      <c r="AB2065" t="s">
        <v>11</v>
      </c>
    </row>
    <row r="2066" spans="1:28" x14ac:dyDescent="0.25">
      <c r="A2066" t="s">
        <v>8774</v>
      </c>
      <c r="B2066" t="s">
        <v>8774</v>
      </c>
      <c r="C2066" t="s">
        <v>8775</v>
      </c>
      <c r="D2066" t="s">
        <v>8776</v>
      </c>
      <c r="E2066" t="s">
        <v>770</v>
      </c>
      <c r="F2066" t="s">
        <v>771</v>
      </c>
      <c r="G2066" t="s">
        <v>1854</v>
      </c>
      <c r="J2066" t="s">
        <v>783</v>
      </c>
      <c r="K2066" t="s">
        <v>1879</v>
      </c>
      <c r="L2066" t="s">
        <v>1056</v>
      </c>
      <c r="M2066" t="s">
        <v>212</v>
      </c>
      <c r="N2066" t="s">
        <v>770</v>
      </c>
      <c r="O2066">
        <v>1</v>
      </c>
      <c r="P2066" t="s">
        <v>776</v>
      </c>
      <c r="Q2066">
        <v>39.9</v>
      </c>
      <c r="R2066">
        <v>7.2</v>
      </c>
      <c r="Y2066" t="s">
        <v>8777</v>
      </c>
      <c r="Z2066" t="s">
        <v>4970</v>
      </c>
      <c r="AA2066">
        <v>27037</v>
      </c>
      <c r="AB2066" t="s">
        <v>11</v>
      </c>
    </row>
    <row r="2067" spans="1:28" x14ac:dyDescent="0.25">
      <c r="A2067" t="s">
        <v>8778</v>
      </c>
      <c r="B2067" t="s">
        <v>8778</v>
      </c>
      <c r="C2067" t="s">
        <v>8779</v>
      </c>
      <c r="D2067" t="s">
        <v>8780</v>
      </c>
      <c r="E2067" t="s">
        <v>782</v>
      </c>
      <c r="F2067" t="s">
        <v>771</v>
      </c>
      <c r="G2067" t="s">
        <v>1854</v>
      </c>
      <c r="J2067" t="s">
        <v>783</v>
      </c>
      <c r="K2067" t="s">
        <v>1862</v>
      </c>
      <c r="L2067" t="s">
        <v>1505</v>
      </c>
      <c r="M2067" t="s">
        <v>53</v>
      </c>
      <c r="N2067" t="s">
        <v>782</v>
      </c>
      <c r="O2067">
        <v>0</v>
      </c>
      <c r="Y2067" t="s">
        <v>8289</v>
      </c>
      <c r="Z2067" t="s">
        <v>8290</v>
      </c>
      <c r="AA2067">
        <v>70018</v>
      </c>
      <c r="AB2067" t="s">
        <v>11</v>
      </c>
    </row>
    <row r="2068" spans="1:28" x14ac:dyDescent="0.25">
      <c r="A2068" t="s">
        <v>8781</v>
      </c>
      <c r="B2068" t="s">
        <v>8781</v>
      </c>
      <c r="C2068" t="s">
        <v>8782</v>
      </c>
      <c r="D2068" t="s">
        <v>8783</v>
      </c>
      <c r="E2068" t="s">
        <v>770</v>
      </c>
      <c r="F2068" t="s">
        <v>771</v>
      </c>
      <c r="G2068" t="s">
        <v>1854</v>
      </c>
      <c r="J2068" t="s">
        <v>783</v>
      </c>
      <c r="K2068" t="s">
        <v>1930</v>
      </c>
      <c r="L2068" t="s">
        <v>775</v>
      </c>
      <c r="M2068" t="s">
        <v>65</v>
      </c>
      <c r="N2068" t="s">
        <v>770</v>
      </c>
      <c r="O2068">
        <v>1</v>
      </c>
      <c r="P2068" t="s">
        <v>776</v>
      </c>
      <c r="Q2068">
        <v>29.9</v>
      </c>
      <c r="R2068">
        <v>5.39</v>
      </c>
      <c r="Y2068" t="s">
        <v>5805</v>
      </c>
      <c r="Z2068" t="s">
        <v>2473</v>
      </c>
      <c r="AA2068">
        <v>70123</v>
      </c>
      <c r="AB2068" t="s">
        <v>11</v>
      </c>
    </row>
    <row r="2069" spans="1:28" x14ac:dyDescent="0.25">
      <c r="A2069" t="s">
        <v>8784</v>
      </c>
      <c r="B2069" t="s">
        <v>8784</v>
      </c>
      <c r="C2069" t="s">
        <v>8785</v>
      </c>
      <c r="D2069" t="s">
        <v>8786</v>
      </c>
      <c r="E2069" t="s">
        <v>770</v>
      </c>
      <c r="F2069" t="s">
        <v>771</v>
      </c>
      <c r="G2069" t="s">
        <v>1854</v>
      </c>
      <c r="J2069" t="s">
        <v>783</v>
      </c>
      <c r="K2069" t="s">
        <v>1862</v>
      </c>
      <c r="L2069" t="s">
        <v>1505</v>
      </c>
      <c r="M2069" t="s">
        <v>53</v>
      </c>
      <c r="N2069" t="s">
        <v>770</v>
      </c>
      <c r="O2069">
        <v>1</v>
      </c>
      <c r="P2069" t="s">
        <v>776</v>
      </c>
      <c r="Q2069">
        <v>32.9</v>
      </c>
      <c r="R2069">
        <v>5.93</v>
      </c>
      <c r="Y2069" t="s">
        <v>8787</v>
      </c>
      <c r="Z2069" t="s">
        <v>3012</v>
      </c>
      <c r="AA2069">
        <v>12064</v>
      </c>
      <c r="AB2069" t="s">
        <v>11</v>
      </c>
    </row>
    <row r="2070" spans="1:28" x14ac:dyDescent="0.25">
      <c r="A2070" t="s">
        <v>8788</v>
      </c>
      <c r="C2070" t="s">
        <v>8789</v>
      </c>
      <c r="D2070" t="s">
        <v>8790</v>
      </c>
      <c r="E2070" t="s">
        <v>782</v>
      </c>
      <c r="F2070" t="s">
        <v>1884</v>
      </c>
      <c r="G2070" t="s">
        <v>1854</v>
      </c>
      <c r="H2070" t="s">
        <v>1885</v>
      </c>
      <c r="J2070" t="s">
        <v>773</v>
      </c>
      <c r="K2070" t="s">
        <v>1930</v>
      </c>
      <c r="L2070" t="s">
        <v>66</v>
      </c>
      <c r="M2070" t="s">
        <v>65</v>
      </c>
      <c r="O2070">
        <v>0</v>
      </c>
      <c r="Y2070" t="s">
        <v>5805</v>
      </c>
      <c r="Z2070" t="s">
        <v>2473</v>
      </c>
      <c r="AA2070">
        <v>70123</v>
      </c>
      <c r="AB2070" t="s">
        <v>11</v>
      </c>
    </row>
    <row r="2071" spans="1:28" x14ac:dyDescent="0.25">
      <c r="A2071" t="s">
        <v>8791</v>
      </c>
      <c r="B2071" t="s">
        <v>8791</v>
      </c>
      <c r="C2071" t="s">
        <v>8792</v>
      </c>
      <c r="D2071" t="s">
        <v>8793</v>
      </c>
      <c r="E2071" t="s">
        <v>770</v>
      </c>
      <c r="F2071" t="s">
        <v>771</v>
      </c>
      <c r="G2071" t="s">
        <v>1854</v>
      </c>
      <c r="J2071" t="s">
        <v>783</v>
      </c>
      <c r="K2071" t="s">
        <v>1873</v>
      </c>
      <c r="L2071" t="s">
        <v>840</v>
      </c>
      <c r="M2071" t="s">
        <v>26</v>
      </c>
      <c r="N2071" t="s">
        <v>770</v>
      </c>
      <c r="O2071">
        <v>1</v>
      </c>
      <c r="P2071" t="s">
        <v>776</v>
      </c>
      <c r="Q2071">
        <v>34.9</v>
      </c>
      <c r="R2071">
        <v>6.29</v>
      </c>
      <c r="Y2071" t="s">
        <v>6911</v>
      </c>
      <c r="Z2071" t="s">
        <v>2057</v>
      </c>
      <c r="AA2071">
        <v>37038</v>
      </c>
      <c r="AB2071" t="s">
        <v>11</v>
      </c>
    </row>
    <row r="2072" spans="1:28" x14ac:dyDescent="0.25">
      <c r="A2072" t="s">
        <v>8794</v>
      </c>
      <c r="C2072" t="s">
        <v>8795</v>
      </c>
      <c r="D2072" t="s">
        <v>8796</v>
      </c>
      <c r="E2072" t="s">
        <v>770</v>
      </c>
      <c r="F2072" t="s">
        <v>1884</v>
      </c>
      <c r="G2072" t="s">
        <v>1854</v>
      </c>
      <c r="H2072" t="s">
        <v>1885</v>
      </c>
      <c r="J2072" t="s">
        <v>773</v>
      </c>
      <c r="K2072" t="s">
        <v>1930</v>
      </c>
      <c r="L2072" t="s">
        <v>66</v>
      </c>
      <c r="M2072" t="s">
        <v>65</v>
      </c>
      <c r="N2072" t="s">
        <v>770</v>
      </c>
      <c r="O2072">
        <v>1</v>
      </c>
      <c r="P2072" t="s">
        <v>776</v>
      </c>
      <c r="Q2072">
        <v>29.9</v>
      </c>
      <c r="R2072">
        <v>5.39</v>
      </c>
      <c r="S2072">
        <v>3</v>
      </c>
      <c r="T2072">
        <v>0.54</v>
      </c>
      <c r="Y2072" t="s">
        <v>1956</v>
      </c>
      <c r="Z2072" t="s">
        <v>1926</v>
      </c>
      <c r="AA2072">
        <v>136</v>
      </c>
      <c r="AB2072" t="s">
        <v>11</v>
      </c>
    </row>
    <row r="2073" spans="1:28" x14ac:dyDescent="0.25">
      <c r="A2073" t="s">
        <v>8797</v>
      </c>
      <c r="B2073" t="s">
        <v>8797</v>
      </c>
      <c r="C2073" t="s">
        <v>8798</v>
      </c>
      <c r="D2073" t="s">
        <v>8799</v>
      </c>
      <c r="E2073" t="s">
        <v>770</v>
      </c>
      <c r="F2073" t="s">
        <v>771</v>
      </c>
      <c r="G2073" t="s">
        <v>1854</v>
      </c>
      <c r="J2073" t="s">
        <v>783</v>
      </c>
      <c r="K2073" t="s">
        <v>1930</v>
      </c>
      <c r="L2073" t="s">
        <v>775</v>
      </c>
      <c r="M2073" t="s">
        <v>65</v>
      </c>
      <c r="N2073" t="s">
        <v>770</v>
      </c>
      <c r="O2073">
        <v>1</v>
      </c>
      <c r="P2073" t="s">
        <v>776</v>
      </c>
      <c r="Q2073">
        <v>29.9</v>
      </c>
      <c r="R2073">
        <v>5.39</v>
      </c>
      <c r="Y2073" t="s">
        <v>8800</v>
      </c>
      <c r="Z2073" t="s">
        <v>3608</v>
      </c>
      <c r="AA2073">
        <v>21040</v>
      </c>
      <c r="AB2073" t="s">
        <v>11</v>
      </c>
    </row>
    <row r="2074" spans="1:28" x14ac:dyDescent="0.25">
      <c r="A2074" t="s">
        <v>8801</v>
      </c>
      <c r="B2074" t="s">
        <v>8801</v>
      </c>
      <c r="C2074" t="s">
        <v>8802</v>
      </c>
      <c r="D2074" t="s">
        <v>8803</v>
      </c>
      <c r="E2074" t="s">
        <v>770</v>
      </c>
      <c r="F2074" t="s">
        <v>771</v>
      </c>
      <c r="G2074" t="s">
        <v>1854</v>
      </c>
      <c r="J2074" t="s">
        <v>783</v>
      </c>
      <c r="K2074" t="s">
        <v>1930</v>
      </c>
      <c r="L2074" t="s">
        <v>775</v>
      </c>
      <c r="M2074" t="s">
        <v>65</v>
      </c>
      <c r="N2074" t="s">
        <v>770</v>
      </c>
      <c r="O2074">
        <v>1</v>
      </c>
      <c r="P2074" t="s">
        <v>776</v>
      </c>
      <c r="Q2074">
        <v>29.9</v>
      </c>
      <c r="R2074">
        <v>5.39</v>
      </c>
      <c r="Y2074" t="s">
        <v>8804</v>
      </c>
      <c r="Z2074" t="s">
        <v>1937</v>
      </c>
      <c r="AA2074">
        <v>24040</v>
      </c>
      <c r="AB2074" t="s">
        <v>11</v>
      </c>
    </row>
    <row r="2075" spans="1:28" x14ac:dyDescent="0.25">
      <c r="A2075" t="s">
        <v>8805</v>
      </c>
      <c r="B2075" t="s">
        <v>8805</v>
      </c>
      <c r="C2075" t="s">
        <v>8806</v>
      </c>
      <c r="D2075" t="s">
        <v>8807</v>
      </c>
      <c r="E2075" t="s">
        <v>770</v>
      </c>
      <c r="F2075" t="s">
        <v>771</v>
      </c>
      <c r="G2075" t="s">
        <v>1854</v>
      </c>
      <c r="J2075" t="s">
        <v>783</v>
      </c>
      <c r="K2075" t="s">
        <v>1930</v>
      </c>
      <c r="L2075" t="s">
        <v>775</v>
      </c>
      <c r="M2075" t="s">
        <v>65</v>
      </c>
      <c r="N2075" t="s">
        <v>770</v>
      </c>
      <c r="O2075">
        <v>1</v>
      </c>
      <c r="P2075" t="s">
        <v>776</v>
      </c>
      <c r="Q2075">
        <v>29.9</v>
      </c>
      <c r="R2075">
        <v>5.39</v>
      </c>
      <c r="Y2075" t="s">
        <v>8808</v>
      </c>
      <c r="Z2075" t="s">
        <v>4054</v>
      </c>
      <c r="AA2075">
        <v>63822</v>
      </c>
      <c r="AB2075" t="s">
        <v>11</v>
      </c>
    </row>
    <row r="2076" spans="1:28" x14ac:dyDescent="0.25">
      <c r="A2076" t="s">
        <v>8809</v>
      </c>
      <c r="B2076" t="s">
        <v>8809</v>
      </c>
      <c r="C2076" t="s">
        <v>8810</v>
      </c>
      <c r="D2076" t="s">
        <v>8811</v>
      </c>
      <c r="E2076" t="s">
        <v>770</v>
      </c>
      <c r="F2076" t="s">
        <v>771</v>
      </c>
      <c r="G2076" t="s">
        <v>1854</v>
      </c>
      <c r="J2076" t="s">
        <v>783</v>
      </c>
      <c r="K2076" t="s">
        <v>1862</v>
      </c>
      <c r="L2076" t="s">
        <v>1505</v>
      </c>
      <c r="M2076" t="s">
        <v>53</v>
      </c>
      <c r="N2076" t="s">
        <v>770</v>
      </c>
      <c r="O2076">
        <v>1</v>
      </c>
      <c r="P2076" t="s">
        <v>776</v>
      </c>
      <c r="Q2076">
        <v>32.9</v>
      </c>
      <c r="R2076">
        <v>5.93</v>
      </c>
      <c r="Y2076" t="s">
        <v>8812</v>
      </c>
      <c r="Z2076" t="s">
        <v>3126</v>
      </c>
      <c r="AA2076">
        <v>20811</v>
      </c>
      <c r="AB2076" t="s">
        <v>11</v>
      </c>
    </row>
    <row r="2077" spans="1:28" x14ac:dyDescent="0.25">
      <c r="A2077" t="s">
        <v>8813</v>
      </c>
      <c r="B2077" t="s">
        <v>8813</v>
      </c>
      <c r="C2077" t="s">
        <v>8814</v>
      </c>
      <c r="D2077" t="s">
        <v>8815</v>
      </c>
      <c r="E2077" t="s">
        <v>770</v>
      </c>
      <c r="F2077" t="s">
        <v>771</v>
      </c>
      <c r="G2077" t="s">
        <v>1854</v>
      </c>
      <c r="J2077" t="s">
        <v>783</v>
      </c>
      <c r="K2077" t="s">
        <v>1862</v>
      </c>
      <c r="L2077" t="s">
        <v>1505</v>
      </c>
      <c r="M2077" t="s">
        <v>53</v>
      </c>
      <c r="N2077" t="s">
        <v>770</v>
      </c>
      <c r="O2077">
        <v>1</v>
      </c>
      <c r="P2077" t="s">
        <v>776</v>
      </c>
      <c r="Q2077">
        <v>32.9</v>
      </c>
      <c r="R2077">
        <v>5.93</v>
      </c>
      <c r="Y2077" t="s">
        <v>2420</v>
      </c>
      <c r="Z2077" t="s">
        <v>2025</v>
      </c>
      <c r="AA2077">
        <v>80138</v>
      </c>
      <c r="AB2077" t="s">
        <v>11</v>
      </c>
    </row>
    <row r="2078" spans="1:28" x14ac:dyDescent="0.25">
      <c r="A2078" t="s">
        <v>8816</v>
      </c>
      <c r="C2078" t="s">
        <v>8817</v>
      </c>
      <c r="D2078" t="s">
        <v>8599</v>
      </c>
      <c r="E2078" t="s">
        <v>770</v>
      </c>
      <c r="F2078" t="s">
        <v>1884</v>
      </c>
      <c r="G2078" t="s">
        <v>1854</v>
      </c>
      <c r="H2078" t="s">
        <v>1885</v>
      </c>
      <c r="J2078" t="s">
        <v>773</v>
      </c>
      <c r="K2078" t="s">
        <v>2652</v>
      </c>
      <c r="L2078" t="s">
        <v>52</v>
      </c>
      <c r="M2078" t="s">
        <v>51</v>
      </c>
      <c r="N2078" t="s">
        <v>770</v>
      </c>
      <c r="O2078">
        <v>1</v>
      </c>
      <c r="P2078" t="s">
        <v>776</v>
      </c>
      <c r="Q2078">
        <v>24.9</v>
      </c>
      <c r="R2078">
        <v>4.49</v>
      </c>
      <c r="S2078">
        <v>3</v>
      </c>
      <c r="T2078">
        <v>0.54</v>
      </c>
      <c r="Y2078" t="s">
        <v>8818</v>
      </c>
      <c r="Z2078" t="s">
        <v>6451</v>
      </c>
      <c r="AA2078">
        <v>33075</v>
      </c>
      <c r="AB2078" t="s">
        <v>11</v>
      </c>
    </row>
    <row r="2079" spans="1:28" x14ac:dyDescent="0.25">
      <c r="A2079" t="s">
        <v>8819</v>
      </c>
      <c r="B2079" t="s">
        <v>8819</v>
      </c>
      <c r="C2079" t="s">
        <v>8820</v>
      </c>
      <c r="D2079" t="s">
        <v>8821</v>
      </c>
      <c r="E2079" t="s">
        <v>770</v>
      </c>
      <c r="F2079" t="s">
        <v>771</v>
      </c>
      <c r="G2079" t="s">
        <v>1854</v>
      </c>
      <c r="J2079" t="s">
        <v>783</v>
      </c>
      <c r="K2079" t="s">
        <v>1930</v>
      </c>
      <c r="L2079" t="s">
        <v>775</v>
      </c>
      <c r="M2079" t="s">
        <v>65</v>
      </c>
      <c r="N2079" t="s">
        <v>770</v>
      </c>
      <c r="O2079">
        <v>1</v>
      </c>
      <c r="P2079" t="s">
        <v>776</v>
      </c>
      <c r="Q2079">
        <v>29.9</v>
      </c>
      <c r="R2079">
        <v>5.39</v>
      </c>
      <c r="Y2079" t="s">
        <v>8822</v>
      </c>
      <c r="Z2079" t="s">
        <v>2158</v>
      </c>
      <c r="AA2079">
        <v>24046</v>
      </c>
      <c r="AB2079" t="s">
        <v>11</v>
      </c>
    </row>
    <row r="2080" spans="1:28" x14ac:dyDescent="0.25">
      <c r="A2080" t="s">
        <v>8823</v>
      </c>
      <c r="C2080" t="s">
        <v>8824</v>
      </c>
      <c r="D2080" t="s">
        <v>8825</v>
      </c>
      <c r="E2080" t="s">
        <v>770</v>
      </c>
      <c r="F2080" t="s">
        <v>1884</v>
      </c>
      <c r="G2080" t="s">
        <v>1854</v>
      </c>
      <c r="H2080" t="s">
        <v>1885</v>
      </c>
      <c r="J2080" t="s">
        <v>773</v>
      </c>
      <c r="K2080" t="s">
        <v>8826</v>
      </c>
      <c r="L2080" t="s">
        <v>209</v>
      </c>
      <c r="M2080" t="s">
        <v>208</v>
      </c>
      <c r="N2080" t="s">
        <v>770</v>
      </c>
      <c r="O2080">
        <v>1</v>
      </c>
      <c r="P2080" t="s">
        <v>776</v>
      </c>
      <c r="Q2080">
        <v>79.900000000000006</v>
      </c>
      <c r="R2080">
        <v>14.41</v>
      </c>
      <c r="S2080">
        <v>3</v>
      </c>
      <c r="T2080">
        <v>0.54</v>
      </c>
      <c r="Y2080" t="s">
        <v>3649</v>
      </c>
      <c r="Z2080" t="s">
        <v>3649</v>
      </c>
      <c r="AA2080">
        <v>9125</v>
      </c>
      <c r="AB2080" t="s">
        <v>11</v>
      </c>
    </row>
    <row r="2081" spans="1:35" x14ac:dyDescent="0.25">
      <c r="A2081" t="s">
        <v>8827</v>
      </c>
      <c r="B2081" t="s">
        <v>8827</v>
      </c>
      <c r="C2081" t="s">
        <v>8828</v>
      </c>
      <c r="D2081" t="s">
        <v>8829</v>
      </c>
      <c r="E2081" t="s">
        <v>770</v>
      </c>
      <c r="F2081" t="s">
        <v>771</v>
      </c>
      <c r="G2081" t="s">
        <v>1854</v>
      </c>
      <c r="J2081" t="s">
        <v>783</v>
      </c>
      <c r="K2081" t="s">
        <v>1873</v>
      </c>
      <c r="L2081" t="s">
        <v>840</v>
      </c>
      <c r="M2081" t="s">
        <v>26</v>
      </c>
      <c r="N2081" t="s">
        <v>770</v>
      </c>
      <c r="O2081">
        <v>1</v>
      </c>
      <c r="P2081" t="s">
        <v>776</v>
      </c>
      <c r="Q2081">
        <v>34.9</v>
      </c>
      <c r="R2081">
        <v>6.29</v>
      </c>
      <c r="Y2081" t="s">
        <v>8830</v>
      </c>
      <c r="Z2081" t="s">
        <v>2626</v>
      </c>
      <c r="AA2081">
        <v>51039</v>
      </c>
      <c r="AB2081" t="s">
        <v>11</v>
      </c>
    </row>
    <row r="2082" spans="1:35" x14ac:dyDescent="0.25">
      <c r="A2082" t="s">
        <v>8831</v>
      </c>
      <c r="B2082" t="s">
        <v>8831</v>
      </c>
      <c r="C2082" t="s">
        <v>8832</v>
      </c>
      <c r="D2082" t="s">
        <v>8833</v>
      </c>
      <c r="E2082" t="s">
        <v>770</v>
      </c>
      <c r="F2082" t="s">
        <v>771</v>
      </c>
      <c r="G2082" t="s">
        <v>1854</v>
      </c>
      <c r="J2082" t="s">
        <v>783</v>
      </c>
      <c r="K2082" t="s">
        <v>1873</v>
      </c>
      <c r="L2082" t="s">
        <v>840</v>
      </c>
      <c r="M2082" t="s">
        <v>26</v>
      </c>
      <c r="N2082" t="s">
        <v>770</v>
      </c>
      <c r="O2082">
        <v>1</v>
      </c>
      <c r="P2082" t="s">
        <v>776</v>
      </c>
      <c r="Q2082">
        <v>34.9</v>
      </c>
      <c r="R2082">
        <v>6.29</v>
      </c>
      <c r="Y2082" t="s">
        <v>8834</v>
      </c>
      <c r="Z2082" t="s">
        <v>1903</v>
      </c>
      <c r="AA2082">
        <v>39042</v>
      </c>
      <c r="AB2082" t="s">
        <v>11</v>
      </c>
    </row>
    <row r="2083" spans="1:35" x14ac:dyDescent="0.25">
      <c r="A2083" t="s">
        <v>8835</v>
      </c>
      <c r="C2083" t="s">
        <v>8836</v>
      </c>
      <c r="D2083" t="s">
        <v>8599</v>
      </c>
      <c r="E2083" t="s">
        <v>770</v>
      </c>
      <c r="F2083" t="s">
        <v>1884</v>
      </c>
      <c r="G2083" t="s">
        <v>1854</v>
      </c>
      <c r="H2083" t="s">
        <v>1885</v>
      </c>
      <c r="J2083" t="s">
        <v>773</v>
      </c>
      <c r="K2083" t="s">
        <v>2889</v>
      </c>
      <c r="L2083" t="s">
        <v>135</v>
      </c>
      <c r="M2083" t="s">
        <v>134</v>
      </c>
      <c r="N2083" t="s">
        <v>770</v>
      </c>
      <c r="O2083">
        <v>1</v>
      </c>
      <c r="P2083" t="s">
        <v>776</v>
      </c>
      <c r="Q2083">
        <v>59.9</v>
      </c>
      <c r="R2083">
        <v>10.8</v>
      </c>
      <c r="S2083">
        <v>3</v>
      </c>
      <c r="T2083">
        <v>0.54</v>
      </c>
      <c r="Y2083" t="s">
        <v>8837</v>
      </c>
      <c r="Z2083" t="s">
        <v>2362</v>
      </c>
      <c r="AA2083">
        <v>15069</v>
      </c>
      <c r="AB2083" t="s">
        <v>11</v>
      </c>
    </row>
    <row r="2084" spans="1:35" x14ac:dyDescent="0.25">
      <c r="A2084" t="s">
        <v>8838</v>
      </c>
      <c r="B2084" t="s">
        <v>8838</v>
      </c>
      <c r="C2084" t="s">
        <v>8839</v>
      </c>
      <c r="D2084" t="s">
        <v>8840</v>
      </c>
      <c r="E2084" t="s">
        <v>770</v>
      </c>
      <c r="F2084" t="s">
        <v>771</v>
      </c>
      <c r="G2084" t="s">
        <v>1854</v>
      </c>
      <c r="J2084" t="s">
        <v>783</v>
      </c>
      <c r="K2084" t="s">
        <v>5765</v>
      </c>
      <c r="L2084" t="s">
        <v>5766</v>
      </c>
      <c r="M2084" t="s">
        <v>152</v>
      </c>
      <c r="N2084" t="s">
        <v>770</v>
      </c>
      <c r="O2084">
        <v>1</v>
      </c>
      <c r="P2084" t="s">
        <v>776</v>
      </c>
      <c r="Q2084">
        <v>24.9</v>
      </c>
      <c r="R2084">
        <v>4.49</v>
      </c>
      <c r="Y2084" t="s">
        <v>8841</v>
      </c>
      <c r="Z2084" t="s">
        <v>3364</v>
      </c>
      <c r="AA2084">
        <v>88100</v>
      </c>
      <c r="AB2084" t="s">
        <v>11</v>
      </c>
    </row>
    <row r="2085" spans="1:35" x14ac:dyDescent="0.25">
      <c r="A2085" t="s">
        <v>8842</v>
      </c>
      <c r="B2085" t="s">
        <v>8842</v>
      </c>
      <c r="C2085" t="s">
        <v>8843</v>
      </c>
      <c r="D2085" t="s">
        <v>8844</v>
      </c>
      <c r="E2085" t="s">
        <v>770</v>
      </c>
      <c r="F2085" t="s">
        <v>771</v>
      </c>
      <c r="G2085" t="s">
        <v>1854</v>
      </c>
      <c r="J2085" t="s">
        <v>783</v>
      </c>
      <c r="K2085" t="s">
        <v>1862</v>
      </c>
      <c r="L2085" t="s">
        <v>1505</v>
      </c>
      <c r="M2085" t="s">
        <v>53</v>
      </c>
      <c r="N2085" t="s">
        <v>770</v>
      </c>
      <c r="O2085">
        <v>1</v>
      </c>
      <c r="P2085" t="s">
        <v>776</v>
      </c>
      <c r="Q2085">
        <v>32.9</v>
      </c>
      <c r="R2085">
        <v>5.93</v>
      </c>
      <c r="Y2085" t="s">
        <v>8845</v>
      </c>
      <c r="Z2085" t="s">
        <v>2860</v>
      </c>
      <c r="AA2085">
        <v>36014</v>
      </c>
      <c r="AB2085" t="s">
        <v>11</v>
      </c>
    </row>
    <row r="2086" spans="1:35" x14ac:dyDescent="0.25">
      <c r="A2086" t="s">
        <v>8846</v>
      </c>
      <c r="C2086" t="s">
        <v>8847</v>
      </c>
      <c r="D2086" t="s">
        <v>8848</v>
      </c>
      <c r="E2086" t="s">
        <v>770</v>
      </c>
      <c r="F2086" t="s">
        <v>1884</v>
      </c>
      <c r="G2086" t="s">
        <v>1854</v>
      </c>
      <c r="H2086" t="s">
        <v>1885</v>
      </c>
      <c r="J2086" t="s">
        <v>773</v>
      </c>
      <c r="K2086" t="s">
        <v>1886</v>
      </c>
      <c r="L2086" t="s">
        <v>18</v>
      </c>
      <c r="M2086" t="s">
        <v>17</v>
      </c>
      <c r="N2086" t="s">
        <v>770</v>
      </c>
      <c r="O2086">
        <v>1</v>
      </c>
      <c r="P2086" t="s">
        <v>776</v>
      </c>
      <c r="Q2086">
        <v>22.9</v>
      </c>
      <c r="R2086">
        <v>4.13</v>
      </c>
      <c r="S2086">
        <v>3</v>
      </c>
      <c r="T2086">
        <v>0.54</v>
      </c>
      <c r="Y2086" t="s">
        <v>8849</v>
      </c>
      <c r="Z2086" t="s">
        <v>3453</v>
      </c>
      <c r="AA2086">
        <v>33044</v>
      </c>
      <c r="AB2086" t="s">
        <v>11</v>
      </c>
    </row>
    <row r="2087" spans="1:35" x14ac:dyDescent="0.25">
      <c r="A2087" t="s">
        <v>8850</v>
      </c>
      <c r="B2087" t="s">
        <v>8850</v>
      </c>
      <c r="C2087" t="s">
        <v>8851</v>
      </c>
      <c r="D2087" t="s">
        <v>8852</v>
      </c>
      <c r="E2087" t="s">
        <v>770</v>
      </c>
      <c r="F2087" t="s">
        <v>771</v>
      </c>
      <c r="G2087" t="s">
        <v>1854</v>
      </c>
      <c r="J2087" t="s">
        <v>783</v>
      </c>
      <c r="K2087" t="s">
        <v>1930</v>
      </c>
      <c r="L2087" t="s">
        <v>775</v>
      </c>
      <c r="M2087" t="s">
        <v>65</v>
      </c>
      <c r="N2087" t="s">
        <v>770</v>
      </c>
      <c r="O2087">
        <v>1</v>
      </c>
      <c r="P2087" t="s">
        <v>776</v>
      </c>
      <c r="Q2087">
        <v>29.9</v>
      </c>
      <c r="R2087">
        <v>5.39</v>
      </c>
      <c r="Y2087" t="s">
        <v>8853</v>
      </c>
      <c r="Z2087" t="s">
        <v>2486</v>
      </c>
      <c r="AA2087">
        <v>61040</v>
      </c>
      <c r="AB2087" t="s">
        <v>11</v>
      </c>
    </row>
    <row r="2088" spans="1:35" x14ac:dyDescent="0.25">
      <c r="A2088" t="s">
        <v>8854</v>
      </c>
      <c r="B2088" t="s">
        <v>8854</v>
      </c>
      <c r="C2088" t="s">
        <v>8855</v>
      </c>
      <c r="D2088" t="s">
        <v>8856</v>
      </c>
      <c r="E2088" t="s">
        <v>770</v>
      </c>
      <c r="F2088" t="s">
        <v>771</v>
      </c>
      <c r="G2088" t="s">
        <v>1854</v>
      </c>
      <c r="J2088" t="s">
        <v>783</v>
      </c>
      <c r="K2088" t="s">
        <v>1873</v>
      </c>
      <c r="L2088" t="s">
        <v>840</v>
      </c>
      <c r="M2088" t="s">
        <v>26</v>
      </c>
      <c r="N2088" t="s">
        <v>770</v>
      </c>
      <c r="O2088">
        <v>1</v>
      </c>
      <c r="P2088" t="s">
        <v>776</v>
      </c>
      <c r="Q2088">
        <v>34.9</v>
      </c>
      <c r="R2088">
        <v>6.29</v>
      </c>
      <c r="Y2088" t="s">
        <v>6127</v>
      </c>
      <c r="Z2088" t="s">
        <v>6127</v>
      </c>
      <c r="AA2088">
        <v>31100</v>
      </c>
      <c r="AB2088" t="s">
        <v>11</v>
      </c>
    </row>
    <row r="2089" spans="1:35" x14ac:dyDescent="0.25">
      <c r="A2089" t="s">
        <v>8857</v>
      </c>
      <c r="C2089" t="s">
        <v>8858</v>
      </c>
      <c r="D2089" t="s">
        <v>8859</v>
      </c>
      <c r="E2089" t="s">
        <v>770</v>
      </c>
      <c r="F2089" t="s">
        <v>1884</v>
      </c>
      <c r="G2089" t="s">
        <v>1854</v>
      </c>
      <c r="H2089" t="s">
        <v>1885</v>
      </c>
      <c r="J2089" t="s">
        <v>773</v>
      </c>
      <c r="K2089" t="s">
        <v>4362</v>
      </c>
      <c r="L2089" s="2">
        <v>40500</v>
      </c>
      <c r="M2089" t="s">
        <v>53</v>
      </c>
      <c r="N2089" t="s">
        <v>770</v>
      </c>
      <c r="O2089">
        <v>1</v>
      </c>
      <c r="P2089" t="s">
        <v>776</v>
      </c>
      <c r="Q2089">
        <v>32.9</v>
      </c>
      <c r="R2089">
        <v>5.93</v>
      </c>
      <c r="S2089">
        <v>3</v>
      </c>
      <c r="T2089">
        <v>0.54</v>
      </c>
      <c r="Y2089" t="s">
        <v>5083</v>
      </c>
      <c r="Z2089" t="s">
        <v>6842</v>
      </c>
      <c r="AA2089">
        <v>53100</v>
      </c>
      <c r="AB2089" t="s">
        <v>11</v>
      </c>
    </row>
    <row r="2090" spans="1:35" x14ac:dyDescent="0.25">
      <c r="A2090" t="s">
        <v>8860</v>
      </c>
      <c r="B2090" t="s">
        <v>8860</v>
      </c>
      <c r="C2090" t="s">
        <v>8861</v>
      </c>
      <c r="D2090" t="s">
        <v>8862</v>
      </c>
      <c r="E2090" t="s">
        <v>770</v>
      </c>
      <c r="F2090" t="s">
        <v>771</v>
      </c>
      <c r="G2090" t="s">
        <v>1854</v>
      </c>
      <c r="J2090" t="s">
        <v>783</v>
      </c>
      <c r="K2090" t="s">
        <v>3363</v>
      </c>
      <c r="L2090" t="s">
        <v>5572</v>
      </c>
      <c r="M2090" t="s">
        <v>71</v>
      </c>
      <c r="N2090" t="s">
        <v>770</v>
      </c>
      <c r="O2090">
        <v>1</v>
      </c>
      <c r="P2090" t="s">
        <v>776</v>
      </c>
      <c r="Q2090">
        <v>29.9</v>
      </c>
      <c r="R2090">
        <v>5.39</v>
      </c>
      <c r="Y2090" t="s">
        <v>1908</v>
      </c>
      <c r="Z2090" t="s">
        <v>1908</v>
      </c>
      <c r="AA2090">
        <v>80141</v>
      </c>
      <c r="AB2090" t="s">
        <v>11</v>
      </c>
    </row>
    <row r="2091" spans="1:35" x14ac:dyDescent="0.25">
      <c r="A2091" t="s">
        <v>8863</v>
      </c>
      <c r="B2091" t="s">
        <v>8863</v>
      </c>
      <c r="C2091" t="s">
        <v>8864</v>
      </c>
      <c r="D2091" t="s">
        <v>8865</v>
      </c>
      <c r="E2091" t="s">
        <v>770</v>
      </c>
      <c r="F2091" t="s">
        <v>771</v>
      </c>
      <c r="G2091" t="s">
        <v>1854</v>
      </c>
      <c r="J2091" t="s">
        <v>783</v>
      </c>
      <c r="K2091" t="s">
        <v>3363</v>
      </c>
      <c r="L2091" t="s">
        <v>5572</v>
      </c>
      <c r="M2091" t="s">
        <v>71</v>
      </c>
      <c r="N2091" t="s">
        <v>770</v>
      </c>
      <c r="O2091">
        <v>1</v>
      </c>
      <c r="P2091" t="s">
        <v>776</v>
      </c>
      <c r="Q2091">
        <v>29.9</v>
      </c>
      <c r="R2091">
        <v>5.39</v>
      </c>
      <c r="Y2091" t="s">
        <v>8866</v>
      </c>
      <c r="Z2091" t="s">
        <v>3465</v>
      </c>
      <c r="AA2091">
        <v>13040</v>
      </c>
      <c r="AB2091" t="s">
        <v>11</v>
      </c>
      <c r="AG2091" t="s">
        <v>8867</v>
      </c>
      <c r="AH2091" t="s">
        <v>11</v>
      </c>
      <c r="AI2091" t="s">
        <v>1258</v>
      </c>
    </row>
    <row r="2092" spans="1:35" x14ac:dyDescent="0.25">
      <c r="A2092" t="s">
        <v>8868</v>
      </c>
      <c r="B2092" t="s">
        <v>8868</v>
      </c>
      <c r="C2092" t="s">
        <v>8869</v>
      </c>
      <c r="D2092" t="s">
        <v>8870</v>
      </c>
      <c r="E2092" t="s">
        <v>770</v>
      </c>
      <c r="F2092" t="s">
        <v>771</v>
      </c>
      <c r="G2092" t="s">
        <v>1854</v>
      </c>
      <c r="J2092" t="s">
        <v>783</v>
      </c>
      <c r="K2092" t="s">
        <v>1960</v>
      </c>
      <c r="L2092" t="s">
        <v>1047</v>
      </c>
      <c r="M2092" t="s">
        <v>21</v>
      </c>
      <c r="N2092" t="s">
        <v>770</v>
      </c>
      <c r="O2092">
        <v>1</v>
      </c>
      <c r="P2092" t="s">
        <v>776</v>
      </c>
      <c r="Q2092">
        <v>32.9</v>
      </c>
      <c r="R2092">
        <v>5.93</v>
      </c>
      <c r="Y2092" t="s">
        <v>5173</v>
      </c>
      <c r="Z2092" t="s">
        <v>2503</v>
      </c>
      <c r="AA2092">
        <v>48018</v>
      </c>
      <c r="AB2092" t="s">
        <v>11</v>
      </c>
    </row>
    <row r="2093" spans="1:35" x14ac:dyDescent="0.25">
      <c r="A2093" t="s">
        <v>8871</v>
      </c>
      <c r="B2093" t="s">
        <v>8871</v>
      </c>
      <c r="C2093" t="s">
        <v>8872</v>
      </c>
      <c r="D2093" t="s">
        <v>8873</v>
      </c>
      <c r="E2093" t="s">
        <v>770</v>
      </c>
      <c r="F2093" t="s">
        <v>771</v>
      </c>
      <c r="G2093" t="s">
        <v>1854</v>
      </c>
      <c r="J2093" t="s">
        <v>783</v>
      </c>
      <c r="K2093" t="s">
        <v>1930</v>
      </c>
      <c r="L2093" t="s">
        <v>775</v>
      </c>
      <c r="M2093" t="s">
        <v>65</v>
      </c>
      <c r="N2093" t="s">
        <v>770</v>
      </c>
      <c r="O2093">
        <v>1</v>
      </c>
      <c r="P2093" t="s">
        <v>776</v>
      </c>
      <c r="Q2093">
        <v>29.9</v>
      </c>
      <c r="R2093">
        <v>5.39</v>
      </c>
      <c r="Y2093" t="s">
        <v>8874</v>
      </c>
      <c r="Z2093" t="s">
        <v>3080</v>
      </c>
      <c r="AA2093">
        <v>30173</v>
      </c>
      <c r="AB2093" t="s">
        <v>11</v>
      </c>
    </row>
    <row r="2094" spans="1:35" x14ac:dyDescent="0.25">
      <c r="A2094" t="s">
        <v>8875</v>
      </c>
      <c r="B2094" t="s">
        <v>8875</v>
      </c>
      <c r="C2094" t="s">
        <v>8876</v>
      </c>
      <c r="D2094" t="s">
        <v>8877</v>
      </c>
      <c r="E2094" t="s">
        <v>770</v>
      </c>
      <c r="F2094" t="s">
        <v>771</v>
      </c>
      <c r="G2094" t="s">
        <v>1854</v>
      </c>
      <c r="J2094" t="s">
        <v>783</v>
      </c>
      <c r="K2094" t="s">
        <v>1862</v>
      </c>
      <c r="L2094" t="s">
        <v>1505</v>
      </c>
      <c r="M2094" t="s">
        <v>53</v>
      </c>
      <c r="N2094" t="s">
        <v>770</v>
      </c>
      <c r="O2094">
        <v>1</v>
      </c>
      <c r="P2094" t="s">
        <v>776</v>
      </c>
      <c r="Q2094">
        <v>32.9</v>
      </c>
      <c r="R2094">
        <v>5.93</v>
      </c>
      <c r="Y2094" t="s">
        <v>3802</v>
      </c>
      <c r="AA2094">
        <v>90139</v>
      </c>
      <c r="AB2094" t="s">
        <v>11</v>
      </c>
    </row>
    <row r="2095" spans="1:35" x14ac:dyDescent="0.25">
      <c r="A2095" t="s">
        <v>8878</v>
      </c>
      <c r="B2095" t="s">
        <v>8878</v>
      </c>
      <c r="C2095" t="s">
        <v>8879</v>
      </c>
      <c r="D2095" t="s">
        <v>8880</v>
      </c>
      <c r="E2095" t="s">
        <v>770</v>
      </c>
      <c r="F2095" t="s">
        <v>771</v>
      </c>
      <c r="G2095" t="s">
        <v>1854</v>
      </c>
      <c r="J2095" t="s">
        <v>783</v>
      </c>
      <c r="K2095" t="s">
        <v>1873</v>
      </c>
      <c r="L2095" t="s">
        <v>840</v>
      </c>
      <c r="M2095" t="s">
        <v>26</v>
      </c>
      <c r="N2095" t="s">
        <v>770</v>
      </c>
      <c r="O2095">
        <v>1</v>
      </c>
      <c r="P2095" t="s">
        <v>776</v>
      </c>
      <c r="Q2095">
        <v>34.9</v>
      </c>
      <c r="R2095">
        <v>6.29</v>
      </c>
      <c r="Y2095" t="s">
        <v>8881</v>
      </c>
      <c r="Z2095" t="s">
        <v>1880</v>
      </c>
      <c r="AA2095">
        <v>41013</v>
      </c>
      <c r="AB2095" t="s">
        <v>11</v>
      </c>
    </row>
    <row r="2096" spans="1:35" x14ac:dyDescent="0.25">
      <c r="A2096" t="s">
        <v>8882</v>
      </c>
      <c r="B2096" t="s">
        <v>8882</v>
      </c>
      <c r="C2096" t="s">
        <v>8883</v>
      </c>
      <c r="D2096" t="s">
        <v>8884</v>
      </c>
      <c r="E2096" t="s">
        <v>770</v>
      </c>
      <c r="F2096" t="s">
        <v>771</v>
      </c>
      <c r="G2096" t="s">
        <v>1854</v>
      </c>
      <c r="J2096" t="s">
        <v>773</v>
      </c>
      <c r="K2096" t="s">
        <v>1862</v>
      </c>
      <c r="L2096" t="s">
        <v>1505</v>
      </c>
      <c r="M2096" t="s">
        <v>53</v>
      </c>
      <c r="N2096" t="s">
        <v>770</v>
      </c>
      <c r="O2096">
        <v>1</v>
      </c>
      <c r="P2096" t="s">
        <v>776</v>
      </c>
      <c r="Q2096">
        <v>26.97</v>
      </c>
      <c r="S2096">
        <v>1.74</v>
      </c>
      <c r="X2096">
        <v>1.74</v>
      </c>
      <c r="Y2096" t="s">
        <v>8885</v>
      </c>
      <c r="Z2096" t="s">
        <v>8886</v>
      </c>
      <c r="AA2096">
        <v>6932</v>
      </c>
      <c r="AB2096" t="s">
        <v>1716</v>
      </c>
    </row>
    <row r="2097" spans="1:29" x14ac:dyDescent="0.25">
      <c r="A2097" t="s">
        <v>8887</v>
      </c>
      <c r="C2097" t="s">
        <v>8888</v>
      </c>
      <c r="D2097" t="s">
        <v>8889</v>
      </c>
      <c r="E2097" t="s">
        <v>770</v>
      </c>
      <c r="F2097" t="s">
        <v>1884</v>
      </c>
      <c r="G2097" t="s">
        <v>1854</v>
      </c>
      <c r="H2097" t="s">
        <v>1885</v>
      </c>
      <c r="J2097" t="s">
        <v>773</v>
      </c>
      <c r="K2097" t="s">
        <v>1886</v>
      </c>
      <c r="L2097" t="s">
        <v>18</v>
      </c>
      <c r="M2097" t="s">
        <v>17</v>
      </c>
      <c r="N2097" t="s">
        <v>770</v>
      </c>
      <c r="O2097">
        <v>1</v>
      </c>
      <c r="P2097" t="s">
        <v>776</v>
      </c>
      <c r="Q2097">
        <v>22.9</v>
      </c>
      <c r="R2097">
        <v>4.13</v>
      </c>
      <c r="S2097">
        <v>3</v>
      </c>
      <c r="T2097">
        <v>0.54</v>
      </c>
      <c r="Y2097" t="s">
        <v>2497</v>
      </c>
      <c r="Z2097" t="s">
        <v>2915</v>
      </c>
      <c r="AA2097">
        <v>34151</v>
      </c>
      <c r="AB2097" t="s">
        <v>11</v>
      </c>
    </row>
    <row r="2098" spans="1:29" x14ac:dyDescent="0.25">
      <c r="A2098" t="s">
        <v>8890</v>
      </c>
      <c r="B2098" t="s">
        <v>8890</v>
      </c>
      <c r="C2098" t="s">
        <v>8891</v>
      </c>
      <c r="D2098" t="s">
        <v>8892</v>
      </c>
      <c r="E2098" t="s">
        <v>770</v>
      </c>
      <c r="F2098" t="s">
        <v>771</v>
      </c>
      <c r="G2098" t="s">
        <v>1854</v>
      </c>
      <c r="J2098" t="s">
        <v>783</v>
      </c>
      <c r="K2098" t="s">
        <v>1873</v>
      </c>
      <c r="L2098" t="s">
        <v>840</v>
      </c>
      <c r="M2098" t="s">
        <v>26</v>
      </c>
      <c r="N2098" t="s">
        <v>770</v>
      </c>
      <c r="O2098">
        <v>1</v>
      </c>
      <c r="P2098" t="s">
        <v>776</v>
      </c>
      <c r="Q2098">
        <v>34.9</v>
      </c>
      <c r="R2098">
        <v>6.29</v>
      </c>
      <c r="Y2098" t="s">
        <v>2174</v>
      </c>
      <c r="Z2098" t="s">
        <v>2174</v>
      </c>
      <c r="AA2098">
        <v>80122</v>
      </c>
      <c r="AB2098" t="s">
        <v>11</v>
      </c>
    </row>
    <row r="2099" spans="1:29" x14ac:dyDescent="0.25">
      <c r="A2099" t="s">
        <v>8893</v>
      </c>
      <c r="B2099" t="s">
        <v>8893</v>
      </c>
      <c r="C2099" t="s">
        <v>8894</v>
      </c>
      <c r="D2099" t="s">
        <v>8895</v>
      </c>
      <c r="E2099" t="s">
        <v>770</v>
      </c>
      <c r="F2099" t="s">
        <v>771</v>
      </c>
      <c r="G2099" t="s">
        <v>1854</v>
      </c>
      <c r="J2099" t="s">
        <v>783</v>
      </c>
      <c r="K2099" t="s">
        <v>1873</v>
      </c>
      <c r="L2099" t="s">
        <v>840</v>
      </c>
      <c r="M2099" t="s">
        <v>26</v>
      </c>
      <c r="N2099" t="s">
        <v>770</v>
      </c>
      <c r="O2099">
        <v>1</v>
      </c>
      <c r="P2099" t="s">
        <v>776</v>
      </c>
      <c r="Q2099">
        <v>34.9</v>
      </c>
      <c r="R2099">
        <v>6.29</v>
      </c>
      <c r="Y2099" t="s">
        <v>8896</v>
      </c>
      <c r="Z2099" t="s">
        <v>1937</v>
      </c>
      <c r="AA2099">
        <v>24042</v>
      </c>
      <c r="AB2099" t="s">
        <v>11</v>
      </c>
    </row>
    <row r="2100" spans="1:29" x14ac:dyDescent="0.25">
      <c r="A2100" t="s">
        <v>8897</v>
      </c>
      <c r="C2100" t="s">
        <v>8898</v>
      </c>
      <c r="D2100" t="s">
        <v>8899</v>
      </c>
      <c r="E2100" t="s">
        <v>770</v>
      </c>
      <c r="F2100" t="s">
        <v>1884</v>
      </c>
      <c r="G2100" t="s">
        <v>1854</v>
      </c>
      <c r="H2100" t="s">
        <v>1885</v>
      </c>
      <c r="J2100" t="s">
        <v>773</v>
      </c>
      <c r="K2100" t="s">
        <v>1930</v>
      </c>
      <c r="L2100" t="s">
        <v>66</v>
      </c>
      <c r="M2100" t="s">
        <v>65</v>
      </c>
      <c r="N2100" t="s">
        <v>770</v>
      </c>
      <c r="O2100">
        <v>1</v>
      </c>
      <c r="P2100" t="s">
        <v>776</v>
      </c>
      <c r="Q2100">
        <v>29.9</v>
      </c>
      <c r="R2100">
        <v>5.39</v>
      </c>
      <c r="S2100">
        <v>3</v>
      </c>
      <c r="T2100">
        <v>0.54</v>
      </c>
      <c r="Y2100" t="s">
        <v>8900</v>
      </c>
      <c r="Z2100" t="s">
        <v>2057</v>
      </c>
      <c r="AA2100">
        <v>37050</v>
      </c>
      <c r="AB2100" t="s">
        <v>11</v>
      </c>
    </row>
    <row r="2101" spans="1:29" x14ac:dyDescent="0.25">
      <c r="A2101" t="s">
        <v>8901</v>
      </c>
      <c r="B2101" t="s">
        <v>8901</v>
      </c>
      <c r="C2101" t="s">
        <v>8902</v>
      </c>
      <c r="D2101" t="s">
        <v>8903</v>
      </c>
      <c r="E2101" t="s">
        <v>770</v>
      </c>
      <c r="F2101" t="s">
        <v>771</v>
      </c>
      <c r="G2101" t="s">
        <v>1854</v>
      </c>
      <c r="J2101" t="s">
        <v>783</v>
      </c>
      <c r="K2101" t="s">
        <v>1873</v>
      </c>
      <c r="L2101" t="s">
        <v>840</v>
      </c>
      <c r="M2101" t="s">
        <v>26</v>
      </c>
      <c r="N2101" t="s">
        <v>770</v>
      </c>
      <c r="O2101">
        <v>1</v>
      </c>
      <c r="P2101" t="s">
        <v>776</v>
      </c>
      <c r="Q2101">
        <v>34.9</v>
      </c>
      <c r="R2101">
        <v>6.29</v>
      </c>
      <c r="Y2101" t="s">
        <v>4181</v>
      </c>
      <c r="Z2101" t="s">
        <v>1989</v>
      </c>
      <c r="AA2101">
        <v>36100</v>
      </c>
      <c r="AB2101" t="s">
        <v>11</v>
      </c>
    </row>
    <row r="2102" spans="1:29" x14ac:dyDescent="0.25">
      <c r="A2102" t="s">
        <v>8904</v>
      </c>
      <c r="B2102" t="s">
        <v>8904</v>
      </c>
      <c r="C2102" t="s">
        <v>8905</v>
      </c>
      <c r="D2102" t="s">
        <v>8906</v>
      </c>
      <c r="E2102" t="s">
        <v>770</v>
      </c>
      <c r="F2102" t="s">
        <v>771</v>
      </c>
      <c r="G2102" t="s">
        <v>1854</v>
      </c>
      <c r="J2102" t="s">
        <v>783</v>
      </c>
      <c r="K2102" t="s">
        <v>1873</v>
      </c>
      <c r="L2102" t="s">
        <v>840</v>
      </c>
      <c r="M2102" t="s">
        <v>26</v>
      </c>
      <c r="N2102" t="s">
        <v>770</v>
      </c>
      <c r="O2102">
        <v>1</v>
      </c>
      <c r="P2102" t="s">
        <v>776</v>
      </c>
      <c r="Q2102">
        <v>34.9</v>
      </c>
      <c r="R2102">
        <v>6.29</v>
      </c>
      <c r="Y2102" t="s">
        <v>8907</v>
      </c>
      <c r="Z2102" t="s">
        <v>2597</v>
      </c>
      <c r="AA2102">
        <v>70020</v>
      </c>
      <c r="AB2102" t="s">
        <v>11</v>
      </c>
    </row>
    <row r="2103" spans="1:29" x14ac:dyDescent="0.25">
      <c r="A2103" t="s">
        <v>8908</v>
      </c>
      <c r="B2103" t="s">
        <v>8908</v>
      </c>
      <c r="C2103" t="s">
        <v>8909</v>
      </c>
      <c r="D2103" t="s">
        <v>8910</v>
      </c>
      <c r="E2103" t="s">
        <v>770</v>
      </c>
      <c r="F2103" t="s">
        <v>771</v>
      </c>
      <c r="G2103" t="s">
        <v>1854</v>
      </c>
      <c r="J2103" t="s">
        <v>783</v>
      </c>
      <c r="K2103" t="s">
        <v>1873</v>
      </c>
      <c r="L2103" t="s">
        <v>840</v>
      </c>
      <c r="M2103" t="s">
        <v>26</v>
      </c>
      <c r="N2103" t="s">
        <v>770</v>
      </c>
      <c r="O2103">
        <v>1</v>
      </c>
      <c r="P2103" t="s">
        <v>776</v>
      </c>
      <c r="Q2103">
        <v>34.9</v>
      </c>
      <c r="R2103">
        <v>6.29</v>
      </c>
      <c r="Y2103" t="s">
        <v>1913</v>
      </c>
      <c r="Z2103" t="s">
        <v>1913</v>
      </c>
      <c r="AA2103">
        <v>137</v>
      </c>
      <c r="AB2103" t="s">
        <v>11</v>
      </c>
    </row>
    <row r="2104" spans="1:29" x14ac:dyDescent="0.25">
      <c r="A2104" t="s">
        <v>8911</v>
      </c>
      <c r="B2104" t="s">
        <v>8911</v>
      </c>
      <c r="C2104" t="s">
        <v>8912</v>
      </c>
      <c r="D2104" t="s">
        <v>8913</v>
      </c>
      <c r="E2104" t="s">
        <v>782</v>
      </c>
      <c r="F2104" t="s">
        <v>771</v>
      </c>
      <c r="G2104" t="s">
        <v>1854</v>
      </c>
      <c r="J2104" t="s">
        <v>783</v>
      </c>
      <c r="K2104" t="s">
        <v>1873</v>
      </c>
      <c r="L2104" t="s">
        <v>840</v>
      </c>
      <c r="M2104" t="s">
        <v>26</v>
      </c>
      <c r="N2104" t="s">
        <v>782</v>
      </c>
      <c r="O2104">
        <v>0</v>
      </c>
      <c r="Y2104" t="s">
        <v>1913</v>
      </c>
      <c r="Z2104" t="s">
        <v>1926</v>
      </c>
      <c r="AA2104">
        <v>137</v>
      </c>
      <c r="AB2104" t="s">
        <v>11</v>
      </c>
    </row>
    <row r="2105" spans="1:29" x14ac:dyDescent="0.25">
      <c r="A2105" t="s">
        <v>8914</v>
      </c>
      <c r="B2105" t="s">
        <v>8914</v>
      </c>
      <c r="C2105" t="s">
        <v>8915</v>
      </c>
      <c r="D2105" t="s">
        <v>8916</v>
      </c>
      <c r="E2105" t="s">
        <v>770</v>
      </c>
      <c r="F2105" t="s">
        <v>771</v>
      </c>
      <c r="G2105" t="s">
        <v>1854</v>
      </c>
      <c r="J2105" t="s">
        <v>783</v>
      </c>
      <c r="K2105" t="s">
        <v>3328</v>
      </c>
      <c r="L2105" t="s">
        <v>3329</v>
      </c>
      <c r="M2105" t="s">
        <v>35</v>
      </c>
      <c r="N2105" t="s">
        <v>770</v>
      </c>
      <c r="O2105">
        <v>1</v>
      </c>
      <c r="P2105" t="s">
        <v>776</v>
      </c>
      <c r="Q2105">
        <v>24.9</v>
      </c>
      <c r="R2105">
        <v>4.49</v>
      </c>
      <c r="Y2105" t="s">
        <v>3649</v>
      </c>
      <c r="Z2105" t="s">
        <v>2392</v>
      </c>
      <c r="AA2105">
        <v>9125</v>
      </c>
      <c r="AB2105" t="s">
        <v>11</v>
      </c>
    </row>
    <row r="2106" spans="1:29" x14ac:dyDescent="0.25">
      <c r="A2106" t="s">
        <v>8917</v>
      </c>
      <c r="B2106" t="s">
        <v>8917</v>
      </c>
      <c r="C2106" t="s">
        <v>8918</v>
      </c>
      <c r="D2106" t="s">
        <v>8919</v>
      </c>
      <c r="E2106" t="s">
        <v>770</v>
      </c>
      <c r="F2106" t="s">
        <v>771</v>
      </c>
      <c r="G2106" t="s">
        <v>1854</v>
      </c>
      <c r="J2106" t="s">
        <v>783</v>
      </c>
      <c r="K2106" t="s">
        <v>1873</v>
      </c>
      <c r="L2106" t="s">
        <v>840</v>
      </c>
      <c r="M2106" t="s">
        <v>26</v>
      </c>
      <c r="N2106" t="s">
        <v>770</v>
      </c>
      <c r="O2106">
        <v>1</v>
      </c>
      <c r="P2106" t="s">
        <v>776</v>
      </c>
      <c r="Q2106">
        <v>34.9</v>
      </c>
      <c r="R2106">
        <v>6.29</v>
      </c>
      <c r="Y2106" t="s">
        <v>8920</v>
      </c>
      <c r="Z2106" t="s">
        <v>2051</v>
      </c>
      <c r="AA2106">
        <v>95040</v>
      </c>
      <c r="AB2106" t="s">
        <v>11</v>
      </c>
    </row>
    <row r="2107" spans="1:29" x14ac:dyDescent="0.25">
      <c r="A2107" t="s">
        <v>8921</v>
      </c>
      <c r="C2107" t="s">
        <v>8922</v>
      </c>
      <c r="D2107" t="s">
        <v>8923</v>
      </c>
      <c r="E2107" t="s">
        <v>770</v>
      </c>
      <c r="F2107" t="s">
        <v>1884</v>
      </c>
      <c r="G2107" t="s">
        <v>1854</v>
      </c>
      <c r="H2107" t="s">
        <v>1885</v>
      </c>
      <c r="J2107" t="s">
        <v>773</v>
      </c>
      <c r="K2107" t="s">
        <v>8924</v>
      </c>
      <c r="L2107" s="2">
        <v>50161</v>
      </c>
      <c r="M2107" t="s">
        <v>114</v>
      </c>
      <c r="N2107" t="s">
        <v>770</v>
      </c>
      <c r="O2107">
        <v>1</v>
      </c>
      <c r="P2107" t="s">
        <v>776</v>
      </c>
      <c r="Q2107">
        <v>49.9</v>
      </c>
      <c r="R2107">
        <v>9</v>
      </c>
      <c r="S2107">
        <v>3</v>
      </c>
      <c r="T2107">
        <v>0.54</v>
      </c>
      <c r="Y2107" t="s">
        <v>4054</v>
      </c>
      <c r="Z2107" t="s">
        <v>4054</v>
      </c>
      <c r="AA2107">
        <v>63900</v>
      </c>
      <c r="AB2107" t="s">
        <v>11</v>
      </c>
    </row>
    <row r="2108" spans="1:29" x14ac:dyDescent="0.25">
      <c r="A2108" t="s">
        <v>8925</v>
      </c>
      <c r="B2108" t="s">
        <v>8925</v>
      </c>
      <c r="C2108" t="s">
        <v>8926</v>
      </c>
      <c r="D2108" t="s">
        <v>8927</v>
      </c>
      <c r="E2108" t="s">
        <v>770</v>
      </c>
      <c r="F2108" t="s">
        <v>771</v>
      </c>
      <c r="G2108" t="s">
        <v>1854</v>
      </c>
      <c r="J2108" t="s">
        <v>783</v>
      </c>
      <c r="K2108" t="s">
        <v>1873</v>
      </c>
      <c r="L2108" t="s">
        <v>840</v>
      </c>
      <c r="M2108" t="s">
        <v>26</v>
      </c>
      <c r="N2108" t="s">
        <v>770</v>
      </c>
      <c r="O2108">
        <v>1</v>
      </c>
      <c r="P2108" t="s">
        <v>776</v>
      </c>
      <c r="Q2108">
        <v>34.9</v>
      </c>
      <c r="R2108">
        <v>6.29</v>
      </c>
      <c r="Y2108" t="s">
        <v>1897</v>
      </c>
      <c r="Z2108" t="s">
        <v>1898</v>
      </c>
      <c r="AA2108">
        <v>46042</v>
      </c>
      <c r="AB2108" t="s">
        <v>11</v>
      </c>
    </row>
    <row r="2109" spans="1:29" x14ac:dyDescent="0.25">
      <c r="A2109" t="s">
        <v>8928</v>
      </c>
      <c r="B2109" t="s">
        <v>8928</v>
      </c>
      <c r="C2109" t="s">
        <v>8929</v>
      </c>
      <c r="D2109" t="s">
        <v>8930</v>
      </c>
      <c r="E2109" t="s">
        <v>770</v>
      </c>
      <c r="F2109" t="s">
        <v>771</v>
      </c>
      <c r="G2109" t="s">
        <v>1854</v>
      </c>
      <c r="J2109" t="s">
        <v>783</v>
      </c>
      <c r="K2109" t="s">
        <v>1873</v>
      </c>
      <c r="L2109" t="s">
        <v>840</v>
      </c>
      <c r="M2109" t="s">
        <v>26</v>
      </c>
      <c r="N2109" t="s">
        <v>770</v>
      </c>
      <c r="O2109">
        <v>1</v>
      </c>
      <c r="P2109" t="s">
        <v>776</v>
      </c>
      <c r="Q2109">
        <v>34.9</v>
      </c>
      <c r="R2109">
        <v>6.29</v>
      </c>
      <c r="S2109">
        <v>4.99</v>
      </c>
      <c r="T2109">
        <v>0.9</v>
      </c>
      <c r="Y2109" t="s">
        <v>2134</v>
      </c>
      <c r="Z2109" t="s">
        <v>1926</v>
      </c>
      <c r="AA2109">
        <v>199</v>
      </c>
      <c r="AB2109" t="s">
        <v>11</v>
      </c>
    </row>
    <row r="2110" spans="1:29" x14ac:dyDescent="0.25">
      <c r="A2110" t="s">
        <v>8931</v>
      </c>
      <c r="C2110" t="s">
        <v>8932</v>
      </c>
      <c r="D2110" t="s">
        <v>8589</v>
      </c>
      <c r="E2110" t="s">
        <v>770</v>
      </c>
      <c r="F2110" t="s">
        <v>1884</v>
      </c>
      <c r="G2110" t="s">
        <v>1854</v>
      </c>
      <c r="H2110" t="s">
        <v>1885</v>
      </c>
      <c r="J2110" t="s">
        <v>773</v>
      </c>
      <c r="K2110" t="s">
        <v>1886</v>
      </c>
      <c r="L2110" t="s">
        <v>18</v>
      </c>
      <c r="M2110" t="s">
        <v>17</v>
      </c>
      <c r="N2110" t="s">
        <v>770</v>
      </c>
      <c r="O2110">
        <v>1</v>
      </c>
      <c r="P2110" t="s">
        <v>776</v>
      </c>
      <c r="Q2110">
        <v>22.9</v>
      </c>
      <c r="R2110">
        <v>4.13</v>
      </c>
      <c r="S2110">
        <v>3</v>
      </c>
      <c r="T2110">
        <v>0.54</v>
      </c>
      <c r="Y2110" t="s">
        <v>1913</v>
      </c>
      <c r="Z2110" t="s">
        <v>1926</v>
      </c>
      <c r="AA2110">
        <v>185</v>
      </c>
      <c r="AB2110" t="s">
        <v>11</v>
      </c>
    </row>
    <row r="2111" spans="1:29" x14ac:dyDescent="0.25">
      <c r="A2111" t="s">
        <v>8933</v>
      </c>
      <c r="B2111" t="s">
        <v>8933</v>
      </c>
      <c r="C2111" t="s">
        <v>8934</v>
      </c>
      <c r="D2111" t="s">
        <v>8935</v>
      </c>
      <c r="E2111" t="s">
        <v>770</v>
      </c>
      <c r="F2111" t="s">
        <v>771</v>
      </c>
      <c r="G2111" t="s">
        <v>1854</v>
      </c>
      <c r="J2111" t="s">
        <v>783</v>
      </c>
      <c r="K2111" t="s">
        <v>1873</v>
      </c>
      <c r="L2111" t="s">
        <v>840</v>
      </c>
      <c r="M2111" t="s">
        <v>26</v>
      </c>
      <c r="N2111" t="s">
        <v>770</v>
      </c>
      <c r="O2111">
        <v>1</v>
      </c>
      <c r="P2111" t="s">
        <v>776</v>
      </c>
      <c r="Q2111">
        <v>34.9</v>
      </c>
      <c r="R2111">
        <v>6.29</v>
      </c>
      <c r="Y2111" t="s">
        <v>3003</v>
      </c>
      <c r="Z2111" t="s">
        <v>1913</v>
      </c>
      <c r="AA2111">
        <v>44</v>
      </c>
      <c r="AB2111" t="s">
        <v>11</v>
      </c>
    </row>
    <row r="2112" spans="1:29" x14ac:dyDescent="0.25">
      <c r="A2112" t="s">
        <v>8936</v>
      </c>
      <c r="B2112" t="s">
        <v>8936</v>
      </c>
      <c r="C2112" t="s">
        <v>8937</v>
      </c>
      <c r="D2112" t="s">
        <v>8938</v>
      </c>
      <c r="E2112" t="s">
        <v>770</v>
      </c>
      <c r="F2112" t="s">
        <v>771</v>
      </c>
      <c r="G2112" t="s">
        <v>1854</v>
      </c>
      <c r="J2112" t="s">
        <v>783</v>
      </c>
      <c r="K2112" t="s">
        <v>1862</v>
      </c>
      <c r="L2112" t="s">
        <v>1505</v>
      </c>
      <c r="M2112" t="s">
        <v>53</v>
      </c>
      <c r="N2112" t="s">
        <v>770</v>
      </c>
      <c r="O2112">
        <v>1</v>
      </c>
      <c r="P2112" t="s">
        <v>776</v>
      </c>
      <c r="Q2112">
        <v>32.9</v>
      </c>
      <c r="R2112">
        <v>5.93</v>
      </c>
      <c r="S2112">
        <v>3.27</v>
      </c>
      <c r="X2112">
        <v>3.27</v>
      </c>
      <c r="Y2112" t="s">
        <v>3275</v>
      </c>
      <c r="Z2112" t="s">
        <v>2454</v>
      </c>
      <c r="AA2112">
        <v>71043</v>
      </c>
      <c r="AB2112" t="s">
        <v>11</v>
      </c>
      <c r="AC2112" t="s">
        <v>2010</v>
      </c>
    </row>
    <row r="2113" spans="1:28" x14ac:dyDescent="0.25">
      <c r="A2113" t="s">
        <v>8939</v>
      </c>
      <c r="C2113" t="s">
        <v>8940</v>
      </c>
      <c r="D2113" t="s">
        <v>8941</v>
      </c>
      <c r="E2113" t="s">
        <v>770</v>
      </c>
      <c r="F2113" t="s">
        <v>1884</v>
      </c>
      <c r="G2113" t="s">
        <v>1854</v>
      </c>
      <c r="H2113" t="s">
        <v>1885</v>
      </c>
      <c r="J2113" t="s">
        <v>773</v>
      </c>
      <c r="K2113" t="s">
        <v>1960</v>
      </c>
      <c r="L2113" t="s">
        <v>22</v>
      </c>
      <c r="M2113" t="s">
        <v>21</v>
      </c>
      <c r="N2113" t="s">
        <v>770</v>
      </c>
      <c r="O2113">
        <v>1</v>
      </c>
      <c r="P2113" t="s">
        <v>776</v>
      </c>
      <c r="Q2113">
        <v>29.9</v>
      </c>
      <c r="R2113">
        <v>5.39</v>
      </c>
      <c r="S2113">
        <v>3</v>
      </c>
      <c r="T2113">
        <v>0.54</v>
      </c>
      <c r="Y2113" t="s">
        <v>1913</v>
      </c>
      <c r="Z2113" t="s">
        <v>1926</v>
      </c>
      <c r="AA2113">
        <v>168</v>
      </c>
      <c r="AB2113" t="s">
        <v>11</v>
      </c>
    </row>
    <row r="2114" spans="1:28" x14ac:dyDescent="0.25">
      <c r="A2114" t="s">
        <v>8942</v>
      </c>
      <c r="C2114" t="s">
        <v>8943</v>
      </c>
      <c r="D2114" t="s">
        <v>8944</v>
      </c>
      <c r="E2114" t="s">
        <v>770</v>
      </c>
      <c r="F2114" t="s">
        <v>1884</v>
      </c>
      <c r="G2114" t="s">
        <v>1854</v>
      </c>
      <c r="H2114" t="s">
        <v>1885</v>
      </c>
      <c r="J2114" t="s">
        <v>773</v>
      </c>
      <c r="K2114" t="s">
        <v>1930</v>
      </c>
      <c r="L2114" t="s">
        <v>66</v>
      </c>
      <c r="M2114" t="s">
        <v>65</v>
      </c>
      <c r="N2114" t="s">
        <v>770</v>
      </c>
      <c r="O2114">
        <v>1</v>
      </c>
      <c r="P2114" t="s">
        <v>776</v>
      </c>
      <c r="Q2114">
        <v>29.9</v>
      </c>
      <c r="R2114">
        <v>5.39</v>
      </c>
      <c r="S2114">
        <v>3</v>
      </c>
      <c r="T2114">
        <v>0.54</v>
      </c>
      <c r="Y2114" t="s">
        <v>8945</v>
      </c>
      <c r="Z2114" t="s">
        <v>1975</v>
      </c>
      <c r="AA2114">
        <v>20015</v>
      </c>
      <c r="AB2114" t="s">
        <v>11</v>
      </c>
    </row>
    <row r="2115" spans="1:28" x14ac:dyDescent="0.25">
      <c r="A2115" t="s">
        <v>8946</v>
      </c>
      <c r="B2115" t="s">
        <v>8946</v>
      </c>
      <c r="C2115" t="s">
        <v>8947</v>
      </c>
      <c r="D2115" t="s">
        <v>8948</v>
      </c>
      <c r="E2115" t="s">
        <v>770</v>
      </c>
      <c r="F2115" t="s">
        <v>771</v>
      </c>
      <c r="G2115" t="s">
        <v>1854</v>
      </c>
      <c r="J2115" t="s">
        <v>783</v>
      </c>
      <c r="K2115" t="s">
        <v>1862</v>
      </c>
      <c r="L2115" t="s">
        <v>1505</v>
      </c>
      <c r="M2115" t="s">
        <v>53</v>
      </c>
      <c r="N2115" t="s">
        <v>770</v>
      </c>
      <c r="O2115">
        <v>1</v>
      </c>
      <c r="P2115" t="s">
        <v>776</v>
      </c>
      <c r="Q2115">
        <v>32.9</v>
      </c>
      <c r="R2115">
        <v>5.93</v>
      </c>
      <c r="Y2115" t="s">
        <v>1875</v>
      </c>
      <c r="Z2115" t="s">
        <v>1875</v>
      </c>
      <c r="AA2115">
        <v>20123</v>
      </c>
      <c r="AB2115" t="s">
        <v>11</v>
      </c>
    </row>
    <row r="2116" spans="1:28" x14ac:dyDescent="0.25">
      <c r="A2116" t="s">
        <v>8949</v>
      </c>
      <c r="C2116" t="s">
        <v>8950</v>
      </c>
      <c r="D2116" t="s">
        <v>8951</v>
      </c>
      <c r="E2116" t="s">
        <v>770</v>
      </c>
      <c r="F2116" t="s">
        <v>1884</v>
      </c>
      <c r="G2116" t="s">
        <v>1854</v>
      </c>
      <c r="H2116" t="s">
        <v>1885</v>
      </c>
      <c r="J2116" t="s">
        <v>773</v>
      </c>
      <c r="K2116" t="s">
        <v>2396</v>
      </c>
      <c r="L2116" t="s">
        <v>89</v>
      </c>
      <c r="M2116" t="s">
        <v>88</v>
      </c>
      <c r="N2116" t="s">
        <v>770</v>
      </c>
      <c r="O2116">
        <v>1</v>
      </c>
      <c r="P2116" t="s">
        <v>776</v>
      </c>
      <c r="Q2116">
        <v>59.9</v>
      </c>
      <c r="R2116">
        <v>10.8</v>
      </c>
      <c r="S2116">
        <v>3</v>
      </c>
      <c r="T2116">
        <v>0.54</v>
      </c>
      <c r="Y2116" t="s">
        <v>1961</v>
      </c>
      <c r="Z2116" t="s">
        <v>1864</v>
      </c>
      <c r="AA2116">
        <v>20154</v>
      </c>
      <c r="AB2116" t="s">
        <v>11</v>
      </c>
    </row>
    <row r="2117" spans="1:28" x14ac:dyDescent="0.25">
      <c r="A2117" t="s">
        <v>8952</v>
      </c>
      <c r="C2117" t="s">
        <v>8953</v>
      </c>
      <c r="D2117" t="s">
        <v>8954</v>
      </c>
      <c r="E2117" t="s">
        <v>770</v>
      </c>
      <c r="F2117" t="s">
        <v>1884</v>
      </c>
      <c r="G2117" t="s">
        <v>1854</v>
      </c>
      <c r="H2117" t="s">
        <v>1885</v>
      </c>
      <c r="J2117" t="s">
        <v>773</v>
      </c>
      <c r="K2117" t="s">
        <v>2652</v>
      </c>
      <c r="L2117" t="s">
        <v>52</v>
      </c>
      <c r="M2117" t="s">
        <v>51</v>
      </c>
      <c r="N2117" t="s">
        <v>770</v>
      </c>
      <c r="O2117">
        <v>1</v>
      </c>
      <c r="P2117" t="s">
        <v>776</v>
      </c>
      <c r="Q2117">
        <v>24.9</v>
      </c>
      <c r="R2117">
        <v>4.49</v>
      </c>
      <c r="S2117">
        <v>3</v>
      </c>
      <c r="T2117">
        <v>0.54</v>
      </c>
      <c r="Y2117" t="s">
        <v>2286</v>
      </c>
      <c r="Z2117" t="s">
        <v>4965</v>
      </c>
      <c r="AA2117">
        <v>56124</v>
      </c>
      <c r="AB2117" t="s">
        <v>11</v>
      </c>
    </row>
    <row r="2118" spans="1:28" x14ac:dyDescent="0.25">
      <c r="A2118" t="s">
        <v>8955</v>
      </c>
      <c r="B2118" t="s">
        <v>8955</v>
      </c>
      <c r="C2118" t="s">
        <v>8956</v>
      </c>
      <c r="D2118" t="s">
        <v>8957</v>
      </c>
      <c r="E2118" t="s">
        <v>770</v>
      </c>
      <c r="F2118" t="s">
        <v>771</v>
      </c>
      <c r="G2118" t="s">
        <v>1854</v>
      </c>
      <c r="J2118" t="s">
        <v>783</v>
      </c>
      <c r="K2118" t="s">
        <v>1873</v>
      </c>
      <c r="L2118" t="s">
        <v>840</v>
      </c>
      <c r="M2118" t="s">
        <v>26</v>
      </c>
      <c r="N2118" t="s">
        <v>770</v>
      </c>
      <c r="O2118">
        <v>1</v>
      </c>
      <c r="P2118" t="s">
        <v>776</v>
      </c>
      <c r="Q2118">
        <v>34.9</v>
      </c>
      <c r="R2118">
        <v>6.29</v>
      </c>
      <c r="Y2118" t="s">
        <v>8958</v>
      </c>
      <c r="Z2118" t="s">
        <v>2257</v>
      </c>
      <c r="AA2118">
        <v>40055</v>
      </c>
      <c r="AB2118" t="s">
        <v>11</v>
      </c>
    </row>
    <row r="2119" spans="1:28" x14ac:dyDescent="0.25">
      <c r="A2119" t="s">
        <v>8959</v>
      </c>
      <c r="C2119" t="s">
        <v>8960</v>
      </c>
      <c r="D2119" t="s">
        <v>8859</v>
      </c>
      <c r="E2119" t="s">
        <v>770</v>
      </c>
      <c r="F2119" t="s">
        <v>1884</v>
      </c>
      <c r="G2119" t="s">
        <v>1854</v>
      </c>
      <c r="H2119" t="s">
        <v>1885</v>
      </c>
      <c r="J2119" t="s">
        <v>773</v>
      </c>
      <c r="K2119" t="s">
        <v>1960</v>
      </c>
      <c r="L2119" t="s">
        <v>22</v>
      </c>
      <c r="M2119" t="s">
        <v>21</v>
      </c>
      <c r="N2119" t="s">
        <v>770</v>
      </c>
      <c r="O2119">
        <v>1</v>
      </c>
      <c r="P2119" t="s">
        <v>776</v>
      </c>
      <c r="Q2119">
        <v>29.9</v>
      </c>
      <c r="R2119">
        <v>5.39</v>
      </c>
      <c r="S2119">
        <v>3</v>
      </c>
      <c r="T2119">
        <v>0.54</v>
      </c>
      <c r="Y2119" t="s">
        <v>2635</v>
      </c>
      <c r="Z2119" t="s">
        <v>2635</v>
      </c>
      <c r="AA2119">
        <v>97100</v>
      </c>
      <c r="AB2119" t="s">
        <v>11</v>
      </c>
    </row>
    <row r="2120" spans="1:28" x14ac:dyDescent="0.25">
      <c r="A2120" t="s">
        <v>8961</v>
      </c>
      <c r="C2120" t="s">
        <v>8962</v>
      </c>
      <c r="D2120" t="s">
        <v>8589</v>
      </c>
      <c r="E2120" t="s">
        <v>770</v>
      </c>
      <c r="F2120" t="s">
        <v>1884</v>
      </c>
      <c r="G2120" t="s">
        <v>1854</v>
      </c>
      <c r="H2120" t="s">
        <v>1885</v>
      </c>
      <c r="J2120" t="s">
        <v>773</v>
      </c>
      <c r="K2120" t="s">
        <v>2913</v>
      </c>
      <c r="L2120" t="s">
        <v>99</v>
      </c>
      <c r="M2120" t="s">
        <v>98</v>
      </c>
      <c r="N2120" t="s">
        <v>770</v>
      </c>
      <c r="O2120">
        <v>1</v>
      </c>
      <c r="P2120" t="s">
        <v>776</v>
      </c>
      <c r="Q2120">
        <v>29.9</v>
      </c>
      <c r="R2120">
        <v>5.39</v>
      </c>
      <c r="S2120">
        <v>3</v>
      </c>
      <c r="T2120">
        <v>0.54</v>
      </c>
      <c r="Y2120" t="s">
        <v>3954</v>
      </c>
      <c r="Z2120" t="s">
        <v>2533</v>
      </c>
      <c r="AA2120">
        <v>35013</v>
      </c>
      <c r="AB2120" t="s">
        <v>11</v>
      </c>
    </row>
    <row r="2121" spans="1:28" x14ac:dyDescent="0.25">
      <c r="A2121" t="s">
        <v>8963</v>
      </c>
      <c r="C2121" t="s">
        <v>8964</v>
      </c>
      <c r="D2121" t="s">
        <v>8965</v>
      </c>
      <c r="E2121" t="s">
        <v>770</v>
      </c>
      <c r="F2121" t="s">
        <v>1884</v>
      </c>
      <c r="G2121" t="s">
        <v>1854</v>
      </c>
      <c r="H2121" t="s">
        <v>1885</v>
      </c>
      <c r="J2121" t="s">
        <v>773</v>
      </c>
      <c r="K2121" t="s">
        <v>1902</v>
      </c>
      <c r="L2121" t="s">
        <v>15</v>
      </c>
      <c r="M2121" t="s">
        <v>14</v>
      </c>
      <c r="N2121" t="s">
        <v>770</v>
      </c>
      <c r="O2121">
        <v>1</v>
      </c>
      <c r="P2121" t="s">
        <v>776</v>
      </c>
      <c r="Q2121">
        <v>15.9</v>
      </c>
      <c r="R2121">
        <v>2.87</v>
      </c>
      <c r="S2121">
        <v>3</v>
      </c>
      <c r="T2121">
        <v>0.54</v>
      </c>
      <c r="Y2121" t="s">
        <v>3622</v>
      </c>
      <c r="Z2121" t="s">
        <v>2236</v>
      </c>
      <c r="AA2121">
        <v>54100</v>
      </c>
      <c r="AB2121" t="s">
        <v>11</v>
      </c>
    </row>
    <row r="2122" spans="1:28" x14ac:dyDescent="0.25">
      <c r="A2122" t="s">
        <v>8966</v>
      </c>
      <c r="B2122" t="s">
        <v>8966</v>
      </c>
      <c r="C2122" t="s">
        <v>8967</v>
      </c>
      <c r="D2122" t="s">
        <v>8968</v>
      </c>
      <c r="E2122" t="s">
        <v>770</v>
      </c>
      <c r="F2122" t="s">
        <v>771</v>
      </c>
      <c r="G2122" t="s">
        <v>1854</v>
      </c>
      <c r="J2122" t="s">
        <v>783</v>
      </c>
      <c r="K2122" t="s">
        <v>1873</v>
      </c>
      <c r="L2122" t="s">
        <v>840</v>
      </c>
      <c r="M2122" t="s">
        <v>26</v>
      </c>
      <c r="N2122" t="s">
        <v>770</v>
      </c>
      <c r="O2122">
        <v>1</v>
      </c>
      <c r="P2122" t="s">
        <v>776</v>
      </c>
      <c r="Q2122">
        <v>34.9</v>
      </c>
      <c r="R2122">
        <v>6.29</v>
      </c>
      <c r="Y2122" t="s">
        <v>1913</v>
      </c>
      <c r="Z2122" t="s">
        <v>1913</v>
      </c>
      <c r="AA2122">
        <v>162</v>
      </c>
      <c r="AB2122" t="s">
        <v>11</v>
      </c>
    </row>
    <row r="2123" spans="1:28" x14ac:dyDescent="0.25">
      <c r="A2123" t="s">
        <v>8969</v>
      </c>
      <c r="B2123" t="s">
        <v>8969</v>
      </c>
      <c r="C2123" t="s">
        <v>8970</v>
      </c>
      <c r="D2123" t="s">
        <v>8971</v>
      </c>
      <c r="E2123" t="s">
        <v>770</v>
      </c>
      <c r="F2123" t="s">
        <v>771</v>
      </c>
      <c r="G2123" t="s">
        <v>1854</v>
      </c>
      <c r="J2123" t="s">
        <v>783</v>
      </c>
      <c r="K2123" t="s">
        <v>3363</v>
      </c>
      <c r="L2123" t="s">
        <v>5572</v>
      </c>
      <c r="M2123" t="s">
        <v>71</v>
      </c>
      <c r="N2123" t="s">
        <v>770</v>
      </c>
      <c r="O2123">
        <v>3</v>
      </c>
      <c r="P2123" t="s">
        <v>776</v>
      </c>
      <c r="Q2123">
        <v>89.7</v>
      </c>
      <c r="R2123">
        <v>16.170000000000002</v>
      </c>
      <c r="Y2123" t="s">
        <v>2134</v>
      </c>
      <c r="Z2123" t="s">
        <v>1926</v>
      </c>
      <c r="AA2123">
        <v>125</v>
      </c>
      <c r="AB2123" t="s">
        <v>11</v>
      </c>
    </row>
    <row r="2124" spans="1:28" x14ac:dyDescent="0.25">
      <c r="A2124" t="s">
        <v>8972</v>
      </c>
      <c r="B2124" t="s">
        <v>8972</v>
      </c>
      <c r="C2124" t="s">
        <v>8973</v>
      </c>
      <c r="D2124" t="s">
        <v>8974</v>
      </c>
      <c r="E2124" t="s">
        <v>770</v>
      </c>
      <c r="F2124" t="s">
        <v>771</v>
      </c>
      <c r="G2124" t="s">
        <v>1854</v>
      </c>
      <c r="J2124" t="s">
        <v>783</v>
      </c>
      <c r="K2124" t="s">
        <v>2162</v>
      </c>
      <c r="L2124" t="s">
        <v>2163</v>
      </c>
      <c r="M2124" t="s">
        <v>59</v>
      </c>
      <c r="N2124" t="s">
        <v>770</v>
      </c>
      <c r="O2124">
        <v>1</v>
      </c>
      <c r="P2124" t="s">
        <v>776</v>
      </c>
      <c r="Q2124">
        <v>29.9</v>
      </c>
      <c r="R2124">
        <v>5.39</v>
      </c>
      <c r="Y2124" t="s">
        <v>2601</v>
      </c>
      <c r="Z2124" t="s">
        <v>8975</v>
      </c>
      <c r="AA2124">
        <v>16149</v>
      </c>
      <c r="AB2124" t="s">
        <v>11</v>
      </c>
    </row>
    <row r="2125" spans="1:28" x14ac:dyDescent="0.25">
      <c r="A2125" t="s">
        <v>8976</v>
      </c>
      <c r="C2125" t="s">
        <v>8977</v>
      </c>
      <c r="D2125" t="s">
        <v>8978</v>
      </c>
      <c r="E2125" t="s">
        <v>770</v>
      </c>
      <c r="F2125" t="s">
        <v>1884</v>
      </c>
      <c r="G2125" t="s">
        <v>1854</v>
      </c>
      <c r="H2125" t="s">
        <v>1885</v>
      </c>
      <c r="J2125" t="s">
        <v>773</v>
      </c>
      <c r="K2125" t="s">
        <v>1873</v>
      </c>
      <c r="L2125" t="s">
        <v>27</v>
      </c>
      <c r="M2125" t="s">
        <v>26</v>
      </c>
      <c r="N2125" t="s">
        <v>770</v>
      </c>
      <c r="O2125">
        <v>1</v>
      </c>
      <c r="P2125" t="s">
        <v>776</v>
      </c>
      <c r="Q2125">
        <v>34.9</v>
      </c>
      <c r="R2125">
        <v>6.29</v>
      </c>
      <c r="S2125">
        <v>3</v>
      </c>
      <c r="T2125">
        <v>0.54</v>
      </c>
      <c r="Y2125" t="s">
        <v>8979</v>
      </c>
      <c r="Z2125" t="s">
        <v>2533</v>
      </c>
      <c r="AA2125">
        <v>35010</v>
      </c>
      <c r="AB2125" t="s">
        <v>11</v>
      </c>
    </row>
    <row r="2126" spans="1:28" x14ac:dyDescent="0.25">
      <c r="A2126" t="s">
        <v>8980</v>
      </c>
      <c r="C2126" t="s">
        <v>8981</v>
      </c>
      <c r="D2126" t="s">
        <v>8982</v>
      </c>
      <c r="E2126" t="s">
        <v>770</v>
      </c>
      <c r="F2126" t="s">
        <v>1884</v>
      </c>
      <c r="G2126" t="s">
        <v>1854</v>
      </c>
      <c r="H2126" t="s">
        <v>1885</v>
      </c>
      <c r="J2126" t="s">
        <v>773</v>
      </c>
      <c r="K2126" t="s">
        <v>1902</v>
      </c>
      <c r="L2126" t="s">
        <v>15</v>
      </c>
      <c r="M2126" t="s">
        <v>14</v>
      </c>
      <c r="N2126" t="s">
        <v>770</v>
      </c>
      <c r="O2126">
        <v>1</v>
      </c>
      <c r="P2126" t="s">
        <v>776</v>
      </c>
      <c r="Q2126">
        <v>15.9</v>
      </c>
      <c r="R2126">
        <v>2.87</v>
      </c>
      <c r="S2126">
        <v>3</v>
      </c>
      <c r="T2126">
        <v>0.54</v>
      </c>
      <c r="Y2126" t="s">
        <v>1913</v>
      </c>
      <c r="Z2126" t="s">
        <v>1926</v>
      </c>
      <c r="AA2126">
        <v>178</v>
      </c>
      <c r="AB2126" t="s">
        <v>11</v>
      </c>
    </row>
    <row r="2127" spans="1:28" x14ac:dyDescent="0.25">
      <c r="A2127" t="s">
        <v>8983</v>
      </c>
      <c r="B2127" t="s">
        <v>8983</v>
      </c>
      <c r="C2127" t="s">
        <v>8984</v>
      </c>
      <c r="D2127" t="s">
        <v>8985</v>
      </c>
      <c r="E2127" t="s">
        <v>770</v>
      </c>
      <c r="F2127" t="s">
        <v>771</v>
      </c>
      <c r="G2127" t="s">
        <v>1854</v>
      </c>
      <c r="J2127" t="s">
        <v>783</v>
      </c>
      <c r="K2127" t="s">
        <v>2424</v>
      </c>
      <c r="L2127" t="s">
        <v>2425</v>
      </c>
      <c r="M2127" t="s">
        <v>86</v>
      </c>
      <c r="N2127" t="s">
        <v>770</v>
      </c>
      <c r="O2127">
        <v>1</v>
      </c>
      <c r="P2127" t="s">
        <v>776</v>
      </c>
      <c r="Q2127">
        <v>39.9</v>
      </c>
      <c r="R2127">
        <v>7.2</v>
      </c>
      <c r="Y2127" t="s">
        <v>1908</v>
      </c>
      <c r="Z2127" t="s">
        <v>1908</v>
      </c>
      <c r="AA2127">
        <v>80126</v>
      </c>
      <c r="AB2127" t="s">
        <v>11</v>
      </c>
    </row>
    <row r="2128" spans="1:28" x14ac:dyDescent="0.25">
      <c r="A2128" t="s">
        <v>8986</v>
      </c>
      <c r="B2128" t="s">
        <v>8986</v>
      </c>
      <c r="C2128" t="s">
        <v>8987</v>
      </c>
      <c r="D2128" t="s">
        <v>8988</v>
      </c>
      <c r="E2128" t="s">
        <v>770</v>
      </c>
      <c r="F2128" t="s">
        <v>771</v>
      </c>
      <c r="G2128" t="s">
        <v>1854</v>
      </c>
      <c r="J2128" t="s">
        <v>783</v>
      </c>
      <c r="K2128" t="s">
        <v>1873</v>
      </c>
      <c r="L2128" t="s">
        <v>840</v>
      </c>
      <c r="M2128" t="s">
        <v>26</v>
      </c>
      <c r="N2128" t="s">
        <v>770</v>
      </c>
      <c r="O2128">
        <v>1</v>
      </c>
      <c r="P2128" t="s">
        <v>776</v>
      </c>
      <c r="Q2128">
        <v>34.9</v>
      </c>
      <c r="R2128">
        <v>6.29</v>
      </c>
      <c r="Y2128" t="s">
        <v>8989</v>
      </c>
      <c r="Z2128" t="s">
        <v>8990</v>
      </c>
      <c r="AA2128">
        <v>40053</v>
      </c>
      <c r="AB2128" t="s">
        <v>11</v>
      </c>
    </row>
    <row r="2129" spans="1:28" x14ac:dyDescent="0.25">
      <c r="A2129" t="s">
        <v>8991</v>
      </c>
      <c r="B2129" t="s">
        <v>8991</v>
      </c>
      <c r="C2129" t="s">
        <v>8992</v>
      </c>
      <c r="D2129" t="s">
        <v>8993</v>
      </c>
      <c r="E2129" t="s">
        <v>770</v>
      </c>
      <c r="F2129" t="s">
        <v>771</v>
      </c>
      <c r="G2129" t="s">
        <v>1854</v>
      </c>
      <c r="J2129" t="s">
        <v>783</v>
      </c>
      <c r="K2129" t="s">
        <v>1862</v>
      </c>
      <c r="L2129" t="s">
        <v>1505</v>
      </c>
      <c r="M2129" t="s">
        <v>53</v>
      </c>
      <c r="N2129" t="s">
        <v>770</v>
      </c>
      <c r="O2129">
        <v>1</v>
      </c>
      <c r="P2129" t="s">
        <v>776</v>
      </c>
      <c r="Q2129">
        <v>32.9</v>
      </c>
      <c r="R2129">
        <v>5.93</v>
      </c>
      <c r="Y2129" t="s">
        <v>8994</v>
      </c>
      <c r="Z2129" t="s">
        <v>2533</v>
      </c>
      <c r="AA2129">
        <v>35030</v>
      </c>
      <c r="AB2129" t="s">
        <v>11</v>
      </c>
    </row>
    <row r="2130" spans="1:28" x14ac:dyDescent="0.25">
      <c r="A2130" t="s">
        <v>8995</v>
      </c>
      <c r="B2130" t="s">
        <v>8995</v>
      </c>
      <c r="C2130" t="s">
        <v>8996</v>
      </c>
      <c r="D2130" t="s">
        <v>8997</v>
      </c>
      <c r="E2130" t="s">
        <v>770</v>
      </c>
      <c r="F2130" t="s">
        <v>771</v>
      </c>
      <c r="G2130" t="s">
        <v>1854</v>
      </c>
      <c r="J2130" t="s">
        <v>783</v>
      </c>
      <c r="K2130" t="s">
        <v>1862</v>
      </c>
      <c r="L2130" t="s">
        <v>1505</v>
      </c>
      <c r="M2130" t="s">
        <v>53</v>
      </c>
      <c r="N2130" t="s">
        <v>770</v>
      </c>
      <c r="O2130">
        <v>1</v>
      </c>
      <c r="P2130" t="s">
        <v>776</v>
      </c>
      <c r="Q2130">
        <v>32.9</v>
      </c>
      <c r="R2130">
        <v>5.93</v>
      </c>
      <c r="Y2130" t="s">
        <v>8998</v>
      </c>
      <c r="Z2130" t="s">
        <v>1893</v>
      </c>
      <c r="AA2130">
        <v>10040</v>
      </c>
      <c r="AB2130" t="s">
        <v>11</v>
      </c>
    </row>
    <row r="2131" spans="1:28" x14ac:dyDescent="0.25">
      <c r="A2131" t="s">
        <v>8999</v>
      </c>
      <c r="C2131" t="s">
        <v>9000</v>
      </c>
      <c r="D2131" t="s">
        <v>9001</v>
      </c>
      <c r="E2131" t="s">
        <v>770</v>
      </c>
      <c r="F2131" t="s">
        <v>1884</v>
      </c>
      <c r="G2131" t="s">
        <v>1854</v>
      </c>
      <c r="H2131" t="s">
        <v>1885</v>
      </c>
      <c r="J2131" t="s">
        <v>773</v>
      </c>
      <c r="K2131" t="s">
        <v>4822</v>
      </c>
      <c r="L2131" t="s">
        <v>123</v>
      </c>
      <c r="M2131" t="s">
        <v>122</v>
      </c>
      <c r="N2131" t="s">
        <v>770</v>
      </c>
      <c r="O2131">
        <v>1</v>
      </c>
      <c r="P2131" t="s">
        <v>776</v>
      </c>
      <c r="Q2131">
        <v>28.9</v>
      </c>
      <c r="R2131">
        <v>5.21</v>
      </c>
      <c r="S2131">
        <v>3</v>
      </c>
      <c r="T2131">
        <v>0.54</v>
      </c>
      <c r="Y2131" t="s">
        <v>9002</v>
      </c>
      <c r="Z2131" t="s">
        <v>9003</v>
      </c>
      <c r="AA2131">
        <v>47016</v>
      </c>
      <c r="AB2131" t="s">
        <v>11</v>
      </c>
    </row>
    <row r="2132" spans="1:28" x14ac:dyDescent="0.25">
      <c r="A2132" t="s">
        <v>9004</v>
      </c>
      <c r="B2132" t="s">
        <v>9004</v>
      </c>
      <c r="C2132" t="s">
        <v>9005</v>
      </c>
      <c r="D2132" t="s">
        <v>9006</v>
      </c>
      <c r="E2132" t="s">
        <v>770</v>
      </c>
      <c r="F2132" t="s">
        <v>771</v>
      </c>
      <c r="G2132" t="s">
        <v>1854</v>
      </c>
      <c r="J2132" t="s">
        <v>783</v>
      </c>
      <c r="K2132" t="s">
        <v>1879</v>
      </c>
      <c r="L2132" t="s">
        <v>1056</v>
      </c>
      <c r="M2132" t="s">
        <v>212</v>
      </c>
      <c r="N2132" t="s">
        <v>770</v>
      </c>
      <c r="O2132">
        <v>1</v>
      </c>
      <c r="P2132" t="s">
        <v>776</v>
      </c>
      <c r="Q2132">
        <v>39.9</v>
      </c>
      <c r="R2132">
        <v>7.2</v>
      </c>
      <c r="Y2132" t="s">
        <v>9007</v>
      </c>
      <c r="Z2132" t="s">
        <v>9008</v>
      </c>
      <c r="AA2132">
        <v>53041</v>
      </c>
      <c r="AB2132" t="s">
        <v>11</v>
      </c>
    </row>
    <row r="2133" spans="1:28" x14ac:dyDescent="0.25">
      <c r="A2133" t="s">
        <v>9009</v>
      </c>
      <c r="B2133" t="s">
        <v>9009</v>
      </c>
      <c r="C2133" t="s">
        <v>9010</v>
      </c>
      <c r="D2133" t="s">
        <v>9011</v>
      </c>
      <c r="E2133" t="s">
        <v>770</v>
      </c>
      <c r="F2133" t="s">
        <v>771</v>
      </c>
      <c r="G2133" t="s">
        <v>1854</v>
      </c>
      <c r="J2133" t="s">
        <v>783</v>
      </c>
      <c r="K2133" t="s">
        <v>1862</v>
      </c>
      <c r="L2133" t="s">
        <v>1505</v>
      </c>
      <c r="M2133" t="s">
        <v>53</v>
      </c>
      <c r="N2133" t="s">
        <v>770</v>
      </c>
      <c r="O2133">
        <v>1</v>
      </c>
      <c r="P2133" t="s">
        <v>776</v>
      </c>
      <c r="Q2133">
        <v>32.9</v>
      </c>
      <c r="R2133">
        <v>5.93</v>
      </c>
      <c r="Y2133" t="s">
        <v>9012</v>
      </c>
      <c r="Z2133" t="s">
        <v>2179</v>
      </c>
      <c r="AA2133">
        <v>29010</v>
      </c>
      <c r="AB2133" t="s">
        <v>11</v>
      </c>
    </row>
    <row r="2134" spans="1:28" x14ac:dyDescent="0.25">
      <c r="A2134" t="s">
        <v>9013</v>
      </c>
      <c r="B2134" t="s">
        <v>9013</v>
      </c>
      <c r="C2134" t="s">
        <v>9014</v>
      </c>
      <c r="D2134" t="s">
        <v>9015</v>
      </c>
      <c r="E2134" t="s">
        <v>770</v>
      </c>
      <c r="F2134" t="s">
        <v>771</v>
      </c>
      <c r="G2134" t="s">
        <v>1854</v>
      </c>
      <c r="J2134" t="s">
        <v>783</v>
      </c>
      <c r="K2134" t="s">
        <v>1862</v>
      </c>
      <c r="L2134" t="s">
        <v>1505</v>
      </c>
      <c r="M2134" t="s">
        <v>53</v>
      </c>
      <c r="N2134" t="s">
        <v>770</v>
      </c>
      <c r="O2134">
        <v>1</v>
      </c>
      <c r="P2134" t="s">
        <v>776</v>
      </c>
      <c r="Q2134">
        <v>32.9</v>
      </c>
      <c r="R2134">
        <v>5.93</v>
      </c>
      <c r="Y2134" t="s">
        <v>2602</v>
      </c>
      <c r="Z2134" t="s">
        <v>2602</v>
      </c>
      <c r="AA2134">
        <v>16144</v>
      </c>
      <c r="AB2134" t="s">
        <v>11</v>
      </c>
    </row>
    <row r="2135" spans="1:28" x14ac:dyDescent="0.25">
      <c r="A2135" t="s">
        <v>9016</v>
      </c>
      <c r="C2135" t="s">
        <v>9017</v>
      </c>
      <c r="D2135" t="s">
        <v>9018</v>
      </c>
      <c r="E2135" t="s">
        <v>770</v>
      </c>
      <c r="F2135" t="s">
        <v>1884</v>
      </c>
      <c r="G2135" t="s">
        <v>1854</v>
      </c>
      <c r="H2135" t="s">
        <v>1885</v>
      </c>
      <c r="J2135" t="s">
        <v>773</v>
      </c>
      <c r="K2135" t="s">
        <v>1886</v>
      </c>
      <c r="L2135" t="s">
        <v>18</v>
      </c>
      <c r="M2135" t="s">
        <v>17</v>
      </c>
      <c r="N2135" t="s">
        <v>770</v>
      </c>
      <c r="O2135">
        <v>2</v>
      </c>
      <c r="P2135" t="s">
        <v>776</v>
      </c>
      <c r="Q2135">
        <v>45.8</v>
      </c>
      <c r="R2135">
        <v>8.26</v>
      </c>
      <c r="S2135">
        <v>6</v>
      </c>
      <c r="T2135">
        <v>1.08</v>
      </c>
      <c r="Y2135" t="s">
        <v>9019</v>
      </c>
      <c r="Z2135" t="s">
        <v>3608</v>
      </c>
      <c r="AA2135">
        <v>21010</v>
      </c>
      <c r="AB2135" t="s">
        <v>11</v>
      </c>
    </row>
    <row r="2136" spans="1:28" x14ac:dyDescent="0.25">
      <c r="A2136" t="s">
        <v>9020</v>
      </c>
      <c r="C2136" t="s">
        <v>9021</v>
      </c>
      <c r="D2136" t="s">
        <v>9022</v>
      </c>
      <c r="E2136" t="s">
        <v>770</v>
      </c>
      <c r="F2136" t="s">
        <v>1884</v>
      </c>
      <c r="G2136" t="s">
        <v>1854</v>
      </c>
      <c r="H2136" t="s">
        <v>1885</v>
      </c>
      <c r="J2136" t="s">
        <v>773</v>
      </c>
      <c r="K2136" t="s">
        <v>1886</v>
      </c>
      <c r="L2136" t="s">
        <v>18</v>
      </c>
      <c r="M2136" t="s">
        <v>17</v>
      </c>
      <c r="N2136" t="s">
        <v>770</v>
      </c>
      <c r="O2136">
        <v>1</v>
      </c>
      <c r="P2136" t="s">
        <v>776</v>
      </c>
      <c r="Q2136">
        <v>22.9</v>
      </c>
      <c r="R2136">
        <v>4.13</v>
      </c>
      <c r="S2136">
        <v>3</v>
      </c>
      <c r="T2136">
        <v>0.54</v>
      </c>
      <c r="Y2136" t="s">
        <v>9023</v>
      </c>
      <c r="Z2136" t="s">
        <v>1913</v>
      </c>
      <c r="AA2136">
        <v>42</v>
      </c>
      <c r="AB2136" t="s">
        <v>11</v>
      </c>
    </row>
    <row r="2137" spans="1:28" x14ac:dyDescent="0.25">
      <c r="A2137" t="s">
        <v>9024</v>
      </c>
      <c r="C2137" t="s">
        <v>9025</v>
      </c>
      <c r="D2137" t="s">
        <v>9026</v>
      </c>
      <c r="E2137" t="s">
        <v>770</v>
      </c>
      <c r="F2137" t="s">
        <v>1884</v>
      </c>
      <c r="G2137" t="s">
        <v>1854</v>
      </c>
      <c r="H2137" t="s">
        <v>1885</v>
      </c>
      <c r="J2137" t="s">
        <v>773</v>
      </c>
      <c r="K2137" t="s">
        <v>1930</v>
      </c>
      <c r="L2137" t="s">
        <v>66</v>
      </c>
      <c r="M2137" t="s">
        <v>65</v>
      </c>
      <c r="N2137" t="s">
        <v>770</v>
      </c>
      <c r="O2137">
        <v>1</v>
      </c>
      <c r="P2137" t="s">
        <v>776</v>
      </c>
      <c r="Q2137">
        <v>29.9</v>
      </c>
      <c r="R2137">
        <v>5.39</v>
      </c>
      <c r="S2137">
        <v>3</v>
      </c>
      <c r="T2137">
        <v>0.54</v>
      </c>
      <c r="Y2137" t="s">
        <v>9027</v>
      </c>
      <c r="Z2137" t="s">
        <v>1908</v>
      </c>
      <c r="AA2137">
        <v>80062</v>
      </c>
      <c r="AB2137" t="s">
        <v>11</v>
      </c>
    </row>
    <row r="2138" spans="1:28" x14ac:dyDescent="0.25">
      <c r="A2138" t="s">
        <v>9028</v>
      </c>
      <c r="B2138" t="s">
        <v>9028</v>
      </c>
      <c r="C2138" t="s">
        <v>9029</v>
      </c>
      <c r="D2138" t="s">
        <v>9030</v>
      </c>
      <c r="E2138" t="s">
        <v>770</v>
      </c>
      <c r="F2138" t="s">
        <v>771</v>
      </c>
      <c r="G2138" t="s">
        <v>1854</v>
      </c>
      <c r="J2138" t="s">
        <v>783</v>
      </c>
      <c r="K2138" t="s">
        <v>1862</v>
      </c>
      <c r="L2138" t="s">
        <v>1505</v>
      </c>
      <c r="M2138" t="s">
        <v>53</v>
      </c>
      <c r="N2138" t="s">
        <v>770</v>
      </c>
      <c r="O2138">
        <v>1</v>
      </c>
      <c r="P2138" t="s">
        <v>776</v>
      </c>
      <c r="Q2138">
        <v>32.9</v>
      </c>
      <c r="R2138">
        <v>5.93</v>
      </c>
      <c r="S2138">
        <v>0.62</v>
      </c>
      <c r="T2138">
        <v>0.11</v>
      </c>
      <c r="Y2138" t="s">
        <v>9031</v>
      </c>
      <c r="Z2138" t="s">
        <v>1893</v>
      </c>
      <c r="AA2138">
        <v>10040</v>
      </c>
      <c r="AB2138" t="s">
        <v>11</v>
      </c>
    </row>
    <row r="2139" spans="1:28" x14ac:dyDescent="0.25">
      <c r="A2139" t="s">
        <v>9032</v>
      </c>
      <c r="B2139" t="s">
        <v>9032</v>
      </c>
      <c r="C2139" t="s">
        <v>9033</v>
      </c>
      <c r="D2139" t="s">
        <v>9034</v>
      </c>
      <c r="E2139" t="s">
        <v>770</v>
      </c>
      <c r="F2139" t="s">
        <v>771</v>
      </c>
      <c r="G2139" t="s">
        <v>1854</v>
      </c>
      <c r="J2139" t="s">
        <v>783</v>
      </c>
      <c r="K2139" t="s">
        <v>2162</v>
      </c>
      <c r="L2139" t="s">
        <v>2163</v>
      </c>
      <c r="M2139" t="s">
        <v>59</v>
      </c>
      <c r="N2139" t="s">
        <v>770</v>
      </c>
      <c r="O2139">
        <v>1</v>
      </c>
      <c r="P2139" t="s">
        <v>776</v>
      </c>
      <c r="Q2139">
        <v>29.9</v>
      </c>
      <c r="R2139">
        <v>5.39</v>
      </c>
      <c r="Y2139" t="s">
        <v>2533</v>
      </c>
      <c r="Z2139" t="s">
        <v>2533</v>
      </c>
      <c r="AA2139">
        <v>35128</v>
      </c>
      <c r="AB2139" t="s">
        <v>11</v>
      </c>
    </row>
    <row r="2140" spans="1:28" x14ac:dyDescent="0.25">
      <c r="A2140" t="s">
        <v>9035</v>
      </c>
      <c r="B2140" t="s">
        <v>9035</v>
      </c>
      <c r="C2140" t="s">
        <v>9036</v>
      </c>
      <c r="D2140" t="s">
        <v>9037</v>
      </c>
      <c r="E2140" t="s">
        <v>770</v>
      </c>
      <c r="F2140" t="s">
        <v>771</v>
      </c>
      <c r="G2140" t="s">
        <v>1854</v>
      </c>
      <c r="J2140" t="s">
        <v>783</v>
      </c>
      <c r="K2140" t="s">
        <v>2162</v>
      </c>
      <c r="L2140" t="s">
        <v>2163</v>
      </c>
      <c r="M2140" t="s">
        <v>59</v>
      </c>
      <c r="N2140" t="s">
        <v>770</v>
      </c>
      <c r="O2140">
        <v>1</v>
      </c>
      <c r="P2140" t="s">
        <v>776</v>
      </c>
      <c r="Q2140">
        <v>29.9</v>
      </c>
      <c r="R2140">
        <v>5.39</v>
      </c>
      <c r="Y2140" t="s">
        <v>9038</v>
      </c>
      <c r="Z2140" t="s">
        <v>4692</v>
      </c>
      <c r="AA2140">
        <v>60129</v>
      </c>
      <c r="AB2140" t="s">
        <v>11</v>
      </c>
    </row>
    <row r="2141" spans="1:28" x14ac:dyDescent="0.25">
      <c r="A2141" t="s">
        <v>9039</v>
      </c>
      <c r="B2141" t="s">
        <v>9039</v>
      </c>
      <c r="C2141" t="s">
        <v>9040</v>
      </c>
      <c r="D2141" t="s">
        <v>9041</v>
      </c>
      <c r="E2141" t="s">
        <v>770</v>
      </c>
      <c r="F2141" t="s">
        <v>771</v>
      </c>
      <c r="G2141" t="s">
        <v>1854</v>
      </c>
      <c r="J2141" t="s">
        <v>783</v>
      </c>
      <c r="K2141" t="s">
        <v>2162</v>
      </c>
      <c r="L2141" t="s">
        <v>2163</v>
      </c>
      <c r="M2141" t="s">
        <v>59</v>
      </c>
      <c r="N2141" t="s">
        <v>770</v>
      </c>
      <c r="O2141">
        <v>1</v>
      </c>
      <c r="P2141" t="s">
        <v>776</v>
      </c>
      <c r="Q2141">
        <v>29.9</v>
      </c>
      <c r="R2141">
        <v>5.39</v>
      </c>
      <c r="Y2141" t="s">
        <v>9042</v>
      </c>
      <c r="Z2141" t="s">
        <v>1875</v>
      </c>
      <c r="AA2141">
        <v>20054</v>
      </c>
      <c r="AB2141" t="s">
        <v>11</v>
      </c>
    </row>
    <row r="2142" spans="1:28" x14ac:dyDescent="0.25">
      <c r="A2142" t="s">
        <v>9043</v>
      </c>
      <c r="B2142" t="s">
        <v>9043</v>
      </c>
      <c r="C2142" t="s">
        <v>9044</v>
      </c>
      <c r="D2142" t="s">
        <v>9045</v>
      </c>
      <c r="E2142" t="s">
        <v>770</v>
      </c>
      <c r="F2142" t="s">
        <v>771</v>
      </c>
      <c r="G2142" t="s">
        <v>1854</v>
      </c>
      <c r="J2142" t="s">
        <v>783</v>
      </c>
      <c r="K2142" t="s">
        <v>1879</v>
      </c>
      <c r="L2142" t="s">
        <v>1056</v>
      </c>
      <c r="M2142" t="s">
        <v>212</v>
      </c>
      <c r="N2142" t="s">
        <v>770</v>
      </c>
      <c r="O2142">
        <v>1</v>
      </c>
      <c r="P2142" t="s">
        <v>776</v>
      </c>
      <c r="Q2142">
        <v>39.9</v>
      </c>
      <c r="R2142">
        <v>7.2</v>
      </c>
      <c r="Y2142" t="s">
        <v>1913</v>
      </c>
      <c r="Z2142" t="s">
        <v>1926</v>
      </c>
      <c r="AA2142">
        <v>135</v>
      </c>
      <c r="AB2142" t="s">
        <v>11</v>
      </c>
    </row>
    <row r="2143" spans="1:28" x14ac:dyDescent="0.25">
      <c r="A2143" t="s">
        <v>9046</v>
      </c>
      <c r="B2143" t="s">
        <v>9046</v>
      </c>
      <c r="C2143" t="s">
        <v>9047</v>
      </c>
      <c r="D2143" t="s">
        <v>9048</v>
      </c>
      <c r="E2143" t="s">
        <v>770</v>
      </c>
      <c r="F2143" t="s">
        <v>771</v>
      </c>
      <c r="G2143" t="s">
        <v>1854</v>
      </c>
      <c r="J2143" t="s">
        <v>783</v>
      </c>
      <c r="K2143" t="s">
        <v>2162</v>
      </c>
      <c r="L2143" t="s">
        <v>2163</v>
      </c>
      <c r="M2143" t="s">
        <v>59</v>
      </c>
      <c r="N2143" t="s">
        <v>770</v>
      </c>
      <c r="O2143">
        <v>1</v>
      </c>
      <c r="P2143" t="s">
        <v>776</v>
      </c>
      <c r="Q2143">
        <v>29.9</v>
      </c>
      <c r="R2143">
        <v>5.39</v>
      </c>
      <c r="S2143">
        <v>0.47</v>
      </c>
      <c r="X2143">
        <v>0.47</v>
      </c>
      <c r="Y2143" t="s">
        <v>2196</v>
      </c>
      <c r="Z2143" t="s">
        <v>2153</v>
      </c>
      <c r="AA2143">
        <v>84091</v>
      </c>
      <c r="AB2143" t="s">
        <v>11</v>
      </c>
    </row>
    <row r="2144" spans="1:28" x14ac:dyDescent="0.25">
      <c r="A2144" t="s">
        <v>9049</v>
      </c>
      <c r="C2144" t="s">
        <v>9050</v>
      </c>
      <c r="D2144" t="s">
        <v>9051</v>
      </c>
      <c r="E2144" t="s">
        <v>770</v>
      </c>
      <c r="F2144" t="s">
        <v>1884</v>
      </c>
      <c r="G2144" t="s">
        <v>1854</v>
      </c>
      <c r="H2144" t="s">
        <v>1885</v>
      </c>
      <c r="J2144" t="s">
        <v>773</v>
      </c>
      <c r="K2144" t="s">
        <v>1886</v>
      </c>
      <c r="L2144" t="s">
        <v>18</v>
      </c>
      <c r="M2144" t="s">
        <v>17</v>
      </c>
      <c r="N2144" t="s">
        <v>770</v>
      </c>
      <c r="O2144">
        <v>1</v>
      </c>
      <c r="P2144" t="s">
        <v>776</v>
      </c>
      <c r="Q2144">
        <v>22.9</v>
      </c>
      <c r="R2144">
        <v>4.13</v>
      </c>
      <c r="S2144">
        <v>3</v>
      </c>
      <c r="T2144">
        <v>0.54</v>
      </c>
      <c r="Y2144" t="s">
        <v>9052</v>
      </c>
      <c r="Z2144" t="s">
        <v>2281</v>
      </c>
      <c r="AA2144">
        <v>73017</v>
      </c>
      <c r="AB2144" t="s">
        <v>11</v>
      </c>
    </row>
    <row r="2145" spans="1:28" x14ac:dyDescent="0.25">
      <c r="A2145" t="s">
        <v>9053</v>
      </c>
      <c r="B2145" t="s">
        <v>9053</v>
      </c>
      <c r="C2145" t="s">
        <v>9054</v>
      </c>
      <c r="D2145" t="s">
        <v>9055</v>
      </c>
      <c r="E2145" t="s">
        <v>770</v>
      </c>
      <c r="F2145" t="s">
        <v>771</v>
      </c>
      <c r="G2145" t="s">
        <v>1854</v>
      </c>
      <c r="J2145" t="s">
        <v>783</v>
      </c>
      <c r="K2145" t="s">
        <v>7589</v>
      </c>
      <c r="L2145" t="s">
        <v>7590</v>
      </c>
      <c r="M2145" t="s">
        <v>63</v>
      </c>
      <c r="N2145" t="s">
        <v>770</v>
      </c>
      <c r="O2145">
        <v>1</v>
      </c>
      <c r="P2145" t="s">
        <v>776</v>
      </c>
      <c r="Q2145">
        <v>89.9</v>
      </c>
      <c r="R2145">
        <v>16.21</v>
      </c>
      <c r="S2145">
        <v>3.27</v>
      </c>
      <c r="X2145">
        <v>3.27</v>
      </c>
      <c r="Y2145" t="s">
        <v>3147</v>
      </c>
      <c r="Z2145" t="s">
        <v>1997</v>
      </c>
      <c r="AA2145">
        <v>50121</v>
      </c>
      <c r="AB2145" t="s">
        <v>11</v>
      </c>
    </row>
    <row r="2146" spans="1:28" x14ac:dyDescent="0.25">
      <c r="A2146" t="s">
        <v>9056</v>
      </c>
      <c r="B2146" t="s">
        <v>9056</v>
      </c>
      <c r="C2146" t="s">
        <v>9057</v>
      </c>
      <c r="D2146" t="s">
        <v>9058</v>
      </c>
      <c r="E2146" t="s">
        <v>782</v>
      </c>
      <c r="F2146" t="s">
        <v>771</v>
      </c>
      <c r="G2146" t="s">
        <v>1854</v>
      </c>
      <c r="J2146" t="s">
        <v>783</v>
      </c>
      <c r="K2146" t="s">
        <v>7589</v>
      </c>
      <c r="L2146" t="s">
        <v>7590</v>
      </c>
      <c r="M2146" t="s">
        <v>63</v>
      </c>
      <c r="N2146" t="s">
        <v>782</v>
      </c>
      <c r="O2146">
        <v>0</v>
      </c>
      <c r="Y2146" t="s">
        <v>9059</v>
      </c>
      <c r="Z2146" t="s">
        <v>2101</v>
      </c>
      <c r="AA2146">
        <v>47853</v>
      </c>
      <c r="AB2146" t="s">
        <v>11</v>
      </c>
    </row>
    <row r="2147" spans="1:28" x14ac:dyDescent="0.25">
      <c r="A2147" t="s">
        <v>9060</v>
      </c>
      <c r="C2147" t="s">
        <v>9061</v>
      </c>
      <c r="D2147" t="s">
        <v>9062</v>
      </c>
      <c r="E2147" t="s">
        <v>770</v>
      </c>
      <c r="F2147" t="s">
        <v>1884</v>
      </c>
      <c r="G2147" t="s">
        <v>1854</v>
      </c>
      <c r="H2147" t="s">
        <v>1885</v>
      </c>
      <c r="J2147" t="s">
        <v>773</v>
      </c>
      <c r="K2147" t="s">
        <v>4822</v>
      </c>
      <c r="L2147" t="s">
        <v>123</v>
      </c>
      <c r="M2147" t="s">
        <v>122</v>
      </c>
      <c r="N2147" t="s">
        <v>770</v>
      </c>
      <c r="O2147">
        <v>1</v>
      </c>
      <c r="P2147" t="s">
        <v>776</v>
      </c>
      <c r="Q2147">
        <v>28.9</v>
      </c>
      <c r="R2147">
        <v>5.21</v>
      </c>
      <c r="S2147">
        <v>3</v>
      </c>
      <c r="T2147">
        <v>0.54</v>
      </c>
      <c r="Y2147" t="s">
        <v>2463</v>
      </c>
      <c r="Z2147" t="s">
        <v>2463</v>
      </c>
      <c r="AA2147">
        <v>6132</v>
      </c>
      <c r="AB2147" t="s">
        <v>11</v>
      </c>
    </row>
    <row r="2148" spans="1:28" x14ac:dyDescent="0.25">
      <c r="A2148" t="s">
        <v>9063</v>
      </c>
      <c r="C2148" t="s">
        <v>9064</v>
      </c>
      <c r="D2148" t="s">
        <v>9065</v>
      </c>
      <c r="E2148" t="s">
        <v>770</v>
      </c>
      <c r="F2148" t="s">
        <v>1884</v>
      </c>
      <c r="G2148" t="s">
        <v>1854</v>
      </c>
      <c r="H2148" t="s">
        <v>1885</v>
      </c>
      <c r="J2148" t="s">
        <v>773</v>
      </c>
      <c r="K2148" t="s">
        <v>1873</v>
      </c>
      <c r="L2148" t="s">
        <v>27</v>
      </c>
      <c r="M2148" t="s">
        <v>26</v>
      </c>
      <c r="N2148" t="s">
        <v>770</v>
      </c>
      <c r="O2148">
        <v>1</v>
      </c>
      <c r="P2148" t="s">
        <v>776</v>
      </c>
      <c r="Q2148">
        <v>34.9</v>
      </c>
      <c r="R2148">
        <v>6.29</v>
      </c>
      <c r="S2148">
        <v>3</v>
      </c>
      <c r="T2148">
        <v>0.54</v>
      </c>
      <c r="Y2148" t="s">
        <v>9066</v>
      </c>
      <c r="Z2148" t="s">
        <v>2126</v>
      </c>
      <c r="AA2148">
        <v>81030</v>
      </c>
      <c r="AB2148" t="s">
        <v>11</v>
      </c>
    </row>
    <row r="2149" spans="1:28" x14ac:dyDescent="0.25">
      <c r="A2149" t="s">
        <v>9067</v>
      </c>
      <c r="C2149" t="s">
        <v>9068</v>
      </c>
      <c r="D2149" t="s">
        <v>9069</v>
      </c>
      <c r="E2149" t="s">
        <v>770</v>
      </c>
      <c r="F2149" t="s">
        <v>1884</v>
      </c>
      <c r="G2149" t="s">
        <v>1854</v>
      </c>
      <c r="H2149" t="s">
        <v>1885</v>
      </c>
      <c r="J2149" t="s">
        <v>773</v>
      </c>
      <c r="K2149" t="s">
        <v>1873</v>
      </c>
      <c r="L2149" t="s">
        <v>27</v>
      </c>
      <c r="M2149" t="s">
        <v>26</v>
      </c>
      <c r="N2149" t="s">
        <v>770</v>
      </c>
      <c r="O2149">
        <v>1</v>
      </c>
      <c r="P2149" t="s">
        <v>776</v>
      </c>
      <c r="Q2149">
        <v>34.9</v>
      </c>
      <c r="R2149">
        <v>6.29</v>
      </c>
      <c r="S2149">
        <v>3</v>
      </c>
      <c r="T2149">
        <v>0.54</v>
      </c>
      <c r="Y2149" t="s">
        <v>2143</v>
      </c>
      <c r="Z2149" t="s">
        <v>2143</v>
      </c>
      <c r="AA2149">
        <v>3100</v>
      </c>
      <c r="AB2149" t="s">
        <v>11</v>
      </c>
    </row>
    <row r="2150" spans="1:28" x14ac:dyDescent="0.25">
      <c r="A2150" t="s">
        <v>9070</v>
      </c>
      <c r="B2150" t="s">
        <v>9070</v>
      </c>
      <c r="C2150" t="s">
        <v>9071</v>
      </c>
      <c r="D2150" t="s">
        <v>9072</v>
      </c>
      <c r="E2150" t="s">
        <v>770</v>
      </c>
      <c r="F2150" t="s">
        <v>771</v>
      </c>
      <c r="G2150" t="s">
        <v>1854</v>
      </c>
      <c r="J2150" t="s">
        <v>783</v>
      </c>
      <c r="K2150" t="s">
        <v>7589</v>
      </c>
      <c r="L2150" t="s">
        <v>7590</v>
      </c>
      <c r="M2150" t="s">
        <v>63</v>
      </c>
      <c r="N2150" t="s">
        <v>770</v>
      </c>
      <c r="O2150">
        <v>1</v>
      </c>
      <c r="P2150" t="s">
        <v>776</v>
      </c>
      <c r="Q2150">
        <v>89.9</v>
      </c>
      <c r="R2150">
        <v>16.21</v>
      </c>
      <c r="Y2150" t="s">
        <v>1913</v>
      </c>
      <c r="Z2150" t="s">
        <v>1926</v>
      </c>
      <c r="AA2150">
        <v>186</v>
      </c>
      <c r="AB2150" t="s">
        <v>11</v>
      </c>
    </row>
    <row r="2151" spans="1:28" x14ac:dyDescent="0.25">
      <c r="A2151" t="s">
        <v>9073</v>
      </c>
      <c r="B2151" t="s">
        <v>9073</v>
      </c>
      <c r="C2151" t="s">
        <v>9074</v>
      </c>
      <c r="D2151" t="s">
        <v>9075</v>
      </c>
      <c r="E2151" t="s">
        <v>770</v>
      </c>
      <c r="F2151" t="s">
        <v>771</v>
      </c>
      <c r="G2151" t="s">
        <v>1854</v>
      </c>
      <c r="J2151" t="s">
        <v>783</v>
      </c>
      <c r="K2151" t="s">
        <v>1862</v>
      </c>
      <c r="L2151" t="s">
        <v>1505</v>
      </c>
      <c r="M2151" t="s">
        <v>53</v>
      </c>
      <c r="N2151" t="s">
        <v>770</v>
      </c>
      <c r="O2151">
        <v>1</v>
      </c>
      <c r="P2151" t="s">
        <v>776</v>
      </c>
      <c r="Q2151">
        <v>32.9</v>
      </c>
      <c r="R2151">
        <v>5.93</v>
      </c>
      <c r="S2151">
        <v>1.64</v>
      </c>
      <c r="X2151">
        <v>1.64</v>
      </c>
      <c r="Y2151" t="s">
        <v>1997</v>
      </c>
      <c r="Z2151" t="s">
        <v>1997</v>
      </c>
      <c r="AA2151">
        <v>50136</v>
      </c>
      <c r="AB2151" t="s">
        <v>11</v>
      </c>
    </row>
    <row r="2152" spans="1:28" x14ac:dyDescent="0.25">
      <c r="A2152" t="s">
        <v>9076</v>
      </c>
      <c r="B2152" t="s">
        <v>9076</v>
      </c>
      <c r="C2152" t="s">
        <v>9077</v>
      </c>
      <c r="D2152" t="s">
        <v>9078</v>
      </c>
      <c r="E2152" t="s">
        <v>770</v>
      </c>
      <c r="F2152" t="s">
        <v>771</v>
      </c>
      <c r="G2152" t="s">
        <v>1854</v>
      </c>
      <c r="J2152" t="s">
        <v>783</v>
      </c>
      <c r="K2152" t="s">
        <v>1862</v>
      </c>
      <c r="L2152" t="s">
        <v>1505</v>
      </c>
      <c r="M2152" t="s">
        <v>53</v>
      </c>
      <c r="N2152" t="s">
        <v>770</v>
      </c>
      <c r="O2152">
        <v>1</v>
      </c>
      <c r="P2152" t="s">
        <v>776</v>
      </c>
      <c r="Q2152">
        <v>32.9</v>
      </c>
      <c r="R2152">
        <v>5.93</v>
      </c>
      <c r="Y2152" t="s">
        <v>9079</v>
      </c>
      <c r="Z2152" t="s">
        <v>4046</v>
      </c>
      <c r="AA2152">
        <v>82020</v>
      </c>
      <c r="AB2152" t="s">
        <v>11</v>
      </c>
    </row>
    <row r="2153" spans="1:28" x14ac:dyDescent="0.25">
      <c r="A2153" t="s">
        <v>9080</v>
      </c>
      <c r="B2153" t="s">
        <v>9080</v>
      </c>
      <c r="C2153" t="s">
        <v>9081</v>
      </c>
      <c r="D2153" t="s">
        <v>9082</v>
      </c>
      <c r="E2153" t="s">
        <v>770</v>
      </c>
      <c r="F2153" t="s">
        <v>771</v>
      </c>
      <c r="G2153" t="s">
        <v>1854</v>
      </c>
      <c r="J2153" t="s">
        <v>783</v>
      </c>
      <c r="K2153" t="s">
        <v>1862</v>
      </c>
      <c r="L2153" t="s">
        <v>1505</v>
      </c>
      <c r="M2153" t="s">
        <v>53</v>
      </c>
      <c r="N2153" t="s">
        <v>770</v>
      </c>
      <c r="O2153">
        <v>1</v>
      </c>
      <c r="P2153" t="s">
        <v>776</v>
      </c>
      <c r="Q2153">
        <v>32.9</v>
      </c>
      <c r="R2153">
        <v>5.93</v>
      </c>
      <c r="Y2153" t="s">
        <v>1875</v>
      </c>
      <c r="Z2153" t="s">
        <v>1875</v>
      </c>
      <c r="AA2153">
        <v>20144</v>
      </c>
      <c r="AB2153" t="s">
        <v>11</v>
      </c>
    </row>
    <row r="2154" spans="1:28" x14ac:dyDescent="0.25">
      <c r="A2154" t="s">
        <v>9083</v>
      </c>
      <c r="C2154" t="s">
        <v>9084</v>
      </c>
      <c r="D2154" t="s">
        <v>9085</v>
      </c>
      <c r="E2154" t="s">
        <v>782</v>
      </c>
      <c r="F2154" t="s">
        <v>1884</v>
      </c>
      <c r="G2154" t="s">
        <v>1854</v>
      </c>
      <c r="H2154" t="s">
        <v>1885</v>
      </c>
      <c r="J2154" t="s">
        <v>773</v>
      </c>
      <c r="K2154" t="s">
        <v>1873</v>
      </c>
      <c r="L2154" t="s">
        <v>27</v>
      </c>
      <c r="M2154" t="s">
        <v>26</v>
      </c>
      <c r="O2154">
        <v>0</v>
      </c>
      <c r="Y2154" t="s">
        <v>9086</v>
      </c>
      <c r="Z2154" t="s">
        <v>2057</v>
      </c>
      <c r="AA2154">
        <v>37060</v>
      </c>
      <c r="AB2154" t="s">
        <v>11</v>
      </c>
    </row>
    <row r="2155" spans="1:28" x14ac:dyDescent="0.25">
      <c r="A2155" t="s">
        <v>9087</v>
      </c>
      <c r="B2155" t="s">
        <v>9087</v>
      </c>
      <c r="C2155" t="s">
        <v>9088</v>
      </c>
      <c r="D2155" t="s">
        <v>9089</v>
      </c>
      <c r="E2155" t="s">
        <v>770</v>
      </c>
      <c r="F2155" t="s">
        <v>771</v>
      </c>
      <c r="G2155" t="s">
        <v>1854</v>
      </c>
      <c r="J2155" t="s">
        <v>783</v>
      </c>
      <c r="K2155" t="s">
        <v>1862</v>
      </c>
      <c r="L2155" t="s">
        <v>1505</v>
      </c>
      <c r="M2155" t="s">
        <v>53</v>
      </c>
      <c r="N2155" t="s">
        <v>770</v>
      </c>
      <c r="O2155">
        <v>1</v>
      </c>
      <c r="P2155" t="s">
        <v>776</v>
      </c>
      <c r="Q2155">
        <v>32.9</v>
      </c>
      <c r="R2155">
        <v>5.93</v>
      </c>
      <c r="S2155">
        <v>0.5</v>
      </c>
      <c r="T2155">
        <v>0.09</v>
      </c>
      <c r="Y2155" t="s">
        <v>9090</v>
      </c>
      <c r="Z2155" t="s">
        <v>3364</v>
      </c>
      <c r="AA2155">
        <v>88046</v>
      </c>
      <c r="AB2155" t="s">
        <v>11</v>
      </c>
    </row>
    <row r="2156" spans="1:28" x14ac:dyDescent="0.25">
      <c r="A2156" t="s">
        <v>9091</v>
      </c>
      <c r="C2156" t="s">
        <v>9092</v>
      </c>
      <c r="D2156" t="s">
        <v>9093</v>
      </c>
      <c r="E2156" t="s">
        <v>770</v>
      </c>
      <c r="F2156" t="s">
        <v>1884</v>
      </c>
      <c r="G2156" t="s">
        <v>1854</v>
      </c>
      <c r="H2156" t="s">
        <v>1885</v>
      </c>
      <c r="J2156" t="s">
        <v>773</v>
      </c>
      <c r="K2156" t="s">
        <v>1930</v>
      </c>
      <c r="L2156" t="s">
        <v>66</v>
      </c>
      <c r="M2156" t="s">
        <v>65</v>
      </c>
      <c r="N2156" t="s">
        <v>770</v>
      </c>
      <c r="O2156">
        <v>1</v>
      </c>
      <c r="P2156" t="s">
        <v>776</v>
      </c>
      <c r="Q2156">
        <v>29.9</v>
      </c>
      <c r="R2156">
        <v>5.39</v>
      </c>
      <c r="S2156">
        <v>3</v>
      </c>
      <c r="T2156">
        <v>0.54</v>
      </c>
      <c r="Y2156" t="s">
        <v>4683</v>
      </c>
      <c r="Z2156" t="s">
        <v>4066</v>
      </c>
      <c r="AA2156">
        <v>52025</v>
      </c>
      <c r="AB2156" t="s">
        <v>11</v>
      </c>
    </row>
    <row r="2157" spans="1:28" x14ac:dyDescent="0.25">
      <c r="A2157" t="s">
        <v>9094</v>
      </c>
      <c r="B2157" t="s">
        <v>9094</v>
      </c>
      <c r="C2157" t="s">
        <v>9095</v>
      </c>
      <c r="D2157" t="s">
        <v>9096</v>
      </c>
      <c r="E2157" t="s">
        <v>770</v>
      </c>
      <c r="F2157" t="s">
        <v>771</v>
      </c>
      <c r="G2157" t="s">
        <v>1854</v>
      </c>
      <c r="J2157" t="s">
        <v>783</v>
      </c>
      <c r="K2157" t="s">
        <v>1862</v>
      </c>
      <c r="L2157" t="s">
        <v>1505</v>
      </c>
      <c r="M2157" t="s">
        <v>53</v>
      </c>
      <c r="N2157" t="s">
        <v>770</v>
      </c>
      <c r="O2157">
        <v>1</v>
      </c>
      <c r="P2157" t="s">
        <v>776</v>
      </c>
      <c r="Q2157">
        <v>32.9</v>
      </c>
      <c r="R2157">
        <v>5.93</v>
      </c>
      <c r="Y2157" t="s">
        <v>1875</v>
      </c>
      <c r="Z2157" t="s">
        <v>1875</v>
      </c>
      <c r="AA2157">
        <v>20138</v>
      </c>
      <c r="AB2157" t="s">
        <v>11</v>
      </c>
    </row>
    <row r="2158" spans="1:28" x14ac:dyDescent="0.25">
      <c r="A2158" t="s">
        <v>9097</v>
      </c>
      <c r="B2158" t="s">
        <v>9097</v>
      </c>
      <c r="C2158" t="s">
        <v>9098</v>
      </c>
      <c r="D2158" t="s">
        <v>9099</v>
      </c>
      <c r="E2158" t="s">
        <v>770</v>
      </c>
      <c r="F2158" t="s">
        <v>771</v>
      </c>
      <c r="G2158" t="s">
        <v>1854</v>
      </c>
      <c r="J2158" t="s">
        <v>783</v>
      </c>
      <c r="K2158" t="s">
        <v>1862</v>
      </c>
      <c r="L2158" t="s">
        <v>1505</v>
      </c>
      <c r="M2158" t="s">
        <v>53</v>
      </c>
      <c r="N2158" t="s">
        <v>770</v>
      </c>
      <c r="O2158">
        <v>1</v>
      </c>
      <c r="P2158" t="s">
        <v>776</v>
      </c>
      <c r="Q2158">
        <v>32.9</v>
      </c>
      <c r="R2158">
        <v>5.93</v>
      </c>
      <c r="Y2158" t="s">
        <v>9100</v>
      </c>
      <c r="Z2158" t="s">
        <v>2533</v>
      </c>
      <c r="AA2158">
        <v>35040</v>
      </c>
      <c r="AB2158" t="s">
        <v>11</v>
      </c>
    </row>
    <row r="2159" spans="1:28" x14ac:dyDescent="0.25">
      <c r="A2159" t="s">
        <v>9101</v>
      </c>
      <c r="C2159" t="s">
        <v>9102</v>
      </c>
      <c r="D2159" t="s">
        <v>9103</v>
      </c>
      <c r="E2159" t="s">
        <v>770</v>
      </c>
      <c r="F2159" t="s">
        <v>1884</v>
      </c>
      <c r="G2159" t="s">
        <v>1854</v>
      </c>
      <c r="H2159" t="s">
        <v>1885</v>
      </c>
      <c r="J2159" t="s">
        <v>773</v>
      </c>
      <c r="K2159" t="s">
        <v>2913</v>
      </c>
      <c r="L2159" t="s">
        <v>99</v>
      </c>
      <c r="M2159" t="s">
        <v>98</v>
      </c>
      <c r="N2159" t="s">
        <v>770</v>
      </c>
      <c r="O2159">
        <v>1</v>
      </c>
      <c r="P2159" t="s">
        <v>776</v>
      </c>
      <c r="Q2159">
        <v>29.9</v>
      </c>
      <c r="R2159">
        <v>5.39</v>
      </c>
      <c r="S2159">
        <v>3</v>
      </c>
      <c r="T2159">
        <v>0.54</v>
      </c>
      <c r="Y2159" t="s">
        <v>5077</v>
      </c>
      <c r="Z2159" t="s">
        <v>1864</v>
      </c>
      <c r="AA2159">
        <v>20061</v>
      </c>
      <c r="AB2159" t="s">
        <v>11</v>
      </c>
    </row>
    <row r="2160" spans="1:28" x14ac:dyDescent="0.25">
      <c r="A2160" t="s">
        <v>9104</v>
      </c>
      <c r="C2160" t="s">
        <v>9105</v>
      </c>
      <c r="D2160" t="s">
        <v>9069</v>
      </c>
      <c r="E2160" t="s">
        <v>770</v>
      </c>
      <c r="F2160" t="s">
        <v>1884</v>
      </c>
      <c r="G2160" t="s">
        <v>1854</v>
      </c>
      <c r="H2160" t="s">
        <v>1885</v>
      </c>
      <c r="J2160" t="s">
        <v>773</v>
      </c>
      <c r="K2160" t="s">
        <v>1960</v>
      </c>
      <c r="L2160" t="s">
        <v>22</v>
      </c>
      <c r="M2160" t="s">
        <v>21</v>
      </c>
      <c r="N2160" t="s">
        <v>770</v>
      </c>
      <c r="O2160">
        <v>1</v>
      </c>
      <c r="P2160" t="s">
        <v>776</v>
      </c>
      <c r="Q2160">
        <v>29.9</v>
      </c>
      <c r="R2160">
        <v>5.39</v>
      </c>
      <c r="S2160">
        <v>3</v>
      </c>
      <c r="T2160">
        <v>0.54</v>
      </c>
      <c r="Y2160" t="s">
        <v>9106</v>
      </c>
      <c r="Z2160" t="s">
        <v>3481</v>
      </c>
      <c r="AA2160">
        <v>29013</v>
      </c>
      <c r="AB2160" t="s">
        <v>11</v>
      </c>
    </row>
    <row r="2161" spans="1:35" x14ac:dyDescent="0.25">
      <c r="A2161" t="s">
        <v>9107</v>
      </c>
      <c r="C2161" t="s">
        <v>9108</v>
      </c>
      <c r="D2161" t="s">
        <v>9109</v>
      </c>
      <c r="E2161" t="s">
        <v>770</v>
      </c>
      <c r="F2161" t="s">
        <v>1884</v>
      </c>
      <c r="G2161" t="s">
        <v>1854</v>
      </c>
      <c r="H2161" t="s">
        <v>1885</v>
      </c>
      <c r="J2161" t="s">
        <v>773</v>
      </c>
      <c r="K2161" t="s">
        <v>1886</v>
      </c>
      <c r="L2161" t="s">
        <v>18</v>
      </c>
      <c r="M2161" t="s">
        <v>17</v>
      </c>
      <c r="N2161" t="s">
        <v>770</v>
      </c>
      <c r="O2161">
        <v>1</v>
      </c>
      <c r="P2161" t="s">
        <v>776</v>
      </c>
      <c r="Q2161">
        <v>22.9</v>
      </c>
      <c r="R2161">
        <v>4.13</v>
      </c>
      <c r="S2161">
        <v>3</v>
      </c>
      <c r="T2161">
        <v>0.54</v>
      </c>
      <c r="Y2161" t="s">
        <v>8244</v>
      </c>
      <c r="Z2161" t="s">
        <v>1997</v>
      </c>
      <c r="AA2161">
        <v>50014</v>
      </c>
      <c r="AB2161" t="s">
        <v>11</v>
      </c>
    </row>
    <row r="2162" spans="1:35" x14ac:dyDescent="0.25">
      <c r="A2162" t="s">
        <v>9110</v>
      </c>
      <c r="C2162" t="s">
        <v>9111</v>
      </c>
      <c r="D2162" t="s">
        <v>9112</v>
      </c>
      <c r="E2162" t="s">
        <v>770</v>
      </c>
      <c r="F2162" t="s">
        <v>1884</v>
      </c>
      <c r="G2162" t="s">
        <v>1854</v>
      </c>
      <c r="H2162" t="s">
        <v>1885</v>
      </c>
      <c r="J2162" t="s">
        <v>773</v>
      </c>
      <c r="K2162" t="s">
        <v>8924</v>
      </c>
      <c r="L2162" s="2">
        <v>50161</v>
      </c>
      <c r="M2162" t="s">
        <v>114</v>
      </c>
      <c r="N2162" t="s">
        <v>770</v>
      </c>
      <c r="O2162">
        <v>1</v>
      </c>
      <c r="P2162" t="s">
        <v>776</v>
      </c>
      <c r="Q2162">
        <v>49.9</v>
      </c>
      <c r="R2162">
        <v>9</v>
      </c>
      <c r="S2162">
        <v>3</v>
      </c>
      <c r="T2162">
        <v>0.54</v>
      </c>
      <c r="Y2162" t="s">
        <v>9113</v>
      </c>
      <c r="Z2162" t="s">
        <v>2675</v>
      </c>
      <c r="AA2162">
        <v>20871</v>
      </c>
      <c r="AB2162" t="s">
        <v>11</v>
      </c>
    </row>
    <row r="2163" spans="1:35" x14ac:dyDescent="0.25">
      <c r="A2163" t="s">
        <v>9114</v>
      </c>
      <c r="C2163" t="s">
        <v>9115</v>
      </c>
      <c r="D2163" t="s">
        <v>9116</v>
      </c>
      <c r="E2163" t="s">
        <v>770</v>
      </c>
      <c r="F2163" t="s">
        <v>1884</v>
      </c>
      <c r="G2163" t="s">
        <v>1854</v>
      </c>
      <c r="H2163" t="s">
        <v>1885</v>
      </c>
      <c r="J2163" t="s">
        <v>773</v>
      </c>
      <c r="K2163" t="s">
        <v>2913</v>
      </c>
      <c r="L2163" t="s">
        <v>99</v>
      </c>
      <c r="M2163" t="s">
        <v>98</v>
      </c>
      <c r="N2163" t="s">
        <v>770</v>
      </c>
      <c r="O2163">
        <v>1</v>
      </c>
      <c r="P2163" t="s">
        <v>776</v>
      </c>
      <c r="Q2163">
        <v>29.9</v>
      </c>
      <c r="R2163">
        <v>5.39</v>
      </c>
      <c r="S2163">
        <v>3</v>
      </c>
      <c r="T2163">
        <v>0.54</v>
      </c>
      <c r="Y2163" t="s">
        <v>9117</v>
      </c>
      <c r="Z2163" t="s">
        <v>3153</v>
      </c>
      <c r="AA2163">
        <v>66050</v>
      </c>
      <c r="AB2163" t="s">
        <v>11</v>
      </c>
    </row>
    <row r="2164" spans="1:35" x14ac:dyDescent="0.25">
      <c r="A2164" t="s">
        <v>9118</v>
      </c>
      <c r="C2164" t="s">
        <v>9119</v>
      </c>
      <c r="D2164" t="s">
        <v>9120</v>
      </c>
      <c r="E2164" t="s">
        <v>770</v>
      </c>
      <c r="F2164" t="s">
        <v>1884</v>
      </c>
      <c r="G2164" t="s">
        <v>1854</v>
      </c>
      <c r="H2164" t="s">
        <v>1885</v>
      </c>
      <c r="J2164" t="s">
        <v>773</v>
      </c>
      <c r="K2164" t="s">
        <v>1886</v>
      </c>
      <c r="L2164" t="s">
        <v>18</v>
      </c>
      <c r="M2164" t="s">
        <v>17</v>
      </c>
      <c r="N2164" t="s">
        <v>770</v>
      </c>
      <c r="O2164">
        <v>1</v>
      </c>
      <c r="P2164" t="s">
        <v>776</v>
      </c>
      <c r="Q2164">
        <v>22.9</v>
      </c>
      <c r="R2164">
        <v>4.13</v>
      </c>
      <c r="S2164">
        <v>3</v>
      </c>
      <c r="T2164">
        <v>0.54</v>
      </c>
      <c r="Y2164" t="s">
        <v>9121</v>
      </c>
      <c r="Z2164" t="s">
        <v>1913</v>
      </c>
      <c r="AA2164">
        <v>45</v>
      </c>
      <c r="AB2164" t="s">
        <v>11</v>
      </c>
    </row>
    <row r="2165" spans="1:35" x14ac:dyDescent="0.25">
      <c r="A2165" t="s">
        <v>9122</v>
      </c>
      <c r="B2165" t="s">
        <v>9122</v>
      </c>
      <c r="C2165" t="s">
        <v>9123</v>
      </c>
      <c r="D2165" t="s">
        <v>9124</v>
      </c>
      <c r="E2165" t="s">
        <v>770</v>
      </c>
      <c r="F2165" t="s">
        <v>771</v>
      </c>
      <c r="G2165" t="s">
        <v>1854</v>
      </c>
      <c r="J2165" t="s">
        <v>783</v>
      </c>
      <c r="K2165" t="s">
        <v>7589</v>
      </c>
      <c r="L2165" t="s">
        <v>7590</v>
      </c>
      <c r="M2165" t="s">
        <v>63</v>
      </c>
      <c r="N2165" t="s">
        <v>770</v>
      </c>
      <c r="O2165">
        <v>1</v>
      </c>
      <c r="P2165" t="s">
        <v>776</v>
      </c>
      <c r="Q2165">
        <v>89.9</v>
      </c>
      <c r="R2165">
        <v>16.21</v>
      </c>
      <c r="Y2165" t="s">
        <v>9125</v>
      </c>
      <c r="Z2165" t="s">
        <v>2051</v>
      </c>
      <c r="AA2165">
        <v>95022</v>
      </c>
      <c r="AB2165" t="s">
        <v>11</v>
      </c>
    </row>
    <row r="2166" spans="1:35" x14ac:dyDescent="0.25">
      <c r="A2166" t="s">
        <v>9126</v>
      </c>
      <c r="B2166" t="s">
        <v>9126</v>
      </c>
      <c r="C2166" t="s">
        <v>9127</v>
      </c>
      <c r="D2166" t="s">
        <v>9128</v>
      </c>
      <c r="E2166" t="s">
        <v>782</v>
      </c>
      <c r="F2166" t="s">
        <v>771</v>
      </c>
      <c r="G2166" t="s">
        <v>1854</v>
      </c>
      <c r="J2166" t="s">
        <v>783</v>
      </c>
      <c r="K2166" t="s">
        <v>1862</v>
      </c>
      <c r="L2166" t="s">
        <v>1505</v>
      </c>
      <c r="M2166" t="s">
        <v>53</v>
      </c>
      <c r="N2166" t="s">
        <v>782</v>
      </c>
      <c r="O2166">
        <v>0</v>
      </c>
      <c r="Y2166" t="s">
        <v>3802</v>
      </c>
      <c r="Z2166" t="s">
        <v>2343</v>
      </c>
      <c r="AA2166">
        <v>90143</v>
      </c>
      <c r="AB2166" t="s">
        <v>11</v>
      </c>
    </row>
    <row r="2167" spans="1:35" x14ac:dyDescent="0.25">
      <c r="A2167" t="s">
        <v>9129</v>
      </c>
      <c r="B2167" t="s">
        <v>9129</v>
      </c>
      <c r="C2167" t="s">
        <v>9130</v>
      </c>
      <c r="D2167" t="s">
        <v>9131</v>
      </c>
      <c r="E2167" t="s">
        <v>770</v>
      </c>
      <c r="F2167" t="s">
        <v>771</v>
      </c>
      <c r="G2167" t="s">
        <v>1854</v>
      </c>
      <c r="J2167" t="s">
        <v>783</v>
      </c>
      <c r="K2167" t="s">
        <v>1862</v>
      </c>
      <c r="L2167" t="s">
        <v>1505</v>
      </c>
      <c r="M2167" t="s">
        <v>53</v>
      </c>
      <c r="N2167" t="s">
        <v>770</v>
      </c>
      <c r="O2167">
        <v>1</v>
      </c>
      <c r="P2167" t="s">
        <v>776</v>
      </c>
      <c r="Q2167">
        <v>32.9</v>
      </c>
      <c r="R2167">
        <v>5.93</v>
      </c>
      <c r="Y2167" t="s">
        <v>9132</v>
      </c>
      <c r="Z2167" t="s">
        <v>2040</v>
      </c>
      <c r="AA2167">
        <v>65017</v>
      </c>
      <c r="AB2167" t="s">
        <v>11</v>
      </c>
    </row>
    <row r="2168" spans="1:35" x14ac:dyDescent="0.25">
      <c r="A2168" t="s">
        <v>9133</v>
      </c>
      <c r="C2168" t="s">
        <v>9134</v>
      </c>
      <c r="D2168" t="s">
        <v>9135</v>
      </c>
      <c r="E2168" t="s">
        <v>770</v>
      </c>
      <c r="F2168" t="s">
        <v>1884</v>
      </c>
      <c r="G2168" t="s">
        <v>1854</v>
      </c>
      <c r="H2168" t="s">
        <v>1885</v>
      </c>
      <c r="J2168" t="s">
        <v>773</v>
      </c>
      <c r="K2168" t="s">
        <v>2252</v>
      </c>
      <c r="L2168" t="s">
        <v>74</v>
      </c>
      <c r="M2168" t="s">
        <v>73</v>
      </c>
      <c r="N2168" t="s">
        <v>770</v>
      </c>
      <c r="O2168">
        <v>2</v>
      </c>
      <c r="P2168" t="s">
        <v>776</v>
      </c>
      <c r="Q2168">
        <v>29.8</v>
      </c>
      <c r="R2168">
        <v>5.38</v>
      </c>
      <c r="S2168">
        <v>6</v>
      </c>
      <c r="T2168">
        <v>1.08</v>
      </c>
      <c r="Y2168" t="s">
        <v>9136</v>
      </c>
      <c r="Z2168" t="s">
        <v>3089</v>
      </c>
      <c r="AA2168">
        <v>25030</v>
      </c>
      <c r="AB2168" t="s">
        <v>11</v>
      </c>
    </row>
    <row r="2169" spans="1:35" x14ac:dyDescent="0.25">
      <c r="A2169" t="s">
        <v>9137</v>
      </c>
      <c r="B2169" t="s">
        <v>9137</v>
      </c>
      <c r="C2169" t="s">
        <v>9138</v>
      </c>
      <c r="D2169" t="s">
        <v>9139</v>
      </c>
      <c r="E2169" t="s">
        <v>770</v>
      </c>
      <c r="F2169" t="s">
        <v>771</v>
      </c>
      <c r="G2169" t="s">
        <v>1854</v>
      </c>
      <c r="J2169" t="s">
        <v>783</v>
      </c>
      <c r="K2169" t="s">
        <v>1862</v>
      </c>
      <c r="L2169" t="s">
        <v>1505</v>
      </c>
      <c r="M2169" t="s">
        <v>53</v>
      </c>
      <c r="N2169" t="s">
        <v>770</v>
      </c>
      <c r="O2169">
        <v>1</v>
      </c>
      <c r="P2169" t="s">
        <v>776</v>
      </c>
      <c r="Q2169">
        <v>32.9</v>
      </c>
      <c r="R2169">
        <v>5.93</v>
      </c>
      <c r="Y2169" t="s">
        <v>9140</v>
      </c>
      <c r="Z2169" t="s">
        <v>2720</v>
      </c>
      <c r="AA2169">
        <v>27043</v>
      </c>
      <c r="AB2169" t="s">
        <v>11</v>
      </c>
    </row>
    <row r="2170" spans="1:35" x14ac:dyDescent="0.25">
      <c r="A2170" t="s">
        <v>9141</v>
      </c>
      <c r="B2170" t="s">
        <v>9141</v>
      </c>
      <c r="C2170" t="s">
        <v>9142</v>
      </c>
      <c r="D2170" t="s">
        <v>9143</v>
      </c>
      <c r="E2170" t="s">
        <v>770</v>
      </c>
      <c r="F2170" t="s">
        <v>771</v>
      </c>
      <c r="G2170" t="s">
        <v>1854</v>
      </c>
      <c r="J2170" t="s">
        <v>783</v>
      </c>
      <c r="K2170" t="s">
        <v>1862</v>
      </c>
      <c r="L2170" t="s">
        <v>1505</v>
      </c>
      <c r="M2170" t="s">
        <v>53</v>
      </c>
      <c r="N2170" t="s">
        <v>770</v>
      </c>
      <c r="O2170">
        <v>1</v>
      </c>
      <c r="P2170" t="s">
        <v>776</v>
      </c>
      <c r="Q2170">
        <v>32.9</v>
      </c>
      <c r="R2170">
        <v>5.93</v>
      </c>
      <c r="Y2170" t="s">
        <v>1913</v>
      </c>
      <c r="Z2170" t="s">
        <v>1913</v>
      </c>
      <c r="AA2170">
        <v>167</v>
      </c>
      <c r="AB2170" t="s">
        <v>11</v>
      </c>
      <c r="AG2170" t="s">
        <v>9144</v>
      </c>
      <c r="AH2170" t="s">
        <v>11</v>
      </c>
      <c r="AI2170" t="s">
        <v>2459</v>
      </c>
    </row>
    <row r="2171" spans="1:35" x14ac:dyDescent="0.25">
      <c r="A2171" t="s">
        <v>9145</v>
      </c>
      <c r="B2171" t="s">
        <v>9145</v>
      </c>
      <c r="C2171" t="s">
        <v>9146</v>
      </c>
      <c r="D2171" t="s">
        <v>9147</v>
      </c>
      <c r="E2171" t="s">
        <v>770</v>
      </c>
      <c r="F2171" t="s">
        <v>771</v>
      </c>
      <c r="G2171" t="s">
        <v>1854</v>
      </c>
      <c r="J2171" t="s">
        <v>783</v>
      </c>
      <c r="K2171" t="s">
        <v>1862</v>
      </c>
      <c r="L2171" t="s">
        <v>1505</v>
      </c>
      <c r="M2171" t="s">
        <v>53</v>
      </c>
      <c r="N2171" t="s">
        <v>770</v>
      </c>
      <c r="O2171">
        <v>1</v>
      </c>
      <c r="P2171" t="s">
        <v>776</v>
      </c>
      <c r="Q2171">
        <v>32.9</v>
      </c>
      <c r="R2171">
        <v>5.93</v>
      </c>
      <c r="Y2171" t="s">
        <v>9148</v>
      </c>
      <c r="Z2171" t="s">
        <v>1875</v>
      </c>
      <c r="AA2171">
        <v>20026</v>
      </c>
      <c r="AB2171" t="s">
        <v>11</v>
      </c>
    </row>
    <row r="2172" spans="1:35" x14ac:dyDescent="0.25">
      <c r="A2172" t="s">
        <v>9149</v>
      </c>
      <c r="C2172" t="s">
        <v>9150</v>
      </c>
      <c r="D2172" t="s">
        <v>9151</v>
      </c>
      <c r="E2172" t="s">
        <v>770</v>
      </c>
      <c r="F2172" t="s">
        <v>1884</v>
      </c>
      <c r="G2172" t="s">
        <v>1854</v>
      </c>
      <c r="H2172" t="s">
        <v>1885</v>
      </c>
      <c r="J2172" t="s">
        <v>773</v>
      </c>
      <c r="K2172" t="s">
        <v>1930</v>
      </c>
      <c r="L2172" t="s">
        <v>66</v>
      </c>
      <c r="M2172" t="s">
        <v>65</v>
      </c>
      <c r="N2172" t="s">
        <v>770</v>
      </c>
      <c r="O2172">
        <v>1</v>
      </c>
      <c r="P2172" t="s">
        <v>776</v>
      </c>
      <c r="Q2172">
        <v>29.9</v>
      </c>
      <c r="R2172">
        <v>5.39</v>
      </c>
      <c r="S2172">
        <v>3</v>
      </c>
      <c r="T2172">
        <v>0.54</v>
      </c>
      <c r="Y2172" t="s">
        <v>1913</v>
      </c>
      <c r="Z2172" t="s">
        <v>1926</v>
      </c>
      <c r="AA2172">
        <v>151</v>
      </c>
      <c r="AB2172" t="s">
        <v>11</v>
      </c>
    </row>
    <row r="2173" spans="1:35" x14ac:dyDescent="0.25">
      <c r="A2173" t="s">
        <v>9152</v>
      </c>
      <c r="C2173" t="s">
        <v>9153</v>
      </c>
      <c r="D2173" t="s">
        <v>9154</v>
      </c>
      <c r="E2173" t="s">
        <v>770</v>
      </c>
      <c r="F2173" t="s">
        <v>1884</v>
      </c>
      <c r="G2173" t="s">
        <v>1854</v>
      </c>
      <c r="H2173" t="s">
        <v>1885</v>
      </c>
      <c r="J2173" t="s">
        <v>773</v>
      </c>
      <c r="K2173" t="s">
        <v>1886</v>
      </c>
      <c r="L2173" t="s">
        <v>18</v>
      </c>
      <c r="M2173" t="s">
        <v>17</v>
      </c>
      <c r="N2173" t="s">
        <v>770</v>
      </c>
      <c r="O2173">
        <v>1</v>
      </c>
      <c r="P2173" t="s">
        <v>776</v>
      </c>
      <c r="Q2173">
        <v>22.9</v>
      </c>
      <c r="R2173">
        <v>4.13</v>
      </c>
      <c r="S2173">
        <v>3</v>
      </c>
      <c r="T2173">
        <v>0.54</v>
      </c>
      <c r="Y2173" t="s">
        <v>9155</v>
      </c>
      <c r="Z2173" t="s">
        <v>1975</v>
      </c>
      <c r="AA2173">
        <v>24020</v>
      </c>
      <c r="AB2173" t="s">
        <v>11</v>
      </c>
    </row>
    <row r="2174" spans="1:35" x14ac:dyDescent="0.25">
      <c r="A2174" t="s">
        <v>9156</v>
      </c>
      <c r="B2174" t="s">
        <v>9156</v>
      </c>
      <c r="C2174" t="s">
        <v>9157</v>
      </c>
      <c r="D2174" t="s">
        <v>9158</v>
      </c>
      <c r="E2174" t="s">
        <v>770</v>
      </c>
      <c r="F2174" t="s">
        <v>771</v>
      </c>
      <c r="G2174" t="s">
        <v>1854</v>
      </c>
      <c r="J2174" t="s">
        <v>783</v>
      </c>
      <c r="K2174" t="s">
        <v>1862</v>
      </c>
      <c r="L2174" t="s">
        <v>1505</v>
      </c>
      <c r="M2174" t="s">
        <v>53</v>
      </c>
      <c r="N2174" t="s">
        <v>770</v>
      </c>
      <c r="O2174">
        <v>1</v>
      </c>
      <c r="P2174" t="s">
        <v>776</v>
      </c>
      <c r="Q2174">
        <v>32.9</v>
      </c>
      <c r="R2174">
        <v>5.93</v>
      </c>
      <c r="Y2174" t="s">
        <v>9159</v>
      </c>
      <c r="Z2174" t="s">
        <v>2362</v>
      </c>
      <c r="AA2174">
        <v>15067</v>
      </c>
      <c r="AB2174" t="s">
        <v>11</v>
      </c>
    </row>
    <row r="2175" spans="1:35" x14ac:dyDescent="0.25">
      <c r="A2175" t="s">
        <v>9160</v>
      </c>
      <c r="C2175" t="s">
        <v>9161</v>
      </c>
      <c r="D2175" t="s">
        <v>9162</v>
      </c>
      <c r="E2175" t="s">
        <v>770</v>
      </c>
      <c r="F2175" t="s">
        <v>1884</v>
      </c>
      <c r="G2175" t="s">
        <v>1854</v>
      </c>
      <c r="H2175" t="s">
        <v>1885</v>
      </c>
      <c r="J2175" t="s">
        <v>773</v>
      </c>
      <c r="K2175" t="s">
        <v>1886</v>
      </c>
      <c r="L2175" t="s">
        <v>18</v>
      </c>
      <c r="M2175" t="s">
        <v>17</v>
      </c>
      <c r="N2175" t="s">
        <v>770</v>
      </c>
      <c r="O2175">
        <v>1</v>
      </c>
      <c r="P2175" t="s">
        <v>776</v>
      </c>
      <c r="Q2175">
        <v>22.9</v>
      </c>
      <c r="R2175">
        <v>4.13</v>
      </c>
      <c r="S2175">
        <v>3</v>
      </c>
      <c r="T2175">
        <v>0.54</v>
      </c>
      <c r="Y2175" t="s">
        <v>9163</v>
      </c>
      <c r="Z2175" t="s">
        <v>3404</v>
      </c>
      <c r="AA2175">
        <v>83040</v>
      </c>
      <c r="AB2175" t="s">
        <v>11</v>
      </c>
    </row>
    <row r="2176" spans="1:35" x14ac:dyDescent="0.25">
      <c r="A2176" t="s">
        <v>9164</v>
      </c>
      <c r="B2176" t="s">
        <v>9164</v>
      </c>
      <c r="C2176" t="s">
        <v>9165</v>
      </c>
      <c r="D2176" t="s">
        <v>9166</v>
      </c>
      <c r="E2176" t="s">
        <v>770</v>
      </c>
      <c r="F2176" t="s">
        <v>771</v>
      </c>
      <c r="G2176" t="s">
        <v>1854</v>
      </c>
      <c r="J2176" t="s">
        <v>783</v>
      </c>
      <c r="K2176" t="s">
        <v>3328</v>
      </c>
      <c r="L2176" t="s">
        <v>3329</v>
      </c>
      <c r="M2176" t="s">
        <v>35</v>
      </c>
      <c r="N2176" t="s">
        <v>770</v>
      </c>
      <c r="O2176">
        <v>1</v>
      </c>
      <c r="P2176" t="s">
        <v>776</v>
      </c>
      <c r="Q2176">
        <v>24.9</v>
      </c>
      <c r="R2176">
        <v>4.49</v>
      </c>
      <c r="Y2176" t="s">
        <v>9167</v>
      </c>
      <c r="Z2176" t="s">
        <v>1864</v>
      </c>
      <c r="AA2176">
        <v>20131</v>
      </c>
      <c r="AB2176" t="s">
        <v>11</v>
      </c>
    </row>
    <row r="2177" spans="1:28" x14ac:dyDescent="0.25">
      <c r="A2177" t="s">
        <v>9168</v>
      </c>
      <c r="C2177" t="s">
        <v>9169</v>
      </c>
      <c r="D2177" t="s">
        <v>9170</v>
      </c>
      <c r="E2177" t="s">
        <v>770</v>
      </c>
      <c r="F2177" t="s">
        <v>1884</v>
      </c>
      <c r="G2177" t="s">
        <v>1854</v>
      </c>
      <c r="H2177" t="s">
        <v>1885</v>
      </c>
      <c r="J2177" t="s">
        <v>773</v>
      </c>
      <c r="K2177" t="s">
        <v>1873</v>
      </c>
      <c r="L2177" t="s">
        <v>27</v>
      </c>
      <c r="M2177" t="s">
        <v>26</v>
      </c>
      <c r="N2177" t="s">
        <v>770</v>
      </c>
      <c r="O2177">
        <v>1</v>
      </c>
      <c r="P2177" t="s">
        <v>776</v>
      </c>
      <c r="Q2177">
        <v>34.9</v>
      </c>
      <c r="R2177">
        <v>6.29</v>
      </c>
      <c r="S2177">
        <v>3</v>
      </c>
      <c r="T2177">
        <v>0.54</v>
      </c>
      <c r="Y2177" t="s">
        <v>9171</v>
      </c>
      <c r="Z2177" t="s">
        <v>2116</v>
      </c>
      <c r="AA2177">
        <v>22010</v>
      </c>
      <c r="AB2177" t="s">
        <v>11</v>
      </c>
    </row>
    <row r="2178" spans="1:28" x14ac:dyDescent="0.25">
      <c r="A2178" t="s">
        <v>9172</v>
      </c>
      <c r="C2178" t="s">
        <v>9173</v>
      </c>
      <c r="D2178" t="s">
        <v>9174</v>
      </c>
      <c r="E2178" t="s">
        <v>770</v>
      </c>
      <c r="F2178" t="s">
        <v>1884</v>
      </c>
      <c r="G2178" t="s">
        <v>1854</v>
      </c>
      <c r="H2178" t="s">
        <v>1885</v>
      </c>
      <c r="J2178" t="s">
        <v>773</v>
      </c>
      <c r="K2178" t="s">
        <v>1886</v>
      </c>
      <c r="L2178" t="s">
        <v>18</v>
      </c>
      <c r="M2178" t="s">
        <v>17</v>
      </c>
      <c r="N2178" t="s">
        <v>770</v>
      </c>
      <c r="O2178">
        <v>1</v>
      </c>
      <c r="P2178" t="s">
        <v>776</v>
      </c>
      <c r="Q2178">
        <v>22.9</v>
      </c>
      <c r="R2178">
        <v>4.13</v>
      </c>
      <c r="S2178">
        <v>3</v>
      </c>
      <c r="T2178">
        <v>0.54</v>
      </c>
      <c r="Y2178" t="s">
        <v>2391</v>
      </c>
      <c r="Z2178" t="s">
        <v>3649</v>
      </c>
      <c r="AA2178">
        <v>9032</v>
      </c>
      <c r="AB2178" t="s">
        <v>11</v>
      </c>
    </row>
    <row r="2179" spans="1:28" x14ac:dyDescent="0.25">
      <c r="A2179" t="s">
        <v>9175</v>
      </c>
      <c r="B2179" t="s">
        <v>9175</v>
      </c>
      <c r="C2179" t="s">
        <v>9176</v>
      </c>
      <c r="D2179" t="s">
        <v>9177</v>
      </c>
      <c r="E2179" t="s">
        <v>770</v>
      </c>
      <c r="F2179" t="s">
        <v>771</v>
      </c>
      <c r="G2179" t="s">
        <v>1854</v>
      </c>
      <c r="J2179" t="s">
        <v>783</v>
      </c>
      <c r="K2179" t="s">
        <v>1862</v>
      </c>
      <c r="L2179" t="s">
        <v>1505</v>
      </c>
      <c r="M2179" t="s">
        <v>53</v>
      </c>
      <c r="N2179" t="s">
        <v>770</v>
      </c>
      <c r="O2179">
        <v>1</v>
      </c>
      <c r="P2179" t="s">
        <v>776</v>
      </c>
      <c r="Q2179">
        <v>32.9</v>
      </c>
      <c r="R2179">
        <v>5.93</v>
      </c>
      <c r="Y2179" t="s">
        <v>9178</v>
      </c>
      <c r="Z2179" t="s">
        <v>3105</v>
      </c>
      <c r="AA2179">
        <v>62035</v>
      </c>
      <c r="AB2179" t="s">
        <v>11</v>
      </c>
    </row>
    <row r="2180" spans="1:28" x14ac:dyDescent="0.25">
      <c r="A2180" t="s">
        <v>9179</v>
      </c>
      <c r="C2180" t="s">
        <v>9180</v>
      </c>
      <c r="D2180" t="s">
        <v>9181</v>
      </c>
      <c r="E2180" t="s">
        <v>770</v>
      </c>
      <c r="F2180" t="s">
        <v>1884</v>
      </c>
      <c r="G2180" t="s">
        <v>1854</v>
      </c>
      <c r="H2180" t="s">
        <v>1885</v>
      </c>
      <c r="J2180" t="s">
        <v>773</v>
      </c>
      <c r="K2180" t="s">
        <v>1886</v>
      </c>
      <c r="L2180" t="s">
        <v>18</v>
      </c>
      <c r="M2180" t="s">
        <v>17</v>
      </c>
      <c r="N2180" t="s">
        <v>770</v>
      </c>
      <c r="O2180">
        <v>1</v>
      </c>
      <c r="P2180" t="s">
        <v>776</v>
      </c>
      <c r="Q2180">
        <v>22.9</v>
      </c>
      <c r="R2180">
        <v>4.13</v>
      </c>
      <c r="S2180">
        <v>3</v>
      </c>
      <c r="T2180">
        <v>0.54</v>
      </c>
      <c r="Y2180" t="s">
        <v>3427</v>
      </c>
      <c r="Z2180" t="s">
        <v>9182</v>
      </c>
      <c r="AA2180">
        <v>9050</v>
      </c>
      <c r="AB2180" t="s">
        <v>11</v>
      </c>
    </row>
    <row r="2181" spans="1:28" x14ac:dyDescent="0.25">
      <c r="A2181" t="s">
        <v>9183</v>
      </c>
      <c r="B2181" t="s">
        <v>9183</v>
      </c>
      <c r="C2181" t="s">
        <v>9184</v>
      </c>
      <c r="D2181" t="s">
        <v>9185</v>
      </c>
      <c r="E2181" t="s">
        <v>770</v>
      </c>
      <c r="F2181" t="s">
        <v>771</v>
      </c>
      <c r="G2181" t="s">
        <v>1854</v>
      </c>
      <c r="J2181" t="s">
        <v>783</v>
      </c>
      <c r="K2181" t="s">
        <v>1930</v>
      </c>
      <c r="L2181" t="s">
        <v>775</v>
      </c>
      <c r="M2181" t="s">
        <v>65</v>
      </c>
      <c r="N2181" t="s">
        <v>770</v>
      </c>
      <c r="O2181">
        <v>1</v>
      </c>
      <c r="P2181" t="s">
        <v>776</v>
      </c>
      <c r="Q2181">
        <v>29.9</v>
      </c>
      <c r="R2181">
        <v>5.39</v>
      </c>
      <c r="Y2181" t="s">
        <v>9186</v>
      </c>
      <c r="Z2181" t="s">
        <v>2342</v>
      </c>
      <c r="AA2181">
        <v>90033</v>
      </c>
      <c r="AB2181" t="s">
        <v>11</v>
      </c>
    </row>
    <row r="2182" spans="1:28" x14ac:dyDescent="0.25">
      <c r="A2182" t="s">
        <v>9187</v>
      </c>
      <c r="B2182" t="s">
        <v>9187</v>
      </c>
      <c r="C2182" t="s">
        <v>9188</v>
      </c>
      <c r="D2182" t="s">
        <v>9189</v>
      </c>
      <c r="E2182" t="s">
        <v>770</v>
      </c>
      <c r="F2182" t="s">
        <v>771</v>
      </c>
      <c r="G2182" t="s">
        <v>1854</v>
      </c>
      <c r="J2182" t="s">
        <v>783</v>
      </c>
      <c r="K2182" t="s">
        <v>1862</v>
      </c>
      <c r="L2182" t="s">
        <v>1505</v>
      </c>
      <c r="M2182" t="s">
        <v>53</v>
      </c>
      <c r="N2182" t="s">
        <v>770</v>
      </c>
      <c r="O2182">
        <v>1</v>
      </c>
      <c r="P2182" t="s">
        <v>776</v>
      </c>
      <c r="Q2182">
        <v>32.9</v>
      </c>
      <c r="R2182">
        <v>5.93</v>
      </c>
      <c r="Y2182" t="s">
        <v>4082</v>
      </c>
      <c r="Z2182" t="s">
        <v>4083</v>
      </c>
      <c r="AA2182">
        <v>10144</v>
      </c>
      <c r="AB2182" t="s">
        <v>11</v>
      </c>
    </row>
    <row r="2183" spans="1:28" x14ac:dyDescent="0.25">
      <c r="A2183" t="s">
        <v>9190</v>
      </c>
      <c r="C2183" t="s">
        <v>9191</v>
      </c>
      <c r="D2183" t="s">
        <v>9192</v>
      </c>
      <c r="E2183" t="s">
        <v>770</v>
      </c>
      <c r="F2183" t="s">
        <v>1884</v>
      </c>
      <c r="G2183" t="s">
        <v>1854</v>
      </c>
      <c r="H2183" t="s">
        <v>1885</v>
      </c>
      <c r="J2183" t="s">
        <v>773</v>
      </c>
      <c r="K2183" t="s">
        <v>1960</v>
      </c>
      <c r="L2183" t="s">
        <v>22</v>
      </c>
      <c r="M2183" t="s">
        <v>21</v>
      </c>
      <c r="N2183" t="s">
        <v>770</v>
      </c>
      <c r="O2183">
        <v>1</v>
      </c>
      <c r="P2183" t="s">
        <v>776</v>
      </c>
      <c r="Q2183">
        <v>29.9</v>
      </c>
      <c r="R2183">
        <v>5.39</v>
      </c>
      <c r="S2183">
        <v>3</v>
      </c>
      <c r="T2183">
        <v>0.54</v>
      </c>
      <c r="Y2183" t="s">
        <v>2979</v>
      </c>
      <c r="Z2183" t="s">
        <v>2979</v>
      </c>
      <c r="AA2183">
        <v>40125</v>
      </c>
      <c r="AB2183" t="s">
        <v>11</v>
      </c>
    </row>
    <row r="2184" spans="1:28" x14ac:dyDescent="0.25">
      <c r="A2184" t="s">
        <v>9193</v>
      </c>
      <c r="C2184" t="s">
        <v>9194</v>
      </c>
      <c r="D2184" t="s">
        <v>9195</v>
      </c>
      <c r="E2184" t="s">
        <v>770</v>
      </c>
      <c r="F2184" t="s">
        <v>1884</v>
      </c>
      <c r="G2184" t="s">
        <v>1854</v>
      </c>
      <c r="H2184" t="s">
        <v>1885</v>
      </c>
      <c r="J2184" t="s">
        <v>773</v>
      </c>
      <c r="K2184" t="s">
        <v>1873</v>
      </c>
      <c r="L2184" t="s">
        <v>27</v>
      </c>
      <c r="M2184" t="s">
        <v>26</v>
      </c>
      <c r="N2184" t="s">
        <v>770</v>
      </c>
      <c r="O2184">
        <v>1</v>
      </c>
      <c r="P2184" t="s">
        <v>776</v>
      </c>
      <c r="Q2184">
        <v>34.9</v>
      </c>
      <c r="R2184">
        <v>6.29</v>
      </c>
      <c r="S2184">
        <v>3</v>
      </c>
      <c r="T2184">
        <v>0.54</v>
      </c>
      <c r="Y2184" t="s">
        <v>9196</v>
      </c>
      <c r="Z2184" t="s">
        <v>5837</v>
      </c>
      <c r="AA2184">
        <v>76121</v>
      </c>
      <c r="AB2184" t="s">
        <v>11</v>
      </c>
    </row>
    <row r="2185" spans="1:28" x14ac:dyDescent="0.25">
      <c r="A2185" t="s">
        <v>9197</v>
      </c>
      <c r="B2185" t="s">
        <v>9197</v>
      </c>
      <c r="C2185" t="s">
        <v>9198</v>
      </c>
      <c r="D2185" t="s">
        <v>9199</v>
      </c>
      <c r="E2185" t="s">
        <v>770</v>
      </c>
      <c r="F2185" t="s">
        <v>771</v>
      </c>
      <c r="G2185" t="s">
        <v>1854</v>
      </c>
      <c r="J2185" t="s">
        <v>783</v>
      </c>
      <c r="K2185" t="s">
        <v>1862</v>
      </c>
      <c r="L2185" t="s">
        <v>1505</v>
      </c>
      <c r="M2185" t="s">
        <v>53</v>
      </c>
      <c r="N2185" t="s">
        <v>770</v>
      </c>
      <c r="O2185">
        <v>1</v>
      </c>
      <c r="P2185" t="s">
        <v>776</v>
      </c>
      <c r="Q2185">
        <v>32.9</v>
      </c>
      <c r="R2185">
        <v>5.93</v>
      </c>
      <c r="Y2185" t="s">
        <v>2134</v>
      </c>
      <c r="Z2185" t="s">
        <v>1926</v>
      </c>
      <c r="AA2185">
        <v>142</v>
      </c>
      <c r="AB2185" t="s">
        <v>11</v>
      </c>
    </row>
    <row r="2186" spans="1:28" x14ac:dyDescent="0.25">
      <c r="A2186" t="s">
        <v>9200</v>
      </c>
      <c r="C2186" t="s">
        <v>9201</v>
      </c>
      <c r="D2186" t="s">
        <v>9202</v>
      </c>
      <c r="E2186" t="s">
        <v>770</v>
      </c>
      <c r="F2186" t="s">
        <v>1884</v>
      </c>
      <c r="G2186" t="s">
        <v>1854</v>
      </c>
      <c r="H2186" t="s">
        <v>1885</v>
      </c>
      <c r="J2186" t="s">
        <v>773</v>
      </c>
      <c r="K2186" t="s">
        <v>1902</v>
      </c>
      <c r="L2186" t="s">
        <v>15</v>
      </c>
      <c r="M2186" t="s">
        <v>14</v>
      </c>
      <c r="N2186" t="s">
        <v>770</v>
      </c>
      <c r="O2186">
        <v>1</v>
      </c>
      <c r="P2186" t="s">
        <v>776</v>
      </c>
      <c r="Q2186">
        <v>15.9</v>
      </c>
      <c r="R2186">
        <v>2.87</v>
      </c>
      <c r="S2186">
        <v>3</v>
      </c>
      <c r="T2186">
        <v>0.54</v>
      </c>
      <c r="Y2186" t="s">
        <v>3063</v>
      </c>
      <c r="Z2186" t="s">
        <v>7184</v>
      </c>
      <c r="AA2186">
        <v>59013</v>
      </c>
      <c r="AB2186" t="s">
        <v>11</v>
      </c>
    </row>
    <row r="2187" spans="1:28" x14ac:dyDescent="0.25">
      <c r="A2187" t="s">
        <v>9203</v>
      </c>
      <c r="B2187" t="s">
        <v>9203</v>
      </c>
      <c r="C2187" t="s">
        <v>9204</v>
      </c>
      <c r="D2187" t="s">
        <v>9205</v>
      </c>
      <c r="E2187" t="s">
        <v>770</v>
      </c>
      <c r="F2187" t="s">
        <v>771</v>
      </c>
      <c r="G2187" t="s">
        <v>1854</v>
      </c>
      <c r="J2187" t="s">
        <v>783</v>
      </c>
      <c r="K2187" t="s">
        <v>1862</v>
      </c>
      <c r="L2187" t="s">
        <v>1505</v>
      </c>
      <c r="M2187" t="s">
        <v>53</v>
      </c>
      <c r="N2187" t="s">
        <v>770</v>
      </c>
      <c r="O2187">
        <v>1</v>
      </c>
      <c r="P2187" t="s">
        <v>776</v>
      </c>
      <c r="Q2187">
        <v>32.9</v>
      </c>
      <c r="R2187">
        <v>5.93</v>
      </c>
      <c r="Y2187" t="s">
        <v>1913</v>
      </c>
      <c r="Z2187" t="s">
        <v>1913</v>
      </c>
      <c r="AA2187">
        <v>166</v>
      </c>
      <c r="AB2187" t="s">
        <v>11</v>
      </c>
    </row>
    <row r="2188" spans="1:28" x14ac:dyDescent="0.25">
      <c r="A2188" t="s">
        <v>9206</v>
      </c>
      <c r="C2188" t="s">
        <v>9207</v>
      </c>
      <c r="D2188" t="s">
        <v>9208</v>
      </c>
      <c r="E2188" t="s">
        <v>770</v>
      </c>
      <c r="F2188" t="s">
        <v>1884</v>
      </c>
      <c r="G2188" t="s">
        <v>1854</v>
      </c>
      <c r="H2188" t="s">
        <v>1885</v>
      </c>
      <c r="J2188" t="s">
        <v>773</v>
      </c>
      <c r="K2188" t="s">
        <v>1930</v>
      </c>
      <c r="L2188" t="s">
        <v>66</v>
      </c>
      <c r="M2188" t="s">
        <v>65</v>
      </c>
      <c r="N2188" t="s">
        <v>770</v>
      </c>
      <c r="O2188">
        <v>1</v>
      </c>
      <c r="P2188" t="s">
        <v>776</v>
      </c>
      <c r="Q2188">
        <v>29.9</v>
      </c>
      <c r="R2188">
        <v>5.39</v>
      </c>
      <c r="S2188">
        <v>3</v>
      </c>
      <c r="T2188">
        <v>0.54</v>
      </c>
      <c r="Y2188" t="s">
        <v>9209</v>
      </c>
      <c r="Z2188" t="s">
        <v>2097</v>
      </c>
      <c r="AA2188">
        <v>94011</v>
      </c>
      <c r="AB2188" t="s">
        <v>11</v>
      </c>
    </row>
    <row r="2189" spans="1:28" x14ac:dyDescent="0.25">
      <c r="A2189" t="s">
        <v>9210</v>
      </c>
      <c r="C2189" t="s">
        <v>9211</v>
      </c>
      <c r="D2189" t="s">
        <v>9212</v>
      </c>
      <c r="E2189" t="s">
        <v>770</v>
      </c>
      <c r="F2189" t="s">
        <v>1884</v>
      </c>
      <c r="G2189" t="s">
        <v>1854</v>
      </c>
      <c r="H2189" t="s">
        <v>1885</v>
      </c>
      <c r="J2189" t="s">
        <v>773</v>
      </c>
      <c r="K2189" t="s">
        <v>1873</v>
      </c>
      <c r="L2189" t="s">
        <v>27</v>
      </c>
      <c r="M2189" t="s">
        <v>26</v>
      </c>
      <c r="N2189" t="s">
        <v>770</v>
      </c>
      <c r="O2189">
        <v>1</v>
      </c>
      <c r="P2189" t="s">
        <v>776</v>
      </c>
      <c r="Q2189">
        <v>34.9</v>
      </c>
      <c r="R2189">
        <v>6.29</v>
      </c>
      <c r="S2189">
        <v>3</v>
      </c>
      <c r="T2189">
        <v>0.54</v>
      </c>
      <c r="Y2189" t="s">
        <v>3897</v>
      </c>
      <c r="Z2189" t="s">
        <v>1913</v>
      </c>
      <c r="AA2189">
        <v>13</v>
      </c>
      <c r="AB2189" t="s">
        <v>11</v>
      </c>
    </row>
    <row r="2190" spans="1:28" x14ac:dyDescent="0.25">
      <c r="A2190" t="s">
        <v>9213</v>
      </c>
      <c r="B2190" t="s">
        <v>9213</v>
      </c>
      <c r="C2190" t="s">
        <v>9214</v>
      </c>
      <c r="D2190" t="s">
        <v>9215</v>
      </c>
      <c r="E2190" t="s">
        <v>770</v>
      </c>
      <c r="F2190" t="s">
        <v>771</v>
      </c>
      <c r="G2190" t="s">
        <v>1854</v>
      </c>
      <c r="J2190" t="s">
        <v>783</v>
      </c>
      <c r="K2190" t="s">
        <v>1862</v>
      </c>
      <c r="L2190" t="s">
        <v>1505</v>
      </c>
      <c r="M2190" t="s">
        <v>53</v>
      </c>
      <c r="N2190" t="s">
        <v>770</v>
      </c>
      <c r="O2190">
        <v>1</v>
      </c>
      <c r="P2190" t="s">
        <v>776</v>
      </c>
      <c r="Q2190">
        <v>32.9</v>
      </c>
      <c r="R2190">
        <v>5.93</v>
      </c>
      <c r="Y2190" t="s">
        <v>4452</v>
      </c>
      <c r="Z2190" t="s">
        <v>1893</v>
      </c>
      <c r="AA2190">
        <v>10091</v>
      </c>
      <c r="AB2190" t="s">
        <v>11</v>
      </c>
    </row>
    <row r="2191" spans="1:28" x14ac:dyDescent="0.25">
      <c r="A2191" t="s">
        <v>9216</v>
      </c>
      <c r="C2191" t="s">
        <v>9217</v>
      </c>
      <c r="D2191" t="s">
        <v>9218</v>
      </c>
      <c r="E2191" t="s">
        <v>770</v>
      </c>
      <c r="F2191" t="s">
        <v>1884</v>
      </c>
      <c r="G2191" t="s">
        <v>1854</v>
      </c>
      <c r="H2191" t="s">
        <v>1885</v>
      </c>
      <c r="J2191" t="s">
        <v>773</v>
      </c>
      <c r="K2191" t="s">
        <v>3308</v>
      </c>
      <c r="L2191" s="2">
        <v>50700</v>
      </c>
      <c r="M2191" t="s">
        <v>61</v>
      </c>
      <c r="N2191" t="s">
        <v>770</v>
      </c>
      <c r="O2191">
        <v>1</v>
      </c>
      <c r="P2191" t="s">
        <v>776</v>
      </c>
      <c r="Q2191">
        <v>44.9</v>
      </c>
      <c r="R2191">
        <v>8.1</v>
      </c>
      <c r="S2191">
        <v>3</v>
      </c>
      <c r="T2191">
        <v>0.54</v>
      </c>
      <c r="Y2191" t="s">
        <v>1908</v>
      </c>
      <c r="Z2191" t="s">
        <v>1908</v>
      </c>
      <c r="AA2191">
        <v>80125</v>
      </c>
      <c r="AB2191" t="s">
        <v>11</v>
      </c>
    </row>
    <row r="2192" spans="1:28" x14ac:dyDescent="0.25">
      <c r="A2192" t="s">
        <v>9219</v>
      </c>
      <c r="C2192" t="s">
        <v>9220</v>
      </c>
      <c r="D2192" t="s">
        <v>9221</v>
      </c>
      <c r="E2192" t="s">
        <v>770</v>
      </c>
      <c r="F2192" t="s">
        <v>1884</v>
      </c>
      <c r="G2192" t="s">
        <v>1854</v>
      </c>
      <c r="H2192" t="s">
        <v>1885</v>
      </c>
      <c r="J2192" t="s">
        <v>773</v>
      </c>
      <c r="K2192" t="s">
        <v>1873</v>
      </c>
      <c r="L2192" t="s">
        <v>27</v>
      </c>
      <c r="M2192" t="s">
        <v>26</v>
      </c>
      <c r="N2192" t="s">
        <v>770</v>
      </c>
      <c r="O2192">
        <v>1</v>
      </c>
      <c r="P2192" t="s">
        <v>776</v>
      </c>
      <c r="Q2192">
        <v>34.9</v>
      </c>
      <c r="R2192">
        <v>6.29</v>
      </c>
      <c r="S2192">
        <v>3</v>
      </c>
      <c r="T2192">
        <v>0.54</v>
      </c>
      <c r="Y2192" t="s">
        <v>9222</v>
      </c>
      <c r="Z2192" t="s">
        <v>3481</v>
      </c>
      <c r="AA2192">
        <v>29013</v>
      </c>
      <c r="AB2192" t="s">
        <v>11</v>
      </c>
    </row>
    <row r="2193" spans="1:35" x14ac:dyDescent="0.25">
      <c r="A2193" t="s">
        <v>9223</v>
      </c>
      <c r="B2193" t="s">
        <v>9223</v>
      </c>
      <c r="C2193" t="s">
        <v>9224</v>
      </c>
      <c r="D2193" t="s">
        <v>9225</v>
      </c>
      <c r="E2193" t="s">
        <v>770</v>
      </c>
      <c r="F2193" t="s">
        <v>771</v>
      </c>
      <c r="G2193" t="s">
        <v>1854</v>
      </c>
      <c r="J2193" t="s">
        <v>783</v>
      </c>
      <c r="K2193" t="s">
        <v>5765</v>
      </c>
      <c r="L2193" t="s">
        <v>5766</v>
      </c>
      <c r="M2193" t="s">
        <v>152</v>
      </c>
      <c r="N2193" t="s">
        <v>770</v>
      </c>
      <c r="O2193">
        <v>1</v>
      </c>
      <c r="P2193" t="s">
        <v>776</v>
      </c>
      <c r="Q2193">
        <v>24.9</v>
      </c>
      <c r="R2193">
        <v>4.49</v>
      </c>
      <c r="Y2193" t="s">
        <v>9226</v>
      </c>
      <c r="AA2193">
        <v>36015</v>
      </c>
      <c r="AB2193" t="s">
        <v>11</v>
      </c>
    </row>
    <row r="2194" spans="1:35" x14ac:dyDescent="0.25">
      <c r="A2194" t="s">
        <v>9227</v>
      </c>
      <c r="B2194" t="s">
        <v>9227</v>
      </c>
      <c r="C2194" t="s">
        <v>9228</v>
      </c>
      <c r="D2194" t="s">
        <v>9229</v>
      </c>
      <c r="E2194" t="s">
        <v>770</v>
      </c>
      <c r="F2194" t="s">
        <v>771</v>
      </c>
      <c r="G2194" t="s">
        <v>1854</v>
      </c>
      <c r="J2194" t="s">
        <v>783</v>
      </c>
      <c r="K2194" t="s">
        <v>5765</v>
      </c>
      <c r="L2194" t="s">
        <v>5766</v>
      </c>
      <c r="M2194" t="s">
        <v>152</v>
      </c>
      <c r="N2194" t="s">
        <v>770</v>
      </c>
      <c r="O2194">
        <v>1</v>
      </c>
      <c r="P2194" t="s">
        <v>776</v>
      </c>
      <c r="Q2194">
        <v>24.9</v>
      </c>
      <c r="R2194">
        <v>4.49</v>
      </c>
      <c r="Y2194" t="s">
        <v>9230</v>
      </c>
      <c r="Z2194" t="s">
        <v>1864</v>
      </c>
      <c r="AA2194">
        <v>20030</v>
      </c>
      <c r="AB2194" t="s">
        <v>11</v>
      </c>
    </row>
    <row r="2195" spans="1:35" x14ac:dyDescent="0.25">
      <c r="A2195" t="s">
        <v>9231</v>
      </c>
      <c r="C2195" t="s">
        <v>9232</v>
      </c>
      <c r="D2195" t="s">
        <v>9192</v>
      </c>
      <c r="E2195" t="s">
        <v>770</v>
      </c>
      <c r="F2195" t="s">
        <v>1884</v>
      </c>
      <c r="G2195" t="s">
        <v>1854</v>
      </c>
      <c r="H2195" t="s">
        <v>1885</v>
      </c>
      <c r="J2195" t="s">
        <v>773</v>
      </c>
      <c r="K2195" t="s">
        <v>2889</v>
      </c>
      <c r="L2195" t="s">
        <v>135</v>
      </c>
      <c r="M2195" t="s">
        <v>134</v>
      </c>
      <c r="N2195" t="s">
        <v>770</v>
      </c>
      <c r="O2195">
        <v>1</v>
      </c>
      <c r="P2195" t="s">
        <v>776</v>
      </c>
      <c r="Q2195">
        <v>59.9</v>
      </c>
      <c r="R2195">
        <v>10.8</v>
      </c>
      <c r="S2195">
        <v>3</v>
      </c>
      <c r="T2195">
        <v>0.54</v>
      </c>
      <c r="Y2195" t="s">
        <v>9233</v>
      </c>
      <c r="Z2195" t="s">
        <v>1888</v>
      </c>
      <c r="AA2195">
        <v>40013</v>
      </c>
      <c r="AB2195" t="s">
        <v>11</v>
      </c>
    </row>
    <row r="2196" spans="1:35" x14ac:dyDescent="0.25">
      <c r="A2196" t="s">
        <v>9234</v>
      </c>
      <c r="B2196" t="s">
        <v>9234</v>
      </c>
      <c r="C2196" t="s">
        <v>9235</v>
      </c>
      <c r="D2196" t="s">
        <v>9236</v>
      </c>
      <c r="E2196" t="s">
        <v>770</v>
      </c>
      <c r="F2196" t="s">
        <v>771</v>
      </c>
      <c r="G2196" t="s">
        <v>1854</v>
      </c>
      <c r="J2196" t="s">
        <v>783</v>
      </c>
      <c r="K2196" t="s">
        <v>3363</v>
      </c>
      <c r="L2196" t="s">
        <v>5572</v>
      </c>
      <c r="M2196" t="s">
        <v>71</v>
      </c>
      <c r="N2196" t="s">
        <v>770</v>
      </c>
      <c r="O2196">
        <v>1</v>
      </c>
      <c r="P2196" t="s">
        <v>776</v>
      </c>
      <c r="Q2196">
        <v>29.9</v>
      </c>
      <c r="R2196">
        <v>5.39</v>
      </c>
      <c r="S2196">
        <v>1.0900000000000001</v>
      </c>
      <c r="X2196">
        <v>1.0900000000000001</v>
      </c>
      <c r="Y2196" t="s">
        <v>2101</v>
      </c>
      <c r="Z2196" t="s">
        <v>3007</v>
      </c>
      <c r="AA2196">
        <v>47923</v>
      </c>
      <c r="AB2196" t="s">
        <v>11</v>
      </c>
    </row>
    <row r="2197" spans="1:35" x14ac:dyDescent="0.25">
      <c r="A2197" t="s">
        <v>9237</v>
      </c>
      <c r="B2197" t="s">
        <v>9237</v>
      </c>
      <c r="C2197" t="s">
        <v>9238</v>
      </c>
      <c r="D2197" t="s">
        <v>9239</v>
      </c>
      <c r="E2197" t="s">
        <v>770</v>
      </c>
      <c r="F2197" t="s">
        <v>771</v>
      </c>
      <c r="G2197" t="s">
        <v>1854</v>
      </c>
      <c r="J2197" t="s">
        <v>783</v>
      </c>
      <c r="K2197" t="s">
        <v>1862</v>
      </c>
      <c r="L2197" t="s">
        <v>1505</v>
      </c>
      <c r="M2197" t="s">
        <v>53</v>
      </c>
      <c r="N2197" t="s">
        <v>770</v>
      </c>
      <c r="O2197">
        <v>1</v>
      </c>
      <c r="P2197" t="s">
        <v>776</v>
      </c>
      <c r="Q2197">
        <v>32.9</v>
      </c>
      <c r="R2197">
        <v>5.93</v>
      </c>
      <c r="S2197">
        <v>4.99</v>
      </c>
      <c r="T2197">
        <v>0.9</v>
      </c>
      <c r="Y2197" t="s">
        <v>9240</v>
      </c>
      <c r="Z2197" t="s">
        <v>4970</v>
      </c>
      <c r="AA2197">
        <v>27100</v>
      </c>
      <c r="AB2197" t="s">
        <v>11</v>
      </c>
    </row>
    <row r="2198" spans="1:35" x14ac:dyDescent="0.25">
      <c r="A2198" t="s">
        <v>9241</v>
      </c>
      <c r="C2198" t="s">
        <v>9242</v>
      </c>
      <c r="D2198" t="s">
        <v>9243</v>
      </c>
      <c r="E2198" t="s">
        <v>770</v>
      </c>
      <c r="F2198" t="s">
        <v>1884</v>
      </c>
      <c r="G2198" t="s">
        <v>1854</v>
      </c>
      <c r="H2198" t="s">
        <v>1885</v>
      </c>
      <c r="J2198" t="s">
        <v>773</v>
      </c>
      <c r="K2198" t="s">
        <v>2889</v>
      </c>
      <c r="L2198" t="s">
        <v>135</v>
      </c>
      <c r="M2198" t="s">
        <v>134</v>
      </c>
      <c r="N2198" t="s">
        <v>770</v>
      </c>
      <c r="O2198">
        <v>1</v>
      </c>
      <c r="P2198" t="s">
        <v>776</v>
      </c>
      <c r="Q2198">
        <v>59.9</v>
      </c>
      <c r="R2198">
        <v>10.8</v>
      </c>
      <c r="S2198">
        <v>3</v>
      </c>
      <c r="T2198">
        <v>0.54</v>
      </c>
      <c r="Y2198" t="s">
        <v>3105</v>
      </c>
      <c r="Z2198" t="s">
        <v>1607</v>
      </c>
      <c r="AA2198">
        <v>62100</v>
      </c>
      <c r="AB2198" t="s">
        <v>11</v>
      </c>
      <c r="AG2198" t="s">
        <v>9244</v>
      </c>
      <c r="AH2198" t="s">
        <v>11</v>
      </c>
      <c r="AI2198" t="s">
        <v>2459</v>
      </c>
    </row>
    <row r="2199" spans="1:35" x14ac:dyDescent="0.25">
      <c r="A2199" t="s">
        <v>9245</v>
      </c>
      <c r="B2199" t="s">
        <v>9245</v>
      </c>
      <c r="C2199" t="s">
        <v>9246</v>
      </c>
      <c r="D2199" t="s">
        <v>9247</v>
      </c>
      <c r="E2199" t="s">
        <v>782</v>
      </c>
      <c r="F2199" t="s">
        <v>771</v>
      </c>
      <c r="G2199" t="s">
        <v>1854</v>
      </c>
      <c r="J2199" t="s">
        <v>783</v>
      </c>
      <c r="K2199" t="s">
        <v>7589</v>
      </c>
      <c r="L2199" t="s">
        <v>7590</v>
      </c>
      <c r="M2199" t="s">
        <v>63</v>
      </c>
      <c r="N2199" t="s">
        <v>782</v>
      </c>
      <c r="O2199">
        <v>0</v>
      </c>
      <c r="Y2199" t="s">
        <v>9248</v>
      </c>
      <c r="Z2199" t="s">
        <v>6427</v>
      </c>
      <c r="AA2199">
        <v>47034</v>
      </c>
      <c r="AB2199" t="s">
        <v>11</v>
      </c>
    </row>
    <row r="2200" spans="1:35" x14ac:dyDescent="0.25">
      <c r="A2200" t="s">
        <v>9249</v>
      </c>
      <c r="C2200" t="s">
        <v>9250</v>
      </c>
      <c r="D2200" t="s">
        <v>9251</v>
      </c>
      <c r="E2200" t="s">
        <v>782</v>
      </c>
      <c r="F2200" t="s">
        <v>1884</v>
      </c>
      <c r="G2200" t="s">
        <v>1854</v>
      </c>
      <c r="H2200" t="s">
        <v>1885</v>
      </c>
      <c r="J2200" t="s">
        <v>773</v>
      </c>
      <c r="K2200" t="s">
        <v>3363</v>
      </c>
      <c r="L2200" s="2">
        <v>40490</v>
      </c>
      <c r="M2200" t="s">
        <v>71</v>
      </c>
      <c r="O2200">
        <v>0</v>
      </c>
      <c r="Y2200" t="s">
        <v>1942</v>
      </c>
      <c r="Z2200" t="s">
        <v>2454</v>
      </c>
      <c r="AA2200">
        <v>71121</v>
      </c>
      <c r="AB2200" t="s">
        <v>11</v>
      </c>
    </row>
    <row r="2201" spans="1:35" x14ac:dyDescent="0.25">
      <c r="A2201" t="s">
        <v>9252</v>
      </c>
      <c r="B2201" t="s">
        <v>9252</v>
      </c>
      <c r="C2201" t="s">
        <v>9253</v>
      </c>
      <c r="D2201" t="s">
        <v>9254</v>
      </c>
      <c r="E2201" t="s">
        <v>770</v>
      </c>
      <c r="F2201" t="s">
        <v>771</v>
      </c>
      <c r="G2201" t="s">
        <v>1854</v>
      </c>
      <c r="J2201" t="s">
        <v>783</v>
      </c>
      <c r="K2201" t="s">
        <v>3363</v>
      </c>
      <c r="L2201" t="s">
        <v>5572</v>
      </c>
      <c r="M2201" t="s">
        <v>71</v>
      </c>
      <c r="N2201" t="s">
        <v>770</v>
      </c>
      <c r="O2201">
        <v>5</v>
      </c>
      <c r="P2201" t="s">
        <v>776</v>
      </c>
      <c r="Q2201">
        <v>149.5</v>
      </c>
      <c r="R2201">
        <v>26.95</v>
      </c>
      <c r="S2201">
        <v>4.99</v>
      </c>
      <c r="T2201">
        <v>0.9</v>
      </c>
      <c r="Y2201" t="s">
        <v>9255</v>
      </c>
      <c r="Z2201" t="s">
        <v>1893</v>
      </c>
      <c r="AA2201">
        <v>10087</v>
      </c>
      <c r="AB2201" t="s">
        <v>11</v>
      </c>
    </row>
    <row r="2202" spans="1:35" x14ac:dyDescent="0.25">
      <c r="A2202" t="s">
        <v>9256</v>
      </c>
      <c r="B2202" t="s">
        <v>9256</v>
      </c>
      <c r="C2202" t="s">
        <v>9257</v>
      </c>
      <c r="D2202" t="s">
        <v>9258</v>
      </c>
      <c r="E2202" t="s">
        <v>770</v>
      </c>
      <c r="F2202" t="s">
        <v>771</v>
      </c>
      <c r="G2202" t="s">
        <v>1854</v>
      </c>
      <c r="J2202" t="s">
        <v>783</v>
      </c>
      <c r="K2202" t="s">
        <v>1862</v>
      </c>
      <c r="L2202" t="s">
        <v>1505</v>
      </c>
      <c r="M2202" t="s">
        <v>53</v>
      </c>
      <c r="N2202" t="s">
        <v>770</v>
      </c>
      <c r="O2202">
        <v>1</v>
      </c>
      <c r="P2202" t="s">
        <v>776</v>
      </c>
      <c r="Q2202">
        <v>32.9</v>
      </c>
      <c r="R2202">
        <v>5.93</v>
      </c>
      <c r="Y2202" t="s">
        <v>9259</v>
      </c>
      <c r="Z2202" t="s">
        <v>2533</v>
      </c>
      <c r="AA2202">
        <v>35030</v>
      </c>
      <c r="AB2202" t="s">
        <v>11</v>
      </c>
    </row>
    <row r="2203" spans="1:35" x14ac:dyDescent="0.25">
      <c r="A2203" t="s">
        <v>9260</v>
      </c>
      <c r="C2203" t="s">
        <v>9261</v>
      </c>
      <c r="D2203" t="s">
        <v>9262</v>
      </c>
      <c r="E2203" t="s">
        <v>770</v>
      </c>
      <c r="F2203" t="s">
        <v>1884</v>
      </c>
      <c r="G2203" t="s">
        <v>1854</v>
      </c>
      <c r="H2203" t="s">
        <v>1885</v>
      </c>
      <c r="J2203" t="s">
        <v>773</v>
      </c>
      <c r="K2203" t="s">
        <v>2889</v>
      </c>
      <c r="L2203" t="s">
        <v>135</v>
      </c>
      <c r="M2203" t="s">
        <v>134</v>
      </c>
      <c r="N2203" t="s">
        <v>770</v>
      </c>
      <c r="O2203">
        <v>1</v>
      </c>
      <c r="P2203" t="s">
        <v>776</v>
      </c>
      <c r="Q2203">
        <v>59.9</v>
      </c>
      <c r="R2203">
        <v>10.8</v>
      </c>
      <c r="S2203">
        <v>3</v>
      </c>
      <c r="T2203">
        <v>0.54</v>
      </c>
      <c r="Y2203" t="s">
        <v>2371</v>
      </c>
      <c r="Z2203" t="s">
        <v>1903</v>
      </c>
      <c r="AA2203">
        <v>39012</v>
      </c>
      <c r="AB2203" t="s">
        <v>11</v>
      </c>
    </row>
    <row r="2204" spans="1:35" x14ac:dyDescent="0.25">
      <c r="A2204" t="s">
        <v>9263</v>
      </c>
      <c r="C2204" t="s">
        <v>9264</v>
      </c>
      <c r="D2204" t="s">
        <v>9265</v>
      </c>
      <c r="E2204" t="s">
        <v>770</v>
      </c>
      <c r="F2204" t="s">
        <v>1884</v>
      </c>
      <c r="G2204" t="s">
        <v>1854</v>
      </c>
      <c r="H2204" t="s">
        <v>1885</v>
      </c>
      <c r="J2204" t="s">
        <v>773</v>
      </c>
      <c r="K2204" t="s">
        <v>1886</v>
      </c>
      <c r="L2204" t="s">
        <v>18</v>
      </c>
      <c r="M2204" t="s">
        <v>17</v>
      </c>
      <c r="N2204" t="s">
        <v>770</v>
      </c>
      <c r="O2204">
        <v>1</v>
      </c>
      <c r="P2204" t="s">
        <v>776</v>
      </c>
      <c r="Q2204">
        <v>22.9</v>
      </c>
      <c r="R2204">
        <v>4.13</v>
      </c>
      <c r="S2204">
        <v>3</v>
      </c>
      <c r="T2204">
        <v>0.54</v>
      </c>
      <c r="Y2204" t="s">
        <v>5121</v>
      </c>
      <c r="Z2204" t="s">
        <v>5122</v>
      </c>
      <c r="AA2204">
        <v>39042</v>
      </c>
      <c r="AB2204" t="s">
        <v>11</v>
      </c>
    </row>
    <row r="2205" spans="1:35" x14ac:dyDescent="0.25">
      <c r="A2205" t="s">
        <v>9266</v>
      </c>
      <c r="B2205" t="s">
        <v>9266</v>
      </c>
      <c r="C2205" t="s">
        <v>9267</v>
      </c>
      <c r="D2205" t="s">
        <v>9268</v>
      </c>
      <c r="E2205" t="s">
        <v>770</v>
      </c>
      <c r="F2205" t="s">
        <v>771</v>
      </c>
      <c r="G2205" t="s">
        <v>1854</v>
      </c>
      <c r="J2205" t="s">
        <v>783</v>
      </c>
      <c r="K2205" t="s">
        <v>3363</v>
      </c>
      <c r="L2205" t="s">
        <v>5572</v>
      </c>
      <c r="M2205" t="s">
        <v>71</v>
      </c>
      <c r="N2205" t="s">
        <v>770</v>
      </c>
      <c r="O2205">
        <v>2</v>
      </c>
      <c r="P2205" t="s">
        <v>776</v>
      </c>
      <c r="Q2205">
        <v>59.8</v>
      </c>
      <c r="R2205">
        <v>10.78</v>
      </c>
      <c r="Y2205" t="s">
        <v>3500</v>
      </c>
      <c r="Z2205" t="s">
        <v>2020</v>
      </c>
      <c r="AA2205">
        <v>4100</v>
      </c>
      <c r="AB2205" t="s">
        <v>11</v>
      </c>
    </row>
    <row r="2206" spans="1:35" x14ac:dyDescent="0.25">
      <c r="A2206" t="s">
        <v>9269</v>
      </c>
      <c r="B2206" t="s">
        <v>9269</v>
      </c>
      <c r="C2206" t="s">
        <v>9270</v>
      </c>
      <c r="D2206" t="s">
        <v>9271</v>
      </c>
      <c r="E2206" t="s">
        <v>770</v>
      </c>
      <c r="F2206" t="s">
        <v>771</v>
      </c>
      <c r="G2206" t="s">
        <v>1854</v>
      </c>
      <c r="J2206" t="s">
        <v>783</v>
      </c>
      <c r="K2206" t="s">
        <v>1862</v>
      </c>
      <c r="L2206" t="s">
        <v>1505</v>
      </c>
      <c r="M2206" t="s">
        <v>53</v>
      </c>
      <c r="N2206" t="s">
        <v>770</v>
      </c>
      <c r="O2206">
        <v>1</v>
      </c>
      <c r="P2206" t="s">
        <v>776</v>
      </c>
      <c r="Q2206">
        <v>32.9</v>
      </c>
      <c r="R2206">
        <v>5.93</v>
      </c>
      <c r="S2206">
        <v>2.4900000000000002</v>
      </c>
      <c r="T2206">
        <v>0.45</v>
      </c>
      <c r="Y2206" t="s">
        <v>7327</v>
      </c>
      <c r="Z2206" t="s">
        <v>3374</v>
      </c>
      <c r="AA2206">
        <v>11010</v>
      </c>
      <c r="AB2206" t="s">
        <v>11</v>
      </c>
    </row>
    <row r="2207" spans="1:35" x14ac:dyDescent="0.25">
      <c r="A2207" t="s">
        <v>9272</v>
      </c>
      <c r="B2207" t="s">
        <v>9272</v>
      </c>
      <c r="C2207" t="s">
        <v>9273</v>
      </c>
      <c r="D2207" t="s">
        <v>9274</v>
      </c>
      <c r="E2207" t="s">
        <v>770</v>
      </c>
      <c r="F2207" t="s">
        <v>771</v>
      </c>
      <c r="G2207" t="s">
        <v>1854</v>
      </c>
      <c r="J2207" t="s">
        <v>783</v>
      </c>
      <c r="K2207" t="s">
        <v>1862</v>
      </c>
      <c r="L2207" t="s">
        <v>1505</v>
      </c>
      <c r="M2207" t="s">
        <v>53</v>
      </c>
      <c r="N2207" t="s">
        <v>770</v>
      </c>
      <c r="O2207">
        <v>1</v>
      </c>
      <c r="P2207" t="s">
        <v>776</v>
      </c>
      <c r="Q2207">
        <v>32.9</v>
      </c>
      <c r="R2207">
        <v>5.93</v>
      </c>
      <c r="Y2207" t="s">
        <v>9275</v>
      </c>
      <c r="Z2207" t="s">
        <v>1913</v>
      </c>
      <c r="AA2207">
        <v>53</v>
      </c>
      <c r="AB2207" t="s">
        <v>11</v>
      </c>
    </row>
    <row r="2208" spans="1:35" x14ac:dyDescent="0.25">
      <c r="A2208" t="s">
        <v>9276</v>
      </c>
      <c r="B2208" t="s">
        <v>9276</v>
      </c>
      <c r="C2208" t="s">
        <v>9277</v>
      </c>
      <c r="D2208" t="s">
        <v>9278</v>
      </c>
      <c r="E2208" t="s">
        <v>770</v>
      </c>
      <c r="F2208" t="s">
        <v>771</v>
      </c>
      <c r="G2208" t="s">
        <v>1854</v>
      </c>
      <c r="J2208" t="s">
        <v>783</v>
      </c>
      <c r="K2208" t="s">
        <v>1862</v>
      </c>
      <c r="L2208" t="s">
        <v>1505</v>
      </c>
      <c r="M2208" t="s">
        <v>53</v>
      </c>
      <c r="N2208" t="s">
        <v>770</v>
      </c>
      <c r="O2208">
        <v>1</v>
      </c>
      <c r="P2208" t="s">
        <v>776</v>
      </c>
      <c r="Q2208">
        <v>32.9</v>
      </c>
      <c r="R2208">
        <v>5.93</v>
      </c>
      <c r="Y2208" t="s">
        <v>9279</v>
      </c>
      <c r="Z2208" t="s">
        <v>2281</v>
      </c>
      <c r="AA2208">
        <v>73047</v>
      </c>
      <c r="AB2208" t="s">
        <v>11</v>
      </c>
    </row>
    <row r="2209" spans="1:35" x14ac:dyDescent="0.25">
      <c r="A2209" t="s">
        <v>9280</v>
      </c>
      <c r="B2209" t="s">
        <v>9280</v>
      </c>
      <c r="C2209" t="s">
        <v>9281</v>
      </c>
      <c r="D2209" t="s">
        <v>9282</v>
      </c>
      <c r="E2209" t="s">
        <v>770</v>
      </c>
      <c r="F2209" t="s">
        <v>771</v>
      </c>
      <c r="G2209" t="s">
        <v>1854</v>
      </c>
      <c r="J2209" t="s">
        <v>783</v>
      </c>
      <c r="K2209" t="s">
        <v>1862</v>
      </c>
      <c r="L2209" t="s">
        <v>1505</v>
      </c>
      <c r="M2209" t="s">
        <v>53</v>
      </c>
      <c r="N2209" t="s">
        <v>770</v>
      </c>
      <c r="O2209">
        <v>1</v>
      </c>
      <c r="P2209" t="s">
        <v>776</v>
      </c>
      <c r="Q2209">
        <v>32.9</v>
      </c>
      <c r="R2209">
        <v>5.93</v>
      </c>
      <c r="Y2209" t="s">
        <v>1913</v>
      </c>
      <c r="Z2209" t="s">
        <v>1926</v>
      </c>
      <c r="AA2209">
        <v>127</v>
      </c>
      <c r="AB2209" t="s">
        <v>11</v>
      </c>
    </row>
    <row r="2210" spans="1:35" x14ac:dyDescent="0.25">
      <c r="A2210" t="s">
        <v>9283</v>
      </c>
      <c r="C2210" t="s">
        <v>9284</v>
      </c>
      <c r="D2210" t="s">
        <v>9285</v>
      </c>
      <c r="E2210" t="s">
        <v>782</v>
      </c>
      <c r="F2210" t="s">
        <v>1884</v>
      </c>
      <c r="G2210" t="s">
        <v>1854</v>
      </c>
      <c r="H2210" t="s">
        <v>1885</v>
      </c>
      <c r="J2210" t="s">
        <v>773</v>
      </c>
      <c r="K2210" t="s">
        <v>1873</v>
      </c>
      <c r="L2210" t="s">
        <v>27</v>
      </c>
      <c r="M2210" t="s">
        <v>26</v>
      </c>
      <c r="O2210">
        <v>0</v>
      </c>
      <c r="Y2210" t="s">
        <v>9286</v>
      </c>
      <c r="Z2210" t="s">
        <v>1913</v>
      </c>
      <c r="AA2210">
        <v>47</v>
      </c>
      <c r="AB2210" t="s">
        <v>11</v>
      </c>
      <c r="AG2210">
        <v>14646101007</v>
      </c>
      <c r="AH2210" t="s">
        <v>11</v>
      </c>
      <c r="AI2210" t="s">
        <v>1258</v>
      </c>
    </row>
    <row r="2211" spans="1:35" x14ac:dyDescent="0.25">
      <c r="A2211" t="s">
        <v>9287</v>
      </c>
      <c r="C2211" t="s">
        <v>9288</v>
      </c>
      <c r="D2211" t="s">
        <v>9289</v>
      </c>
      <c r="E2211" t="s">
        <v>770</v>
      </c>
      <c r="F2211" t="s">
        <v>1884</v>
      </c>
      <c r="G2211" t="s">
        <v>1854</v>
      </c>
      <c r="H2211" t="s">
        <v>1885</v>
      </c>
      <c r="J2211" t="s">
        <v>773</v>
      </c>
      <c r="K2211" t="s">
        <v>9290</v>
      </c>
      <c r="L2211" t="s">
        <v>74</v>
      </c>
      <c r="M2211" t="s">
        <v>73</v>
      </c>
      <c r="N2211" t="s">
        <v>770</v>
      </c>
      <c r="O2211">
        <v>1</v>
      </c>
      <c r="P2211" t="s">
        <v>776</v>
      </c>
      <c r="Q2211">
        <v>18.899999999999999</v>
      </c>
      <c r="R2211">
        <v>3.41</v>
      </c>
      <c r="S2211">
        <v>3</v>
      </c>
      <c r="T2211">
        <v>0.54</v>
      </c>
      <c r="Y2211" t="s">
        <v>9291</v>
      </c>
      <c r="Z2211" t="s">
        <v>3369</v>
      </c>
      <c r="AA2211">
        <v>72017</v>
      </c>
      <c r="AB2211" t="s">
        <v>11</v>
      </c>
    </row>
    <row r="2212" spans="1:35" x14ac:dyDescent="0.25">
      <c r="A2212" t="s">
        <v>9292</v>
      </c>
      <c r="C2212" t="s">
        <v>9293</v>
      </c>
      <c r="D2212" t="s">
        <v>9294</v>
      </c>
      <c r="E2212" t="s">
        <v>770</v>
      </c>
      <c r="F2212" t="s">
        <v>1884</v>
      </c>
      <c r="G2212" t="s">
        <v>1854</v>
      </c>
      <c r="H2212" t="s">
        <v>1885</v>
      </c>
      <c r="J2212" t="s">
        <v>773</v>
      </c>
      <c r="K2212" t="s">
        <v>1873</v>
      </c>
      <c r="L2212" t="s">
        <v>27</v>
      </c>
      <c r="M2212" t="s">
        <v>26</v>
      </c>
      <c r="N2212" t="s">
        <v>770</v>
      </c>
      <c r="O2212">
        <v>1</v>
      </c>
      <c r="P2212" t="s">
        <v>776</v>
      </c>
      <c r="Q2212">
        <v>34.9</v>
      </c>
      <c r="R2212">
        <v>6.29</v>
      </c>
      <c r="S2212">
        <v>3</v>
      </c>
      <c r="T2212">
        <v>0.54</v>
      </c>
      <c r="Y2212" t="s">
        <v>9295</v>
      </c>
      <c r="Z2212" t="s">
        <v>2212</v>
      </c>
      <c r="AA2212">
        <v>63100</v>
      </c>
      <c r="AB2212" t="s">
        <v>11</v>
      </c>
      <c r="AG2212" t="s">
        <v>9296</v>
      </c>
      <c r="AH2212" t="s">
        <v>11</v>
      </c>
      <c r="AI2212" t="s">
        <v>1258</v>
      </c>
    </row>
    <row r="2213" spans="1:35" x14ac:dyDescent="0.25">
      <c r="A2213" t="s">
        <v>9297</v>
      </c>
      <c r="C2213" t="s">
        <v>9298</v>
      </c>
      <c r="D2213" t="s">
        <v>9299</v>
      </c>
      <c r="E2213" t="s">
        <v>770</v>
      </c>
      <c r="F2213" t="s">
        <v>1884</v>
      </c>
      <c r="G2213" t="s">
        <v>1854</v>
      </c>
      <c r="H2213" t="s">
        <v>1885</v>
      </c>
      <c r="J2213" t="s">
        <v>773</v>
      </c>
      <c r="K2213" t="s">
        <v>1873</v>
      </c>
      <c r="L2213" t="s">
        <v>27</v>
      </c>
      <c r="M2213" t="s">
        <v>26</v>
      </c>
      <c r="N2213" t="s">
        <v>770</v>
      </c>
      <c r="O2213">
        <v>1</v>
      </c>
      <c r="P2213" t="s">
        <v>776</v>
      </c>
      <c r="Q2213">
        <v>34.9</v>
      </c>
      <c r="R2213">
        <v>6.29</v>
      </c>
      <c r="S2213">
        <v>3</v>
      </c>
      <c r="T2213">
        <v>0.54</v>
      </c>
    </row>
    <row r="2214" spans="1:35" x14ac:dyDescent="0.25">
      <c r="A2214" t="s">
        <v>9300</v>
      </c>
      <c r="C2214" t="s">
        <v>9301</v>
      </c>
      <c r="D2214" t="s">
        <v>9302</v>
      </c>
      <c r="E2214" t="s">
        <v>770</v>
      </c>
      <c r="F2214" t="s">
        <v>1884</v>
      </c>
      <c r="G2214" t="s">
        <v>1854</v>
      </c>
      <c r="H2214" t="s">
        <v>1885</v>
      </c>
      <c r="J2214" t="s">
        <v>773</v>
      </c>
      <c r="K2214" t="s">
        <v>2652</v>
      </c>
      <c r="L2214" t="s">
        <v>52</v>
      </c>
      <c r="M2214" t="s">
        <v>51</v>
      </c>
      <c r="N2214" t="s">
        <v>770</v>
      </c>
      <c r="O2214">
        <v>1</v>
      </c>
      <c r="P2214" t="s">
        <v>776</v>
      </c>
      <c r="Q2214">
        <v>24.9</v>
      </c>
      <c r="R2214">
        <v>4.49</v>
      </c>
      <c r="S2214">
        <v>3</v>
      </c>
      <c r="T2214">
        <v>0.54</v>
      </c>
      <c r="Y2214" t="s">
        <v>9303</v>
      </c>
      <c r="Z2214" t="s">
        <v>5468</v>
      </c>
      <c r="AA2214">
        <v>83040</v>
      </c>
      <c r="AB2214" t="s">
        <v>11</v>
      </c>
    </row>
    <row r="2215" spans="1:35" x14ac:dyDescent="0.25">
      <c r="A2215" t="s">
        <v>9304</v>
      </c>
      <c r="C2215" t="s">
        <v>9305</v>
      </c>
      <c r="D2215" t="s">
        <v>9306</v>
      </c>
      <c r="E2215" t="s">
        <v>770</v>
      </c>
      <c r="F2215" t="s">
        <v>1884</v>
      </c>
      <c r="G2215" t="s">
        <v>1854</v>
      </c>
      <c r="H2215" t="s">
        <v>1885</v>
      </c>
      <c r="J2215" t="s">
        <v>773</v>
      </c>
      <c r="K2215" t="s">
        <v>1873</v>
      </c>
      <c r="L2215" t="s">
        <v>27</v>
      </c>
      <c r="M2215" t="s">
        <v>26</v>
      </c>
      <c r="N2215" t="s">
        <v>770</v>
      </c>
      <c r="O2215">
        <v>1</v>
      </c>
      <c r="P2215" t="s">
        <v>776</v>
      </c>
      <c r="Q2215">
        <v>34.9</v>
      </c>
      <c r="R2215">
        <v>6.29</v>
      </c>
      <c r="S2215">
        <v>3</v>
      </c>
      <c r="T2215">
        <v>0.54</v>
      </c>
      <c r="Y2215" t="s">
        <v>9307</v>
      </c>
      <c r="Z2215" t="s">
        <v>3121</v>
      </c>
      <c r="AA2215">
        <v>9094</v>
      </c>
      <c r="AB2215" t="s">
        <v>11</v>
      </c>
    </row>
    <row r="2216" spans="1:35" x14ac:dyDescent="0.25">
      <c r="A2216" t="s">
        <v>9308</v>
      </c>
      <c r="C2216" t="s">
        <v>9309</v>
      </c>
      <c r="D2216" t="s">
        <v>9310</v>
      </c>
      <c r="E2216" t="s">
        <v>770</v>
      </c>
      <c r="F2216" t="s">
        <v>1884</v>
      </c>
      <c r="G2216" t="s">
        <v>1854</v>
      </c>
      <c r="H2216" t="s">
        <v>1885</v>
      </c>
      <c r="J2216" t="s">
        <v>773</v>
      </c>
      <c r="K2216" t="s">
        <v>1873</v>
      </c>
      <c r="L2216" t="s">
        <v>27</v>
      </c>
      <c r="M2216" t="s">
        <v>26</v>
      </c>
      <c r="N2216" t="s">
        <v>770</v>
      </c>
      <c r="O2216">
        <v>1</v>
      </c>
      <c r="P2216" t="s">
        <v>776</v>
      </c>
      <c r="Q2216">
        <v>34.9</v>
      </c>
      <c r="R2216">
        <v>6.29</v>
      </c>
      <c r="S2216">
        <v>3</v>
      </c>
      <c r="T2216">
        <v>0.54</v>
      </c>
      <c r="Y2216" t="s">
        <v>2281</v>
      </c>
      <c r="Z2216" t="s">
        <v>2070</v>
      </c>
      <c r="AA2216">
        <v>73100</v>
      </c>
      <c r="AB2216" t="s">
        <v>11</v>
      </c>
    </row>
    <row r="2217" spans="1:35" x14ac:dyDescent="0.25">
      <c r="A2217" t="s">
        <v>9311</v>
      </c>
      <c r="C2217" t="s">
        <v>9312</v>
      </c>
      <c r="D2217" t="s">
        <v>9313</v>
      </c>
      <c r="E2217" t="s">
        <v>770</v>
      </c>
      <c r="F2217" t="s">
        <v>1884</v>
      </c>
      <c r="G2217" t="s">
        <v>1854</v>
      </c>
      <c r="H2217" t="s">
        <v>1885</v>
      </c>
      <c r="J2217" t="s">
        <v>773</v>
      </c>
      <c r="K2217" t="s">
        <v>1886</v>
      </c>
      <c r="L2217" t="s">
        <v>18</v>
      </c>
      <c r="M2217" t="s">
        <v>17</v>
      </c>
      <c r="N2217" t="s">
        <v>770</v>
      </c>
      <c r="O2217">
        <v>1</v>
      </c>
      <c r="P2217" t="s">
        <v>776</v>
      </c>
      <c r="Q2217">
        <v>22.9</v>
      </c>
      <c r="R2217">
        <v>4.13</v>
      </c>
      <c r="S2217">
        <v>3</v>
      </c>
      <c r="T2217">
        <v>0.54</v>
      </c>
      <c r="Y2217" t="s">
        <v>9314</v>
      </c>
      <c r="Z2217" t="s">
        <v>1875</v>
      </c>
      <c r="AA2217">
        <v>20097</v>
      </c>
      <c r="AB2217" t="s">
        <v>11</v>
      </c>
    </row>
    <row r="2218" spans="1:35" x14ac:dyDescent="0.25">
      <c r="A2218" t="s">
        <v>9315</v>
      </c>
      <c r="C2218" t="s">
        <v>9316</v>
      </c>
      <c r="D2218" t="s">
        <v>9317</v>
      </c>
      <c r="E2218" t="s">
        <v>770</v>
      </c>
      <c r="F2218" t="s">
        <v>1884</v>
      </c>
      <c r="G2218" t="s">
        <v>1854</v>
      </c>
      <c r="H2218" t="s">
        <v>1885</v>
      </c>
      <c r="J2218" t="s">
        <v>773</v>
      </c>
      <c r="K2218" t="s">
        <v>1886</v>
      </c>
      <c r="L2218" t="s">
        <v>18</v>
      </c>
      <c r="M2218" t="s">
        <v>17</v>
      </c>
      <c r="N2218" t="s">
        <v>770</v>
      </c>
      <c r="O2218">
        <v>1</v>
      </c>
      <c r="P2218" t="s">
        <v>776</v>
      </c>
      <c r="Q2218">
        <v>22.9</v>
      </c>
      <c r="R2218">
        <v>4.13</v>
      </c>
      <c r="S2218">
        <v>3</v>
      </c>
      <c r="T2218">
        <v>0.54</v>
      </c>
      <c r="Y2218" t="s">
        <v>1875</v>
      </c>
      <c r="Z2218" t="s">
        <v>1875</v>
      </c>
      <c r="AA2218">
        <v>20159</v>
      </c>
      <c r="AB2218" t="s">
        <v>11</v>
      </c>
    </row>
    <row r="2219" spans="1:35" x14ac:dyDescent="0.25">
      <c r="A2219" t="s">
        <v>9318</v>
      </c>
      <c r="C2219" t="s">
        <v>9319</v>
      </c>
      <c r="D2219" t="s">
        <v>9320</v>
      </c>
      <c r="E2219" t="s">
        <v>770</v>
      </c>
      <c r="F2219" t="s">
        <v>1884</v>
      </c>
      <c r="G2219" t="s">
        <v>1854</v>
      </c>
      <c r="H2219" t="s">
        <v>1885</v>
      </c>
      <c r="J2219" t="s">
        <v>773</v>
      </c>
      <c r="K2219" t="s">
        <v>2913</v>
      </c>
      <c r="L2219" t="s">
        <v>99</v>
      </c>
      <c r="M2219" t="s">
        <v>98</v>
      </c>
      <c r="N2219" t="s">
        <v>770</v>
      </c>
      <c r="O2219">
        <v>1</v>
      </c>
      <c r="P2219" t="s">
        <v>776</v>
      </c>
      <c r="Q2219">
        <v>29.9</v>
      </c>
      <c r="R2219">
        <v>5.39</v>
      </c>
      <c r="S2219">
        <v>3</v>
      </c>
      <c r="T2219">
        <v>0.54</v>
      </c>
      <c r="Y2219" t="s">
        <v>9321</v>
      </c>
      <c r="Z2219" t="s">
        <v>8376</v>
      </c>
      <c r="AA2219">
        <v>52045</v>
      </c>
      <c r="AB2219" t="s">
        <v>11</v>
      </c>
    </row>
    <row r="2220" spans="1:35" x14ac:dyDescent="0.25">
      <c r="A2220" t="s">
        <v>9322</v>
      </c>
      <c r="B2220" t="s">
        <v>9322</v>
      </c>
      <c r="C2220" t="s">
        <v>9323</v>
      </c>
      <c r="D2220" t="s">
        <v>9324</v>
      </c>
      <c r="E2220" t="s">
        <v>770</v>
      </c>
      <c r="F2220" t="s">
        <v>771</v>
      </c>
      <c r="G2220" t="s">
        <v>1854</v>
      </c>
      <c r="J2220" t="s">
        <v>783</v>
      </c>
      <c r="K2220" t="s">
        <v>5765</v>
      </c>
      <c r="L2220" t="s">
        <v>5766</v>
      </c>
      <c r="M2220" t="s">
        <v>152</v>
      </c>
      <c r="N2220" t="s">
        <v>770</v>
      </c>
      <c r="O2220">
        <v>1</v>
      </c>
      <c r="P2220" t="s">
        <v>776</v>
      </c>
      <c r="Q2220">
        <v>24.9</v>
      </c>
      <c r="R2220">
        <v>4.49</v>
      </c>
      <c r="Y2220" t="s">
        <v>9325</v>
      </c>
      <c r="Z2220" t="s">
        <v>9326</v>
      </c>
      <c r="AA2220">
        <v>43011</v>
      </c>
      <c r="AB2220" t="s">
        <v>11</v>
      </c>
    </row>
    <row r="2221" spans="1:35" x14ac:dyDescent="0.25">
      <c r="A2221" t="s">
        <v>9327</v>
      </c>
      <c r="C2221" t="s">
        <v>9328</v>
      </c>
      <c r="D2221" t="s">
        <v>9289</v>
      </c>
      <c r="E2221" t="s">
        <v>770</v>
      </c>
      <c r="F2221" t="s">
        <v>1884</v>
      </c>
      <c r="G2221" t="s">
        <v>1854</v>
      </c>
      <c r="H2221" t="s">
        <v>1885</v>
      </c>
      <c r="J2221" t="s">
        <v>773</v>
      </c>
      <c r="K2221" t="s">
        <v>1930</v>
      </c>
      <c r="L2221" t="s">
        <v>66</v>
      </c>
      <c r="M2221" t="s">
        <v>65</v>
      </c>
      <c r="N2221" t="s">
        <v>770</v>
      </c>
      <c r="O2221">
        <v>1</v>
      </c>
      <c r="P2221" t="s">
        <v>776</v>
      </c>
      <c r="Q2221">
        <v>29.9</v>
      </c>
      <c r="R2221">
        <v>5.39</v>
      </c>
      <c r="S2221">
        <v>3</v>
      </c>
      <c r="T2221">
        <v>0.54</v>
      </c>
      <c r="Y2221" t="s">
        <v>5859</v>
      </c>
      <c r="Z2221" t="s">
        <v>2075</v>
      </c>
      <c r="AA2221">
        <v>22077</v>
      </c>
      <c r="AB2221" t="s">
        <v>11</v>
      </c>
    </row>
    <row r="2222" spans="1:35" x14ac:dyDescent="0.25">
      <c r="A2222" t="s">
        <v>9329</v>
      </c>
      <c r="B2222" t="s">
        <v>9329</v>
      </c>
      <c r="C2222" t="s">
        <v>9330</v>
      </c>
      <c r="D2222" t="s">
        <v>9331</v>
      </c>
      <c r="E2222" t="s">
        <v>770</v>
      </c>
      <c r="F2222" t="s">
        <v>771</v>
      </c>
      <c r="G2222" t="s">
        <v>1854</v>
      </c>
      <c r="J2222" t="s">
        <v>783</v>
      </c>
      <c r="K2222" t="s">
        <v>1862</v>
      </c>
      <c r="L2222" t="s">
        <v>1505</v>
      </c>
      <c r="M2222" t="s">
        <v>53</v>
      </c>
      <c r="N2222" t="s">
        <v>770</v>
      </c>
      <c r="O2222">
        <v>1</v>
      </c>
      <c r="P2222" t="s">
        <v>776</v>
      </c>
      <c r="Q2222">
        <v>32.9</v>
      </c>
      <c r="R2222">
        <v>5.93</v>
      </c>
      <c r="Y2222" t="s">
        <v>9332</v>
      </c>
      <c r="Z2222" t="s">
        <v>2621</v>
      </c>
      <c r="AA2222">
        <v>21030</v>
      </c>
      <c r="AB2222" t="s">
        <v>11</v>
      </c>
    </row>
    <row r="2223" spans="1:35" x14ac:dyDescent="0.25">
      <c r="A2223" t="s">
        <v>9333</v>
      </c>
      <c r="B2223" t="s">
        <v>9333</v>
      </c>
      <c r="C2223" t="s">
        <v>9334</v>
      </c>
      <c r="D2223" t="s">
        <v>9335</v>
      </c>
      <c r="E2223" t="s">
        <v>770</v>
      </c>
      <c r="F2223" t="s">
        <v>771</v>
      </c>
      <c r="G2223" t="s">
        <v>1854</v>
      </c>
      <c r="J2223" t="s">
        <v>783</v>
      </c>
      <c r="K2223" t="s">
        <v>2319</v>
      </c>
      <c r="L2223" t="s">
        <v>1080</v>
      </c>
      <c r="M2223" t="s">
        <v>186</v>
      </c>
      <c r="N2223" t="s">
        <v>770</v>
      </c>
      <c r="O2223">
        <v>1</v>
      </c>
      <c r="P2223" t="s">
        <v>776</v>
      </c>
      <c r="Q2223">
        <v>39.9</v>
      </c>
      <c r="R2223">
        <v>7.2</v>
      </c>
      <c r="Y2223" t="s">
        <v>3676</v>
      </c>
      <c r="Z2223" t="s">
        <v>2533</v>
      </c>
      <c r="AA2223">
        <v>35028</v>
      </c>
      <c r="AB2223" t="s">
        <v>11</v>
      </c>
    </row>
    <row r="2224" spans="1:35" x14ac:dyDescent="0.25">
      <c r="A2224" t="s">
        <v>9336</v>
      </c>
      <c r="B2224" t="s">
        <v>9336</v>
      </c>
      <c r="C2224" t="s">
        <v>9337</v>
      </c>
      <c r="D2224" t="s">
        <v>9338</v>
      </c>
      <c r="E2224" t="s">
        <v>770</v>
      </c>
      <c r="F2224" t="s">
        <v>771</v>
      </c>
      <c r="G2224" t="s">
        <v>1854</v>
      </c>
      <c r="J2224" t="s">
        <v>783</v>
      </c>
      <c r="K2224" t="s">
        <v>1862</v>
      </c>
      <c r="L2224" t="s">
        <v>1505</v>
      </c>
      <c r="M2224" t="s">
        <v>53</v>
      </c>
      <c r="N2224" t="s">
        <v>770</v>
      </c>
      <c r="O2224">
        <v>1</v>
      </c>
      <c r="P2224" t="s">
        <v>776</v>
      </c>
      <c r="Q2224">
        <v>32.9</v>
      </c>
      <c r="R2224">
        <v>5.93</v>
      </c>
      <c r="Y2224" t="s">
        <v>1913</v>
      </c>
      <c r="Z2224" t="s">
        <v>1926</v>
      </c>
      <c r="AA2224">
        <v>122</v>
      </c>
      <c r="AB2224" t="s">
        <v>11</v>
      </c>
    </row>
    <row r="2225" spans="1:35" x14ac:dyDescent="0.25">
      <c r="A2225" t="s">
        <v>9339</v>
      </c>
      <c r="B2225" t="s">
        <v>9339</v>
      </c>
      <c r="C2225" t="s">
        <v>9340</v>
      </c>
      <c r="D2225" t="s">
        <v>9341</v>
      </c>
      <c r="E2225" t="s">
        <v>770</v>
      </c>
      <c r="F2225" t="s">
        <v>771</v>
      </c>
      <c r="G2225" t="s">
        <v>1854</v>
      </c>
      <c r="J2225" t="s">
        <v>783</v>
      </c>
      <c r="K2225" t="s">
        <v>1862</v>
      </c>
      <c r="L2225" t="s">
        <v>1505</v>
      </c>
      <c r="M2225" t="s">
        <v>53</v>
      </c>
      <c r="N2225" t="s">
        <v>770</v>
      </c>
      <c r="O2225">
        <v>1</v>
      </c>
      <c r="P2225" t="s">
        <v>776</v>
      </c>
      <c r="Q2225">
        <v>32.9</v>
      </c>
      <c r="R2225">
        <v>5.93</v>
      </c>
      <c r="Y2225" t="s">
        <v>1913</v>
      </c>
      <c r="Z2225" t="s">
        <v>1926</v>
      </c>
      <c r="AA2225">
        <v>155</v>
      </c>
      <c r="AB2225" t="s">
        <v>11</v>
      </c>
    </row>
    <row r="2226" spans="1:35" x14ac:dyDescent="0.25">
      <c r="A2226" t="s">
        <v>9342</v>
      </c>
      <c r="B2226" t="s">
        <v>9342</v>
      </c>
      <c r="C2226" t="s">
        <v>9343</v>
      </c>
      <c r="D2226" t="s">
        <v>9344</v>
      </c>
      <c r="E2226" t="s">
        <v>770</v>
      </c>
      <c r="F2226" t="s">
        <v>771</v>
      </c>
      <c r="G2226" t="s">
        <v>1854</v>
      </c>
      <c r="J2226" t="s">
        <v>773</v>
      </c>
      <c r="K2226" t="s">
        <v>1862</v>
      </c>
      <c r="L2226" t="s">
        <v>1505</v>
      </c>
      <c r="M2226" t="s">
        <v>53</v>
      </c>
      <c r="N2226" t="s">
        <v>770</v>
      </c>
      <c r="O2226">
        <v>1</v>
      </c>
      <c r="P2226" t="s">
        <v>776</v>
      </c>
      <c r="Q2226">
        <v>32.9</v>
      </c>
      <c r="R2226">
        <v>5.93</v>
      </c>
      <c r="Y2226" t="s">
        <v>4082</v>
      </c>
      <c r="Z2226" t="s">
        <v>1869</v>
      </c>
      <c r="AA2226">
        <v>10136</v>
      </c>
      <c r="AB2226" t="s">
        <v>11</v>
      </c>
      <c r="AC2226" t="s">
        <v>4754</v>
      </c>
    </row>
    <row r="2227" spans="1:35" x14ac:dyDescent="0.25">
      <c r="A2227" t="s">
        <v>9345</v>
      </c>
      <c r="C2227" t="s">
        <v>9346</v>
      </c>
      <c r="D2227" t="s">
        <v>9302</v>
      </c>
      <c r="E2227" t="s">
        <v>770</v>
      </c>
      <c r="F2227" t="s">
        <v>1884</v>
      </c>
      <c r="G2227" t="s">
        <v>1854</v>
      </c>
      <c r="H2227" t="s">
        <v>1885</v>
      </c>
      <c r="J2227" t="s">
        <v>773</v>
      </c>
      <c r="K2227" t="s">
        <v>9290</v>
      </c>
      <c r="L2227" t="s">
        <v>74</v>
      </c>
      <c r="M2227" t="s">
        <v>73</v>
      </c>
      <c r="N2227" t="s">
        <v>770</v>
      </c>
      <c r="O2227">
        <v>2</v>
      </c>
      <c r="P2227" t="s">
        <v>776</v>
      </c>
      <c r="Q2227">
        <v>37.799999999999997</v>
      </c>
      <c r="R2227">
        <v>6.82</v>
      </c>
      <c r="S2227">
        <v>6</v>
      </c>
      <c r="T2227">
        <v>1.08</v>
      </c>
      <c r="Y2227" t="s">
        <v>9347</v>
      </c>
      <c r="Z2227" t="s">
        <v>1067</v>
      </c>
      <c r="AA2227">
        <v>55027</v>
      </c>
      <c r="AB2227" t="s">
        <v>11</v>
      </c>
      <c r="AG2227" t="s">
        <v>9348</v>
      </c>
      <c r="AH2227" t="s">
        <v>11</v>
      </c>
      <c r="AI2227" t="s">
        <v>1258</v>
      </c>
    </row>
    <row r="2228" spans="1:35" x14ac:dyDescent="0.25">
      <c r="A2228" t="s">
        <v>9349</v>
      </c>
      <c r="C2228" t="s">
        <v>9350</v>
      </c>
      <c r="D2228" t="s">
        <v>9351</v>
      </c>
      <c r="E2228" t="s">
        <v>770</v>
      </c>
      <c r="F2228" t="s">
        <v>1884</v>
      </c>
      <c r="G2228" t="s">
        <v>1854</v>
      </c>
      <c r="H2228" t="s">
        <v>1885</v>
      </c>
      <c r="J2228" t="s">
        <v>773</v>
      </c>
      <c r="K2228" t="s">
        <v>1930</v>
      </c>
      <c r="L2228" t="s">
        <v>66</v>
      </c>
      <c r="M2228" t="s">
        <v>65</v>
      </c>
      <c r="N2228" t="s">
        <v>770</v>
      </c>
      <c r="O2228">
        <v>1</v>
      </c>
      <c r="P2228" t="s">
        <v>776</v>
      </c>
      <c r="Q2228">
        <v>29.9</v>
      </c>
      <c r="R2228">
        <v>5.39</v>
      </c>
      <c r="S2228">
        <v>3</v>
      </c>
      <c r="T2228">
        <v>0.54</v>
      </c>
      <c r="Y2228" t="s">
        <v>9352</v>
      </c>
      <c r="Z2228" t="s">
        <v>1937</v>
      </c>
      <c r="AA2228">
        <v>24010</v>
      </c>
      <c r="AB2228" t="s">
        <v>11</v>
      </c>
    </row>
    <row r="2229" spans="1:35" x14ac:dyDescent="0.25">
      <c r="A2229" t="s">
        <v>9353</v>
      </c>
      <c r="B2229" t="s">
        <v>9353</v>
      </c>
      <c r="C2229" t="s">
        <v>9354</v>
      </c>
      <c r="D2229" t="s">
        <v>9355</v>
      </c>
      <c r="E2229" t="s">
        <v>770</v>
      </c>
      <c r="F2229" t="s">
        <v>771</v>
      </c>
      <c r="G2229" t="s">
        <v>1854</v>
      </c>
      <c r="J2229" t="s">
        <v>783</v>
      </c>
      <c r="K2229" t="s">
        <v>1862</v>
      </c>
      <c r="L2229" t="s">
        <v>1505</v>
      </c>
      <c r="M2229" t="s">
        <v>53</v>
      </c>
      <c r="N2229" t="s">
        <v>770</v>
      </c>
      <c r="O2229">
        <v>1</v>
      </c>
      <c r="P2229" t="s">
        <v>776</v>
      </c>
      <c r="Q2229">
        <v>32.9</v>
      </c>
      <c r="R2229">
        <v>5.93</v>
      </c>
      <c r="Y2229" t="s">
        <v>2244</v>
      </c>
      <c r="Z2229" t="s">
        <v>2244</v>
      </c>
      <c r="AA2229">
        <v>59100</v>
      </c>
      <c r="AB2229" t="s">
        <v>11</v>
      </c>
    </row>
    <row r="2230" spans="1:35" x14ac:dyDescent="0.25">
      <c r="A2230" t="s">
        <v>9356</v>
      </c>
      <c r="C2230" t="s">
        <v>9357</v>
      </c>
      <c r="D2230" t="s">
        <v>9358</v>
      </c>
      <c r="E2230" t="s">
        <v>770</v>
      </c>
      <c r="F2230" t="s">
        <v>1884</v>
      </c>
      <c r="G2230" t="s">
        <v>1854</v>
      </c>
      <c r="H2230" t="s">
        <v>1885</v>
      </c>
      <c r="J2230" t="s">
        <v>773</v>
      </c>
      <c r="K2230" t="s">
        <v>1930</v>
      </c>
      <c r="L2230" t="s">
        <v>66</v>
      </c>
      <c r="M2230" t="s">
        <v>65</v>
      </c>
      <c r="N2230" t="s">
        <v>770</v>
      </c>
      <c r="O2230">
        <v>1</v>
      </c>
      <c r="P2230" t="s">
        <v>776</v>
      </c>
      <c r="Q2230">
        <v>29.9</v>
      </c>
      <c r="R2230">
        <v>5.39</v>
      </c>
      <c r="S2230">
        <v>3</v>
      </c>
      <c r="T2230">
        <v>0.54</v>
      </c>
      <c r="Y2230" t="s">
        <v>8459</v>
      </c>
      <c r="Z2230" t="s">
        <v>2503</v>
      </c>
      <c r="AA2230">
        <v>48012</v>
      </c>
      <c r="AB2230" t="s">
        <v>11</v>
      </c>
      <c r="AG2230" t="s">
        <v>9359</v>
      </c>
      <c r="AH2230" t="s">
        <v>11</v>
      </c>
      <c r="AI2230" t="s">
        <v>1258</v>
      </c>
    </row>
    <row r="2231" spans="1:35" x14ac:dyDescent="0.25">
      <c r="A2231" t="s">
        <v>9360</v>
      </c>
      <c r="B2231" t="s">
        <v>9360</v>
      </c>
      <c r="C2231" t="s">
        <v>9361</v>
      </c>
      <c r="D2231" t="s">
        <v>9362</v>
      </c>
      <c r="E2231" t="s">
        <v>770</v>
      </c>
      <c r="F2231" t="s">
        <v>771</v>
      </c>
      <c r="G2231" t="s">
        <v>1854</v>
      </c>
      <c r="J2231" t="s">
        <v>783</v>
      </c>
      <c r="K2231" t="s">
        <v>1862</v>
      </c>
      <c r="L2231" t="s">
        <v>1505</v>
      </c>
      <c r="M2231" t="s">
        <v>53</v>
      </c>
      <c r="N2231" t="s">
        <v>770</v>
      </c>
      <c r="O2231">
        <v>1</v>
      </c>
      <c r="P2231" t="s">
        <v>776</v>
      </c>
      <c r="Q2231">
        <v>32.9</v>
      </c>
      <c r="R2231">
        <v>5.93</v>
      </c>
      <c r="S2231">
        <v>1.64</v>
      </c>
      <c r="X2231">
        <v>1.64</v>
      </c>
      <c r="Y2231" t="s">
        <v>6638</v>
      </c>
      <c r="Z2231" t="s">
        <v>1989</v>
      </c>
      <c r="AA2231">
        <v>36031</v>
      </c>
      <c r="AB2231" t="s">
        <v>11</v>
      </c>
    </row>
    <row r="2232" spans="1:35" x14ac:dyDescent="0.25">
      <c r="A2232" t="s">
        <v>9363</v>
      </c>
      <c r="B2232" t="s">
        <v>9363</v>
      </c>
      <c r="C2232" t="s">
        <v>9364</v>
      </c>
      <c r="D2232" t="s">
        <v>9365</v>
      </c>
      <c r="E2232" t="s">
        <v>770</v>
      </c>
      <c r="F2232" t="s">
        <v>771</v>
      </c>
      <c r="G2232" t="s">
        <v>1854</v>
      </c>
      <c r="J2232" t="s">
        <v>783</v>
      </c>
      <c r="K2232" t="s">
        <v>1862</v>
      </c>
      <c r="L2232" t="s">
        <v>1505</v>
      </c>
      <c r="M2232" t="s">
        <v>53</v>
      </c>
      <c r="N2232" t="s">
        <v>770</v>
      </c>
      <c r="O2232">
        <v>1</v>
      </c>
      <c r="P2232" t="s">
        <v>776</v>
      </c>
      <c r="Q2232">
        <v>32.9</v>
      </c>
      <c r="R2232">
        <v>5.93</v>
      </c>
      <c r="Y2232" t="s">
        <v>9366</v>
      </c>
      <c r="Z2232" t="s">
        <v>4263</v>
      </c>
      <c r="AA2232">
        <v>32032</v>
      </c>
      <c r="AB2232" t="s">
        <v>11</v>
      </c>
    </row>
    <row r="2233" spans="1:35" x14ac:dyDescent="0.25">
      <c r="A2233" t="s">
        <v>9367</v>
      </c>
      <c r="C2233" t="s">
        <v>9368</v>
      </c>
      <c r="D2233" t="s">
        <v>9369</v>
      </c>
      <c r="E2233" t="s">
        <v>770</v>
      </c>
      <c r="F2233" t="s">
        <v>1884</v>
      </c>
      <c r="G2233" t="s">
        <v>1854</v>
      </c>
      <c r="H2233" t="s">
        <v>1885</v>
      </c>
      <c r="J2233" t="s">
        <v>773</v>
      </c>
      <c r="K2233" t="s">
        <v>1886</v>
      </c>
      <c r="L2233" t="s">
        <v>18</v>
      </c>
      <c r="M2233" t="s">
        <v>17</v>
      </c>
      <c r="N2233" t="s">
        <v>770</v>
      </c>
      <c r="O2233">
        <v>1</v>
      </c>
      <c r="P2233" t="s">
        <v>776</v>
      </c>
      <c r="Q2233">
        <v>22.9</v>
      </c>
      <c r="R2233">
        <v>4.13</v>
      </c>
      <c r="S2233">
        <v>3</v>
      </c>
      <c r="T2233">
        <v>0.54</v>
      </c>
      <c r="Y2233" t="s">
        <v>1913</v>
      </c>
      <c r="Z2233" t="s">
        <v>1913</v>
      </c>
      <c r="AA2233">
        <v>158</v>
      </c>
      <c r="AB2233" t="s">
        <v>11</v>
      </c>
      <c r="AG2233" t="s">
        <v>9370</v>
      </c>
      <c r="AH2233" t="s">
        <v>11</v>
      </c>
      <c r="AI2233" t="s">
        <v>2459</v>
      </c>
    </row>
    <row r="2234" spans="1:35" x14ac:dyDescent="0.25">
      <c r="A2234" t="s">
        <v>9371</v>
      </c>
      <c r="C2234" t="s">
        <v>9372</v>
      </c>
      <c r="D2234" t="s">
        <v>9373</v>
      </c>
      <c r="E2234" t="s">
        <v>782</v>
      </c>
      <c r="F2234" t="s">
        <v>1884</v>
      </c>
      <c r="G2234" t="s">
        <v>1854</v>
      </c>
      <c r="H2234" t="s">
        <v>1885</v>
      </c>
      <c r="J2234" t="s">
        <v>773</v>
      </c>
      <c r="K2234" t="s">
        <v>1886</v>
      </c>
      <c r="L2234" t="s">
        <v>18</v>
      </c>
      <c r="M2234" t="s">
        <v>17</v>
      </c>
      <c r="O2234">
        <v>0</v>
      </c>
      <c r="Y2234" t="s">
        <v>1913</v>
      </c>
      <c r="Z2234" t="s">
        <v>1913</v>
      </c>
      <c r="AA2234">
        <v>199</v>
      </c>
      <c r="AB2234" t="s">
        <v>11</v>
      </c>
    </row>
    <row r="2235" spans="1:35" x14ac:dyDescent="0.25">
      <c r="A2235" t="s">
        <v>9374</v>
      </c>
      <c r="B2235" t="s">
        <v>9374</v>
      </c>
      <c r="C2235" t="s">
        <v>9375</v>
      </c>
      <c r="D2235" t="s">
        <v>9376</v>
      </c>
      <c r="E2235" t="s">
        <v>770</v>
      </c>
      <c r="F2235" t="s">
        <v>771</v>
      </c>
      <c r="G2235" t="s">
        <v>1854</v>
      </c>
      <c r="J2235" t="s">
        <v>783</v>
      </c>
      <c r="K2235" t="s">
        <v>1862</v>
      </c>
      <c r="L2235" t="s">
        <v>1505</v>
      </c>
      <c r="M2235" t="s">
        <v>53</v>
      </c>
      <c r="N2235" t="s">
        <v>770</v>
      </c>
      <c r="O2235">
        <v>1</v>
      </c>
      <c r="P2235" t="s">
        <v>776</v>
      </c>
      <c r="Q2235">
        <v>32.9</v>
      </c>
      <c r="R2235">
        <v>5.93</v>
      </c>
      <c r="Y2235" t="s">
        <v>9377</v>
      </c>
      <c r="Z2235" t="s">
        <v>3512</v>
      </c>
      <c r="AA2235">
        <v>32016</v>
      </c>
      <c r="AB2235" t="s">
        <v>11</v>
      </c>
    </row>
    <row r="2236" spans="1:35" x14ac:dyDescent="0.25">
      <c r="A2236" t="s">
        <v>9378</v>
      </c>
      <c r="C2236" t="s">
        <v>9379</v>
      </c>
      <c r="D2236" t="s">
        <v>9380</v>
      </c>
      <c r="E2236" t="s">
        <v>770</v>
      </c>
      <c r="F2236" t="s">
        <v>1884</v>
      </c>
      <c r="G2236" t="s">
        <v>1854</v>
      </c>
      <c r="H2236" t="s">
        <v>1885</v>
      </c>
      <c r="J2236" t="s">
        <v>773</v>
      </c>
      <c r="K2236" t="s">
        <v>1886</v>
      </c>
      <c r="L2236" t="s">
        <v>18</v>
      </c>
      <c r="M2236" t="s">
        <v>17</v>
      </c>
      <c r="N2236" t="s">
        <v>770</v>
      </c>
      <c r="O2236">
        <v>1</v>
      </c>
      <c r="P2236" t="s">
        <v>776</v>
      </c>
      <c r="Q2236">
        <v>22.9</v>
      </c>
      <c r="R2236">
        <v>4.13</v>
      </c>
      <c r="S2236">
        <v>3</v>
      </c>
      <c r="T2236">
        <v>0.54</v>
      </c>
      <c r="Y2236" t="s">
        <v>9381</v>
      </c>
      <c r="Z2236" t="s">
        <v>1937</v>
      </c>
      <c r="AA2236">
        <v>24041</v>
      </c>
      <c r="AB2236" t="s">
        <v>11</v>
      </c>
    </row>
    <row r="2237" spans="1:35" x14ac:dyDescent="0.25">
      <c r="A2237" t="s">
        <v>9382</v>
      </c>
      <c r="B2237" t="s">
        <v>9382</v>
      </c>
      <c r="C2237" t="s">
        <v>9383</v>
      </c>
      <c r="D2237" t="s">
        <v>9384</v>
      </c>
      <c r="E2237" t="s">
        <v>770</v>
      </c>
      <c r="F2237" t="s">
        <v>771</v>
      </c>
      <c r="G2237" t="s">
        <v>1854</v>
      </c>
      <c r="J2237" t="s">
        <v>783</v>
      </c>
      <c r="K2237" t="s">
        <v>1862</v>
      </c>
      <c r="L2237" t="s">
        <v>1505</v>
      </c>
      <c r="M2237" t="s">
        <v>53</v>
      </c>
      <c r="N2237" t="s">
        <v>770</v>
      </c>
      <c r="O2237">
        <v>1</v>
      </c>
      <c r="P2237" t="s">
        <v>776</v>
      </c>
      <c r="Q2237">
        <v>32.9</v>
      </c>
      <c r="R2237">
        <v>5.93</v>
      </c>
      <c r="Y2237" t="s">
        <v>1875</v>
      </c>
      <c r="Z2237" t="s">
        <v>1864</v>
      </c>
      <c r="AA2237">
        <v>20151</v>
      </c>
      <c r="AB2237" t="s">
        <v>11</v>
      </c>
    </row>
    <row r="2238" spans="1:35" x14ac:dyDescent="0.25">
      <c r="A2238" t="s">
        <v>9385</v>
      </c>
      <c r="B2238" t="s">
        <v>9385</v>
      </c>
      <c r="C2238" t="s">
        <v>9386</v>
      </c>
      <c r="D2238" t="s">
        <v>9387</v>
      </c>
      <c r="E2238" t="s">
        <v>770</v>
      </c>
      <c r="F2238" t="s">
        <v>771</v>
      </c>
      <c r="G2238" t="s">
        <v>1854</v>
      </c>
      <c r="J2238" t="s">
        <v>783</v>
      </c>
      <c r="K2238" t="s">
        <v>5765</v>
      </c>
      <c r="L2238" t="s">
        <v>5766</v>
      </c>
      <c r="M2238" t="s">
        <v>152</v>
      </c>
      <c r="N2238" t="s">
        <v>770</v>
      </c>
      <c r="O2238">
        <v>1</v>
      </c>
      <c r="P2238" t="s">
        <v>776</v>
      </c>
      <c r="Q2238">
        <v>24.9</v>
      </c>
      <c r="R2238">
        <v>4.49</v>
      </c>
      <c r="Y2238" t="s">
        <v>1913</v>
      </c>
      <c r="Z2238" t="s">
        <v>1926</v>
      </c>
      <c r="AA2238">
        <v>154</v>
      </c>
      <c r="AB2238" t="s">
        <v>11</v>
      </c>
    </row>
    <row r="2239" spans="1:35" x14ac:dyDescent="0.25">
      <c r="A2239" t="s">
        <v>9388</v>
      </c>
      <c r="B2239" t="s">
        <v>9388</v>
      </c>
      <c r="C2239" t="s">
        <v>9389</v>
      </c>
      <c r="D2239" t="s">
        <v>9390</v>
      </c>
      <c r="E2239" t="s">
        <v>770</v>
      </c>
      <c r="F2239" t="s">
        <v>771</v>
      </c>
      <c r="G2239" t="s">
        <v>1854</v>
      </c>
      <c r="J2239" t="s">
        <v>783</v>
      </c>
      <c r="K2239" t="s">
        <v>1862</v>
      </c>
      <c r="L2239" t="s">
        <v>1505</v>
      </c>
      <c r="M2239" t="s">
        <v>53</v>
      </c>
      <c r="N2239" t="s">
        <v>770</v>
      </c>
      <c r="O2239">
        <v>1</v>
      </c>
      <c r="P2239" t="s">
        <v>776</v>
      </c>
      <c r="Q2239">
        <v>32.9</v>
      </c>
      <c r="R2239">
        <v>5.93</v>
      </c>
      <c r="Y2239" t="s">
        <v>9391</v>
      </c>
      <c r="Z2239" t="s">
        <v>2111</v>
      </c>
      <c r="AA2239">
        <v>42010</v>
      </c>
      <c r="AB2239" t="s">
        <v>11</v>
      </c>
    </row>
    <row r="2240" spans="1:35" x14ac:dyDescent="0.25">
      <c r="A2240" t="s">
        <v>9392</v>
      </c>
      <c r="B2240" t="s">
        <v>9392</v>
      </c>
      <c r="C2240" t="s">
        <v>9393</v>
      </c>
      <c r="D2240" t="s">
        <v>9394</v>
      </c>
      <c r="E2240" t="s">
        <v>770</v>
      </c>
      <c r="F2240" t="s">
        <v>771</v>
      </c>
      <c r="G2240" t="s">
        <v>1854</v>
      </c>
      <c r="J2240" t="s">
        <v>783</v>
      </c>
      <c r="K2240" t="s">
        <v>1862</v>
      </c>
      <c r="L2240" t="s">
        <v>1505</v>
      </c>
      <c r="M2240" t="s">
        <v>53</v>
      </c>
      <c r="N2240" t="s">
        <v>770</v>
      </c>
      <c r="O2240">
        <v>1</v>
      </c>
      <c r="P2240" t="s">
        <v>776</v>
      </c>
      <c r="Q2240">
        <v>32.9</v>
      </c>
      <c r="R2240">
        <v>5.93</v>
      </c>
      <c r="Y2240" t="s">
        <v>9395</v>
      </c>
      <c r="Z2240" t="s">
        <v>1875</v>
      </c>
      <c r="AA2240">
        <v>20083</v>
      </c>
      <c r="AB2240" t="s">
        <v>11</v>
      </c>
    </row>
    <row r="2241" spans="1:35" x14ac:dyDescent="0.25">
      <c r="A2241" t="s">
        <v>9396</v>
      </c>
      <c r="B2241" t="s">
        <v>9396</v>
      </c>
      <c r="C2241" t="s">
        <v>9397</v>
      </c>
      <c r="D2241" t="s">
        <v>9398</v>
      </c>
      <c r="E2241" t="s">
        <v>770</v>
      </c>
      <c r="F2241" t="s">
        <v>771</v>
      </c>
      <c r="G2241" t="s">
        <v>1854</v>
      </c>
      <c r="J2241" t="s">
        <v>783</v>
      </c>
      <c r="K2241" t="s">
        <v>1862</v>
      </c>
      <c r="L2241" t="s">
        <v>1505</v>
      </c>
      <c r="M2241" t="s">
        <v>53</v>
      </c>
      <c r="N2241" t="s">
        <v>770</v>
      </c>
      <c r="O2241">
        <v>1</v>
      </c>
      <c r="P2241" t="s">
        <v>776</v>
      </c>
      <c r="Q2241">
        <v>32.9</v>
      </c>
      <c r="R2241">
        <v>5.93</v>
      </c>
      <c r="Y2241" t="s">
        <v>9399</v>
      </c>
      <c r="AA2241">
        <v>26100</v>
      </c>
      <c r="AB2241" t="s">
        <v>11</v>
      </c>
    </row>
    <row r="2242" spans="1:35" x14ac:dyDescent="0.25">
      <c r="A2242" t="s">
        <v>9400</v>
      </c>
      <c r="C2242" t="s">
        <v>9401</v>
      </c>
      <c r="D2242" t="s">
        <v>9402</v>
      </c>
      <c r="E2242" t="s">
        <v>770</v>
      </c>
      <c r="F2242" t="s">
        <v>1884</v>
      </c>
      <c r="G2242" t="s">
        <v>1854</v>
      </c>
      <c r="H2242" t="s">
        <v>1885</v>
      </c>
      <c r="J2242" t="s">
        <v>773</v>
      </c>
      <c r="K2242" t="s">
        <v>1930</v>
      </c>
      <c r="L2242" t="s">
        <v>66</v>
      </c>
      <c r="M2242" t="s">
        <v>65</v>
      </c>
      <c r="N2242" t="s">
        <v>770</v>
      </c>
      <c r="O2242">
        <v>1</v>
      </c>
      <c r="P2242" t="s">
        <v>776</v>
      </c>
      <c r="Q2242">
        <v>29.9</v>
      </c>
      <c r="R2242">
        <v>5.39</v>
      </c>
      <c r="S2242">
        <v>3</v>
      </c>
      <c r="T2242">
        <v>0.54</v>
      </c>
      <c r="Y2242" t="s">
        <v>9403</v>
      </c>
      <c r="Z2242" t="s">
        <v>1937</v>
      </c>
      <c r="AA2242">
        <v>24040</v>
      </c>
      <c r="AB2242" t="s">
        <v>11</v>
      </c>
    </row>
    <row r="2243" spans="1:35" x14ac:dyDescent="0.25">
      <c r="A2243" t="s">
        <v>9404</v>
      </c>
      <c r="C2243" t="s">
        <v>9405</v>
      </c>
      <c r="D2243" t="s">
        <v>9406</v>
      </c>
      <c r="E2243" t="s">
        <v>770</v>
      </c>
      <c r="F2243" t="s">
        <v>1884</v>
      </c>
      <c r="G2243" t="s">
        <v>1854</v>
      </c>
      <c r="H2243" t="s">
        <v>1885</v>
      </c>
      <c r="J2243" t="s">
        <v>773</v>
      </c>
      <c r="K2243" t="s">
        <v>1930</v>
      </c>
      <c r="L2243" t="s">
        <v>66</v>
      </c>
      <c r="M2243" t="s">
        <v>65</v>
      </c>
      <c r="N2243" t="s">
        <v>770</v>
      </c>
      <c r="O2243">
        <v>1</v>
      </c>
      <c r="P2243" t="s">
        <v>776</v>
      </c>
      <c r="Q2243">
        <v>29.9</v>
      </c>
      <c r="R2243">
        <v>5.39</v>
      </c>
      <c r="S2243">
        <v>3</v>
      </c>
      <c r="T2243">
        <v>0.54</v>
      </c>
      <c r="Y2243" t="s">
        <v>2838</v>
      </c>
      <c r="Z2243" t="s">
        <v>2919</v>
      </c>
      <c r="AA2243">
        <v>5100</v>
      </c>
      <c r="AB2243" t="s">
        <v>11</v>
      </c>
    </row>
    <row r="2244" spans="1:35" x14ac:dyDescent="0.25">
      <c r="A2244" t="s">
        <v>9407</v>
      </c>
      <c r="B2244" t="s">
        <v>9407</v>
      </c>
      <c r="C2244" t="s">
        <v>9408</v>
      </c>
      <c r="D2244" t="s">
        <v>9409</v>
      </c>
      <c r="E2244" t="s">
        <v>770</v>
      </c>
      <c r="F2244" t="s">
        <v>771</v>
      </c>
      <c r="G2244" t="s">
        <v>1854</v>
      </c>
      <c r="J2244" t="s">
        <v>783</v>
      </c>
      <c r="K2244" t="s">
        <v>1862</v>
      </c>
      <c r="L2244" t="s">
        <v>1505</v>
      </c>
      <c r="M2244" t="s">
        <v>53</v>
      </c>
      <c r="N2244" t="s">
        <v>770</v>
      </c>
      <c r="O2244">
        <v>1</v>
      </c>
      <c r="P2244" t="s">
        <v>776</v>
      </c>
      <c r="Q2244">
        <v>32.9</v>
      </c>
      <c r="R2244">
        <v>5.93</v>
      </c>
      <c r="Y2244" t="s">
        <v>9410</v>
      </c>
      <c r="Z2244" t="s">
        <v>3645</v>
      </c>
      <c r="AA2244">
        <v>35010</v>
      </c>
      <c r="AB2244" t="s">
        <v>11</v>
      </c>
    </row>
    <row r="2245" spans="1:35" x14ac:dyDescent="0.25">
      <c r="A2245" t="s">
        <v>9411</v>
      </c>
      <c r="B2245" t="s">
        <v>9411</v>
      </c>
      <c r="C2245" t="s">
        <v>9412</v>
      </c>
      <c r="D2245" t="s">
        <v>9413</v>
      </c>
      <c r="E2245" t="s">
        <v>770</v>
      </c>
      <c r="F2245" t="s">
        <v>771</v>
      </c>
      <c r="G2245" t="s">
        <v>1854</v>
      </c>
      <c r="J2245" t="s">
        <v>783</v>
      </c>
      <c r="K2245" t="s">
        <v>1862</v>
      </c>
      <c r="L2245" t="s">
        <v>1505</v>
      </c>
      <c r="M2245" t="s">
        <v>53</v>
      </c>
      <c r="N2245" t="s">
        <v>770</v>
      </c>
      <c r="O2245">
        <v>1</v>
      </c>
      <c r="P2245" t="s">
        <v>776</v>
      </c>
      <c r="Q2245">
        <v>32.9</v>
      </c>
      <c r="R2245">
        <v>5.93</v>
      </c>
      <c r="Y2245" t="s">
        <v>5643</v>
      </c>
      <c r="Z2245" t="s">
        <v>3080</v>
      </c>
      <c r="AA2245">
        <v>30038</v>
      </c>
      <c r="AB2245" t="s">
        <v>11</v>
      </c>
    </row>
    <row r="2246" spans="1:35" x14ac:dyDescent="0.25">
      <c r="A2246" t="s">
        <v>9414</v>
      </c>
      <c r="B2246" t="s">
        <v>9414</v>
      </c>
      <c r="C2246" t="s">
        <v>9415</v>
      </c>
      <c r="D2246" t="s">
        <v>9416</v>
      </c>
      <c r="E2246" t="s">
        <v>770</v>
      </c>
      <c r="F2246" t="s">
        <v>771</v>
      </c>
      <c r="G2246" t="s">
        <v>1854</v>
      </c>
      <c r="J2246" t="s">
        <v>783</v>
      </c>
      <c r="K2246" t="s">
        <v>1862</v>
      </c>
      <c r="L2246" t="s">
        <v>1505</v>
      </c>
      <c r="M2246" t="s">
        <v>53</v>
      </c>
      <c r="N2246" t="s">
        <v>770</v>
      </c>
      <c r="O2246">
        <v>1</v>
      </c>
      <c r="P2246" t="s">
        <v>776</v>
      </c>
      <c r="Q2246">
        <v>32.9</v>
      </c>
      <c r="R2246">
        <v>5.93</v>
      </c>
      <c r="S2246">
        <v>1.63</v>
      </c>
      <c r="X2246">
        <v>1.63</v>
      </c>
      <c r="Y2246" t="s">
        <v>9417</v>
      </c>
      <c r="Z2246" t="s">
        <v>1898</v>
      </c>
      <c r="AA2246">
        <v>46034</v>
      </c>
      <c r="AB2246" t="s">
        <v>11</v>
      </c>
    </row>
    <row r="2247" spans="1:35" x14ac:dyDescent="0.25">
      <c r="A2247" t="s">
        <v>9418</v>
      </c>
      <c r="B2247" t="s">
        <v>9418</v>
      </c>
      <c r="C2247" t="s">
        <v>9419</v>
      </c>
      <c r="D2247" t="s">
        <v>9420</v>
      </c>
      <c r="E2247" t="s">
        <v>770</v>
      </c>
      <c r="F2247" t="s">
        <v>771</v>
      </c>
      <c r="G2247" t="s">
        <v>1854</v>
      </c>
      <c r="J2247" t="s">
        <v>783</v>
      </c>
      <c r="K2247" t="s">
        <v>7589</v>
      </c>
      <c r="L2247" t="s">
        <v>7590</v>
      </c>
      <c r="M2247" t="s">
        <v>63</v>
      </c>
      <c r="N2247" t="s">
        <v>770</v>
      </c>
      <c r="O2247">
        <v>1</v>
      </c>
      <c r="P2247" t="s">
        <v>776</v>
      </c>
      <c r="Q2247">
        <v>89.9</v>
      </c>
      <c r="R2247">
        <v>16.21</v>
      </c>
      <c r="Y2247" t="s">
        <v>9421</v>
      </c>
      <c r="Z2247" t="s">
        <v>2121</v>
      </c>
      <c r="AA2247">
        <v>33050</v>
      </c>
      <c r="AB2247" t="s">
        <v>11</v>
      </c>
    </row>
    <row r="2248" spans="1:35" x14ac:dyDescent="0.25">
      <c r="A2248" t="s">
        <v>9422</v>
      </c>
      <c r="C2248" t="s">
        <v>9423</v>
      </c>
      <c r="D2248" t="s">
        <v>9424</v>
      </c>
      <c r="E2248" t="s">
        <v>770</v>
      </c>
      <c r="F2248" t="s">
        <v>1884</v>
      </c>
      <c r="G2248" t="s">
        <v>1854</v>
      </c>
      <c r="H2248" t="s">
        <v>1885</v>
      </c>
      <c r="J2248" t="s">
        <v>773</v>
      </c>
      <c r="K2248" t="s">
        <v>1886</v>
      </c>
      <c r="L2248" t="s">
        <v>18</v>
      </c>
      <c r="M2248" t="s">
        <v>17</v>
      </c>
      <c r="N2248" t="s">
        <v>770</v>
      </c>
      <c r="O2248">
        <v>1</v>
      </c>
      <c r="P2248" t="s">
        <v>776</v>
      </c>
      <c r="Q2248">
        <v>22.9</v>
      </c>
      <c r="R2248">
        <v>4.13</v>
      </c>
      <c r="S2248">
        <v>3</v>
      </c>
      <c r="T2248">
        <v>0.54</v>
      </c>
      <c r="Y2248" t="s">
        <v>1913</v>
      </c>
      <c r="Z2248" t="s">
        <v>1926</v>
      </c>
      <c r="AA2248">
        <v>165</v>
      </c>
      <c r="AB2248" t="s">
        <v>11</v>
      </c>
    </row>
    <row r="2249" spans="1:35" x14ac:dyDescent="0.25">
      <c r="A2249" t="s">
        <v>9425</v>
      </c>
      <c r="C2249" t="s">
        <v>9426</v>
      </c>
      <c r="D2249" t="s">
        <v>9427</v>
      </c>
      <c r="E2249" t="s">
        <v>770</v>
      </c>
      <c r="F2249" t="s">
        <v>1884</v>
      </c>
      <c r="G2249" t="s">
        <v>1854</v>
      </c>
      <c r="H2249" t="s">
        <v>1885</v>
      </c>
      <c r="J2249" t="s">
        <v>773</v>
      </c>
      <c r="K2249" t="s">
        <v>8826</v>
      </c>
      <c r="L2249" t="s">
        <v>209</v>
      </c>
      <c r="M2249" t="s">
        <v>208</v>
      </c>
      <c r="N2249" t="s">
        <v>770</v>
      </c>
      <c r="O2249">
        <v>1</v>
      </c>
      <c r="P2249" t="s">
        <v>776</v>
      </c>
      <c r="Q2249">
        <v>79.900000000000006</v>
      </c>
      <c r="R2249">
        <v>14.41</v>
      </c>
      <c r="S2249">
        <v>3</v>
      </c>
      <c r="T2249">
        <v>0.54</v>
      </c>
      <c r="Y2249" t="s">
        <v>9428</v>
      </c>
      <c r="Z2249" t="s">
        <v>3089</v>
      </c>
      <c r="AA2249">
        <v>25040</v>
      </c>
      <c r="AB2249" t="s">
        <v>11</v>
      </c>
    </row>
    <row r="2250" spans="1:35" x14ac:dyDescent="0.25">
      <c r="A2250" t="s">
        <v>9429</v>
      </c>
      <c r="B2250" t="s">
        <v>9429</v>
      </c>
      <c r="C2250" t="s">
        <v>9430</v>
      </c>
      <c r="D2250" t="s">
        <v>9431</v>
      </c>
      <c r="E2250" t="s">
        <v>770</v>
      </c>
      <c r="F2250" t="s">
        <v>771</v>
      </c>
      <c r="G2250" t="s">
        <v>1854</v>
      </c>
      <c r="J2250" t="s">
        <v>783</v>
      </c>
      <c r="K2250" t="s">
        <v>5765</v>
      </c>
      <c r="L2250" t="s">
        <v>5766</v>
      </c>
      <c r="M2250" t="s">
        <v>152</v>
      </c>
      <c r="N2250" t="s">
        <v>770</v>
      </c>
      <c r="O2250">
        <v>1</v>
      </c>
      <c r="P2250" t="s">
        <v>776</v>
      </c>
      <c r="Q2250">
        <v>24.9</v>
      </c>
      <c r="R2250">
        <v>4.49</v>
      </c>
      <c r="Y2250" t="s">
        <v>1908</v>
      </c>
      <c r="Z2250" t="s">
        <v>2025</v>
      </c>
      <c r="AA2250">
        <v>80131</v>
      </c>
      <c r="AB2250" t="s">
        <v>11</v>
      </c>
      <c r="AG2250" t="s">
        <v>9432</v>
      </c>
      <c r="AH2250" t="s">
        <v>11</v>
      </c>
      <c r="AI2250" t="s">
        <v>2459</v>
      </c>
    </row>
    <row r="2251" spans="1:35" x14ac:dyDescent="0.25">
      <c r="A2251" t="s">
        <v>9433</v>
      </c>
      <c r="C2251" t="s">
        <v>9434</v>
      </c>
      <c r="D2251" t="s">
        <v>9435</v>
      </c>
      <c r="E2251" t="s">
        <v>770</v>
      </c>
      <c r="F2251" t="s">
        <v>1884</v>
      </c>
      <c r="G2251" t="s">
        <v>1854</v>
      </c>
      <c r="H2251" t="s">
        <v>1885</v>
      </c>
      <c r="J2251" t="s">
        <v>773</v>
      </c>
      <c r="K2251" t="s">
        <v>1886</v>
      </c>
      <c r="L2251" t="s">
        <v>18</v>
      </c>
      <c r="M2251" t="s">
        <v>17</v>
      </c>
      <c r="N2251" t="s">
        <v>770</v>
      </c>
      <c r="O2251">
        <v>1</v>
      </c>
      <c r="P2251" t="s">
        <v>776</v>
      </c>
      <c r="Q2251">
        <v>22.9</v>
      </c>
      <c r="R2251">
        <v>4.13</v>
      </c>
      <c r="S2251">
        <v>3</v>
      </c>
      <c r="T2251">
        <v>0.54</v>
      </c>
      <c r="Y2251" t="s">
        <v>9436</v>
      </c>
      <c r="Z2251" t="s">
        <v>2342</v>
      </c>
      <c r="AA2251">
        <v>90037</v>
      </c>
      <c r="AB2251" t="s">
        <v>11</v>
      </c>
    </row>
    <row r="2252" spans="1:35" x14ac:dyDescent="0.25">
      <c r="A2252" t="s">
        <v>9437</v>
      </c>
      <c r="B2252" t="s">
        <v>9437</v>
      </c>
      <c r="C2252" t="s">
        <v>9438</v>
      </c>
      <c r="D2252" t="s">
        <v>9439</v>
      </c>
      <c r="E2252" t="s">
        <v>770</v>
      </c>
      <c r="F2252" t="s">
        <v>771</v>
      </c>
      <c r="G2252" t="s">
        <v>1854</v>
      </c>
      <c r="J2252" t="s">
        <v>783</v>
      </c>
      <c r="K2252" t="s">
        <v>1862</v>
      </c>
      <c r="L2252" t="s">
        <v>1505</v>
      </c>
      <c r="M2252" t="s">
        <v>53</v>
      </c>
      <c r="N2252" t="s">
        <v>770</v>
      </c>
      <c r="O2252">
        <v>1</v>
      </c>
      <c r="P2252" t="s">
        <v>776</v>
      </c>
      <c r="Q2252">
        <v>32.9</v>
      </c>
      <c r="R2252">
        <v>5.93</v>
      </c>
      <c r="Y2252" t="s">
        <v>9440</v>
      </c>
      <c r="Z2252" t="s">
        <v>2158</v>
      </c>
      <c r="AA2252">
        <v>24019</v>
      </c>
      <c r="AB2252" t="s">
        <v>11</v>
      </c>
    </row>
    <row r="2253" spans="1:35" x14ac:dyDescent="0.25">
      <c r="A2253" t="s">
        <v>9441</v>
      </c>
      <c r="B2253" t="s">
        <v>9441</v>
      </c>
      <c r="C2253" t="s">
        <v>9442</v>
      </c>
      <c r="D2253" t="s">
        <v>9443</v>
      </c>
      <c r="E2253" t="s">
        <v>770</v>
      </c>
      <c r="F2253" t="s">
        <v>771</v>
      </c>
      <c r="G2253" t="s">
        <v>1854</v>
      </c>
      <c r="J2253" t="s">
        <v>783</v>
      </c>
      <c r="K2253" t="s">
        <v>1862</v>
      </c>
      <c r="L2253" t="s">
        <v>1505</v>
      </c>
      <c r="M2253" t="s">
        <v>53</v>
      </c>
      <c r="N2253" t="s">
        <v>770</v>
      </c>
      <c r="O2253">
        <v>1</v>
      </c>
      <c r="P2253" t="s">
        <v>776</v>
      </c>
      <c r="Q2253">
        <v>32.9</v>
      </c>
      <c r="R2253">
        <v>5.93</v>
      </c>
      <c r="Y2253" t="s">
        <v>9444</v>
      </c>
      <c r="Z2253" t="s">
        <v>5111</v>
      </c>
      <c r="AA2253">
        <v>30013</v>
      </c>
      <c r="AB2253" t="s">
        <v>11</v>
      </c>
    </row>
    <row r="2254" spans="1:35" x14ac:dyDescent="0.25">
      <c r="A2254" t="s">
        <v>9445</v>
      </c>
      <c r="C2254" t="s">
        <v>9446</v>
      </c>
      <c r="D2254" t="s">
        <v>9447</v>
      </c>
      <c r="E2254" t="s">
        <v>770</v>
      </c>
      <c r="F2254" t="s">
        <v>1884</v>
      </c>
      <c r="G2254" t="s">
        <v>1854</v>
      </c>
      <c r="H2254" t="s">
        <v>1885</v>
      </c>
      <c r="J2254" t="s">
        <v>773</v>
      </c>
      <c r="K2254" t="s">
        <v>1873</v>
      </c>
      <c r="L2254" t="s">
        <v>27</v>
      </c>
      <c r="M2254" t="s">
        <v>26</v>
      </c>
      <c r="N2254" t="s">
        <v>770</v>
      </c>
      <c r="O2254">
        <v>1</v>
      </c>
      <c r="P2254" t="s">
        <v>776</v>
      </c>
      <c r="Q2254">
        <v>34.9</v>
      </c>
      <c r="R2254">
        <v>6.29</v>
      </c>
      <c r="S2254">
        <v>3</v>
      </c>
      <c r="T2254">
        <v>0.54</v>
      </c>
      <c r="Y2254" t="s">
        <v>3453</v>
      </c>
      <c r="Z2254" t="s">
        <v>6972</v>
      </c>
      <c r="AA2254">
        <v>33100</v>
      </c>
      <c r="AB2254" t="s">
        <v>11</v>
      </c>
    </row>
    <row r="2255" spans="1:35" x14ac:dyDescent="0.25">
      <c r="A2255" t="s">
        <v>9448</v>
      </c>
      <c r="C2255" t="s">
        <v>9449</v>
      </c>
      <c r="D2255" t="s">
        <v>9450</v>
      </c>
      <c r="E2255" t="s">
        <v>770</v>
      </c>
      <c r="F2255" t="s">
        <v>1884</v>
      </c>
      <c r="G2255" t="s">
        <v>1854</v>
      </c>
      <c r="H2255" t="s">
        <v>1885</v>
      </c>
      <c r="J2255" t="s">
        <v>773</v>
      </c>
      <c r="K2255" t="s">
        <v>9290</v>
      </c>
      <c r="L2255" t="s">
        <v>74</v>
      </c>
      <c r="M2255" t="s">
        <v>73</v>
      </c>
      <c r="N2255" t="s">
        <v>770</v>
      </c>
      <c r="O2255">
        <v>1</v>
      </c>
      <c r="P2255" t="s">
        <v>776</v>
      </c>
      <c r="Q2255">
        <v>18.899999999999999</v>
      </c>
      <c r="R2255">
        <v>3.41</v>
      </c>
      <c r="S2255">
        <v>3</v>
      </c>
      <c r="T2255">
        <v>0.54</v>
      </c>
      <c r="Y2255" t="s">
        <v>3608</v>
      </c>
      <c r="Z2255" t="s">
        <v>3608</v>
      </c>
      <c r="AA2255">
        <v>21100</v>
      </c>
      <c r="AB2255" t="s">
        <v>11</v>
      </c>
    </row>
    <row r="2256" spans="1:35" x14ac:dyDescent="0.25">
      <c r="A2256" t="s">
        <v>9451</v>
      </c>
      <c r="B2256" t="s">
        <v>9451</v>
      </c>
      <c r="C2256" t="s">
        <v>9452</v>
      </c>
      <c r="D2256" t="s">
        <v>9453</v>
      </c>
      <c r="E2256" t="s">
        <v>770</v>
      </c>
      <c r="F2256" t="s">
        <v>771</v>
      </c>
      <c r="G2256" t="s">
        <v>1854</v>
      </c>
      <c r="J2256" t="s">
        <v>783</v>
      </c>
      <c r="K2256" t="s">
        <v>1862</v>
      </c>
      <c r="L2256" t="s">
        <v>1505</v>
      </c>
      <c r="M2256" t="s">
        <v>53</v>
      </c>
      <c r="N2256" t="s">
        <v>770</v>
      </c>
      <c r="O2256">
        <v>1</v>
      </c>
      <c r="P2256" t="s">
        <v>776</v>
      </c>
      <c r="Q2256">
        <v>32.9</v>
      </c>
      <c r="R2256">
        <v>5.93</v>
      </c>
      <c r="Y2256" t="s">
        <v>9454</v>
      </c>
      <c r="Z2256" t="s">
        <v>1913</v>
      </c>
      <c r="AA2256">
        <v>76</v>
      </c>
      <c r="AB2256" t="s">
        <v>11</v>
      </c>
    </row>
    <row r="2257" spans="1:28" x14ac:dyDescent="0.25">
      <c r="A2257" t="s">
        <v>9455</v>
      </c>
      <c r="B2257" t="s">
        <v>9455</v>
      </c>
      <c r="C2257" t="s">
        <v>9456</v>
      </c>
      <c r="D2257" t="s">
        <v>9457</v>
      </c>
      <c r="E2257" t="s">
        <v>770</v>
      </c>
      <c r="F2257" t="s">
        <v>771</v>
      </c>
      <c r="G2257" t="s">
        <v>1854</v>
      </c>
      <c r="J2257" t="s">
        <v>783</v>
      </c>
      <c r="K2257" t="s">
        <v>1862</v>
      </c>
      <c r="L2257" t="s">
        <v>1505</v>
      </c>
      <c r="M2257" t="s">
        <v>53</v>
      </c>
      <c r="N2257" t="s">
        <v>770</v>
      </c>
      <c r="O2257">
        <v>1</v>
      </c>
      <c r="P2257" t="s">
        <v>776</v>
      </c>
      <c r="Q2257">
        <v>32.9</v>
      </c>
      <c r="R2257">
        <v>5.93</v>
      </c>
      <c r="Y2257" t="s">
        <v>3404</v>
      </c>
      <c r="Z2257" t="s">
        <v>3404</v>
      </c>
      <c r="AA2257">
        <v>83100</v>
      </c>
      <c r="AB2257" t="s">
        <v>11</v>
      </c>
    </row>
    <row r="2258" spans="1:28" x14ac:dyDescent="0.25">
      <c r="A2258" t="s">
        <v>9458</v>
      </c>
      <c r="C2258" t="s">
        <v>9459</v>
      </c>
      <c r="D2258" t="s">
        <v>9460</v>
      </c>
      <c r="E2258" t="s">
        <v>770</v>
      </c>
      <c r="F2258" t="s">
        <v>1884</v>
      </c>
      <c r="G2258" t="s">
        <v>1854</v>
      </c>
      <c r="H2258" t="s">
        <v>1885</v>
      </c>
      <c r="J2258" t="s">
        <v>773</v>
      </c>
      <c r="K2258" t="s">
        <v>1873</v>
      </c>
      <c r="L2258" t="s">
        <v>27</v>
      </c>
      <c r="M2258" t="s">
        <v>26</v>
      </c>
      <c r="N2258" t="s">
        <v>770</v>
      </c>
      <c r="O2258">
        <v>1</v>
      </c>
      <c r="P2258" t="s">
        <v>776</v>
      </c>
      <c r="Q2258">
        <v>34.9</v>
      </c>
      <c r="R2258">
        <v>6.29</v>
      </c>
      <c r="S2258">
        <v>3</v>
      </c>
      <c r="T2258">
        <v>0.54</v>
      </c>
      <c r="Y2258" t="s">
        <v>9461</v>
      </c>
      <c r="Z2258" t="s">
        <v>5304</v>
      </c>
      <c r="AA2258">
        <v>45030</v>
      </c>
      <c r="AB2258" t="s">
        <v>11</v>
      </c>
    </row>
    <row r="2259" spans="1:28" x14ac:dyDescent="0.25">
      <c r="A2259" t="s">
        <v>9462</v>
      </c>
      <c r="B2259" t="s">
        <v>9462</v>
      </c>
      <c r="C2259" t="s">
        <v>9463</v>
      </c>
      <c r="D2259" t="s">
        <v>9464</v>
      </c>
      <c r="E2259" t="s">
        <v>770</v>
      </c>
      <c r="F2259" t="s">
        <v>771</v>
      </c>
      <c r="G2259" t="s">
        <v>1854</v>
      </c>
      <c r="J2259" t="s">
        <v>783</v>
      </c>
      <c r="K2259" t="s">
        <v>3328</v>
      </c>
      <c r="L2259" t="s">
        <v>3329</v>
      </c>
      <c r="M2259" t="s">
        <v>35</v>
      </c>
      <c r="N2259" t="s">
        <v>770</v>
      </c>
      <c r="O2259">
        <v>1</v>
      </c>
      <c r="P2259" t="s">
        <v>776</v>
      </c>
      <c r="Q2259">
        <v>24.9</v>
      </c>
      <c r="R2259">
        <v>4.49</v>
      </c>
      <c r="S2259">
        <v>4.99</v>
      </c>
      <c r="T2259">
        <v>0.9</v>
      </c>
      <c r="Y2259" t="s">
        <v>2046</v>
      </c>
      <c r="Z2259" t="s">
        <v>2046</v>
      </c>
      <c r="AA2259">
        <v>89134</v>
      </c>
      <c r="AB2259" t="s">
        <v>11</v>
      </c>
    </row>
    <row r="2260" spans="1:28" x14ac:dyDescent="0.25">
      <c r="A2260" t="s">
        <v>9465</v>
      </c>
      <c r="B2260" t="s">
        <v>9465</v>
      </c>
      <c r="C2260" t="s">
        <v>9466</v>
      </c>
      <c r="D2260" t="s">
        <v>9467</v>
      </c>
      <c r="E2260" t="s">
        <v>770</v>
      </c>
      <c r="F2260" t="s">
        <v>771</v>
      </c>
      <c r="G2260" t="s">
        <v>1854</v>
      </c>
      <c r="J2260" t="s">
        <v>783</v>
      </c>
      <c r="K2260" t="s">
        <v>1862</v>
      </c>
      <c r="L2260" t="s">
        <v>1505</v>
      </c>
      <c r="M2260" t="s">
        <v>53</v>
      </c>
      <c r="N2260" t="s">
        <v>770</v>
      </c>
      <c r="O2260">
        <v>1</v>
      </c>
      <c r="P2260" t="s">
        <v>776</v>
      </c>
      <c r="Q2260">
        <v>32.9</v>
      </c>
      <c r="R2260">
        <v>5.93</v>
      </c>
      <c r="Y2260" t="s">
        <v>9468</v>
      </c>
      <c r="Z2260" t="s">
        <v>2040</v>
      </c>
      <c r="AA2260">
        <v>65022</v>
      </c>
      <c r="AB2260" t="s">
        <v>11</v>
      </c>
    </row>
    <row r="2261" spans="1:28" x14ac:dyDescent="0.25">
      <c r="A2261" t="s">
        <v>9469</v>
      </c>
      <c r="B2261" t="s">
        <v>9469</v>
      </c>
      <c r="C2261" t="s">
        <v>9470</v>
      </c>
      <c r="D2261" t="s">
        <v>9471</v>
      </c>
      <c r="E2261" t="s">
        <v>770</v>
      </c>
      <c r="F2261" t="s">
        <v>771</v>
      </c>
      <c r="G2261" t="s">
        <v>1854</v>
      </c>
      <c r="J2261" t="s">
        <v>783</v>
      </c>
      <c r="K2261" t="s">
        <v>1862</v>
      </c>
      <c r="L2261" t="s">
        <v>1505</v>
      </c>
      <c r="M2261" t="s">
        <v>53</v>
      </c>
      <c r="N2261" t="s">
        <v>770</v>
      </c>
      <c r="O2261">
        <v>1</v>
      </c>
      <c r="P2261" t="s">
        <v>776</v>
      </c>
      <c r="Q2261">
        <v>32.9</v>
      </c>
      <c r="R2261">
        <v>5.93</v>
      </c>
      <c r="Y2261" t="s">
        <v>9472</v>
      </c>
      <c r="Z2261" t="s">
        <v>2281</v>
      </c>
      <c r="AA2261">
        <v>73010</v>
      </c>
      <c r="AB2261" t="s">
        <v>11</v>
      </c>
    </row>
    <row r="2262" spans="1:28" x14ac:dyDescent="0.25">
      <c r="A2262" t="s">
        <v>9473</v>
      </c>
      <c r="B2262" t="s">
        <v>9473</v>
      </c>
      <c r="C2262" t="s">
        <v>9474</v>
      </c>
      <c r="D2262" t="s">
        <v>9475</v>
      </c>
      <c r="E2262" t="s">
        <v>770</v>
      </c>
      <c r="F2262" t="s">
        <v>771</v>
      </c>
      <c r="G2262" t="s">
        <v>1854</v>
      </c>
      <c r="J2262" t="s">
        <v>783</v>
      </c>
      <c r="K2262" t="s">
        <v>1862</v>
      </c>
      <c r="L2262" t="s">
        <v>1505</v>
      </c>
      <c r="M2262" t="s">
        <v>53</v>
      </c>
      <c r="N2262" t="s">
        <v>770</v>
      </c>
      <c r="O2262">
        <v>1</v>
      </c>
      <c r="P2262" t="s">
        <v>776</v>
      </c>
      <c r="Q2262">
        <v>32.9</v>
      </c>
      <c r="R2262">
        <v>5.93</v>
      </c>
      <c r="Y2262" t="s">
        <v>8270</v>
      </c>
      <c r="Z2262" t="s">
        <v>2386</v>
      </c>
      <c r="AA2262">
        <v>48034</v>
      </c>
      <c r="AB2262" t="s">
        <v>11</v>
      </c>
    </row>
    <row r="2263" spans="1:28" x14ac:dyDescent="0.25">
      <c r="A2263" t="s">
        <v>9476</v>
      </c>
      <c r="C2263" t="s">
        <v>9477</v>
      </c>
      <c r="D2263" t="s">
        <v>9478</v>
      </c>
      <c r="E2263" t="s">
        <v>770</v>
      </c>
      <c r="F2263" t="s">
        <v>1884</v>
      </c>
      <c r="G2263" t="s">
        <v>1854</v>
      </c>
      <c r="H2263" t="s">
        <v>1885</v>
      </c>
      <c r="J2263" t="s">
        <v>773</v>
      </c>
      <c r="K2263" t="s">
        <v>2162</v>
      </c>
      <c r="L2263" t="s">
        <v>6082</v>
      </c>
      <c r="M2263" t="s">
        <v>59</v>
      </c>
      <c r="N2263" t="s">
        <v>770</v>
      </c>
      <c r="O2263">
        <v>1</v>
      </c>
      <c r="P2263" t="s">
        <v>776</v>
      </c>
      <c r="Q2263">
        <v>34.9</v>
      </c>
      <c r="R2263">
        <v>6.29</v>
      </c>
      <c r="S2263">
        <v>3</v>
      </c>
      <c r="T2263">
        <v>0.54</v>
      </c>
      <c r="Y2263" t="s">
        <v>9479</v>
      </c>
      <c r="Z2263" t="s">
        <v>6696</v>
      </c>
      <c r="AA2263">
        <v>8017</v>
      </c>
      <c r="AB2263" t="s">
        <v>11</v>
      </c>
    </row>
    <row r="2264" spans="1:28" x14ac:dyDescent="0.25">
      <c r="A2264" t="s">
        <v>9480</v>
      </c>
      <c r="C2264" t="s">
        <v>9481</v>
      </c>
      <c r="D2264" t="s">
        <v>9435</v>
      </c>
      <c r="E2264" t="s">
        <v>770</v>
      </c>
      <c r="F2264" t="s">
        <v>1884</v>
      </c>
      <c r="G2264" t="s">
        <v>1854</v>
      </c>
      <c r="H2264" t="s">
        <v>1885</v>
      </c>
      <c r="J2264" t="s">
        <v>773</v>
      </c>
      <c r="K2264" t="s">
        <v>1930</v>
      </c>
      <c r="L2264" t="s">
        <v>66</v>
      </c>
      <c r="M2264" t="s">
        <v>65</v>
      </c>
      <c r="N2264" t="s">
        <v>770</v>
      </c>
      <c r="O2264">
        <v>1</v>
      </c>
      <c r="P2264" t="s">
        <v>776</v>
      </c>
      <c r="Q2264">
        <v>29.9</v>
      </c>
      <c r="R2264">
        <v>5.39</v>
      </c>
      <c r="S2264">
        <v>3</v>
      </c>
      <c r="T2264">
        <v>0.54</v>
      </c>
      <c r="Y2264" t="s">
        <v>1913</v>
      </c>
      <c r="Z2264" t="s">
        <v>1926</v>
      </c>
      <c r="AA2264">
        <v>156</v>
      </c>
      <c r="AB2264" t="s">
        <v>11</v>
      </c>
    </row>
    <row r="2265" spans="1:28" x14ac:dyDescent="0.25">
      <c r="A2265" t="s">
        <v>9482</v>
      </c>
      <c r="C2265" t="s">
        <v>9483</v>
      </c>
      <c r="D2265" t="s">
        <v>9435</v>
      </c>
      <c r="E2265" t="s">
        <v>770</v>
      </c>
      <c r="F2265" t="s">
        <v>1884</v>
      </c>
      <c r="G2265" t="s">
        <v>1854</v>
      </c>
      <c r="H2265" t="s">
        <v>1885</v>
      </c>
      <c r="J2265" t="s">
        <v>773</v>
      </c>
      <c r="K2265" t="s">
        <v>1930</v>
      </c>
      <c r="L2265" t="s">
        <v>66</v>
      </c>
      <c r="M2265" t="s">
        <v>65</v>
      </c>
      <c r="N2265" t="s">
        <v>770</v>
      </c>
      <c r="O2265">
        <v>1</v>
      </c>
      <c r="P2265" t="s">
        <v>776</v>
      </c>
      <c r="Q2265">
        <v>29.9</v>
      </c>
      <c r="R2265">
        <v>5.39</v>
      </c>
      <c r="S2265">
        <v>3</v>
      </c>
      <c r="T2265">
        <v>0.54</v>
      </c>
      <c r="Y2265" t="s">
        <v>3453</v>
      </c>
      <c r="Z2265" t="s">
        <v>6972</v>
      </c>
      <c r="AA2265">
        <v>33100</v>
      </c>
      <c r="AB2265" t="s">
        <v>11</v>
      </c>
    </row>
    <row r="2266" spans="1:28" x14ac:dyDescent="0.25">
      <c r="A2266" t="s">
        <v>9484</v>
      </c>
      <c r="B2266" t="s">
        <v>9484</v>
      </c>
      <c r="C2266" t="s">
        <v>9485</v>
      </c>
      <c r="D2266" t="s">
        <v>9486</v>
      </c>
      <c r="E2266" t="s">
        <v>770</v>
      </c>
      <c r="F2266" t="s">
        <v>771</v>
      </c>
      <c r="G2266" t="s">
        <v>1854</v>
      </c>
      <c r="J2266" t="s">
        <v>783</v>
      </c>
      <c r="K2266" t="s">
        <v>5765</v>
      </c>
      <c r="L2266" t="s">
        <v>5766</v>
      </c>
      <c r="M2266" t="s">
        <v>152</v>
      </c>
      <c r="N2266" t="s">
        <v>770</v>
      </c>
      <c r="O2266">
        <v>2</v>
      </c>
      <c r="P2266" t="s">
        <v>776</v>
      </c>
      <c r="Q2266">
        <v>49.8</v>
      </c>
      <c r="R2266">
        <v>8.98</v>
      </c>
      <c r="S2266">
        <v>3.27</v>
      </c>
      <c r="X2266">
        <v>3.27</v>
      </c>
      <c r="Y2266" t="s">
        <v>9487</v>
      </c>
      <c r="Z2266" t="s">
        <v>4066</v>
      </c>
      <c r="AA2266">
        <v>52015</v>
      </c>
      <c r="AB2266" t="s">
        <v>11</v>
      </c>
    </row>
    <row r="2267" spans="1:28" x14ac:dyDescent="0.25">
      <c r="A2267" t="s">
        <v>9488</v>
      </c>
      <c r="C2267" t="s">
        <v>9489</v>
      </c>
      <c r="D2267" t="s">
        <v>9490</v>
      </c>
      <c r="E2267" t="s">
        <v>770</v>
      </c>
      <c r="F2267" t="s">
        <v>1884</v>
      </c>
      <c r="G2267" t="s">
        <v>1854</v>
      </c>
      <c r="H2267" t="s">
        <v>1885</v>
      </c>
      <c r="J2267" t="s">
        <v>773</v>
      </c>
      <c r="K2267" t="s">
        <v>1930</v>
      </c>
      <c r="L2267" t="s">
        <v>66</v>
      </c>
      <c r="M2267" t="s">
        <v>65</v>
      </c>
      <c r="N2267" t="s">
        <v>770</v>
      </c>
      <c r="O2267">
        <v>1</v>
      </c>
      <c r="P2267" t="s">
        <v>776</v>
      </c>
      <c r="Q2267">
        <v>29.9</v>
      </c>
      <c r="R2267">
        <v>5.39</v>
      </c>
      <c r="S2267">
        <v>3</v>
      </c>
      <c r="T2267">
        <v>0.54</v>
      </c>
      <c r="Y2267" t="s">
        <v>1875</v>
      </c>
      <c r="Z2267" t="s">
        <v>1875</v>
      </c>
      <c r="AA2267">
        <v>20145</v>
      </c>
      <c r="AB2267" t="s">
        <v>11</v>
      </c>
    </row>
    <row r="2268" spans="1:28" x14ac:dyDescent="0.25">
      <c r="A2268" t="s">
        <v>9491</v>
      </c>
      <c r="C2268" t="s">
        <v>9492</v>
      </c>
      <c r="D2268" t="s">
        <v>9493</v>
      </c>
      <c r="E2268" t="s">
        <v>770</v>
      </c>
      <c r="F2268" t="s">
        <v>1884</v>
      </c>
      <c r="G2268" t="s">
        <v>1854</v>
      </c>
      <c r="H2268" t="s">
        <v>1885</v>
      </c>
      <c r="J2268" t="s">
        <v>773</v>
      </c>
      <c r="K2268" t="s">
        <v>9494</v>
      </c>
      <c r="L2268" t="s">
        <v>58</v>
      </c>
      <c r="M2268" t="s">
        <v>57</v>
      </c>
      <c r="N2268" t="s">
        <v>770</v>
      </c>
      <c r="O2268">
        <v>1</v>
      </c>
      <c r="P2268" t="s">
        <v>776</v>
      </c>
      <c r="Q2268">
        <v>69.900000000000006</v>
      </c>
      <c r="R2268">
        <v>12.6</v>
      </c>
      <c r="S2268">
        <v>3</v>
      </c>
      <c r="T2268">
        <v>0.54</v>
      </c>
      <c r="Y2268" t="s">
        <v>3630</v>
      </c>
      <c r="Z2268" t="s">
        <v>2286</v>
      </c>
      <c r="AA2268">
        <v>56019</v>
      </c>
      <c r="AB2268" t="s">
        <v>11</v>
      </c>
    </row>
    <row r="2269" spans="1:28" x14ac:dyDescent="0.25">
      <c r="A2269" t="s">
        <v>9495</v>
      </c>
      <c r="B2269" t="s">
        <v>9495</v>
      </c>
      <c r="C2269" t="s">
        <v>9496</v>
      </c>
      <c r="D2269" t="s">
        <v>9497</v>
      </c>
      <c r="E2269" t="s">
        <v>770</v>
      </c>
      <c r="F2269" t="s">
        <v>771</v>
      </c>
      <c r="G2269" t="s">
        <v>1854</v>
      </c>
      <c r="J2269" t="s">
        <v>783</v>
      </c>
      <c r="K2269" t="s">
        <v>1862</v>
      </c>
      <c r="L2269" t="s">
        <v>1505</v>
      </c>
      <c r="M2269" t="s">
        <v>53</v>
      </c>
      <c r="N2269" t="s">
        <v>770</v>
      </c>
      <c r="O2269">
        <v>1</v>
      </c>
      <c r="P2269" t="s">
        <v>776</v>
      </c>
      <c r="Q2269">
        <v>32.9</v>
      </c>
      <c r="R2269">
        <v>5.93</v>
      </c>
      <c r="Y2269" t="s">
        <v>9498</v>
      </c>
      <c r="Z2269" t="s">
        <v>1926</v>
      </c>
      <c r="AA2269">
        <v>40</v>
      </c>
      <c r="AB2269" t="s">
        <v>11</v>
      </c>
    </row>
    <row r="2270" spans="1:28" x14ac:dyDescent="0.25">
      <c r="A2270" t="s">
        <v>9499</v>
      </c>
      <c r="B2270" t="s">
        <v>9499</v>
      </c>
      <c r="C2270" t="s">
        <v>9500</v>
      </c>
      <c r="D2270" t="s">
        <v>9501</v>
      </c>
      <c r="E2270" t="s">
        <v>782</v>
      </c>
      <c r="F2270" t="s">
        <v>771</v>
      </c>
      <c r="G2270" t="s">
        <v>1854</v>
      </c>
      <c r="J2270" t="s">
        <v>783</v>
      </c>
      <c r="K2270" t="s">
        <v>5765</v>
      </c>
      <c r="L2270" t="s">
        <v>5766</v>
      </c>
      <c r="M2270" t="s">
        <v>152</v>
      </c>
      <c r="N2270" t="s">
        <v>782</v>
      </c>
      <c r="O2270">
        <v>0</v>
      </c>
      <c r="Y2270" t="s">
        <v>9502</v>
      </c>
      <c r="Z2270" t="s">
        <v>4066</v>
      </c>
      <c r="AA2270">
        <v>52011</v>
      </c>
      <c r="AB2270" t="s">
        <v>11</v>
      </c>
    </row>
    <row r="2271" spans="1:28" x14ac:dyDescent="0.25">
      <c r="A2271" t="s">
        <v>9503</v>
      </c>
      <c r="B2271" t="s">
        <v>9503</v>
      </c>
      <c r="C2271" t="s">
        <v>9504</v>
      </c>
      <c r="D2271" t="s">
        <v>9505</v>
      </c>
      <c r="E2271" t="s">
        <v>770</v>
      </c>
      <c r="F2271" t="s">
        <v>771</v>
      </c>
      <c r="G2271" t="s">
        <v>1854</v>
      </c>
      <c r="J2271" t="s">
        <v>783</v>
      </c>
      <c r="K2271" t="s">
        <v>1862</v>
      </c>
      <c r="L2271" t="s">
        <v>1505</v>
      </c>
      <c r="M2271" t="s">
        <v>53</v>
      </c>
      <c r="N2271" t="s">
        <v>770</v>
      </c>
      <c r="O2271">
        <v>1</v>
      </c>
      <c r="P2271" t="s">
        <v>776</v>
      </c>
      <c r="Q2271">
        <v>32.9</v>
      </c>
      <c r="R2271">
        <v>5.93</v>
      </c>
      <c r="S2271">
        <v>3.99</v>
      </c>
      <c r="T2271">
        <v>0.72</v>
      </c>
      <c r="Y2271" t="s">
        <v>3089</v>
      </c>
      <c r="Z2271" t="s">
        <v>3089</v>
      </c>
      <c r="AA2271">
        <v>25124</v>
      </c>
      <c r="AB2271" t="s">
        <v>11</v>
      </c>
    </row>
    <row r="2272" spans="1:28" x14ac:dyDescent="0.25">
      <c r="A2272" t="s">
        <v>9506</v>
      </c>
      <c r="C2272" t="s">
        <v>9507</v>
      </c>
      <c r="D2272" t="s">
        <v>9508</v>
      </c>
      <c r="E2272" t="s">
        <v>770</v>
      </c>
      <c r="F2272" t="s">
        <v>1884</v>
      </c>
      <c r="G2272" t="s">
        <v>1854</v>
      </c>
      <c r="H2272" t="s">
        <v>1885</v>
      </c>
      <c r="J2272" t="s">
        <v>773</v>
      </c>
      <c r="K2272" t="s">
        <v>1873</v>
      </c>
      <c r="L2272" t="s">
        <v>27</v>
      </c>
      <c r="M2272" t="s">
        <v>26</v>
      </c>
      <c r="N2272" t="s">
        <v>770</v>
      </c>
      <c r="O2272">
        <v>1</v>
      </c>
      <c r="P2272" t="s">
        <v>776</v>
      </c>
      <c r="Q2272">
        <v>36.9</v>
      </c>
      <c r="R2272">
        <v>6.65</v>
      </c>
      <c r="S2272">
        <v>3</v>
      </c>
      <c r="T2272">
        <v>0.54</v>
      </c>
      <c r="Y2272" t="s">
        <v>5090</v>
      </c>
      <c r="Z2272" t="s">
        <v>3649</v>
      </c>
      <c r="AA2272">
        <v>9012</v>
      </c>
      <c r="AB2272" t="s">
        <v>11</v>
      </c>
    </row>
    <row r="2273" spans="1:35" x14ac:dyDescent="0.25">
      <c r="A2273" t="s">
        <v>9509</v>
      </c>
      <c r="C2273" t="s">
        <v>9510</v>
      </c>
      <c r="D2273" t="s">
        <v>9402</v>
      </c>
      <c r="E2273" t="s">
        <v>770</v>
      </c>
      <c r="F2273" t="s">
        <v>1884</v>
      </c>
      <c r="G2273" t="s">
        <v>1854</v>
      </c>
      <c r="H2273" t="s">
        <v>1885</v>
      </c>
      <c r="J2273" t="s">
        <v>773</v>
      </c>
      <c r="K2273" t="s">
        <v>1930</v>
      </c>
      <c r="L2273" t="s">
        <v>66</v>
      </c>
      <c r="M2273" t="s">
        <v>65</v>
      </c>
      <c r="N2273" t="s">
        <v>770</v>
      </c>
      <c r="O2273">
        <v>1</v>
      </c>
      <c r="P2273" t="s">
        <v>776</v>
      </c>
      <c r="Q2273">
        <v>29.9</v>
      </c>
      <c r="R2273">
        <v>5.39</v>
      </c>
      <c r="S2273">
        <v>3</v>
      </c>
      <c r="T2273">
        <v>0.54</v>
      </c>
      <c r="Y2273" t="s">
        <v>9511</v>
      </c>
      <c r="Z2273" t="s">
        <v>2819</v>
      </c>
      <c r="AA2273">
        <v>74026</v>
      </c>
      <c r="AB2273" t="s">
        <v>11</v>
      </c>
    </row>
    <row r="2274" spans="1:35" x14ac:dyDescent="0.25">
      <c r="A2274" t="s">
        <v>9512</v>
      </c>
      <c r="B2274" t="s">
        <v>9512</v>
      </c>
      <c r="C2274" t="s">
        <v>9513</v>
      </c>
      <c r="D2274" t="s">
        <v>9514</v>
      </c>
      <c r="E2274" t="s">
        <v>770</v>
      </c>
      <c r="F2274" t="s">
        <v>771</v>
      </c>
      <c r="G2274" t="s">
        <v>1854</v>
      </c>
      <c r="J2274" t="s">
        <v>783</v>
      </c>
      <c r="K2274" t="s">
        <v>1862</v>
      </c>
      <c r="L2274" t="s">
        <v>1505</v>
      </c>
      <c r="M2274" t="s">
        <v>53</v>
      </c>
      <c r="N2274" t="s">
        <v>770</v>
      </c>
      <c r="O2274">
        <v>1</v>
      </c>
      <c r="P2274" t="s">
        <v>776</v>
      </c>
      <c r="Q2274">
        <v>32.9</v>
      </c>
      <c r="R2274">
        <v>5.93</v>
      </c>
      <c r="Y2274" t="s">
        <v>9515</v>
      </c>
      <c r="Z2274" t="s">
        <v>9516</v>
      </c>
      <c r="AA2274">
        <v>22077</v>
      </c>
      <c r="AB2274" t="s">
        <v>11</v>
      </c>
    </row>
    <row r="2275" spans="1:35" x14ac:dyDescent="0.25">
      <c r="A2275" t="s">
        <v>9517</v>
      </c>
      <c r="B2275" t="s">
        <v>9517</v>
      </c>
      <c r="C2275" t="s">
        <v>9518</v>
      </c>
      <c r="D2275" t="s">
        <v>9519</v>
      </c>
      <c r="E2275" t="s">
        <v>770</v>
      </c>
      <c r="F2275" t="s">
        <v>771</v>
      </c>
      <c r="G2275" t="s">
        <v>1854</v>
      </c>
      <c r="J2275" t="s">
        <v>783</v>
      </c>
      <c r="K2275" t="s">
        <v>1862</v>
      </c>
      <c r="L2275" t="s">
        <v>1505</v>
      </c>
      <c r="M2275" t="s">
        <v>53</v>
      </c>
      <c r="N2275" t="s">
        <v>770</v>
      </c>
      <c r="O2275">
        <v>1</v>
      </c>
      <c r="P2275" t="s">
        <v>776</v>
      </c>
      <c r="Q2275">
        <v>32.9</v>
      </c>
      <c r="R2275">
        <v>5.93</v>
      </c>
      <c r="Y2275" t="s">
        <v>9520</v>
      </c>
      <c r="Z2275" t="s">
        <v>1913</v>
      </c>
      <c r="AA2275">
        <v>35</v>
      </c>
      <c r="AB2275" t="s">
        <v>11</v>
      </c>
    </row>
    <row r="2276" spans="1:35" x14ac:dyDescent="0.25">
      <c r="A2276" t="s">
        <v>9521</v>
      </c>
      <c r="B2276" t="s">
        <v>9521</v>
      </c>
      <c r="C2276" t="s">
        <v>9522</v>
      </c>
      <c r="D2276" t="s">
        <v>9523</v>
      </c>
      <c r="E2276" t="s">
        <v>770</v>
      </c>
      <c r="F2276" t="s">
        <v>771</v>
      </c>
      <c r="G2276" t="s">
        <v>1854</v>
      </c>
      <c r="J2276" t="s">
        <v>783</v>
      </c>
      <c r="K2276" t="s">
        <v>1862</v>
      </c>
      <c r="L2276" t="s">
        <v>1505</v>
      </c>
      <c r="M2276" t="s">
        <v>53</v>
      </c>
      <c r="N2276" t="s">
        <v>770</v>
      </c>
      <c r="O2276">
        <v>1</v>
      </c>
      <c r="P2276" t="s">
        <v>776</v>
      </c>
      <c r="Q2276">
        <v>32.9</v>
      </c>
      <c r="R2276">
        <v>5.93</v>
      </c>
      <c r="Y2276" t="s">
        <v>9524</v>
      </c>
      <c r="Z2276" t="s">
        <v>3374</v>
      </c>
      <c r="AA2276">
        <v>11020</v>
      </c>
      <c r="AB2276" t="s">
        <v>11</v>
      </c>
    </row>
    <row r="2277" spans="1:35" x14ac:dyDescent="0.25">
      <c r="A2277" t="s">
        <v>9525</v>
      </c>
      <c r="C2277" t="s">
        <v>9526</v>
      </c>
      <c r="D2277" t="s">
        <v>9527</v>
      </c>
      <c r="E2277" t="s">
        <v>770</v>
      </c>
      <c r="F2277" t="s">
        <v>1884</v>
      </c>
      <c r="G2277" t="s">
        <v>1854</v>
      </c>
      <c r="H2277" t="s">
        <v>1885</v>
      </c>
      <c r="J2277" t="s">
        <v>773</v>
      </c>
      <c r="K2277" t="s">
        <v>1930</v>
      </c>
      <c r="L2277" t="s">
        <v>66</v>
      </c>
      <c r="M2277" t="s">
        <v>65</v>
      </c>
      <c r="N2277" t="s">
        <v>770</v>
      </c>
      <c r="O2277">
        <v>1</v>
      </c>
      <c r="P2277" t="s">
        <v>776</v>
      </c>
      <c r="Q2277">
        <v>29.9</v>
      </c>
      <c r="R2277">
        <v>5.39</v>
      </c>
      <c r="S2277">
        <v>3</v>
      </c>
      <c r="T2277">
        <v>0.54</v>
      </c>
      <c r="Y2277" t="s">
        <v>1965</v>
      </c>
      <c r="Z2277" t="s">
        <v>3126</v>
      </c>
      <c r="AA2277">
        <v>20900</v>
      </c>
      <c r="AB2277" t="s">
        <v>11</v>
      </c>
    </row>
    <row r="2278" spans="1:35" x14ac:dyDescent="0.25">
      <c r="A2278" t="s">
        <v>9528</v>
      </c>
      <c r="C2278" t="s">
        <v>9529</v>
      </c>
      <c r="D2278" t="s">
        <v>9530</v>
      </c>
      <c r="E2278" t="s">
        <v>770</v>
      </c>
      <c r="F2278" t="s">
        <v>1884</v>
      </c>
      <c r="G2278" t="s">
        <v>1854</v>
      </c>
      <c r="H2278" t="s">
        <v>1885</v>
      </c>
      <c r="J2278" t="s">
        <v>773</v>
      </c>
      <c r="K2278" t="s">
        <v>1886</v>
      </c>
      <c r="L2278" t="s">
        <v>18</v>
      </c>
      <c r="M2278" t="s">
        <v>17</v>
      </c>
      <c r="N2278" t="s">
        <v>770</v>
      </c>
      <c r="O2278">
        <v>1</v>
      </c>
      <c r="P2278" t="s">
        <v>776</v>
      </c>
      <c r="Q2278">
        <v>22.9</v>
      </c>
      <c r="R2278">
        <v>4.13</v>
      </c>
      <c r="S2278">
        <v>3</v>
      </c>
      <c r="T2278">
        <v>0.54</v>
      </c>
      <c r="Y2278" t="s">
        <v>8311</v>
      </c>
      <c r="Z2278" t="s">
        <v>2188</v>
      </c>
      <c r="AA2278">
        <v>64010</v>
      </c>
      <c r="AB2278" t="s">
        <v>11</v>
      </c>
    </row>
    <row r="2279" spans="1:35" x14ac:dyDescent="0.25">
      <c r="A2279" t="s">
        <v>9531</v>
      </c>
      <c r="B2279" t="s">
        <v>9531</v>
      </c>
      <c r="C2279" t="s">
        <v>9532</v>
      </c>
      <c r="D2279" t="s">
        <v>9533</v>
      </c>
      <c r="E2279" t="s">
        <v>770</v>
      </c>
      <c r="F2279" t="s">
        <v>771</v>
      </c>
      <c r="G2279" t="s">
        <v>1854</v>
      </c>
      <c r="J2279" t="s">
        <v>783</v>
      </c>
      <c r="K2279" t="s">
        <v>3363</v>
      </c>
      <c r="L2279" t="s">
        <v>5572</v>
      </c>
      <c r="M2279" t="s">
        <v>71</v>
      </c>
      <c r="N2279" t="s">
        <v>770</v>
      </c>
      <c r="O2279">
        <v>1</v>
      </c>
      <c r="P2279" t="s">
        <v>776</v>
      </c>
      <c r="Q2279">
        <v>29.9</v>
      </c>
      <c r="R2279">
        <v>5.39</v>
      </c>
      <c r="Y2279" t="s">
        <v>2134</v>
      </c>
      <c r="Z2279" t="s">
        <v>1926</v>
      </c>
      <c r="AA2279">
        <v>141</v>
      </c>
      <c r="AB2279" t="s">
        <v>11</v>
      </c>
    </row>
    <row r="2280" spans="1:35" x14ac:dyDescent="0.25">
      <c r="A2280" t="s">
        <v>9534</v>
      </c>
      <c r="C2280" t="s">
        <v>9535</v>
      </c>
      <c r="D2280" t="s">
        <v>9536</v>
      </c>
      <c r="E2280" t="s">
        <v>782</v>
      </c>
      <c r="F2280" t="s">
        <v>1884</v>
      </c>
      <c r="G2280" t="s">
        <v>1854</v>
      </c>
      <c r="H2280" t="s">
        <v>1885</v>
      </c>
      <c r="J2280" t="s">
        <v>773</v>
      </c>
      <c r="K2280" t="s">
        <v>1886</v>
      </c>
      <c r="L2280" t="s">
        <v>18</v>
      </c>
      <c r="M2280" t="s">
        <v>17</v>
      </c>
      <c r="O2280">
        <v>0</v>
      </c>
      <c r="Y2280" t="s">
        <v>9537</v>
      </c>
      <c r="Z2280" t="s">
        <v>3649</v>
      </c>
      <c r="AA2280">
        <v>9044</v>
      </c>
      <c r="AB2280" t="s">
        <v>11</v>
      </c>
    </row>
    <row r="2281" spans="1:35" x14ac:dyDescent="0.25">
      <c r="A2281" t="s">
        <v>9538</v>
      </c>
      <c r="C2281" t="s">
        <v>9539</v>
      </c>
      <c r="D2281" t="s">
        <v>9540</v>
      </c>
      <c r="E2281" t="s">
        <v>770</v>
      </c>
      <c r="F2281" t="s">
        <v>1884</v>
      </c>
      <c r="G2281" t="s">
        <v>1854</v>
      </c>
      <c r="H2281" t="s">
        <v>1885</v>
      </c>
      <c r="J2281" t="s">
        <v>773</v>
      </c>
      <c r="K2281" t="s">
        <v>1930</v>
      </c>
      <c r="L2281" t="s">
        <v>66</v>
      </c>
      <c r="M2281" t="s">
        <v>65</v>
      </c>
      <c r="N2281" t="s">
        <v>770</v>
      </c>
      <c r="O2281">
        <v>1</v>
      </c>
      <c r="P2281" t="s">
        <v>776</v>
      </c>
      <c r="Q2281">
        <v>29.9</v>
      </c>
      <c r="R2281">
        <v>5.39</v>
      </c>
      <c r="S2281">
        <v>3</v>
      </c>
      <c r="T2281">
        <v>0.54</v>
      </c>
      <c r="Y2281" t="s">
        <v>2097</v>
      </c>
      <c r="Z2281" t="s">
        <v>9541</v>
      </c>
      <c r="AA2281">
        <v>94100</v>
      </c>
      <c r="AB2281" t="s">
        <v>11</v>
      </c>
      <c r="AG2281" t="s">
        <v>9542</v>
      </c>
      <c r="AH2281" t="s">
        <v>11</v>
      </c>
      <c r="AI2281" t="s">
        <v>1258</v>
      </c>
    </row>
    <row r="2282" spans="1:35" x14ac:dyDescent="0.25">
      <c r="A2282" t="s">
        <v>9543</v>
      </c>
      <c r="C2282" t="s">
        <v>9544</v>
      </c>
      <c r="D2282" t="s">
        <v>9545</v>
      </c>
      <c r="E2282" t="s">
        <v>770</v>
      </c>
      <c r="F2282" t="s">
        <v>1884</v>
      </c>
      <c r="G2282" t="s">
        <v>1854</v>
      </c>
      <c r="H2282" t="s">
        <v>1885</v>
      </c>
      <c r="J2282" t="s">
        <v>773</v>
      </c>
      <c r="K2282" t="s">
        <v>4822</v>
      </c>
      <c r="L2282" t="s">
        <v>123</v>
      </c>
      <c r="M2282" t="s">
        <v>122</v>
      </c>
      <c r="N2282" t="s">
        <v>770</v>
      </c>
      <c r="O2282">
        <v>1</v>
      </c>
      <c r="P2282" t="s">
        <v>776</v>
      </c>
      <c r="Q2282">
        <v>32.9</v>
      </c>
      <c r="R2282">
        <v>5.93</v>
      </c>
      <c r="S2282">
        <v>3</v>
      </c>
      <c r="T2282">
        <v>0.54</v>
      </c>
      <c r="Y2282" t="s">
        <v>8529</v>
      </c>
      <c r="Z2282" t="s">
        <v>4172</v>
      </c>
      <c r="AA2282">
        <v>43012</v>
      </c>
      <c r="AB2282" t="s">
        <v>11</v>
      </c>
    </row>
    <row r="2283" spans="1:35" x14ac:dyDescent="0.25">
      <c r="A2283" t="s">
        <v>9546</v>
      </c>
      <c r="B2283" t="s">
        <v>9546</v>
      </c>
      <c r="C2283" t="s">
        <v>9547</v>
      </c>
      <c r="D2283" t="s">
        <v>9548</v>
      </c>
      <c r="E2283" t="s">
        <v>770</v>
      </c>
      <c r="F2283" t="s">
        <v>771</v>
      </c>
      <c r="G2283" t="s">
        <v>1854</v>
      </c>
      <c r="J2283" t="s">
        <v>783</v>
      </c>
      <c r="K2283" t="s">
        <v>1862</v>
      </c>
      <c r="L2283" t="s">
        <v>1505</v>
      </c>
      <c r="M2283" t="s">
        <v>53</v>
      </c>
      <c r="N2283" t="s">
        <v>770</v>
      </c>
      <c r="O2283">
        <v>1</v>
      </c>
      <c r="P2283" t="s">
        <v>776</v>
      </c>
      <c r="Q2283">
        <v>32.9</v>
      </c>
      <c r="R2283">
        <v>5.93</v>
      </c>
      <c r="Y2283" t="s">
        <v>8161</v>
      </c>
      <c r="Z2283" t="s">
        <v>9549</v>
      </c>
      <c r="AA2283">
        <v>71016</v>
      </c>
      <c r="AB2283" t="s">
        <v>11</v>
      </c>
    </row>
    <row r="2284" spans="1:35" x14ac:dyDescent="0.25">
      <c r="A2284" t="s">
        <v>9550</v>
      </c>
      <c r="C2284" t="s">
        <v>9551</v>
      </c>
      <c r="D2284" t="s">
        <v>9552</v>
      </c>
      <c r="E2284" t="s">
        <v>770</v>
      </c>
      <c r="F2284" t="s">
        <v>1884</v>
      </c>
      <c r="G2284" t="s">
        <v>1854</v>
      </c>
      <c r="H2284" t="s">
        <v>1885</v>
      </c>
      <c r="J2284" t="s">
        <v>773</v>
      </c>
      <c r="K2284" t="s">
        <v>4881</v>
      </c>
      <c r="L2284" s="2">
        <v>90882</v>
      </c>
      <c r="M2284" t="s">
        <v>232</v>
      </c>
      <c r="N2284" t="s">
        <v>770</v>
      </c>
      <c r="O2284">
        <v>1</v>
      </c>
      <c r="P2284" t="s">
        <v>776</v>
      </c>
      <c r="Q2284">
        <v>49.9</v>
      </c>
      <c r="R2284">
        <v>9</v>
      </c>
      <c r="S2284">
        <v>3</v>
      </c>
      <c r="T2284">
        <v>0.54</v>
      </c>
      <c r="Y2284" t="s">
        <v>9553</v>
      </c>
      <c r="Z2284" t="s">
        <v>1913</v>
      </c>
      <c r="AA2284">
        <v>19</v>
      </c>
      <c r="AB2284" t="s">
        <v>11</v>
      </c>
    </row>
    <row r="2285" spans="1:35" x14ac:dyDescent="0.25">
      <c r="A2285" t="s">
        <v>9554</v>
      </c>
      <c r="B2285" t="s">
        <v>9554</v>
      </c>
      <c r="C2285" t="s">
        <v>9555</v>
      </c>
      <c r="D2285" t="s">
        <v>9556</v>
      </c>
      <c r="E2285" t="s">
        <v>770</v>
      </c>
      <c r="F2285" t="s">
        <v>771</v>
      </c>
      <c r="G2285" t="s">
        <v>1854</v>
      </c>
      <c r="J2285" t="s">
        <v>783</v>
      </c>
      <c r="K2285" t="s">
        <v>1862</v>
      </c>
      <c r="L2285" t="s">
        <v>1505</v>
      </c>
      <c r="M2285" t="s">
        <v>53</v>
      </c>
      <c r="N2285" t="s">
        <v>770</v>
      </c>
      <c r="O2285">
        <v>1</v>
      </c>
      <c r="P2285" t="s">
        <v>776</v>
      </c>
      <c r="Q2285">
        <v>32.9</v>
      </c>
      <c r="R2285">
        <v>5.93</v>
      </c>
      <c r="Y2285" t="s">
        <v>9557</v>
      </c>
      <c r="AA2285">
        <v>70021</v>
      </c>
      <c r="AB2285" t="s">
        <v>11</v>
      </c>
    </row>
    <row r="2286" spans="1:35" x14ac:dyDescent="0.25">
      <c r="A2286" t="s">
        <v>9558</v>
      </c>
      <c r="C2286" t="s">
        <v>9559</v>
      </c>
      <c r="D2286" t="s">
        <v>9560</v>
      </c>
      <c r="E2286" t="s">
        <v>770</v>
      </c>
      <c r="F2286" t="s">
        <v>1884</v>
      </c>
      <c r="G2286" t="s">
        <v>1854</v>
      </c>
      <c r="H2286" t="s">
        <v>1885</v>
      </c>
      <c r="J2286" t="s">
        <v>773</v>
      </c>
      <c r="K2286" t="s">
        <v>8924</v>
      </c>
      <c r="L2286" s="2">
        <v>50161</v>
      </c>
      <c r="M2286" t="s">
        <v>114</v>
      </c>
      <c r="N2286" t="s">
        <v>770</v>
      </c>
      <c r="O2286">
        <v>1</v>
      </c>
      <c r="P2286" t="s">
        <v>776</v>
      </c>
      <c r="Q2286">
        <v>49.9</v>
      </c>
      <c r="R2286">
        <v>9</v>
      </c>
      <c r="S2286">
        <v>3</v>
      </c>
      <c r="T2286">
        <v>0.54</v>
      </c>
      <c r="Y2286" t="s">
        <v>9561</v>
      </c>
      <c r="Z2286" t="s">
        <v>1893</v>
      </c>
      <c r="AA2286">
        <v>10040</v>
      </c>
      <c r="AB2286" t="s">
        <v>11</v>
      </c>
    </row>
    <row r="2287" spans="1:35" x14ac:dyDescent="0.25">
      <c r="A2287" t="s">
        <v>9562</v>
      </c>
      <c r="C2287" t="s">
        <v>9563</v>
      </c>
      <c r="D2287" t="s">
        <v>9564</v>
      </c>
      <c r="E2287" t="s">
        <v>770</v>
      </c>
      <c r="F2287" t="s">
        <v>1884</v>
      </c>
      <c r="G2287" t="s">
        <v>1854</v>
      </c>
      <c r="H2287" t="s">
        <v>1885</v>
      </c>
      <c r="J2287" t="s">
        <v>773</v>
      </c>
      <c r="K2287" t="s">
        <v>4822</v>
      </c>
      <c r="L2287" t="s">
        <v>123</v>
      </c>
      <c r="M2287" t="s">
        <v>122</v>
      </c>
      <c r="N2287" t="s">
        <v>770</v>
      </c>
      <c r="O2287">
        <v>1</v>
      </c>
      <c r="P2287" t="s">
        <v>776</v>
      </c>
      <c r="Q2287">
        <v>32.9</v>
      </c>
      <c r="R2287">
        <v>5.93</v>
      </c>
      <c r="S2287">
        <v>3</v>
      </c>
      <c r="T2287">
        <v>0.54</v>
      </c>
      <c r="Y2287" t="s">
        <v>9565</v>
      </c>
      <c r="Z2287" t="s">
        <v>1997</v>
      </c>
      <c r="AA2287">
        <v>50036</v>
      </c>
      <c r="AB2287" t="s">
        <v>11</v>
      </c>
    </row>
    <row r="2288" spans="1:35" x14ac:dyDescent="0.25">
      <c r="A2288" t="s">
        <v>9566</v>
      </c>
      <c r="B2288" t="s">
        <v>9566</v>
      </c>
      <c r="C2288" t="s">
        <v>9567</v>
      </c>
      <c r="D2288" t="s">
        <v>9568</v>
      </c>
      <c r="E2288" t="s">
        <v>770</v>
      </c>
      <c r="F2288" t="s">
        <v>771</v>
      </c>
      <c r="G2288" t="s">
        <v>1854</v>
      </c>
      <c r="J2288" t="s">
        <v>783</v>
      </c>
      <c r="K2288" t="s">
        <v>1862</v>
      </c>
      <c r="L2288" t="s">
        <v>1505</v>
      </c>
      <c r="M2288" t="s">
        <v>53</v>
      </c>
      <c r="N2288" t="s">
        <v>770</v>
      </c>
      <c r="O2288">
        <v>1</v>
      </c>
      <c r="P2288" t="s">
        <v>776</v>
      </c>
      <c r="Q2288">
        <v>32.9</v>
      </c>
      <c r="R2288">
        <v>5.93</v>
      </c>
      <c r="Y2288" t="s">
        <v>1888</v>
      </c>
      <c r="Z2288" t="s">
        <v>1888</v>
      </c>
      <c r="AA2288">
        <v>40137</v>
      </c>
      <c r="AB2288" t="s">
        <v>11</v>
      </c>
    </row>
    <row r="2289" spans="1:35" x14ac:dyDescent="0.25">
      <c r="A2289" t="s">
        <v>9569</v>
      </c>
      <c r="B2289" t="s">
        <v>9569</v>
      </c>
      <c r="C2289" t="s">
        <v>9570</v>
      </c>
      <c r="D2289" t="s">
        <v>9571</v>
      </c>
      <c r="E2289" t="s">
        <v>770</v>
      </c>
      <c r="F2289" t="s">
        <v>771</v>
      </c>
      <c r="G2289" t="s">
        <v>1854</v>
      </c>
      <c r="J2289" t="s">
        <v>783</v>
      </c>
      <c r="K2289" t="s">
        <v>3363</v>
      </c>
      <c r="L2289" t="s">
        <v>5572</v>
      </c>
      <c r="M2289" t="s">
        <v>71</v>
      </c>
      <c r="N2289" t="s">
        <v>770</v>
      </c>
      <c r="O2289">
        <v>4</v>
      </c>
      <c r="P2289" t="s">
        <v>776</v>
      </c>
      <c r="Q2289">
        <v>119.6</v>
      </c>
      <c r="R2289">
        <v>21.56</v>
      </c>
      <c r="S2289">
        <v>2</v>
      </c>
      <c r="T2289">
        <v>0.36</v>
      </c>
      <c r="Y2289" t="s">
        <v>3802</v>
      </c>
      <c r="Z2289" t="s">
        <v>2342</v>
      </c>
      <c r="AA2289">
        <v>90146</v>
      </c>
      <c r="AB2289" t="s">
        <v>11</v>
      </c>
      <c r="AG2289" t="s">
        <v>9572</v>
      </c>
      <c r="AH2289" t="s">
        <v>11</v>
      </c>
      <c r="AI2289" t="s">
        <v>1258</v>
      </c>
    </row>
    <row r="2290" spans="1:35" x14ac:dyDescent="0.25">
      <c r="A2290" t="s">
        <v>9573</v>
      </c>
      <c r="C2290" t="s">
        <v>9574</v>
      </c>
      <c r="D2290" t="s">
        <v>9575</v>
      </c>
      <c r="E2290" t="s">
        <v>770</v>
      </c>
      <c r="F2290" t="s">
        <v>1884</v>
      </c>
      <c r="G2290" t="s">
        <v>1854</v>
      </c>
      <c r="H2290" t="s">
        <v>1885</v>
      </c>
      <c r="J2290" t="s">
        <v>773</v>
      </c>
      <c r="K2290" t="s">
        <v>1930</v>
      </c>
      <c r="L2290" t="s">
        <v>66</v>
      </c>
      <c r="M2290" t="s">
        <v>65</v>
      </c>
      <c r="N2290" t="s">
        <v>770</v>
      </c>
      <c r="O2290">
        <v>1</v>
      </c>
      <c r="P2290" t="s">
        <v>776</v>
      </c>
      <c r="Q2290">
        <v>29.9</v>
      </c>
      <c r="R2290">
        <v>5.39</v>
      </c>
      <c r="S2290">
        <v>3</v>
      </c>
      <c r="T2290">
        <v>0.54</v>
      </c>
      <c r="Y2290" t="s">
        <v>9576</v>
      </c>
      <c r="Z2290" t="s">
        <v>2106</v>
      </c>
      <c r="AA2290">
        <v>7026</v>
      </c>
      <c r="AB2290" t="s">
        <v>11</v>
      </c>
    </row>
    <row r="2291" spans="1:35" x14ac:dyDescent="0.25">
      <c r="A2291" t="s">
        <v>9577</v>
      </c>
      <c r="C2291" t="s">
        <v>9578</v>
      </c>
      <c r="D2291" t="s">
        <v>9579</v>
      </c>
      <c r="E2291" t="s">
        <v>770</v>
      </c>
      <c r="F2291" t="s">
        <v>1884</v>
      </c>
      <c r="G2291" t="s">
        <v>1854</v>
      </c>
      <c r="H2291" t="s">
        <v>1885</v>
      </c>
      <c r="J2291" t="s">
        <v>773</v>
      </c>
      <c r="K2291" t="s">
        <v>1873</v>
      </c>
      <c r="L2291" t="s">
        <v>27</v>
      </c>
      <c r="M2291" t="s">
        <v>26</v>
      </c>
      <c r="N2291" t="s">
        <v>770</v>
      </c>
      <c r="O2291">
        <v>1</v>
      </c>
      <c r="P2291" t="s">
        <v>776</v>
      </c>
      <c r="Q2291">
        <v>36.9</v>
      </c>
      <c r="R2291">
        <v>6.65</v>
      </c>
      <c r="S2291">
        <v>3</v>
      </c>
      <c r="T2291">
        <v>0.54</v>
      </c>
      <c r="Y2291" t="s">
        <v>9580</v>
      </c>
      <c r="Z2291" t="s">
        <v>9581</v>
      </c>
      <c r="AA2291">
        <v>28844</v>
      </c>
      <c r="AB2291" t="s">
        <v>11</v>
      </c>
    </row>
    <row r="2292" spans="1:35" x14ac:dyDescent="0.25">
      <c r="A2292" t="s">
        <v>9582</v>
      </c>
      <c r="B2292" t="s">
        <v>9582</v>
      </c>
      <c r="C2292" t="s">
        <v>9583</v>
      </c>
      <c r="D2292" t="s">
        <v>9584</v>
      </c>
      <c r="E2292" t="s">
        <v>782</v>
      </c>
      <c r="F2292" t="s">
        <v>771</v>
      </c>
      <c r="G2292" t="s">
        <v>1854</v>
      </c>
      <c r="J2292" t="s">
        <v>783</v>
      </c>
      <c r="K2292" t="s">
        <v>1862</v>
      </c>
      <c r="L2292" t="s">
        <v>1505</v>
      </c>
      <c r="M2292" t="s">
        <v>53</v>
      </c>
      <c r="N2292" t="s">
        <v>782</v>
      </c>
      <c r="O2292">
        <v>0</v>
      </c>
      <c r="Y2292" t="s">
        <v>3802</v>
      </c>
      <c r="Z2292" t="s">
        <v>2343</v>
      </c>
      <c r="AA2292">
        <v>90143</v>
      </c>
      <c r="AB2292" t="s">
        <v>11</v>
      </c>
    </row>
    <row r="2293" spans="1:35" x14ac:dyDescent="0.25">
      <c r="A2293" t="s">
        <v>9585</v>
      </c>
      <c r="B2293" t="s">
        <v>9585</v>
      </c>
      <c r="C2293" t="s">
        <v>9586</v>
      </c>
      <c r="D2293" t="s">
        <v>9587</v>
      </c>
      <c r="E2293" t="s">
        <v>770</v>
      </c>
      <c r="F2293" t="s">
        <v>771</v>
      </c>
      <c r="G2293" t="s">
        <v>1854</v>
      </c>
      <c r="J2293" t="s">
        <v>783</v>
      </c>
      <c r="K2293" t="s">
        <v>3328</v>
      </c>
      <c r="L2293" t="s">
        <v>3329</v>
      </c>
      <c r="M2293" t="s">
        <v>35</v>
      </c>
      <c r="N2293" t="s">
        <v>770</v>
      </c>
      <c r="O2293">
        <v>1</v>
      </c>
      <c r="P2293" t="s">
        <v>776</v>
      </c>
      <c r="Q2293">
        <v>24.9</v>
      </c>
      <c r="R2293">
        <v>4.49</v>
      </c>
      <c r="Y2293" t="s">
        <v>9588</v>
      </c>
      <c r="Z2293" t="s">
        <v>9589</v>
      </c>
      <c r="AA2293">
        <v>40054</v>
      </c>
      <c r="AB2293" t="s">
        <v>11</v>
      </c>
    </row>
    <row r="2294" spans="1:35" x14ac:dyDescent="0.25">
      <c r="A2294" t="s">
        <v>9590</v>
      </c>
      <c r="C2294" t="s">
        <v>9591</v>
      </c>
      <c r="D2294" t="s">
        <v>9552</v>
      </c>
      <c r="E2294" t="s">
        <v>770</v>
      </c>
      <c r="F2294" t="s">
        <v>1884</v>
      </c>
      <c r="G2294" t="s">
        <v>1854</v>
      </c>
      <c r="H2294" t="s">
        <v>1885</v>
      </c>
      <c r="J2294" t="s">
        <v>773</v>
      </c>
      <c r="K2294" t="s">
        <v>2913</v>
      </c>
      <c r="L2294" t="s">
        <v>99</v>
      </c>
      <c r="M2294" t="s">
        <v>98</v>
      </c>
      <c r="N2294" t="s">
        <v>770</v>
      </c>
      <c r="O2294">
        <v>1</v>
      </c>
      <c r="P2294" t="s">
        <v>776</v>
      </c>
      <c r="Q2294">
        <v>32.9</v>
      </c>
      <c r="R2294">
        <v>5.93</v>
      </c>
      <c r="S2294">
        <v>3</v>
      </c>
      <c r="T2294">
        <v>0.54</v>
      </c>
      <c r="Y2294" t="s">
        <v>9592</v>
      </c>
      <c r="Z2294" t="s">
        <v>1997</v>
      </c>
      <c r="AA2294">
        <v>50054</v>
      </c>
      <c r="AB2294" t="s">
        <v>11</v>
      </c>
    </row>
    <row r="2295" spans="1:35" x14ac:dyDescent="0.25">
      <c r="A2295" t="s">
        <v>9593</v>
      </c>
      <c r="C2295" t="s">
        <v>9594</v>
      </c>
      <c r="D2295" t="s">
        <v>9595</v>
      </c>
      <c r="E2295" t="s">
        <v>770</v>
      </c>
      <c r="F2295" t="s">
        <v>1884</v>
      </c>
      <c r="G2295" t="s">
        <v>1854</v>
      </c>
      <c r="H2295" t="s">
        <v>1885</v>
      </c>
      <c r="J2295" t="s">
        <v>773</v>
      </c>
      <c r="K2295" t="s">
        <v>1873</v>
      </c>
      <c r="L2295" t="s">
        <v>27</v>
      </c>
      <c r="M2295" t="s">
        <v>26</v>
      </c>
      <c r="N2295" t="s">
        <v>770</v>
      </c>
      <c r="O2295">
        <v>1</v>
      </c>
      <c r="P2295" t="s">
        <v>776</v>
      </c>
      <c r="Q2295">
        <v>36.9</v>
      </c>
      <c r="R2295">
        <v>6.65</v>
      </c>
      <c r="S2295">
        <v>3</v>
      </c>
      <c r="T2295">
        <v>0.54</v>
      </c>
      <c r="Y2295" t="s">
        <v>9596</v>
      </c>
      <c r="Z2295" t="s">
        <v>1888</v>
      </c>
      <c r="AA2295">
        <v>40018</v>
      </c>
      <c r="AB2295" t="s">
        <v>11</v>
      </c>
    </row>
    <row r="2296" spans="1:35" x14ac:dyDescent="0.25">
      <c r="A2296" t="s">
        <v>9597</v>
      </c>
      <c r="C2296" t="s">
        <v>9598</v>
      </c>
      <c r="D2296" t="s">
        <v>9599</v>
      </c>
      <c r="E2296" t="s">
        <v>770</v>
      </c>
      <c r="F2296" t="s">
        <v>1884</v>
      </c>
      <c r="G2296" t="s">
        <v>1854</v>
      </c>
      <c r="H2296" t="s">
        <v>1885</v>
      </c>
      <c r="J2296" t="s">
        <v>773</v>
      </c>
      <c r="K2296" t="s">
        <v>1930</v>
      </c>
      <c r="L2296" t="s">
        <v>66</v>
      </c>
      <c r="M2296" t="s">
        <v>65</v>
      </c>
      <c r="N2296" t="s">
        <v>770</v>
      </c>
      <c r="O2296">
        <v>1</v>
      </c>
      <c r="P2296" t="s">
        <v>776</v>
      </c>
      <c r="Q2296">
        <v>29.9</v>
      </c>
      <c r="R2296">
        <v>5.39</v>
      </c>
      <c r="S2296">
        <v>3</v>
      </c>
      <c r="T2296">
        <v>0.54</v>
      </c>
      <c r="Y2296" t="s">
        <v>9600</v>
      </c>
      <c r="Z2296" t="s">
        <v>1989</v>
      </c>
      <c r="AA2296">
        <v>36061</v>
      </c>
      <c r="AB2296" t="s">
        <v>11</v>
      </c>
    </row>
    <row r="2297" spans="1:35" x14ac:dyDescent="0.25">
      <c r="A2297" t="s">
        <v>9601</v>
      </c>
      <c r="B2297" t="s">
        <v>9601</v>
      </c>
      <c r="C2297" t="s">
        <v>9602</v>
      </c>
      <c r="D2297" t="s">
        <v>9603</v>
      </c>
      <c r="E2297" t="s">
        <v>770</v>
      </c>
      <c r="F2297" t="s">
        <v>771</v>
      </c>
      <c r="G2297" t="s">
        <v>1854</v>
      </c>
      <c r="J2297" t="s">
        <v>783</v>
      </c>
      <c r="K2297" t="s">
        <v>1930</v>
      </c>
      <c r="L2297" t="s">
        <v>775</v>
      </c>
      <c r="M2297" t="s">
        <v>65</v>
      </c>
      <c r="N2297" t="s">
        <v>770</v>
      </c>
      <c r="O2297">
        <v>1</v>
      </c>
      <c r="P2297" t="s">
        <v>776</v>
      </c>
      <c r="Q2297">
        <v>29.9</v>
      </c>
      <c r="R2297">
        <v>5.39</v>
      </c>
      <c r="Y2297" t="s">
        <v>5296</v>
      </c>
      <c r="AA2297">
        <v>9127</v>
      </c>
      <c r="AB2297" t="s">
        <v>11</v>
      </c>
    </row>
    <row r="2298" spans="1:35" x14ac:dyDescent="0.25">
      <c r="A2298" t="s">
        <v>9604</v>
      </c>
      <c r="C2298" t="s">
        <v>9605</v>
      </c>
      <c r="D2298" t="s">
        <v>9606</v>
      </c>
      <c r="E2298" t="s">
        <v>770</v>
      </c>
      <c r="F2298" t="s">
        <v>1884</v>
      </c>
      <c r="G2298" t="s">
        <v>1854</v>
      </c>
      <c r="H2298" t="s">
        <v>1885</v>
      </c>
      <c r="J2298" t="s">
        <v>773</v>
      </c>
      <c r="K2298" t="s">
        <v>2889</v>
      </c>
      <c r="L2298" t="s">
        <v>135</v>
      </c>
      <c r="M2298" t="s">
        <v>134</v>
      </c>
      <c r="N2298" t="s">
        <v>770</v>
      </c>
      <c r="O2298">
        <v>1</v>
      </c>
      <c r="P2298" t="s">
        <v>776</v>
      </c>
      <c r="Q2298">
        <v>59.9</v>
      </c>
      <c r="R2298">
        <v>10.8</v>
      </c>
      <c r="S2298">
        <v>3</v>
      </c>
      <c r="T2298">
        <v>0.54</v>
      </c>
      <c r="Y2298" t="s">
        <v>6632</v>
      </c>
      <c r="Z2298" t="s">
        <v>2148</v>
      </c>
      <c r="AA2298">
        <v>191</v>
      </c>
      <c r="AB2298" t="s">
        <v>11</v>
      </c>
    </row>
    <row r="2299" spans="1:35" x14ac:dyDescent="0.25">
      <c r="A2299" t="s">
        <v>9607</v>
      </c>
      <c r="B2299" t="s">
        <v>9607</v>
      </c>
      <c r="C2299" t="s">
        <v>9608</v>
      </c>
      <c r="D2299" t="s">
        <v>9609</v>
      </c>
      <c r="E2299" t="s">
        <v>770</v>
      </c>
      <c r="F2299" t="s">
        <v>771</v>
      </c>
      <c r="G2299" t="s">
        <v>1854</v>
      </c>
      <c r="J2299" t="s">
        <v>783</v>
      </c>
      <c r="K2299" t="s">
        <v>1862</v>
      </c>
      <c r="L2299" t="s">
        <v>1505</v>
      </c>
      <c r="M2299" t="s">
        <v>53</v>
      </c>
      <c r="N2299" t="s">
        <v>770</v>
      </c>
      <c r="O2299">
        <v>1</v>
      </c>
      <c r="P2299" t="s">
        <v>776</v>
      </c>
      <c r="Q2299">
        <v>32.9</v>
      </c>
      <c r="R2299">
        <v>5.93</v>
      </c>
      <c r="Y2299" t="s">
        <v>9610</v>
      </c>
      <c r="Z2299" t="s">
        <v>1997</v>
      </c>
      <c r="AA2299">
        <v>50055</v>
      </c>
      <c r="AB2299" t="s">
        <v>11</v>
      </c>
    </row>
    <row r="2300" spans="1:35" x14ac:dyDescent="0.25">
      <c r="A2300" t="s">
        <v>9611</v>
      </c>
      <c r="C2300" t="s">
        <v>9612</v>
      </c>
      <c r="D2300" t="s">
        <v>9613</v>
      </c>
      <c r="E2300" t="s">
        <v>770</v>
      </c>
      <c r="F2300" t="s">
        <v>1884</v>
      </c>
      <c r="G2300" t="s">
        <v>1854</v>
      </c>
      <c r="H2300" t="s">
        <v>1885</v>
      </c>
      <c r="J2300" t="s">
        <v>773</v>
      </c>
      <c r="K2300" t="s">
        <v>1873</v>
      </c>
      <c r="L2300" t="s">
        <v>27</v>
      </c>
      <c r="M2300" t="s">
        <v>26</v>
      </c>
      <c r="N2300" t="s">
        <v>770</v>
      </c>
      <c r="O2300">
        <v>1</v>
      </c>
      <c r="P2300" t="s">
        <v>776</v>
      </c>
      <c r="Q2300">
        <v>36.9</v>
      </c>
      <c r="R2300">
        <v>6.65</v>
      </c>
      <c r="S2300">
        <v>3</v>
      </c>
      <c r="T2300">
        <v>0.54</v>
      </c>
      <c r="Y2300" t="s">
        <v>1908</v>
      </c>
      <c r="Z2300" t="s">
        <v>1908</v>
      </c>
      <c r="AA2300">
        <v>80142</v>
      </c>
      <c r="AB2300" t="s">
        <v>11</v>
      </c>
    </row>
    <row r="2301" spans="1:35" x14ac:dyDescent="0.25">
      <c r="A2301" t="s">
        <v>9614</v>
      </c>
      <c r="B2301" t="s">
        <v>9614</v>
      </c>
      <c r="C2301" t="s">
        <v>9615</v>
      </c>
      <c r="D2301" t="s">
        <v>9616</v>
      </c>
      <c r="E2301" t="s">
        <v>770</v>
      </c>
      <c r="F2301" t="s">
        <v>771</v>
      </c>
      <c r="G2301" t="s">
        <v>1854</v>
      </c>
      <c r="J2301" t="s">
        <v>783</v>
      </c>
      <c r="K2301" t="s">
        <v>1862</v>
      </c>
      <c r="L2301" t="s">
        <v>1505</v>
      </c>
      <c r="M2301" t="s">
        <v>53</v>
      </c>
      <c r="N2301" t="s">
        <v>770</v>
      </c>
      <c r="O2301">
        <v>1</v>
      </c>
      <c r="P2301" t="s">
        <v>776</v>
      </c>
      <c r="Q2301">
        <v>32.9</v>
      </c>
      <c r="R2301">
        <v>5.93</v>
      </c>
      <c r="Y2301" t="s">
        <v>8193</v>
      </c>
      <c r="Z2301" t="s">
        <v>4562</v>
      </c>
      <c r="AA2301">
        <v>19126</v>
      </c>
      <c r="AB2301" t="s">
        <v>11</v>
      </c>
    </row>
    <row r="2302" spans="1:35" x14ac:dyDescent="0.25">
      <c r="A2302" t="s">
        <v>9617</v>
      </c>
      <c r="B2302" t="s">
        <v>9617</v>
      </c>
      <c r="C2302" t="s">
        <v>9618</v>
      </c>
      <c r="D2302" t="s">
        <v>9619</v>
      </c>
      <c r="E2302" t="s">
        <v>770</v>
      </c>
      <c r="F2302" t="s">
        <v>771</v>
      </c>
      <c r="G2302" t="s">
        <v>1854</v>
      </c>
      <c r="J2302" t="s">
        <v>783</v>
      </c>
      <c r="K2302" t="s">
        <v>1862</v>
      </c>
      <c r="L2302" t="s">
        <v>1505</v>
      </c>
      <c r="M2302" t="s">
        <v>53</v>
      </c>
      <c r="N2302" t="s">
        <v>770</v>
      </c>
      <c r="O2302">
        <v>1</v>
      </c>
      <c r="P2302" t="s">
        <v>776</v>
      </c>
      <c r="Q2302">
        <v>32.9</v>
      </c>
      <c r="R2302">
        <v>5.93</v>
      </c>
      <c r="Y2302" t="s">
        <v>4724</v>
      </c>
      <c r="Z2302" t="s">
        <v>3608</v>
      </c>
      <c r="AA2302">
        <v>21047</v>
      </c>
      <c r="AB2302" t="s">
        <v>11</v>
      </c>
    </row>
    <row r="2303" spans="1:35" x14ac:dyDescent="0.25">
      <c r="A2303" t="s">
        <v>9620</v>
      </c>
      <c r="C2303" t="s">
        <v>9621</v>
      </c>
      <c r="D2303" t="s">
        <v>9622</v>
      </c>
      <c r="E2303" t="s">
        <v>770</v>
      </c>
      <c r="F2303" t="s">
        <v>1884</v>
      </c>
      <c r="G2303" t="s">
        <v>1854</v>
      </c>
      <c r="H2303" t="s">
        <v>1885</v>
      </c>
      <c r="J2303" t="s">
        <v>773</v>
      </c>
      <c r="K2303" t="s">
        <v>1873</v>
      </c>
      <c r="L2303" t="s">
        <v>27</v>
      </c>
      <c r="M2303" t="s">
        <v>26</v>
      </c>
      <c r="N2303" t="s">
        <v>770</v>
      </c>
      <c r="O2303">
        <v>1</v>
      </c>
      <c r="P2303" t="s">
        <v>776</v>
      </c>
      <c r="Q2303">
        <v>36.9</v>
      </c>
      <c r="R2303">
        <v>6.65</v>
      </c>
      <c r="S2303">
        <v>3</v>
      </c>
      <c r="T2303">
        <v>0.54</v>
      </c>
      <c r="Y2303" t="s">
        <v>3638</v>
      </c>
      <c r="Z2303" t="s">
        <v>2153</v>
      </c>
      <c r="AA2303">
        <v>84011</v>
      </c>
      <c r="AB2303" t="s">
        <v>11</v>
      </c>
    </row>
    <row r="2304" spans="1:35" x14ac:dyDescent="0.25">
      <c r="A2304" t="s">
        <v>9623</v>
      </c>
      <c r="B2304" t="s">
        <v>9623</v>
      </c>
      <c r="C2304" t="s">
        <v>9624</v>
      </c>
      <c r="D2304" t="s">
        <v>9625</v>
      </c>
      <c r="E2304" t="s">
        <v>770</v>
      </c>
      <c r="F2304" t="s">
        <v>771</v>
      </c>
      <c r="G2304" t="s">
        <v>1854</v>
      </c>
      <c r="J2304" t="s">
        <v>783</v>
      </c>
      <c r="K2304" t="s">
        <v>1862</v>
      </c>
      <c r="L2304" t="s">
        <v>1505</v>
      </c>
      <c r="M2304" t="s">
        <v>53</v>
      </c>
      <c r="N2304" t="s">
        <v>770</v>
      </c>
      <c r="O2304">
        <v>1</v>
      </c>
      <c r="P2304" t="s">
        <v>776</v>
      </c>
      <c r="Q2304">
        <v>32.9</v>
      </c>
      <c r="R2304">
        <v>5.93</v>
      </c>
      <c r="Y2304" t="s">
        <v>1913</v>
      </c>
      <c r="Z2304" t="s">
        <v>1926</v>
      </c>
      <c r="AA2304">
        <v>157</v>
      </c>
      <c r="AB2304" t="s">
        <v>11</v>
      </c>
    </row>
    <row r="2305" spans="1:28" x14ac:dyDescent="0.25">
      <c r="A2305" t="s">
        <v>9626</v>
      </c>
      <c r="C2305" t="s">
        <v>9627</v>
      </c>
      <c r="D2305" t="s">
        <v>9613</v>
      </c>
      <c r="E2305" t="s">
        <v>770</v>
      </c>
      <c r="F2305" t="s">
        <v>1884</v>
      </c>
      <c r="G2305" t="s">
        <v>1854</v>
      </c>
      <c r="H2305" t="s">
        <v>1885</v>
      </c>
      <c r="J2305" t="s">
        <v>773</v>
      </c>
      <c r="K2305" t="s">
        <v>1886</v>
      </c>
      <c r="L2305" t="s">
        <v>18</v>
      </c>
      <c r="M2305" t="s">
        <v>17</v>
      </c>
      <c r="N2305" t="s">
        <v>770</v>
      </c>
      <c r="O2305">
        <v>1</v>
      </c>
      <c r="P2305" t="s">
        <v>776</v>
      </c>
      <c r="Q2305">
        <v>22.9</v>
      </c>
      <c r="R2305">
        <v>4.13</v>
      </c>
      <c r="S2305">
        <v>3</v>
      </c>
      <c r="T2305">
        <v>0.54</v>
      </c>
      <c r="Y2305" t="s">
        <v>2367</v>
      </c>
      <c r="Z2305" t="s">
        <v>2367</v>
      </c>
      <c r="AA2305">
        <v>67100</v>
      </c>
      <c r="AB2305" t="s">
        <v>11</v>
      </c>
    </row>
    <row r="2306" spans="1:28" x14ac:dyDescent="0.25">
      <c r="A2306" t="s">
        <v>9628</v>
      </c>
      <c r="B2306" t="s">
        <v>9628</v>
      </c>
      <c r="C2306" t="s">
        <v>9629</v>
      </c>
      <c r="D2306" t="s">
        <v>9630</v>
      </c>
      <c r="E2306" t="s">
        <v>770</v>
      </c>
      <c r="F2306" t="s">
        <v>771</v>
      </c>
      <c r="G2306" t="s">
        <v>1854</v>
      </c>
      <c r="J2306" t="s">
        <v>783</v>
      </c>
      <c r="K2306" t="s">
        <v>1862</v>
      </c>
      <c r="L2306" t="s">
        <v>1505</v>
      </c>
      <c r="M2306" t="s">
        <v>53</v>
      </c>
      <c r="N2306" t="s">
        <v>770</v>
      </c>
      <c r="O2306">
        <v>1</v>
      </c>
      <c r="P2306" t="s">
        <v>776</v>
      </c>
      <c r="Q2306">
        <v>32.9</v>
      </c>
      <c r="R2306">
        <v>5.93</v>
      </c>
      <c r="S2306">
        <v>1.63</v>
      </c>
      <c r="X2306">
        <v>1.63</v>
      </c>
      <c r="Y2306" t="s">
        <v>9631</v>
      </c>
      <c r="Z2306" t="s">
        <v>1864</v>
      </c>
      <c r="AA2306">
        <v>20060</v>
      </c>
      <c r="AB2306" t="s">
        <v>11</v>
      </c>
    </row>
    <row r="2307" spans="1:28" x14ac:dyDescent="0.25">
      <c r="A2307" t="s">
        <v>9632</v>
      </c>
      <c r="B2307" t="s">
        <v>9632</v>
      </c>
      <c r="C2307" t="s">
        <v>9633</v>
      </c>
      <c r="D2307" t="s">
        <v>9634</v>
      </c>
      <c r="E2307" t="s">
        <v>770</v>
      </c>
      <c r="F2307" t="s">
        <v>771</v>
      </c>
      <c r="G2307" t="s">
        <v>1854</v>
      </c>
      <c r="J2307" t="s">
        <v>783</v>
      </c>
      <c r="K2307" t="s">
        <v>1862</v>
      </c>
      <c r="L2307" t="s">
        <v>1505</v>
      </c>
      <c r="M2307" t="s">
        <v>53</v>
      </c>
      <c r="N2307" t="s">
        <v>770</v>
      </c>
      <c r="O2307">
        <v>1</v>
      </c>
      <c r="P2307" t="s">
        <v>776</v>
      </c>
      <c r="Q2307">
        <v>32.9</v>
      </c>
      <c r="R2307">
        <v>5.93</v>
      </c>
      <c r="S2307">
        <v>1.95</v>
      </c>
      <c r="X2307">
        <v>1.95</v>
      </c>
      <c r="Y2307" t="s">
        <v>4837</v>
      </c>
      <c r="Z2307" t="s">
        <v>3364</v>
      </c>
      <c r="AA2307">
        <v>88046</v>
      </c>
      <c r="AB2307" t="s">
        <v>11</v>
      </c>
    </row>
    <row r="2308" spans="1:28" x14ac:dyDescent="0.25">
      <c r="A2308" t="s">
        <v>9635</v>
      </c>
      <c r="B2308" t="s">
        <v>9635</v>
      </c>
      <c r="C2308" t="s">
        <v>9636</v>
      </c>
      <c r="D2308" t="s">
        <v>9637</v>
      </c>
      <c r="E2308" t="s">
        <v>770</v>
      </c>
      <c r="F2308" t="s">
        <v>771</v>
      </c>
      <c r="G2308" t="s">
        <v>1854</v>
      </c>
      <c r="J2308" t="s">
        <v>783</v>
      </c>
      <c r="K2308" t="s">
        <v>1930</v>
      </c>
      <c r="L2308" t="s">
        <v>775</v>
      </c>
      <c r="M2308" t="s">
        <v>65</v>
      </c>
      <c r="N2308" t="s">
        <v>770</v>
      </c>
      <c r="O2308">
        <v>1</v>
      </c>
      <c r="P2308" t="s">
        <v>776</v>
      </c>
      <c r="Q2308">
        <v>29.9</v>
      </c>
      <c r="R2308">
        <v>5.39</v>
      </c>
      <c r="Y2308" t="s">
        <v>9638</v>
      </c>
      <c r="Z2308" t="s">
        <v>3126</v>
      </c>
      <c r="AA2308">
        <v>20812</v>
      </c>
      <c r="AB2308" t="s">
        <v>11</v>
      </c>
    </row>
    <row r="2309" spans="1:28" x14ac:dyDescent="0.25">
      <c r="A2309" t="s">
        <v>9639</v>
      </c>
      <c r="B2309" t="s">
        <v>9639</v>
      </c>
      <c r="C2309" t="s">
        <v>9640</v>
      </c>
      <c r="D2309" t="s">
        <v>9641</v>
      </c>
      <c r="E2309" t="s">
        <v>770</v>
      </c>
      <c r="F2309" t="s">
        <v>771</v>
      </c>
      <c r="G2309" t="s">
        <v>1854</v>
      </c>
      <c r="J2309" t="s">
        <v>783</v>
      </c>
      <c r="K2309" t="s">
        <v>1862</v>
      </c>
      <c r="L2309" t="s">
        <v>1505</v>
      </c>
      <c r="M2309" t="s">
        <v>53</v>
      </c>
      <c r="N2309" t="s">
        <v>770</v>
      </c>
      <c r="O2309">
        <v>1</v>
      </c>
      <c r="P2309" t="s">
        <v>776</v>
      </c>
      <c r="Q2309">
        <v>32.9</v>
      </c>
      <c r="R2309">
        <v>5.93</v>
      </c>
      <c r="S2309">
        <v>3.99</v>
      </c>
      <c r="T2309">
        <v>0.72</v>
      </c>
      <c r="Y2309" t="s">
        <v>1997</v>
      </c>
      <c r="Z2309" t="s">
        <v>1997</v>
      </c>
      <c r="AA2309">
        <v>50142</v>
      </c>
      <c r="AB2309" t="s">
        <v>11</v>
      </c>
    </row>
    <row r="2310" spans="1:28" x14ac:dyDescent="0.25">
      <c r="A2310" t="s">
        <v>9642</v>
      </c>
      <c r="C2310" t="s">
        <v>9643</v>
      </c>
      <c r="D2310" t="s">
        <v>9644</v>
      </c>
      <c r="E2310" t="s">
        <v>770</v>
      </c>
      <c r="F2310" t="s">
        <v>1884</v>
      </c>
      <c r="G2310" t="s">
        <v>1854</v>
      </c>
      <c r="H2310" t="s">
        <v>1885</v>
      </c>
      <c r="J2310" t="s">
        <v>773</v>
      </c>
      <c r="K2310" t="s">
        <v>9645</v>
      </c>
      <c r="L2310" t="s">
        <v>213</v>
      </c>
      <c r="M2310" t="s">
        <v>212</v>
      </c>
      <c r="N2310" t="s">
        <v>770</v>
      </c>
      <c r="O2310">
        <v>1</v>
      </c>
      <c r="P2310" t="s">
        <v>776</v>
      </c>
      <c r="Q2310">
        <v>39.9</v>
      </c>
      <c r="R2310">
        <v>7.2</v>
      </c>
      <c r="S2310">
        <v>3</v>
      </c>
      <c r="T2310">
        <v>0.54</v>
      </c>
      <c r="Y2310" t="s">
        <v>9646</v>
      </c>
      <c r="Z2310" t="s">
        <v>3105</v>
      </c>
      <c r="AA2310">
        <v>62018</v>
      </c>
      <c r="AB2310" t="s">
        <v>11</v>
      </c>
    </row>
    <row r="2311" spans="1:28" x14ac:dyDescent="0.25">
      <c r="A2311" t="s">
        <v>9647</v>
      </c>
      <c r="B2311" t="s">
        <v>9647</v>
      </c>
      <c r="C2311" t="s">
        <v>9648</v>
      </c>
      <c r="D2311" t="s">
        <v>9649</v>
      </c>
      <c r="E2311" t="s">
        <v>770</v>
      </c>
      <c r="F2311" t="s">
        <v>771</v>
      </c>
      <c r="G2311" t="s">
        <v>1854</v>
      </c>
      <c r="J2311" t="s">
        <v>783</v>
      </c>
      <c r="K2311" t="s">
        <v>1862</v>
      </c>
      <c r="L2311" t="s">
        <v>1505</v>
      </c>
      <c r="M2311" t="s">
        <v>53</v>
      </c>
      <c r="N2311" t="s">
        <v>770</v>
      </c>
      <c r="O2311">
        <v>1</v>
      </c>
      <c r="P2311" t="s">
        <v>776</v>
      </c>
      <c r="Q2311">
        <v>32.9</v>
      </c>
      <c r="R2311">
        <v>5.93</v>
      </c>
      <c r="Y2311" t="s">
        <v>1913</v>
      </c>
      <c r="Z2311" t="s">
        <v>1926</v>
      </c>
      <c r="AA2311">
        <v>144</v>
      </c>
      <c r="AB2311" t="s">
        <v>11</v>
      </c>
    </row>
    <row r="2312" spans="1:28" x14ac:dyDescent="0.25">
      <c r="A2312" t="s">
        <v>9650</v>
      </c>
      <c r="C2312" t="s">
        <v>9651</v>
      </c>
      <c r="D2312" t="s">
        <v>9606</v>
      </c>
      <c r="E2312" t="s">
        <v>770</v>
      </c>
      <c r="F2312" t="s">
        <v>1884</v>
      </c>
      <c r="G2312" t="s">
        <v>1854</v>
      </c>
      <c r="H2312" t="s">
        <v>1885</v>
      </c>
      <c r="J2312" t="s">
        <v>773</v>
      </c>
      <c r="K2312" t="s">
        <v>3363</v>
      </c>
      <c r="L2312" s="2">
        <v>40490</v>
      </c>
      <c r="M2312" t="s">
        <v>71</v>
      </c>
      <c r="N2312" t="s">
        <v>770</v>
      </c>
      <c r="O2312">
        <v>1</v>
      </c>
      <c r="P2312" t="s">
        <v>776</v>
      </c>
      <c r="Q2312">
        <v>29.9</v>
      </c>
      <c r="R2312">
        <v>5.39</v>
      </c>
      <c r="S2312">
        <v>3</v>
      </c>
      <c r="T2312">
        <v>0.54</v>
      </c>
      <c r="Y2312" t="s">
        <v>9652</v>
      </c>
      <c r="Z2312" t="s">
        <v>2473</v>
      </c>
      <c r="AA2312">
        <v>70010</v>
      </c>
      <c r="AB2312" t="s">
        <v>11</v>
      </c>
    </row>
    <row r="2313" spans="1:28" x14ac:dyDescent="0.25">
      <c r="A2313" t="s">
        <v>9653</v>
      </c>
      <c r="B2313" t="s">
        <v>9653</v>
      </c>
      <c r="C2313" t="s">
        <v>9654</v>
      </c>
      <c r="D2313" t="s">
        <v>9655</v>
      </c>
      <c r="E2313" t="s">
        <v>770</v>
      </c>
      <c r="F2313" t="s">
        <v>771</v>
      </c>
      <c r="G2313" t="s">
        <v>1854</v>
      </c>
      <c r="J2313" t="s">
        <v>783</v>
      </c>
      <c r="K2313" t="s">
        <v>3363</v>
      </c>
      <c r="L2313" t="s">
        <v>5572</v>
      </c>
      <c r="M2313" t="s">
        <v>71</v>
      </c>
      <c r="N2313" t="s">
        <v>770</v>
      </c>
      <c r="O2313">
        <v>1</v>
      </c>
      <c r="P2313" t="s">
        <v>776</v>
      </c>
      <c r="Q2313">
        <v>29.9</v>
      </c>
      <c r="R2313">
        <v>5.39</v>
      </c>
      <c r="Y2313" t="s">
        <v>4172</v>
      </c>
      <c r="Z2313" t="s">
        <v>4778</v>
      </c>
      <c r="AA2313">
        <v>43123</v>
      </c>
      <c r="AB2313" t="s">
        <v>11</v>
      </c>
    </row>
    <row r="2314" spans="1:28" x14ac:dyDescent="0.25">
      <c r="A2314" t="s">
        <v>9656</v>
      </c>
      <c r="C2314" t="s">
        <v>9657</v>
      </c>
      <c r="D2314" t="s">
        <v>9658</v>
      </c>
      <c r="E2314" t="s">
        <v>770</v>
      </c>
      <c r="F2314" t="s">
        <v>1884</v>
      </c>
      <c r="G2314" t="s">
        <v>1854</v>
      </c>
      <c r="H2314" t="s">
        <v>1885</v>
      </c>
      <c r="J2314" t="s">
        <v>773</v>
      </c>
      <c r="K2314" t="s">
        <v>1873</v>
      </c>
      <c r="L2314" t="s">
        <v>27</v>
      </c>
      <c r="M2314" t="s">
        <v>26</v>
      </c>
      <c r="N2314" t="s">
        <v>770</v>
      </c>
      <c r="O2314">
        <v>1</v>
      </c>
      <c r="P2314" t="s">
        <v>776</v>
      </c>
      <c r="Q2314">
        <v>36.9</v>
      </c>
      <c r="R2314">
        <v>6.65</v>
      </c>
      <c r="S2314">
        <v>3</v>
      </c>
      <c r="T2314">
        <v>0.54</v>
      </c>
      <c r="Y2314" t="s">
        <v>1893</v>
      </c>
      <c r="Z2314" t="s">
        <v>1893</v>
      </c>
      <c r="AA2314">
        <v>10153</v>
      </c>
      <c r="AB2314" t="s">
        <v>11</v>
      </c>
    </row>
    <row r="2315" spans="1:28" x14ac:dyDescent="0.25">
      <c r="A2315" t="s">
        <v>9659</v>
      </c>
      <c r="C2315" t="s">
        <v>9660</v>
      </c>
      <c r="D2315" t="s">
        <v>9661</v>
      </c>
      <c r="E2315" t="s">
        <v>770</v>
      </c>
      <c r="F2315" t="s">
        <v>1884</v>
      </c>
      <c r="G2315" t="s">
        <v>1854</v>
      </c>
      <c r="H2315" t="s">
        <v>1885</v>
      </c>
      <c r="J2315" t="s">
        <v>773</v>
      </c>
      <c r="K2315" t="s">
        <v>1886</v>
      </c>
      <c r="L2315" t="s">
        <v>18</v>
      </c>
      <c r="M2315" t="s">
        <v>17</v>
      </c>
      <c r="N2315" t="s">
        <v>770</v>
      </c>
      <c r="O2315">
        <v>1</v>
      </c>
      <c r="P2315" t="s">
        <v>776</v>
      </c>
      <c r="Q2315">
        <v>22.9</v>
      </c>
      <c r="R2315">
        <v>4.13</v>
      </c>
      <c r="S2315">
        <v>3</v>
      </c>
      <c r="T2315">
        <v>0.54</v>
      </c>
      <c r="Y2315" t="s">
        <v>1875</v>
      </c>
      <c r="Z2315" t="s">
        <v>1864</v>
      </c>
      <c r="AA2315">
        <v>20124</v>
      </c>
      <c r="AB2315" t="s">
        <v>11</v>
      </c>
    </row>
    <row r="2316" spans="1:28" x14ac:dyDescent="0.25">
      <c r="A2316" t="s">
        <v>9662</v>
      </c>
      <c r="B2316" t="s">
        <v>9662</v>
      </c>
      <c r="C2316" t="s">
        <v>9663</v>
      </c>
      <c r="D2316" t="s">
        <v>9664</v>
      </c>
      <c r="E2316" t="s">
        <v>770</v>
      </c>
      <c r="F2316" t="s">
        <v>771</v>
      </c>
      <c r="G2316" t="s">
        <v>1854</v>
      </c>
      <c r="J2316" t="s">
        <v>783</v>
      </c>
      <c r="K2316" t="s">
        <v>2390</v>
      </c>
      <c r="L2316" t="s">
        <v>1094</v>
      </c>
      <c r="M2316" t="s">
        <v>208</v>
      </c>
      <c r="N2316" t="s">
        <v>770</v>
      </c>
      <c r="O2316">
        <v>1</v>
      </c>
      <c r="P2316" t="s">
        <v>776</v>
      </c>
      <c r="Q2316">
        <v>79.900000000000006</v>
      </c>
      <c r="R2316">
        <v>14.41</v>
      </c>
      <c r="S2316">
        <v>0.47</v>
      </c>
      <c r="X2316">
        <v>0.47</v>
      </c>
      <c r="Y2316" t="s">
        <v>9665</v>
      </c>
      <c r="Z2316" t="s">
        <v>1893</v>
      </c>
      <c r="AA2316">
        <v>10098</v>
      </c>
      <c r="AB2316" t="s">
        <v>11</v>
      </c>
    </row>
    <row r="2317" spans="1:28" x14ac:dyDescent="0.25">
      <c r="A2317" t="s">
        <v>9666</v>
      </c>
      <c r="B2317" t="s">
        <v>9666</v>
      </c>
      <c r="C2317" t="s">
        <v>9667</v>
      </c>
      <c r="D2317" t="s">
        <v>9668</v>
      </c>
      <c r="E2317" t="s">
        <v>770</v>
      </c>
      <c r="F2317" t="s">
        <v>771</v>
      </c>
      <c r="G2317" t="s">
        <v>1854</v>
      </c>
      <c r="J2317" t="s">
        <v>783</v>
      </c>
      <c r="K2317" t="s">
        <v>1862</v>
      </c>
      <c r="L2317" t="s">
        <v>1505</v>
      </c>
      <c r="M2317" t="s">
        <v>53</v>
      </c>
      <c r="N2317" t="s">
        <v>770</v>
      </c>
      <c r="O2317">
        <v>1</v>
      </c>
      <c r="P2317" t="s">
        <v>776</v>
      </c>
      <c r="Q2317">
        <v>32.9</v>
      </c>
      <c r="R2317">
        <v>5.93</v>
      </c>
      <c r="Y2317" t="s">
        <v>1956</v>
      </c>
      <c r="Z2317" t="s">
        <v>3212</v>
      </c>
      <c r="AA2317">
        <v>171</v>
      </c>
      <c r="AB2317" t="s">
        <v>11</v>
      </c>
    </row>
    <row r="2318" spans="1:28" x14ac:dyDescent="0.25">
      <c r="A2318" t="s">
        <v>9669</v>
      </c>
      <c r="C2318" t="s">
        <v>9670</v>
      </c>
      <c r="D2318" t="s">
        <v>9579</v>
      </c>
      <c r="E2318" t="s">
        <v>770</v>
      </c>
      <c r="F2318" t="s">
        <v>1884</v>
      </c>
      <c r="G2318" t="s">
        <v>1854</v>
      </c>
      <c r="H2318" t="s">
        <v>1885</v>
      </c>
      <c r="J2318" t="s">
        <v>773</v>
      </c>
      <c r="K2318" t="s">
        <v>1886</v>
      </c>
      <c r="L2318" t="s">
        <v>18</v>
      </c>
      <c r="M2318" t="s">
        <v>17</v>
      </c>
      <c r="N2318" t="s">
        <v>770</v>
      </c>
      <c r="O2318">
        <v>1</v>
      </c>
      <c r="P2318" t="s">
        <v>776</v>
      </c>
      <c r="Q2318">
        <v>22.9</v>
      </c>
      <c r="R2318">
        <v>4.13</v>
      </c>
      <c r="S2318">
        <v>3</v>
      </c>
      <c r="T2318">
        <v>0.54</v>
      </c>
      <c r="Y2318" t="s">
        <v>5501</v>
      </c>
      <c r="Z2318" t="s">
        <v>4692</v>
      </c>
      <c r="AA2318">
        <v>60019</v>
      </c>
      <c r="AB2318" t="s">
        <v>11</v>
      </c>
    </row>
    <row r="2319" spans="1:28" x14ac:dyDescent="0.25">
      <c r="A2319" t="s">
        <v>9671</v>
      </c>
      <c r="B2319" t="s">
        <v>9671</v>
      </c>
      <c r="C2319" t="s">
        <v>9672</v>
      </c>
      <c r="D2319" t="s">
        <v>9673</v>
      </c>
      <c r="E2319" t="s">
        <v>770</v>
      </c>
      <c r="F2319" t="s">
        <v>771</v>
      </c>
      <c r="G2319" t="s">
        <v>1854</v>
      </c>
      <c r="J2319" t="s">
        <v>783</v>
      </c>
      <c r="K2319" t="s">
        <v>2390</v>
      </c>
      <c r="L2319" t="s">
        <v>1094</v>
      </c>
      <c r="M2319" t="s">
        <v>208</v>
      </c>
      <c r="N2319" t="s">
        <v>770</v>
      </c>
      <c r="O2319">
        <v>1</v>
      </c>
      <c r="P2319" t="s">
        <v>776</v>
      </c>
      <c r="Q2319">
        <v>79.900000000000006</v>
      </c>
      <c r="R2319">
        <v>14.41</v>
      </c>
      <c r="Y2319" t="s">
        <v>2420</v>
      </c>
      <c r="AA2319">
        <v>80121</v>
      </c>
      <c r="AB2319" t="s">
        <v>11</v>
      </c>
    </row>
    <row r="2320" spans="1:28" x14ac:dyDescent="0.25">
      <c r="A2320" t="s">
        <v>9674</v>
      </c>
      <c r="B2320" t="s">
        <v>9674</v>
      </c>
      <c r="C2320" t="s">
        <v>9675</v>
      </c>
      <c r="D2320" t="s">
        <v>9676</v>
      </c>
      <c r="E2320" t="s">
        <v>770</v>
      </c>
      <c r="F2320" t="s">
        <v>771</v>
      </c>
      <c r="G2320" t="s">
        <v>1854</v>
      </c>
      <c r="J2320" t="s">
        <v>783</v>
      </c>
      <c r="K2320" t="s">
        <v>1930</v>
      </c>
      <c r="L2320" t="s">
        <v>775</v>
      </c>
      <c r="M2320" t="s">
        <v>65</v>
      </c>
      <c r="N2320" t="s">
        <v>770</v>
      </c>
      <c r="O2320">
        <v>1</v>
      </c>
      <c r="P2320" t="s">
        <v>776</v>
      </c>
      <c r="Q2320">
        <v>29.9</v>
      </c>
      <c r="R2320">
        <v>5.39</v>
      </c>
      <c r="Y2320" t="s">
        <v>5535</v>
      </c>
      <c r="Z2320" t="s">
        <v>1937</v>
      </c>
      <c r="AA2320">
        <v>24016</v>
      </c>
      <c r="AB2320" t="s">
        <v>11</v>
      </c>
    </row>
    <row r="2321" spans="1:28" x14ac:dyDescent="0.25">
      <c r="A2321" t="s">
        <v>9677</v>
      </c>
      <c r="B2321" t="s">
        <v>9677</v>
      </c>
      <c r="C2321" t="s">
        <v>9678</v>
      </c>
      <c r="D2321" t="s">
        <v>9679</v>
      </c>
      <c r="E2321" t="s">
        <v>770</v>
      </c>
      <c r="F2321" t="s">
        <v>771</v>
      </c>
      <c r="G2321" t="s">
        <v>1854</v>
      </c>
      <c r="J2321" t="s">
        <v>783</v>
      </c>
      <c r="K2321" t="s">
        <v>1862</v>
      </c>
      <c r="L2321" t="s">
        <v>1505</v>
      </c>
      <c r="M2321" t="s">
        <v>53</v>
      </c>
      <c r="N2321" t="s">
        <v>770</v>
      </c>
      <c r="O2321">
        <v>1</v>
      </c>
      <c r="P2321" t="s">
        <v>776</v>
      </c>
      <c r="Q2321">
        <v>32.9</v>
      </c>
      <c r="R2321">
        <v>5.93</v>
      </c>
      <c r="Y2321" t="s">
        <v>1893</v>
      </c>
      <c r="Z2321" t="s">
        <v>1893</v>
      </c>
      <c r="AA2321">
        <v>10123</v>
      </c>
      <c r="AB2321" t="s">
        <v>11</v>
      </c>
    </row>
    <row r="2322" spans="1:28" x14ac:dyDescent="0.25">
      <c r="A2322" t="s">
        <v>9680</v>
      </c>
      <c r="B2322" t="s">
        <v>9680</v>
      </c>
      <c r="C2322" t="s">
        <v>9681</v>
      </c>
      <c r="D2322" t="s">
        <v>9682</v>
      </c>
      <c r="E2322" t="s">
        <v>770</v>
      </c>
      <c r="F2322" t="s">
        <v>771</v>
      </c>
      <c r="G2322" t="s">
        <v>1854</v>
      </c>
      <c r="J2322" t="s">
        <v>783</v>
      </c>
      <c r="K2322" t="s">
        <v>1930</v>
      </c>
      <c r="L2322" t="s">
        <v>775</v>
      </c>
      <c r="M2322" t="s">
        <v>65</v>
      </c>
      <c r="N2322" t="s">
        <v>770</v>
      </c>
      <c r="O2322">
        <v>1</v>
      </c>
      <c r="P2322" t="s">
        <v>776</v>
      </c>
      <c r="Q2322">
        <v>29.9</v>
      </c>
      <c r="R2322">
        <v>5.39</v>
      </c>
      <c r="Y2322" t="s">
        <v>2601</v>
      </c>
      <c r="Z2322" t="s">
        <v>2601</v>
      </c>
      <c r="AA2322">
        <v>16146</v>
      </c>
      <c r="AB2322" t="s">
        <v>11</v>
      </c>
    </row>
    <row r="2323" spans="1:28" x14ac:dyDescent="0.25">
      <c r="A2323" t="s">
        <v>9683</v>
      </c>
      <c r="B2323" t="s">
        <v>9683</v>
      </c>
      <c r="C2323" t="s">
        <v>9684</v>
      </c>
      <c r="D2323" t="s">
        <v>9685</v>
      </c>
      <c r="E2323" t="s">
        <v>770</v>
      </c>
      <c r="F2323" t="s">
        <v>771</v>
      </c>
      <c r="G2323" t="s">
        <v>1854</v>
      </c>
      <c r="J2323" t="s">
        <v>783</v>
      </c>
      <c r="K2323" t="s">
        <v>1879</v>
      </c>
      <c r="L2323" t="s">
        <v>1056</v>
      </c>
      <c r="M2323" t="s">
        <v>212</v>
      </c>
      <c r="N2323" t="s">
        <v>770</v>
      </c>
      <c r="O2323">
        <v>1</v>
      </c>
      <c r="P2323" t="s">
        <v>776</v>
      </c>
      <c r="Q2323">
        <v>39.9</v>
      </c>
      <c r="R2323">
        <v>7.2</v>
      </c>
      <c r="Y2323" t="s">
        <v>9686</v>
      </c>
      <c r="Z2323" t="s">
        <v>6841</v>
      </c>
      <c r="AA2323">
        <v>53027</v>
      </c>
      <c r="AB2323" t="s">
        <v>11</v>
      </c>
    </row>
    <row r="2324" spans="1:28" x14ac:dyDescent="0.25">
      <c r="A2324" t="s">
        <v>9687</v>
      </c>
      <c r="C2324" t="s">
        <v>9688</v>
      </c>
      <c r="D2324" t="s">
        <v>9552</v>
      </c>
      <c r="E2324" t="s">
        <v>770</v>
      </c>
      <c r="F2324" t="s">
        <v>1884</v>
      </c>
      <c r="G2324" t="s">
        <v>1854</v>
      </c>
      <c r="H2324" t="s">
        <v>1885</v>
      </c>
      <c r="J2324" t="s">
        <v>773</v>
      </c>
      <c r="K2324" t="s">
        <v>1886</v>
      </c>
      <c r="L2324" t="s">
        <v>18</v>
      </c>
      <c r="M2324" t="s">
        <v>17</v>
      </c>
      <c r="N2324" t="s">
        <v>770</v>
      </c>
      <c r="O2324">
        <v>1</v>
      </c>
      <c r="P2324" t="s">
        <v>776</v>
      </c>
      <c r="Q2324">
        <v>22.9</v>
      </c>
      <c r="R2324">
        <v>4.13</v>
      </c>
      <c r="S2324">
        <v>3</v>
      </c>
      <c r="T2324">
        <v>0.54</v>
      </c>
      <c r="Y2324" t="s">
        <v>9689</v>
      </c>
      <c r="Z2324" t="s">
        <v>1864</v>
      </c>
      <c r="AA2324">
        <v>20023</v>
      </c>
      <c r="AB2324" t="s">
        <v>11</v>
      </c>
    </row>
    <row r="2325" spans="1:28" x14ac:dyDescent="0.25">
      <c r="A2325" t="s">
        <v>9690</v>
      </c>
      <c r="B2325" t="s">
        <v>9690</v>
      </c>
      <c r="C2325" t="s">
        <v>9691</v>
      </c>
      <c r="D2325" t="s">
        <v>9692</v>
      </c>
      <c r="E2325" t="s">
        <v>770</v>
      </c>
      <c r="F2325" t="s">
        <v>771</v>
      </c>
      <c r="G2325" t="s">
        <v>1854</v>
      </c>
      <c r="J2325" t="s">
        <v>783</v>
      </c>
      <c r="K2325" t="s">
        <v>2390</v>
      </c>
      <c r="L2325" t="s">
        <v>1094</v>
      </c>
      <c r="M2325" t="s">
        <v>208</v>
      </c>
      <c r="N2325" t="s">
        <v>770</v>
      </c>
      <c r="O2325">
        <v>1</v>
      </c>
      <c r="P2325" t="s">
        <v>776</v>
      </c>
      <c r="Q2325">
        <v>79.900000000000006</v>
      </c>
      <c r="R2325">
        <v>14.41</v>
      </c>
      <c r="Y2325" t="s">
        <v>9693</v>
      </c>
      <c r="Z2325" t="s">
        <v>2838</v>
      </c>
      <c r="AA2325">
        <v>5035</v>
      </c>
      <c r="AB2325" t="s">
        <v>11</v>
      </c>
    </row>
    <row r="2326" spans="1:28" x14ac:dyDescent="0.25">
      <c r="A2326" t="s">
        <v>9694</v>
      </c>
      <c r="B2326" t="s">
        <v>9694</v>
      </c>
      <c r="C2326" t="s">
        <v>9695</v>
      </c>
      <c r="D2326" t="s">
        <v>9696</v>
      </c>
      <c r="E2326" t="s">
        <v>770</v>
      </c>
      <c r="F2326" t="s">
        <v>771</v>
      </c>
      <c r="G2326" t="s">
        <v>1854</v>
      </c>
      <c r="J2326" t="s">
        <v>783</v>
      </c>
      <c r="K2326" t="s">
        <v>1862</v>
      </c>
      <c r="L2326" t="s">
        <v>1505</v>
      </c>
      <c r="M2326" t="s">
        <v>53</v>
      </c>
      <c r="N2326" t="s">
        <v>770</v>
      </c>
      <c r="O2326">
        <v>1</v>
      </c>
      <c r="P2326" t="s">
        <v>776</v>
      </c>
      <c r="Q2326">
        <v>32.9</v>
      </c>
      <c r="R2326">
        <v>5.93</v>
      </c>
      <c r="Y2326" t="s">
        <v>9697</v>
      </c>
      <c r="Z2326" t="s">
        <v>2697</v>
      </c>
      <c r="AA2326">
        <v>18038</v>
      </c>
      <c r="AB2326" t="s">
        <v>11</v>
      </c>
    </row>
    <row r="2327" spans="1:28" x14ac:dyDescent="0.25">
      <c r="A2327" t="s">
        <v>9698</v>
      </c>
      <c r="B2327" t="s">
        <v>9698</v>
      </c>
      <c r="C2327" t="s">
        <v>9699</v>
      </c>
      <c r="D2327" t="s">
        <v>9700</v>
      </c>
      <c r="E2327" t="s">
        <v>770</v>
      </c>
      <c r="F2327" t="s">
        <v>771</v>
      </c>
      <c r="G2327" t="s">
        <v>1854</v>
      </c>
      <c r="J2327" t="s">
        <v>783</v>
      </c>
      <c r="K2327" t="s">
        <v>1862</v>
      </c>
      <c r="L2327" t="s">
        <v>1505</v>
      </c>
      <c r="M2327" t="s">
        <v>53</v>
      </c>
      <c r="N2327" t="s">
        <v>770</v>
      </c>
      <c r="O2327">
        <v>1</v>
      </c>
      <c r="P2327" t="s">
        <v>776</v>
      </c>
      <c r="Q2327">
        <v>32.9</v>
      </c>
      <c r="R2327">
        <v>5.93</v>
      </c>
      <c r="Y2327" t="s">
        <v>9701</v>
      </c>
      <c r="Z2327" t="s">
        <v>2030</v>
      </c>
      <c r="AA2327">
        <v>38070</v>
      </c>
      <c r="AB2327" t="s">
        <v>11</v>
      </c>
    </row>
    <row r="2328" spans="1:28" x14ac:dyDescent="0.25">
      <c r="A2328" t="s">
        <v>9702</v>
      </c>
      <c r="B2328" t="s">
        <v>9702</v>
      </c>
      <c r="C2328" t="s">
        <v>9703</v>
      </c>
      <c r="D2328" t="s">
        <v>9704</v>
      </c>
      <c r="E2328" t="s">
        <v>770</v>
      </c>
      <c r="F2328" t="s">
        <v>771</v>
      </c>
      <c r="G2328" t="s">
        <v>1854</v>
      </c>
      <c r="J2328" t="s">
        <v>783</v>
      </c>
      <c r="K2328" t="s">
        <v>1862</v>
      </c>
      <c r="L2328" t="s">
        <v>1505</v>
      </c>
      <c r="M2328" t="s">
        <v>53</v>
      </c>
      <c r="N2328" t="s">
        <v>770</v>
      </c>
      <c r="O2328">
        <v>1</v>
      </c>
      <c r="P2328" t="s">
        <v>776</v>
      </c>
      <c r="Q2328">
        <v>32.9</v>
      </c>
      <c r="R2328">
        <v>5.93</v>
      </c>
      <c r="Y2328" t="s">
        <v>9705</v>
      </c>
      <c r="AA2328">
        <v>72100</v>
      </c>
      <c r="AB2328" t="s">
        <v>11</v>
      </c>
    </row>
    <row r="2329" spans="1:28" x14ac:dyDescent="0.25">
      <c r="A2329" t="s">
        <v>9706</v>
      </c>
      <c r="C2329" t="s">
        <v>9707</v>
      </c>
      <c r="D2329" t="s">
        <v>9579</v>
      </c>
      <c r="E2329" t="s">
        <v>770</v>
      </c>
      <c r="F2329" t="s">
        <v>1884</v>
      </c>
      <c r="G2329" t="s">
        <v>1854</v>
      </c>
      <c r="H2329" t="s">
        <v>1885</v>
      </c>
      <c r="J2329" t="s">
        <v>773</v>
      </c>
      <c r="K2329" t="s">
        <v>1930</v>
      </c>
      <c r="L2329" t="s">
        <v>66</v>
      </c>
      <c r="M2329" t="s">
        <v>65</v>
      </c>
      <c r="N2329" t="s">
        <v>770</v>
      </c>
      <c r="O2329">
        <v>1</v>
      </c>
      <c r="P2329" t="s">
        <v>776</v>
      </c>
      <c r="Q2329">
        <v>29.9</v>
      </c>
      <c r="R2329">
        <v>5.39</v>
      </c>
      <c r="S2329">
        <v>3</v>
      </c>
      <c r="T2329">
        <v>0.54</v>
      </c>
      <c r="Y2329" t="s">
        <v>1875</v>
      </c>
      <c r="Z2329" t="s">
        <v>1875</v>
      </c>
      <c r="AA2329">
        <v>20126</v>
      </c>
      <c r="AB2329" t="s">
        <v>11</v>
      </c>
    </row>
    <row r="2330" spans="1:28" x14ac:dyDescent="0.25">
      <c r="A2330" t="s">
        <v>9708</v>
      </c>
      <c r="C2330" t="s">
        <v>9709</v>
      </c>
      <c r="D2330" t="s">
        <v>9710</v>
      </c>
      <c r="E2330" t="s">
        <v>770</v>
      </c>
      <c r="F2330" t="s">
        <v>1884</v>
      </c>
      <c r="G2330" t="s">
        <v>1854</v>
      </c>
      <c r="H2330" t="s">
        <v>1885</v>
      </c>
      <c r="J2330" t="s">
        <v>773</v>
      </c>
      <c r="K2330" t="s">
        <v>2913</v>
      </c>
      <c r="L2330" t="s">
        <v>99</v>
      </c>
      <c r="M2330" t="s">
        <v>98</v>
      </c>
      <c r="N2330" t="s">
        <v>770</v>
      </c>
      <c r="O2330">
        <v>1</v>
      </c>
      <c r="P2330" t="s">
        <v>776</v>
      </c>
      <c r="Q2330">
        <v>32.9</v>
      </c>
      <c r="R2330">
        <v>5.93</v>
      </c>
      <c r="S2330">
        <v>3</v>
      </c>
      <c r="T2330">
        <v>0.54</v>
      </c>
      <c r="Y2330" t="s">
        <v>9711</v>
      </c>
      <c r="Z2330" t="s">
        <v>9712</v>
      </c>
      <c r="AA2330">
        <v>4023</v>
      </c>
      <c r="AB2330" t="s">
        <v>11</v>
      </c>
    </row>
    <row r="2331" spans="1:28" x14ac:dyDescent="0.25">
      <c r="A2331" t="s">
        <v>9713</v>
      </c>
      <c r="B2331" t="s">
        <v>9713</v>
      </c>
      <c r="C2331" t="s">
        <v>9714</v>
      </c>
      <c r="D2331" t="s">
        <v>9715</v>
      </c>
      <c r="E2331" t="s">
        <v>770</v>
      </c>
      <c r="F2331" t="s">
        <v>771</v>
      </c>
      <c r="G2331" t="s">
        <v>1854</v>
      </c>
      <c r="J2331" t="s">
        <v>783</v>
      </c>
      <c r="K2331" t="s">
        <v>1930</v>
      </c>
      <c r="L2331" t="s">
        <v>775</v>
      </c>
      <c r="M2331" t="s">
        <v>65</v>
      </c>
      <c r="N2331" t="s">
        <v>770</v>
      </c>
      <c r="O2331">
        <v>1</v>
      </c>
      <c r="P2331" t="s">
        <v>776</v>
      </c>
      <c r="Q2331">
        <v>29.9</v>
      </c>
      <c r="R2331">
        <v>5.39</v>
      </c>
      <c r="Y2331" t="s">
        <v>3075</v>
      </c>
      <c r="Z2331" t="s">
        <v>2101</v>
      </c>
      <c r="AA2331">
        <v>47838</v>
      </c>
      <c r="AB2331" t="s">
        <v>11</v>
      </c>
    </row>
    <row r="2332" spans="1:28" x14ac:dyDescent="0.25">
      <c r="A2332" t="s">
        <v>9716</v>
      </c>
      <c r="C2332" t="s">
        <v>9717</v>
      </c>
      <c r="D2332" t="s">
        <v>9606</v>
      </c>
      <c r="E2332" t="s">
        <v>770</v>
      </c>
      <c r="F2332" t="s">
        <v>1884</v>
      </c>
      <c r="G2332" t="s">
        <v>1854</v>
      </c>
      <c r="H2332" t="s">
        <v>1885</v>
      </c>
      <c r="J2332" t="s">
        <v>773</v>
      </c>
      <c r="K2332" t="s">
        <v>1886</v>
      </c>
      <c r="L2332" t="s">
        <v>18</v>
      </c>
      <c r="M2332" t="s">
        <v>17</v>
      </c>
      <c r="N2332" t="s">
        <v>770</v>
      </c>
      <c r="O2332">
        <v>1</v>
      </c>
      <c r="P2332" t="s">
        <v>776</v>
      </c>
      <c r="Q2332">
        <v>22.9</v>
      </c>
      <c r="R2332">
        <v>4.13</v>
      </c>
      <c r="S2332">
        <v>3</v>
      </c>
      <c r="T2332">
        <v>0.54</v>
      </c>
      <c r="Y2332" t="s">
        <v>9718</v>
      </c>
      <c r="Z2332" t="s">
        <v>2197</v>
      </c>
      <c r="AA2332">
        <v>84059</v>
      </c>
      <c r="AB2332" t="s">
        <v>11</v>
      </c>
    </row>
    <row r="2333" spans="1:28" x14ac:dyDescent="0.25">
      <c r="A2333" t="s">
        <v>9719</v>
      </c>
      <c r="B2333" t="s">
        <v>9719</v>
      </c>
      <c r="C2333" t="s">
        <v>9720</v>
      </c>
      <c r="D2333" t="s">
        <v>9721</v>
      </c>
      <c r="E2333" t="s">
        <v>770</v>
      </c>
      <c r="F2333" t="s">
        <v>771</v>
      </c>
      <c r="G2333" t="s">
        <v>1854</v>
      </c>
      <c r="J2333" t="s">
        <v>783</v>
      </c>
      <c r="K2333" t="s">
        <v>1862</v>
      </c>
      <c r="L2333" t="s">
        <v>1505</v>
      </c>
      <c r="M2333" t="s">
        <v>53</v>
      </c>
      <c r="N2333" t="s">
        <v>770</v>
      </c>
      <c r="O2333">
        <v>1</v>
      </c>
      <c r="P2333" t="s">
        <v>776</v>
      </c>
      <c r="Q2333">
        <v>32.9</v>
      </c>
      <c r="R2333">
        <v>5.93</v>
      </c>
      <c r="S2333">
        <v>3.99</v>
      </c>
      <c r="T2333">
        <v>0.72</v>
      </c>
      <c r="Y2333" t="s">
        <v>9722</v>
      </c>
      <c r="Z2333" t="s">
        <v>3608</v>
      </c>
      <c r="AA2333">
        <v>21054</v>
      </c>
      <c r="AB2333" t="s">
        <v>11</v>
      </c>
    </row>
    <row r="2334" spans="1:28" x14ac:dyDescent="0.25">
      <c r="A2334" t="s">
        <v>9723</v>
      </c>
      <c r="B2334" t="s">
        <v>9723</v>
      </c>
      <c r="C2334" t="s">
        <v>9724</v>
      </c>
      <c r="D2334" t="s">
        <v>9725</v>
      </c>
      <c r="E2334" t="s">
        <v>770</v>
      </c>
      <c r="F2334" t="s">
        <v>771</v>
      </c>
      <c r="G2334" t="s">
        <v>1854</v>
      </c>
      <c r="J2334" t="s">
        <v>783</v>
      </c>
      <c r="K2334" t="s">
        <v>1862</v>
      </c>
      <c r="L2334" t="s">
        <v>1505</v>
      </c>
      <c r="M2334" t="s">
        <v>53</v>
      </c>
      <c r="N2334" t="s">
        <v>770</v>
      </c>
      <c r="O2334">
        <v>1</v>
      </c>
      <c r="P2334" t="s">
        <v>776</v>
      </c>
      <c r="Q2334">
        <v>32.9</v>
      </c>
      <c r="R2334">
        <v>5.93</v>
      </c>
      <c r="S2334">
        <v>4.99</v>
      </c>
      <c r="T2334">
        <v>0.9</v>
      </c>
      <c r="Y2334" t="s">
        <v>9726</v>
      </c>
      <c r="Z2334" t="s">
        <v>2538</v>
      </c>
      <c r="AA2334">
        <v>1027</v>
      </c>
      <c r="AB2334" t="s">
        <v>11</v>
      </c>
    </row>
    <row r="2335" spans="1:28" x14ac:dyDescent="0.25">
      <c r="A2335" t="s">
        <v>9727</v>
      </c>
      <c r="C2335" t="s">
        <v>9728</v>
      </c>
      <c r="D2335" t="s">
        <v>9729</v>
      </c>
      <c r="E2335" t="s">
        <v>770</v>
      </c>
      <c r="F2335" t="s">
        <v>1884</v>
      </c>
      <c r="G2335" t="s">
        <v>1854</v>
      </c>
      <c r="H2335" t="s">
        <v>1885</v>
      </c>
      <c r="J2335" t="s">
        <v>773</v>
      </c>
      <c r="K2335" t="s">
        <v>4362</v>
      </c>
      <c r="L2335" s="2">
        <v>40500</v>
      </c>
      <c r="M2335" t="s">
        <v>53</v>
      </c>
      <c r="N2335" t="s">
        <v>770</v>
      </c>
      <c r="O2335">
        <v>1</v>
      </c>
      <c r="P2335" t="s">
        <v>776</v>
      </c>
      <c r="Q2335">
        <v>32.9</v>
      </c>
      <c r="R2335">
        <v>5.93</v>
      </c>
      <c r="S2335">
        <v>3</v>
      </c>
      <c r="T2335">
        <v>0.54</v>
      </c>
      <c r="Y2335" t="s">
        <v>1913</v>
      </c>
      <c r="Z2335" t="s">
        <v>2548</v>
      </c>
      <c r="AA2335">
        <v>125</v>
      </c>
      <c r="AB2335" t="s">
        <v>11</v>
      </c>
    </row>
    <row r="2336" spans="1:28" x14ac:dyDescent="0.25">
      <c r="A2336" t="s">
        <v>9730</v>
      </c>
      <c r="C2336" t="s">
        <v>9731</v>
      </c>
      <c r="D2336" t="s">
        <v>9732</v>
      </c>
      <c r="E2336" t="s">
        <v>770</v>
      </c>
      <c r="F2336" t="s">
        <v>1884</v>
      </c>
      <c r="G2336" t="s">
        <v>1854</v>
      </c>
      <c r="H2336" t="s">
        <v>1885</v>
      </c>
      <c r="J2336" t="s">
        <v>773</v>
      </c>
      <c r="K2336" t="s">
        <v>1873</v>
      </c>
      <c r="L2336" t="s">
        <v>27</v>
      </c>
      <c r="M2336" t="s">
        <v>26</v>
      </c>
      <c r="N2336" t="s">
        <v>770</v>
      </c>
      <c r="O2336">
        <v>1</v>
      </c>
      <c r="P2336" t="s">
        <v>776</v>
      </c>
      <c r="Q2336">
        <v>36.9</v>
      </c>
      <c r="R2336">
        <v>6.65</v>
      </c>
      <c r="S2336">
        <v>3</v>
      </c>
      <c r="T2336">
        <v>0.54</v>
      </c>
      <c r="Y2336" t="s">
        <v>9733</v>
      </c>
      <c r="Z2336" t="s">
        <v>3404</v>
      </c>
      <c r="AA2336">
        <v>83023</v>
      </c>
      <c r="AB2336" t="s">
        <v>11</v>
      </c>
    </row>
    <row r="2337" spans="1:28" x14ac:dyDescent="0.25">
      <c r="A2337" t="s">
        <v>9734</v>
      </c>
      <c r="B2337" t="s">
        <v>9734</v>
      </c>
      <c r="C2337" t="s">
        <v>9735</v>
      </c>
      <c r="D2337" t="s">
        <v>9736</v>
      </c>
      <c r="E2337" t="s">
        <v>770</v>
      </c>
      <c r="F2337" t="s">
        <v>771</v>
      </c>
      <c r="G2337" t="s">
        <v>1854</v>
      </c>
      <c r="J2337" t="s">
        <v>783</v>
      </c>
      <c r="K2337" t="s">
        <v>3363</v>
      </c>
      <c r="L2337" t="s">
        <v>5572</v>
      </c>
      <c r="M2337" t="s">
        <v>71</v>
      </c>
      <c r="N2337" t="s">
        <v>770</v>
      </c>
      <c r="O2337">
        <v>1</v>
      </c>
      <c r="P2337" t="s">
        <v>776</v>
      </c>
      <c r="Q2337">
        <v>29.9</v>
      </c>
      <c r="R2337">
        <v>5.39</v>
      </c>
      <c r="Y2337" t="s">
        <v>9737</v>
      </c>
      <c r="Z2337" t="s">
        <v>3374</v>
      </c>
      <c r="AA2337">
        <v>11025</v>
      </c>
      <c r="AB2337" t="s">
        <v>11</v>
      </c>
    </row>
    <row r="2338" spans="1:28" x14ac:dyDescent="0.25">
      <c r="A2338" t="s">
        <v>9738</v>
      </c>
      <c r="B2338" t="s">
        <v>9738</v>
      </c>
      <c r="C2338" t="s">
        <v>9739</v>
      </c>
      <c r="D2338" t="s">
        <v>9740</v>
      </c>
      <c r="E2338" t="s">
        <v>770</v>
      </c>
      <c r="F2338" t="s">
        <v>771</v>
      </c>
      <c r="G2338" t="s">
        <v>1854</v>
      </c>
      <c r="J2338" t="s">
        <v>783</v>
      </c>
      <c r="K2338" t="s">
        <v>5765</v>
      </c>
      <c r="L2338" t="s">
        <v>5766</v>
      </c>
      <c r="M2338" t="s">
        <v>152</v>
      </c>
      <c r="N2338" t="s">
        <v>770</v>
      </c>
      <c r="O2338">
        <v>1</v>
      </c>
      <c r="P2338" t="s">
        <v>776</v>
      </c>
      <c r="Q2338">
        <v>24.9</v>
      </c>
      <c r="R2338">
        <v>4.49</v>
      </c>
      <c r="Y2338" t="s">
        <v>1922</v>
      </c>
      <c r="Z2338" t="s">
        <v>3190</v>
      </c>
      <c r="AA2338">
        <v>31100</v>
      </c>
      <c r="AB2338" t="s">
        <v>11</v>
      </c>
    </row>
    <row r="2339" spans="1:28" x14ac:dyDescent="0.25">
      <c r="A2339" t="s">
        <v>9741</v>
      </c>
      <c r="B2339" t="s">
        <v>9741</v>
      </c>
      <c r="C2339" t="s">
        <v>9742</v>
      </c>
      <c r="D2339" t="s">
        <v>9743</v>
      </c>
      <c r="E2339" t="s">
        <v>770</v>
      </c>
      <c r="F2339" t="s">
        <v>771</v>
      </c>
      <c r="G2339" t="s">
        <v>1854</v>
      </c>
      <c r="I2339" t="s">
        <v>2692</v>
      </c>
      <c r="J2339" t="s">
        <v>783</v>
      </c>
      <c r="K2339" t="s">
        <v>2424</v>
      </c>
      <c r="L2339" t="s">
        <v>2425</v>
      </c>
      <c r="M2339" t="s">
        <v>86</v>
      </c>
      <c r="N2339" t="s">
        <v>770</v>
      </c>
      <c r="O2339">
        <v>1</v>
      </c>
      <c r="P2339" t="s">
        <v>776</v>
      </c>
      <c r="Q2339">
        <v>39.9</v>
      </c>
      <c r="R2339">
        <v>7.2</v>
      </c>
      <c r="Y2339" t="s">
        <v>3817</v>
      </c>
      <c r="Z2339" t="s">
        <v>3818</v>
      </c>
      <c r="AA2339">
        <v>2032</v>
      </c>
      <c r="AB2339" t="s">
        <v>11</v>
      </c>
    </row>
    <row r="2340" spans="1:28" x14ac:dyDescent="0.25">
      <c r="A2340" t="s">
        <v>9744</v>
      </c>
      <c r="C2340" t="s">
        <v>9745</v>
      </c>
      <c r="D2340" t="s">
        <v>9746</v>
      </c>
      <c r="E2340" t="s">
        <v>770</v>
      </c>
      <c r="F2340" t="s">
        <v>1884</v>
      </c>
      <c r="G2340" t="s">
        <v>1854</v>
      </c>
      <c r="H2340" t="s">
        <v>1885</v>
      </c>
      <c r="J2340" t="s">
        <v>773</v>
      </c>
      <c r="K2340" t="s">
        <v>1886</v>
      </c>
      <c r="L2340" t="s">
        <v>18</v>
      </c>
      <c r="M2340" t="s">
        <v>17</v>
      </c>
      <c r="N2340" t="s">
        <v>770</v>
      </c>
      <c r="O2340">
        <v>1</v>
      </c>
      <c r="P2340" t="s">
        <v>776</v>
      </c>
      <c r="Q2340">
        <v>22.9</v>
      </c>
      <c r="R2340">
        <v>4.13</v>
      </c>
      <c r="S2340">
        <v>3</v>
      </c>
      <c r="T2340">
        <v>0.54</v>
      </c>
      <c r="Y2340" t="s">
        <v>3802</v>
      </c>
      <c r="Z2340" t="s">
        <v>2343</v>
      </c>
      <c r="AA2340">
        <v>90142</v>
      </c>
      <c r="AB2340" t="s">
        <v>11</v>
      </c>
    </row>
    <row r="2341" spans="1:28" x14ac:dyDescent="0.25">
      <c r="A2341" t="s">
        <v>9747</v>
      </c>
      <c r="B2341" t="s">
        <v>9747</v>
      </c>
      <c r="C2341" t="s">
        <v>9748</v>
      </c>
      <c r="D2341" t="s">
        <v>9749</v>
      </c>
      <c r="E2341" t="s">
        <v>770</v>
      </c>
      <c r="F2341" t="s">
        <v>771</v>
      </c>
      <c r="G2341" t="s">
        <v>1854</v>
      </c>
      <c r="J2341" t="s">
        <v>783</v>
      </c>
      <c r="K2341" t="s">
        <v>3328</v>
      </c>
      <c r="L2341" t="s">
        <v>3329</v>
      </c>
      <c r="M2341" t="s">
        <v>35</v>
      </c>
      <c r="N2341" t="s">
        <v>770</v>
      </c>
      <c r="O2341">
        <v>1</v>
      </c>
      <c r="P2341" t="s">
        <v>776</v>
      </c>
      <c r="Q2341">
        <v>24.9</v>
      </c>
      <c r="R2341">
        <v>4.49</v>
      </c>
      <c r="Y2341" t="s">
        <v>1903</v>
      </c>
      <c r="Z2341" t="s">
        <v>1903</v>
      </c>
      <c r="AA2341">
        <v>39100</v>
      </c>
      <c r="AB2341" t="s">
        <v>11</v>
      </c>
    </row>
    <row r="2342" spans="1:28" x14ac:dyDescent="0.25">
      <c r="A2342" t="s">
        <v>9750</v>
      </c>
      <c r="B2342" t="s">
        <v>9750</v>
      </c>
      <c r="C2342" t="s">
        <v>9751</v>
      </c>
      <c r="D2342" t="s">
        <v>9752</v>
      </c>
      <c r="E2342" t="s">
        <v>770</v>
      </c>
      <c r="F2342" t="s">
        <v>771</v>
      </c>
      <c r="G2342" t="s">
        <v>1854</v>
      </c>
      <c r="J2342" t="s">
        <v>783</v>
      </c>
      <c r="K2342" t="s">
        <v>1862</v>
      </c>
      <c r="L2342" t="s">
        <v>1505</v>
      </c>
      <c r="M2342" t="s">
        <v>53</v>
      </c>
      <c r="N2342" t="s">
        <v>770</v>
      </c>
      <c r="O2342">
        <v>1</v>
      </c>
      <c r="P2342" t="s">
        <v>776</v>
      </c>
      <c r="Q2342">
        <v>32.9</v>
      </c>
      <c r="R2342">
        <v>5.93</v>
      </c>
      <c r="Y2342" t="s">
        <v>9753</v>
      </c>
      <c r="Z2342" t="s">
        <v>4970</v>
      </c>
      <c r="AA2342">
        <v>27020</v>
      </c>
      <c r="AB2342" t="s">
        <v>11</v>
      </c>
    </row>
    <row r="2343" spans="1:28" x14ac:dyDescent="0.25">
      <c r="A2343" t="s">
        <v>9754</v>
      </c>
      <c r="B2343" t="s">
        <v>9754</v>
      </c>
      <c r="C2343" t="s">
        <v>9755</v>
      </c>
      <c r="D2343" t="s">
        <v>9756</v>
      </c>
      <c r="E2343" t="s">
        <v>770</v>
      </c>
      <c r="F2343" t="s">
        <v>771</v>
      </c>
      <c r="G2343" t="s">
        <v>1854</v>
      </c>
      <c r="J2343" t="s">
        <v>783</v>
      </c>
      <c r="K2343" t="s">
        <v>1862</v>
      </c>
      <c r="L2343" t="s">
        <v>1505</v>
      </c>
      <c r="M2343" t="s">
        <v>53</v>
      </c>
      <c r="N2343" t="s">
        <v>770</v>
      </c>
      <c r="O2343">
        <v>1</v>
      </c>
      <c r="P2343" t="s">
        <v>776</v>
      </c>
      <c r="Q2343">
        <v>32.9</v>
      </c>
      <c r="R2343">
        <v>5.93</v>
      </c>
      <c r="S2343">
        <v>0.49</v>
      </c>
      <c r="X2343">
        <v>0.49</v>
      </c>
      <c r="Y2343" t="s">
        <v>1875</v>
      </c>
      <c r="Z2343" t="s">
        <v>1875</v>
      </c>
      <c r="AA2343">
        <v>20142</v>
      </c>
      <c r="AB2343" t="s">
        <v>11</v>
      </c>
    </row>
    <row r="2344" spans="1:28" x14ac:dyDescent="0.25">
      <c r="A2344" t="s">
        <v>9757</v>
      </c>
      <c r="B2344" t="s">
        <v>9757</v>
      </c>
      <c r="C2344" t="s">
        <v>9758</v>
      </c>
      <c r="D2344" t="s">
        <v>9759</v>
      </c>
      <c r="E2344" t="s">
        <v>770</v>
      </c>
      <c r="F2344" t="s">
        <v>771</v>
      </c>
      <c r="G2344" t="s">
        <v>1854</v>
      </c>
      <c r="J2344" t="s">
        <v>783</v>
      </c>
      <c r="K2344" t="s">
        <v>1930</v>
      </c>
      <c r="L2344" t="s">
        <v>775</v>
      </c>
      <c r="M2344" t="s">
        <v>65</v>
      </c>
      <c r="N2344" t="s">
        <v>770</v>
      </c>
      <c r="O2344">
        <v>1</v>
      </c>
      <c r="P2344" t="s">
        <v>776</v>
      </c>
      <c r="Q2344">
        <v>29.9</v>
      </c>
      <c r="R2344">
        <v>5.39</v>
      </c>
      <c r="Y2344" t="s">
        <v>9760</v>
      </c>
      <c r="Z2344" t="s">
        <v>2030</v>
      </c>
      <c r="AA2344">
        <v>38069</v>
      </c>
      <c r="AB2344" t="s">
        <v>11</v>
      </c>
    </row>
    <row r="2345" spans="1:28" x14ac:dyDescent="0.25">
      <c r="A2345" t="s">
        <v>9761</v>
      </c>
      <c r="B2345" t="s">
        <v>9761</v>
      </c>
      <c r="C2345" t="s">
        <v>9762</v>
      </c>
      <c r="D2345" t="s">
        <v>9763</v>
      </c>
      <c r="E2345" t="s">
        <v>782</v>
      </c>
      <c r="F2345" t="s">
        <v>771</v>
      </c>
      <c r="G2345" t="s">
        <v>1854</v>
      </c>
      <c r="J2345" t="s">
        <v>783</v>
      </c>
      <c r="K2345" t="s">
        <v>1862</v>
      </c>
      <c r="L2345" t="s">
        <v>1505</v>
      </c>
      <c r="M2345" t="s">
        <v>53</v>
      </c>
      <c r="N2345" t="s">
        <v>782</v>
      </c>
      <c r="O2345">
        <v>0</v>
      </c>
      <c r="Y2345" t="s">
        <v>9557</v>
      </c>
      <c r="AA2345">
        <v>70021</v>
      </c>
      <c r="AB2345" t="s">
        <v>11</v>
      </c>
    </row>
    <row r="2346" spans="1:28" x14ac:dyDescent="0.25">
      <c r="A2346" t="s">
        <v>9764</v>
      </c>
      <c r="C2346" t="s">
        <v>9765</v>
      </c>
      <c r="D2346" t="s">
        <v>9766</v>
      </c>
      <c r="E2346" t="s">
        <v>770</v>
      </c>
      <c r="F2346" t="s">
        <v>1884</v>
      </c>
      <c r="G2346" t="s">
        <v>1854</v>
      </c>
      <c r="H2346" t="s">
        <v>1885</v>
      </c>
      <c r="J2346" t="s">
        <v>773</v>
      </c>
      <c r="K2346" t="s">
        <v>9494</v>
      </c>
      <c r="L2346" t="s">
        <v>58</v>
      </c>
      <c r="M2346" t="s">
        <v>57</v>
      </c>
      <c r="N2346" t="s">
        <v>770</v>
      </c>
      <c r="O2346">
        <v>1</v>
      </c>
      <c r="P2346" t="s">
        <v>776</v>
      </c>
      <c r="Q2346">
        <v>69.900000000000006</v>
      </c>
      <c r="R2346">
        <v>12.6</v>
      </c>
      <c r="S2346">
        <v>3</v>
      </c>
      <c r="T2346">
        <v>0.54</v>
      </c>
      <c r="Y2346" t="s">
        <v>9767</v>
      </c>
      <c r="Z2346" t="s">
        <v>1880</v>
      </c>
      <c r="AA2346">
        <v>41015</v>
      </c>
      <c r="AB2346" t="s">
        <v>11</v>
      </c>
    </row>
    <row r="2347" spans="1:28" x14ac:dyDescent="0.25">
      <c r="A2347" t="s">
        <v>9768</v>
      </c>
      <c r="B2347" t="s">
        <v>9768</v>
      </c>
      <c r="C2347" t="s">
        <v>9769</v>
      </c>
      <c r="D2347" t="s">
        <v>9770</v>
      </c>
      <c r="E2347" t="s">
        <v>770</v>
      </c>
      <c r="F2347" t="s">
        <v>771</v>
      </c>
      <c r="G2347" t="s">
        <v>1854</v>
      </c>
      <c r="J2347" t="s">
        <v>783</v>
      </c>
      <c r="K2347" t="s">
        <v>2390</v>
      </c>
      <c r="L2347" t="s">
        <v>1094</v>
      </c>
      <c r="M2347" t="s">
        <v>208</v>
      </c>
      <c r="N2347" t="s">
        <v>770</v>
      </c>
      <c r="O2347">
        <v>1</v>
      </c>
      <c r="P2347" t="s">
        <v>776</v>
      </c>
      <c r="Q2347">
        <v>79.900000000000006</v>
      </c>
      <c r="R2347">
        <v>14.41</v>
      </c>
      <c r="Y2347" t="s">
        <v>9771</v>
      </c>
      <c r="Z2347" t="s">
        <v>2503</v>
      </c>
      <c r="AA2347">
        <v>48033</v>
      </c>
      <c r="AB2347" t="s">
        <v>11</v>
      </c>
    </row>
    <row r="2348" spans="1:28" x14ac:dyDescent="0.25">
      <c r="A2348" t="s">
        <v>9772</v>
      </c>
      <c r="B2348" t="s">
        <v>9772</v>
      </c>
      <c r="C2348" t="s">
        <v>9773</v>
      </c>
      <c r="D2348" t="s">
        <v>9774</v>
      </c>
      <c r="E2348" t="s">
        <v>770</v>
      </c>
      <c r="F2348" t="s">
        <v>771</v>
      </c>
      <c r="G2348" t="s">
        <v>1854</v>
      </c>
      <c r="J2348" t="s">
        <v>783</v>
      </c>
      <c r="K2348" t="s">
        <v>1930</v>
      </c>
      <c r="L2348" t="s">
        <v>775</v>
      </c>
      <c r="M2348" t="s">
        <v>65</v>
      </c>
      <c r="N2348" t="s">
        <v>770</v>
      </c>
      <c r="O2348">
        <v>1</v>
      </c>
      <c r="P2348" t="s">
        <v>776</v>
      </c>
      <c r="Q2348">
        <v>29.9</v>
      </c>
      <c r="R2348">
        <v>5.39</v>
      </c>
      <c r="Y2348" t="s">
        <v>9775</v>
      </c>
      <c r="Z2348" t="s">
        <v>1893</v>
      </c>
      <c r="AA2348">
        <v>10067</v>
      </c>
      <c r="AB2348" t="s">
        <v>11</v>
      </c>
    </row>
    <row r="2349" spans="1:28" x14ac:dyDescent="0.25">
      <c r="A2349" t="s">
        <v>9776</v>
      </c>
      <c r="B2349" t="s">
        <v>9776</v>
      </c>
      <c r="C2349" t="s">
        <v>9777</v>
      </c>
      <c r="D2349" t="s">
        <v>9778</v>
      </c>
      <c r="E2349" t="s">
        <v>770</v>
      </c>
      <c r="F2349" t="s">
        <v>771</v>
      </c>
      <c r="G2349" t="s">
        <v>1854</v>
      </c>
      <c r="J2349" t="s">
        <v>783</v>
      </c>
      <c r="K2349" t="s">
        <v>1862</v>
      </c>
      <c r="L2349" t="s">
        <v>1505</v>
      </c>
      <c r="M2349" t="s">
        <v>53</v>
      </c>
      <c r="N2349" t="s">
        <v>770</v>
      </c>
      <c r="O2349">
        <v>1</v>
      </c>
      <c r="P2349" t="s">
        <v>776</v>
      </c>
      <c r="Q2349">
        <v>32.9</v>
      </c>
      <c r="R2349">
        <v>5.93</v>
      </c>
      <c r="Y2349" t="s">
        <v>9779</v>
      </c>
      <c r="Z2349" t="s">
        <v>2153</v>
      </c>
      <c r="AA2349">
        <v>84025</v>
      </c>
      <c r="AB2349" t="s">
        <v>11</v>
      </c>
    </row>
    <row r="2350" spans="1:28" x14ac:dyDescent="0.25">
      <c r="A2350" t="s">
        <v>9780</v>
      </c>
      <c r="B2350" t="s">
        <v>9780</v>
      </c>
      <c r="C2350" t="s">
        <v>9781</v>
      </c>
      <c r="D2350" t="s">
        <v>9782</v>
      </c>
      <c r="E2350" t="s">
        <v>770</v>
      </c>
      <c r="F2350" t="s">
        <v>771</v>
      </c>
      <c r="G2350" t="s">
        <v>1854</v>
      </c>
      <c r="J2350" t="s">
        <v>783</v>
      </c>
      <c r="K2350" t="s">
        <v>3328</v>
      </c>
      <c r="L2350" t="s">
        <v>3329</v>
      </c>
      <c r="M2350" t="s">
        <v>35</v>
      </c>
      <c r="N2350" t="s">
        <v>770</v>
      </c>
      <c r="O2350">
        <v>1</v>
      </c>
      <c r="P2350" t="s">
        <v>776</v>
      </c>
      <c r="Q2350">
        <v>24.9</v>
      </c>
      <c r="R2350">
        <v>4.49</v>
      </c>
      <c r="Y2350" t="s">
        <v>1875</v>
      </c>
      <c r="Z2350" t="s">
        <v>1864</v>
      </c>
      <c r="AA2350">
        <v>20161</v>
      </c>
      <c r="AB2350" t="s">
        <v>11</v>
      </c>
    </row>
    <row r="2351" spans="1:28" x14ac:dyDescent="0.25">
      <c r="A2351" t="s">
        <v>9783</v>
      </c>
      <c r="B2351" t="s">
        <v>9783</v>
      </c>
      <c r="C2351" t="s">
        <v>9784</v>
      </c>
      <c r="D2351" t="s">
        <v>9785</v>
      </c>
      <c r="E2351" t="s">
        <v>770</v>
      </c>
      <c r="F2351" t="s">
        <v>771</v>
      </c>
      <c r="G2351" t="s">
        <v>1854</v>
      </c>
      <c r="J2351" t="s">
        <v>783</v>
      </c>
      <c r="K2351" t="s">
        <v>1862</v>
      </c>
      <c r="L2351" t="s">
        <v>1505</v>
      </c>
      <c r="M2351" t="s">
        <v>53</v>
      </c>
      <c r="N2351" t="s">
        <v>770</v>
      </c>
      <c r="O2351">
        <v>1</v>
      </c>
      <c r="P2351" t="s">
        <v>776</v>
      </c>
      <c r="Q2351">
        <v>32.9</v>
      </c>
      <c r="R2351">
        <v>5.93</v>
      </c>
      <c r="Y2351" t="s">
        <v>2342</v>
      </c>
      <c r="Z2351" t="s">
        <v>2343</v>
      </c>
      <c r="AA2351">
        <v>90126</v>
      </c>
      <c r="AB2351" t="s">
        <v>11</v>
      </c>
    </row>
    <row r="2352" spans="1:28" x14ac:dyDescent="0.25">
      <c r="A2352" t="s">
        <v>9786</v>
      </c>
      <c r="C2352" t="s">
        <v>9787</v>
      </c>
      <c r="D2352" t="s">
        <v>9788</v>
      </c>
      <c r="E2352" t="s">
        <v>770</v>
      </c>
      <c r="F2352" t="s">
        <v>1884</v>
      </c>
      <c r="G2352" t="s">
        <v>1854</v>
      </c>
      <c r="H2352" t="s">
        <v>1885</v>
      </c>
      <c r="J2352" t="s">
        <v>773</v>
      </c>
      <c r="K2352" t="s">
        <v>1873</v>
      </c>
      <c r="L2352" t="s">
        <v>27</v>
      </c>
      <c r="M2352" t="s">
        <v>26</v>
      </c>
      <c r="N2352" t="s">
        <v>770</v>
      </c>
      <c r="O2352">
        <v>1</v>
      </c>
      <c r="P2352" t="s">
        <v>776</v>
      </c>
      <c r="Q2352">
        <v>36.9</v>
      </c>
      <c r="R2352">
        <v>6.65</v>
      </c>
      <c r="S2352">
        <v>3</v>
      </c>
      <c r="T2352">
        <v>0.54</v>
      </c>
      <c r="Y2352" t="s">
        <v>9789</v>
      </c>
      <c r="Z2352" t="s">
        <v>2116</v>
      </c>
      <c r="AA2352">
        <v>22074</v>
      </c>
      <c r="AB2352" t="s">
        <v>11</v>
      </c>
    </row>
    <row r="2353" spans="1:35" x14ac:dyDescent="0.25">
      <c r="A2353" t="s">
        <v>9790</v>
      </c>
      <c r="B2353" t="s">
        <v>9790</v>
      </c>
      <c r="C2353" t="s">
        <v>9791</v>
      </c>
      <c r="D2353" t="s">
        <v>9792</v>
      </c>
      <c r="E2353" t="s">
        <v>770</v>
      </c>
      <c r="F2353" t="s">
        <v>771</v>
      </c>
      <c r="G2353" t="s">
        <v>1854</v>
      </c>
      <c r="J2353" t="s">
        <v>783</v>
      </c>
      <c r="K2353" t="s">
        <v>1930</v>
      </c>
      <c r="L2353" t="s">
        <v>775</v>
      </c>
      <c r="M2353" t="s">
        <v>65</v>
      </c>
      <c r="N2353" t="s">
        <v>770</v>
      </c>
      <c r="O2353">
        <v>1</v>
      </c>
      <c r="P2353" t="s">
        <v>776</v>
      </c>
      <c r="Q2353">
        <v>29.9</v>
      </c>
      <c r="R2353">
        <v>5.39</v>
      </c>
      <c r="Y2353" t="s">
        <v>9793</v>
      </c>
      <c r="Z2353" t="s">
        <v>2281</v>
      </c>
      <c r="AA2353">
        <v>73054</v>
      </c>
      <c r="AB2353" t="s">
        <v>11</v>
      </c>
    </row>
    <row r="2354" spans="1:35" x14ac:dyDescent="0.25">
      <c r="A2354" t="s">
        <v>9794</v>
      </c>
      <c r="C2354" t="s">
        <v>9795</v>
      </c>
      <c r="D2354" t="s">
        <v>9796</v>
      </c>
      <c r="E2354" t="s">
        <v>770</v>
      </c>
      <c r="F2354" t="s">
        <v>1884</v>
      </c>
      <c r="G2354" t="s">
        <v>1854</v>
      </c>
      <c r="H2354" t="s">
        <v>1885</v>
      </c>
      <c r="J2354" t="s">
        <v>773</v>
      </c>
      <c r="K2354" t="s">
        <v>1886</v>
      </c>
      <c r="L2354" t="s">
        <v>18</v>
      </c>
      <c r="M2354" t="s">
        <v>17</v>
      </c>
      <c r="N2354" t="s">
        <v>770</v>
      </c>
      <c r="O2354">
        <v>1</v>
      </c>
      <c r="P2354" t="s">
        <v>776</v>
      </c>
      <c r="Q2354">
        <v>22.9</v>
      </c>
      <c r="R2354">
        <v>4.13</v>
      </c>
      <c r="S2354">
        <v>3</v>
      </c>
      <c r="T2354">
        <v>0.54</v>
      </c>
      <c r="Y2354" t="s">
        <v>3271</v>
      </c>
      <c r="Z2354" t="s">
        <v>1864</v>
      </c>
      <c r="AA2354">
        <v>20060</v>
      </c>
      <c r="AB2354" t="s">
        <v>11</v>
      </c>
    </row>
    <row r="2355" spans="1:35" x14ac:dyDescent="0.25">
      <c r="A2355" t="s">
        <v>9797</v>
      </c>
      <c r="C2355" t="s">
        <v>9798</v>
      </c>
      <c r="D2355" t="s">
        <v>9799</v>
      </c>
      <c r="E2355" t="s">
        <v>770</v>
      </c>
      <c r="F2355" t="s">
        <v>1884</v>
      </c>
      <c r="G2355" t="s">
        <v>1854</v>
      </c>
      <c r="H2355" t="s">
        <v>1885</v>
      </c>
      <c r="J2355" t="s">
        <v>773</v>
      </c>
      <c r="K2355" t="s">
        <v>1873</v>
      </c>
      <c r="L2355" t="s">
        <v>27</v>
      </c>
      <c r="M2355" t="s">
        <v>26</v>
      </c>
      <c r="N2355" t="s">
        <v>770</v>
      </c>
      <c r="O2355">
        <v>1</v>
      </c>
      <c r="P2355" t="s">
        <v>776</v>
      </c>
      <c r="Q2355">
        <v>36.9</v>
      </c>
      <c r="R2355">
        <v>6.65</v>
      </c>
      <c r="S2355">
        <v>3</v>
      </c>
      <c r="T2355">
        <v>0.54</v>
      </c>
      <c r="Y2355" t="s">
        <v>1913</v>
      </c>
      <c r="Z2355" t="s">
        <v>1913</v>
      </c>
      <c r="AA2355">
        <v>186</v>
      </c>
      <c r="AB2355" t="s">
        <v>11</v>
      </c>
    </row>
    <row r="2356" spans="1:35" x14ac:dyDescent="0.25">
      <c r="A2356" t="s">
        <v>9800</v>
      </c>
      <c r="B2356" t="s">
        <v>9800</v>
      </c>
      <c r="C2356" t="s">
        <v>9801</v>
      </c>
      <c r="D2356" t="s">
        <v>9802</v>
      </c>
      <c r="E2356" t="s">
        <v>770</v>
      </c>
      <c r="F2356" t="s">
        <v>771</v>
      </c>
      <c r="G2356" t="s">
        <v>1854</v>
      </c>
      <c r="J2356" t="s">
        <v>783</v>
      </c>
      <c r="K2356" t="s">
        <v>3363</v>
      </c>
      <c r="L2356" t="s">
        <v>5572</v>
      </c>
      <c r="M2356" t="s">
        <v>71</v>
      </c>
      <c r="N2356" t="s">
        <v>770</v>
      </c>
      <c r="O2356">
        <v>5</v>
      </c>
      <c r="P2356" t="s">
        <v>776</v>
      </c>
      <c r="Q2356">
        <v>149.5</v>
      </c>
      <c r="R2356">
        <v>26.95</v>
      </c>
      <c r="S2356">
        <v>3.29</v>
      </c>
      <c r="X2356">
        <v>3.29</v>
      </c>
      <c r="Y2356" t="s">
        <v>9803</v>
      </c>
      <c r="Z2356" t="s">
        <v>2030</v>
      </c>
      <c r="AA2356">
        <v>38054</v>
      </c>
      <c r="AB2356" t="s">
        <v>11</v>
      </c>
      <c r="AG2356" t="s">
        <v>9804</v>
      </c>
      <c r="AH2356" t="s">
        <v>11</v>
      </c>
      <c r="AI2356" t="s">
        <v>1258</v>
      </c>
    </row>
    <row r="2357" spans="1:35" x14ac:dyDescent="0.25">
      <c r="A2357" t="s">
        <v>9805</v>
      </c>
      <c r="B2357" t="s">
        <v>9805</v>
      </c>
      <c r="C2357" t="s">
        <v>9806</v>
      </c>
      <c r="D2357" t="s">
        <v>9807</v>
      </c>
      <c r="E2357" t="s">
        <v>770</v>
      </c>
      <c r="F2357" t="s">
        <v>771</v>
      </c>
      <c r="G2357" t="s">
        <v>1854</v>
      </c>
      <c r="J2357" t="s">
        <v>783</v>
      </c>
      <c r="K2357" t="s">
        <v>1862</v>
      </c>
      <c r="L2357" t="s">
        <v>1505</v>
      </c>
      <c r="M2357" t="s">
        <v>53</v>
      </c>
      <c r="N2357" t="s">
        <v>770</v>
      </c>
      <c r="O2357">
        <v>1</v>
      </c>
      <c r="P2357" t="s">
        <v>776</v>
      </c>
      <c r="Q2357">
        <v>32.9</v>
      </c>
      <c r="R2357">
        <v>5.93</v>
      </c>
      <c r="Y2357" t="s">
        <v>9808</v>
      </c>
      <c r="Z2357" t="s">
        <v>3126</v>
      </c>
      <c r="AA2357">
        <v>20851</v>
      </c>
      <c r="AB2357" t="s">
        <v>11</v>
      </c>
    </row>
    <row r="2358" spans="1:35" x14ac:dyDescent="0.25">
      <c r="A2358" t="s">
        <v>9809</v>
      </c>
      <c r="B2358" t="s">
        <v>9809</v>
      </c>
      <c r="C2358" t="s">
        <v>9810</v>
      </c>
      <c r="D2358" t="s">
        <v>9811</v>
      </c>
      <c r="E2358" t="s">
        <v>770</v>
      </c>
      <c r="F2358" t="s">
        <v>771</v>
      </c>
      <c r="G2358" t="s">
        <v>1854</v>
      </c>
      <c r="J2358" t="s">
        <v>783</v>
      </c>
      <c r="K2358" t="s">
        <v>1930</v>
      </c>
      <c r="L2358" t="s">
        <v>775</v>
      </c>
      <c r="M2358" t="s">
        <v>65</v>
      </c>
      <c r="N2358" t="s">
        <v>770</v>
      </c>
      <c r="O2358">
        <v>1</v>
      </c>
      <c r="P2358" t="s">
        <v>776</v>
      </c>
      <c r="Q2358">
        <v>29.9</v>
      </c>
      <c r="R2358">
        <v>5.39</v>
      </c>
      <c r="Y2358" t="s">
        <v>2971</v>
      </c>
      <c r="Z2358" t="s">
        <v>2971</v>
      </c>
      <c r="AA2358">
        <v>26100</v>
      </c>
      <c r="AB2358" t="s">
        <v>11</v>
      </c>
    </row>
    <row r="2359" spans="1:35" x14ac:dyDescent="0.25">
      <c r="A2359" t="s">
        <v>9812</v>
      </c>
      <c r="C2359" t="s">
        <v>9813</v>
      </c>
      <c r="D2359" t="s">
        <v>9814</v>
      </c>
      <c r="E2359" t="s">
        <v>770</v>
      </c>
      <c r="F2359" t="s">
        <v>1884</v>
      </c>
      <c r="G2359" t="s">
        <v>1854</v>
      </c>
      <c r="H2359" t="s">
        <v>1885</v>
      </c>
      <c r="J2359" t="s">
        <v>773</v>
      </c>
      <c r="K2359" t="s">
        <v>1886</v>
      </c>
      <c r="L2359" t="s">
        <v>18</v>
      </c>
      <c r="M2359" t="s">
        <v>17</v>
      </c>
      <c r="N2359" t="s">
        <v>770</v>
      </c>
      <c r="O2359">
        <v>1</v>
      </c>
      <c r="P2359" t="s">
        <v>776</v>
      </c>
      <c r="Q2359">
        <v>22.9</v>
      </c>
      <c r="R2359">
        <v>4.13</v>
      </c>
      <c r="S2359">
        <v>3</v>
      </c>
      <c r="T2359">
        <v>0.54</v>
      </c>
      <c r="Y2359" t="s">
        <v>1956</v>
      </c>
      <c r="Z2359" t="s">
        <v>1913</v>
      </c>
      <c r="AA2359">
        <v>178</v>
      </c>
      <c r="AB2359" t="s">
        <v>11</v>
      </c>
    </row>
    <row r="2360" spans="1:35" x14ac:dyDescent="0.25">
      <c r="A2360" t="s">
        <v>9815</v>
      </c>
      <c r="C2360" t="s">
        <v>9816</v>
      </c>
      <c r="D2360" t="s">
        <v>9817</v>
      </c>
      <c r="E2360" t="s">
        <v>770</v>
      </c>
      <c r="F2360" t="s">
        <v>1884</v>
      </c>
      <c r="G2360" t="s">
        <v>1854</v>
      </c>
      <c r="H2360" t="s">
        <v>1885</v>
      </c>
      <c r="J2360" t="s">
        <v>773</v>
      </c>
      <c r="K2360" t="s">
        <v>1930</v>
      </c>
      <c r="L2360" t="s">
        <v>66</v>
      </c>
      <c r="M2360" t="s">
        <v>65</v>
      </c>
      <c r="N2360" t="s">
        <v>770</v>
      </c>
      <c r="O2360">
        <v>1</v>
      </c>
      <c r="P2360" t="s">
        <v>776</v>
      </c>
      <c r="Q2360">
        <v>29.9</v>
      </c>
      <c r="R2360">
        <v>5.39</v>
      </c>
      <c r="S2360">
        <v>3</v>
      </c>
      <c r="T2360">
        <v>0.54</v>
      </c>
      <c r="Y2360" t="s">
        <v>9818</v>
      </c>
      <c r="Z2360" t="s">
        <v>1956</v>
      </c>
      <c r="AA2360">
        <v>59</v>
      </c>
      <c r="AB2360" t="s">
        <v>11</v>
      </c>
    </row>
    <row r="2361" spans="1:35" x14ac:dyDescent="0.25">
      <c r="A2361" t="s">
        <v>9819</v>
      </c>
      <c r="B2361" t="s">
        <v>9819</v>
      </c>
      <c r="C2361" t="s">
        <v>9820</v>
      </c>
      <c r="D2361" t="s">
        <v>9821</v>
      </c>
      <c r="E2361" t="s">
        <v>770</v>
      </c>
      <c r="F2361" t="s">
        <v>771</v>
      </c>
      <c r="G2361" t="s">
        <v>1854</v>
      </c>
      <c r="J2361" t="s">
        <v>783</v>
      </c>
      <c r="K2361" t="s">
        <v>1879</v>
      </c>
      <c r="L2361" t="s">
        <v>1056</v>
      </c>
      <c r="M2361" t="s">
        <v>212</v>
      </c>
      <c r="N2361" t="s">
        <v>770</v>
      </c>
      <c r="O2361">
        <v>1</v>
      </c>
      <c r="P2361" t="s">
        <v>776</v>
      </c>
      <c r="Q2361">
        <v>39.9</v>
      </c>
      <c r="R2361">
        <v>7.2</v>
      </c>
      <c r="Y2361" t="s">
        <v>2533</v>
      </c>
      <c r="Z2361" t="s">
        <v>2533</v>
      </c>
      <c r="AA2361">
        <v>35124</v>
      </c>
      <c r="AB2361" t="s">
        <v>11</v>
      </c>
    </row>
    <row r="2362" spans="1:35" x14ac:dyDescent="0.25">
      <c r="A2362" t="s">
        <v>9822</v>
      </c>
      <c r="B2362" t="s">
        <v>9822</v>
      </c>
      <c r="C2362" t="s">
        <v>9823</v>
      </c>
      <c r="D2362" t="s">
        <v>9824</v>
      </c>
      <c r="E2362" t="s">
        <v>770</v>
      </c>
      <c r="F2362" t="s">
        <v>771</v>
      </c>
      <c r="G2362" t="s">
        <v>1854</v>
      </c>
      <c r="J2362" t="s">
        <v>783</v>
      </c>
      <c r="K2362" t="s">
        <v>1930</v>
      </c>
      <c r="L2362" t="s">
        <v>775</v>
      </c>
      <c r="M2362" t="s">
        <v>65</v>
      </c>
      <c r="N2362" t="s">
        <v>770</v>
      </c>
      <c r="O2362">
        <v>1</v>
      </c>
      <c r="P2362" t="s">
        <v>776</v>
      </c>
      <c r="Q2362">
        <v>29.9</v>
      </c>
      <c r="R2362">
        <v>5.39</v>
      </c>
      <c r="Y2362" t="s">
        <v>9825</v>
      </c>
      <c r="Z2362" t="s">
        <v>1913</v>
      </c>
      <c r="AA2362">
        <v>12</v>
      </c>
      <c r="AB2362" t="s">
        <v>11</v>
      </c>
    </row>
    <row r="2363" spans="1:35" x14ac:dyDescent="0.25">
      <c r="A2363" t="s">
        <v>9826</v>
      </c>
      <c r="B2363" t="s">
        <v>9826</v>
      </c>
      <c r="C2363" t="s">
        <v>9827</v>
      </c>
      <c r="D2363" t="s">
        <v>9828</v>
      </c>
      <c r="E2363" t="s">
        <v>770</v>
      </c>
      <c r="F2363" t="s">
        <v>771</v>
      </c>
      <c r="G2363" t="s">
        <v>1854</v>
      </c>
      <c r="J2363" t="s">
        <v>783</v>
      </c>
      <c r="K2363" t="s">
        <v>1879</v>
      </c>
      <c r="L2363" t="s">
        <v>1056</v>
      </c>
      <c r="M2363" t="s">
        <v>212</v>
      </c>
      <c r="N2363" t="s">
        <v>770</v>
      </c>
      <c r="O2363">
        <v>1</v>
      </c>
      <c r="P2363" t="s">
        <v>776</v>
      </c>
      <c r="Q2363">
        <v>39.9</v>
      </c>
      <c r="R2363">
        <v>7.2</v>
      </c>
      <c r="Y2363" t="s">
        <v>5314</v>
      </c>
      <c r="Z2363" t="s">
        <v>3126</v>
      </c>
      <c r="AA2363">
        <v>20900</v>
      </c>
      <c r="AB2363" t="s">
        <v>11</v>
      </c>
    </row>
    <row r="2364" spans="1:35" x14ac:dyDescent="0.25">
      <c r="A2364" t="s">
        <v>9829</v>
      </c>
      <c r="B2364" t="s">
        <v>9829</v>
      </c>
      <c r="C2364" t="s">
        <v>9830</v>
      </c>
      <c r="D2364" t="s">
        <v>9831</v>
      </c>
      <c r="E2364" t="s">
        <v>770</v>
      </c>
      <c r="F2364" t="s">
        <v>771</v>
      </c>
      <c r="G2364" t="s">
        <v>1854</v>
      </c>
      <c r="J2364" t="s">
        <v>783</v>
      </c>
      <c r="K2364" t="s">
        <v>1862</v>
      </c>
      <c r="L2364" t="s">
        <v>1505</v>
      </c>
      <c r="M2364" t="s">
        <v>53</v>
      </c>
      <c r="N2364" t="s">
        <v>770</v>
      </c>
      <c r="O2364">
        <v>1</v>
      </c>
      <c r="P2364" t="s">
        <v>776</v>
      </c>
      <c r="Q2364">
        <v>32.9</v>
      </c>
      <c r="R2364">
        <v>5.93</v>
      </c>
      <c r="Y2364" t="s">
        <v>1913</v>
      </c>
      <c r="Z2364" t="s">
        <v>1926</v>
      </c>
      <c r="AA2364">
        <v>158</v>
      </c>
      <c r="AB2364" t="s">
        <v>11</v>
      </c>
    </row>
    <row r="2365" spans="1:35" x14ac:dyDescent="0.25">
      <c r="A2365" t="s">
        <v>9832</v>
      </c>
      <c r="B2365" t="s">
        <v>9832</v>
      </c>
      <c r="C2365" t="s">
        <v>9833</v>
      </c>
      <c r="D2365" t="s">
        <v>9834</v>
      </c>
      <c r="E2365" t="s">
        <v>770</v>
      </c>
      <c r="F2365" t="s">
        <v>771</v>
      </c>
      <c r="G2365" t="s">
        <v>1854</v>
      </c>
      <c r="J2365" t="s">
        <v>783</v>
      </c>
      <c r="K2365" t="s">
        <v>1930</v>
      </c>
      <c r="L2365" t="s">
        <v>775</v>
      </c>
      <c r="M2365" t="s">
        <v>65</v>
      </c>
      <c r="N2365" t="s">
        <v>770</v>
      </c>
      <c r="O2365">
        <v>1</v>
      </c>
      <c r="P2365" t="s">
        <v>776</v>
      </c>
      <c r="Q2365">
        <v>29.9</v>
      </c>
      <c r="R2365">
        <v>5.39</v>
      </c>
      <c r="Y2365" t="s">
        <v>8319</v>
      </c>
      <c r="Z2365" t="s">
        <v>3089</v>
      </c>
      <c r="AA2365">
        <v>25014</v>
      </c>
      <c r="AB2365" t="s">
        <v>11</v>
      </c>
    </row>
    <row r="2366" spans="1:35" x14ac:dyDescent="0.25">
      <c r="A2366" t="s">
        <v>9835</v>
      </c>
      <c r="B2366" t="s">
        <v>9835</v>
      </c>
      <c r="C2366" t="s">
        <v>9836</v>
      </c>
      <c r="D2366" t="s">
        <v>9837</v>
      </c>
      <c r="E2366" t="s">
        <v>770</v>
      </c>
      <c r="F2366" t="s">
        <v>771</v>
      </c>
      <c r="G2366" t="s">
        <v>1854</v>
      </c>
      <c r="J2366" t="s">
        <v>783</v>
      </c>
      <c r="K2366" t="s">
        <v>1930</v>
      </c>
      <c r="L2366" t="s">
        <v>775</v>
      </c>
      <c r="M2366" t="s">
        <v>65</v>
      </c>
      <c r="N2366" t="s">
        <v>770</v>
      </c>
      <c r="O2366">
        <v>1</v>
      </c>
      <c r="P2366" t="s">
        <v>776</v>
      </c>
      <c r="Q2366">
        <v>29.9</v>
      </c>
      <c r="R2366">
        <v>5.39</v>
      </c>
      <c r="Y2366" t="s">
        <v>3093</v>
      </c>
      <c r="Z2366" t="s">
        <v>3017</v>
      </c>
      <c r="AA2366">
        <v>75025</v>
      </c>
      <c r="AB2366" t="s">
        <v>11</v>
      </c>
    </row>
    <row r="2367" spans="1:35" x14ac:dyDescent="0.25">
      <c r="A2367" t="s">
        <v>9838</v>
      </c>
      <c r="B2367" t="s">
        <v>9838</v>
      </c>
      <c r="C2367" t="s">
        <v>9839</v>
      </c>
      <c r="D2367" t="s">
        <v>9840</v>
      </c>
      <c r="E2367" t="s">
        <v>770</v>
      </c>
      <c r="F2367" t="s">
        <v>771</v>
      </c>
      <c r="G2367" t="s">
        <v>1854</v>
      </c>
      <c r="J2367" t="s">
        <v>783</v>
      </c>
      <c r="K2367" t="s">
        <v>7589</v>
      </c>
      <c r="L2367" t="s">
        <v>7590</v>
      </c>
      <c r="M2367" t="s">
        <v>63</v>
      </c>
      <c r="N2367" t="s">
        <v>770</v>
      </c>
      <c r="O2367">
        <v>1</v>
      </c>
      <c r="P2367" t="s">
        <v>776</v>
      </c>
      <c r="Q2367">
        <v>89.9</v>
      </c>
      <c r="R2367">
        <v>16.21</v>
      </c>
      <c r="Y2367" t="s">
        <v>9841</v>
      </c>
      <c r="Z2367" t="s">
        <v>2025</v>
      </c>
      <c r="AA2367">
        <v>80075</v>
      </c>
      <c r="AB2367" t="s">
        <v>11</v>
      </c>
      <c r="AG2367" t="s">
        <v>9842</v>
      </c>
      <c r="AH2367" t="s">
        <v>11</v>
      </c>
      <c r="AI2367" t="s">
        <v>1258</v>
      </c>
    </row>
    <row r="2368" spans="1:35" x14ac:dyDescent="0.25">
      <c r="A2368" t="s">
        <v>9843</v>
      </c>
      <c r="B2368" t="s">
        <v>9843</v>
      </c>
      <c r="C2368" t="s">
        <v>9844</v>
      </c>
      <c r="D2368" t="s">
        <v>9845</v>
      </c>
      <c r="E2368" t="s">
        <v>770</v>
      </c>
      <c r="F2368" t="s">
        <v>771</v>
      </c>
      <c r="G2368" t="s">
        <v>1854</v>
      </c>
      <c r="J2368" t="s">
        <v>783</v>
      </c>
      <c r="K2368" t="s">
        <v>1862</v>
      </c>
      <c r="L2368" t="s">
        <v>1505</v>
      </c>
      <c r="M2368" t="s">
        <v>53</v>
      </c>
      <c r="N2368" t="s">
        <v>770</v>
      </c>
      <c r="O2368">
        <v>1</v>
      </c>
      <c r="P2368" t="s">
        <v>776</v>
      </c>
      <c r="Q2368">
        <v>32.9</v>
      </c>
      <c r="R2368">
        <v>5.93</v>
      </c>
      <c r="S2368">
        <v>3.99</v>
      </c>
      <c r="T2368">
        <v>0.72</v>
      </c>
      <c r="Y2368" t="s">
        <v>9846</v>
      </c>
      <c r="Z2368" t="s">
        <v>3080</v>
      </c>
      <c r="AA2368">
        <v>30028</v>
      </c>
      <c r="AB2368" t="s">
        <v>11</v>
      </c>
    </row>
    <row r="2369" spans="1:35" x14ac:dyDescent="0.25">
      <c r="A2369" t="s">
        <v>9847</v>
      </c>
      <c r="C2369" t="s">
        <v>9848</v>
      </c>
      <c r="D2369" t="s">
        <v>9849</v>
      </c>
      <c r="E2369" t="s">
        <v>770</v>
      </c>
      <c r="F2369" t="s">
        <v>1884</v>
      </c>
      <c r="G2369" t="s">
        <v>1854</v>
      </c>
      <c r="H2369" t="s">
        <v>1885</v>
      </c>
      <c r="J2369" t="s">
        <v>773</v>
      </c>
      <c r="K2369" t="s">
        <v>1873</v>
      </c>
      <c r="L2369" t="s">
        <v>27</v>
      </c>
      <c r="M2369" t="s">
        <v>26</v>
      </c>
      <c r="N2369" t="s">
        <v>770</v>
      </c>
      <c r="O2369">
        <v>1</v>
      </c>
      <c r="P2369" t="s">
        <v>776</v>
      </c>
      <c r="Q2369">
        <v>34.9</v>
      </c>
      <c r="R2369">
        <v>6.29</v>
      </c>
      <c r="S2369">
        <v>3</v>
      </c>
      <c r="T2369">
        <v>0.54</v>
      </c>
      <c r="Y2369" t="s">
        <v>9850</v>
      </c>
      <c r="Z2369" t="s">
        <v>9851</v>
      </c>
      <c r="AA2369">
        <v>35028</v>
      </c>
      <c r="AB2369" t="s">
        <v>11</v>
      </c>
    </row>
    <row r="2370" spans="1:35" x14ac:dyDescent="0.25">
      <c r="A2370" t="s">
        <v>9852</v>
      </c>
      <c r="B2370" t="s">
        <v>9852</v>
      </c>
      <c r="C2370" t="s">
        <v>9853</v>
      </c>
      <c r="D2370" t="s">
        <v>9854</v>
      </c>
      <c r="E2370" t="s">
        <v>770</v>
      </c>
      <c r="F2370" t="s">
        <v>771</v>
      </c>
      <c r="G2370" t="s">
        <v>1854</v>
      </c>
      <c r="J2370" t="s">
        <v>783</v>
      </c>
      <c r="K2370" t="s">
        <v>1862</v>
      </c>
      <c r="L2370" t="s">
        <v>1505</v>
      </c>
      <c r="M2370" t="s">
        <v>53</v>
      </c>
      <c r="N2370" t="s">
        <v>770</v>
      </c>
      <c r="O2370">
        <v>1</v>
      </c>
      <c r="P2370" t="s">
        <v>776</v>
      </c>
      <c r="Q2370">
        <v>32.9</v>
      </c>
      <c r="R2370">
        <v>5.93</v>
      </c>
      <c r="Y2370" t="s">
        <v>9855</v>
      </c>
      <c r="Z2370" t="s">
        <v>1893</v>
      </c>
      <c r="AA2370">
        <v>10035</v>
      </c>
      <c r="AB2370" t="s">
        <v>11</v>
      </c>
    </row>
    <row r="2371" spans="1:35" x14ac:dyDescent="0.25">
      <c r="A2371" t="s">
        <v>9856</v>
      </c>
      <c r="B2371" t="s">
        <v>9856</v>
      </c>
      <c r="C2371" t="s">
        <v>9857</v>
      </c>
      <c r="D2371" t="s">
        <v>9858</v>
      </c>
      <c r="E2371" t="s">
        <v>770</v>
      </c>
      <c r="F2371" t="s">
        <v>771</v>
      </c>
      <c r="G2371" t="s">
        <v>1854</v>
      </c>
      <c r="J2371" t="s">
        <v>783</v>
      </c>
      <c r="K2371" t="s">
        <v>2390</v>
      </c>
      <c r="L2371" t="s">
        <v>1094</v>
      </c>
      <c r="M2371" t="s">
        <v>208</v>
      </c>
      <c r="N2371" t="s">
        <v>770</v>
      </c>
      <c r="O2371">
        <v>1</v>
      </c>
      <c r="P2371" t="s">
        <v>776</v>
      </c>
      <c r="Q2371">
        <v>79.900000000000006</v>
      </c>
      <c r="R2371">
        <v>14.41</v>
      </c>
      <c r="S2371">
        <v>3.27</v>
      </c>
      <c r="X2371">
        <v>3.27</v>
      </c>
      <c r="Y2371" t="s">
        <v>9859</v>
      </c>
      <c r="Z2371" t="s">
        <v>9860</v>
      </c>
      <c r="AA2371">
        <v>17024</v>
      </c>
      <c r="AB2371" t="s">
        <v>11</v>
      </c>
    </row>
    <row r="2372" spans="1:35" x14ac:dyDescent="0.25">
      <c r="A2372" t="s">
        <v>9861</v>
      </c>
      <c r="B2372" t="s">
        <v>9861</v>
      </c>
      <c r="C2372" t="s">
        <v>9862</v>
      </c>
      <c r="D2372" t="s">
        <v>9863</v>
      </c>
      <c r="E2372" t="s">
        <v>782</v>
      </c>
      <c r="F2372" t="s">
        <v>771</v>
      </c>
      <c r="G2372" t="s">
        <v>1854</v>
      </c>
      <c r="J2372" t="s">
        <v>783</v>
      </c>
      <c r="K2372" t="s">
        <v>1862</v>
      </c>
      <c r="L2372" t="s">
        <v>1505</v>
      </c>
      <c r="M2372" t="s">
        <v>53</v>
      </c>
      <c r="N2372" t="s">
        <v>782</v>
      </c>
      <c r="O2372">
        <v>0</v>
      </c>
      <c r="Y2372" t="s">
        <v>9557</v>
      </c>
      <c r="Z2372" t="s">
        <v>2473</v>
      </c>
      <c r="AA2372">
        <v>70021</v>
      </c>
      <c r="AB2372" t="s">
        <v>11</v>
      </c>
    </row>
    <row r="2373" spans="1:35" x14ac:dyDescent="0.25">
      <c r="A2373" t="s">
        <v>9864</v>
      </c>
      <c r="C2373" t="s">
        <v>9865</v>
      </c>
      <c r="D2373" t="s">
        <v>9866</v>
      </c>
      <c r="E2373" t="s">
        <v>770</v>
      </c>
      <c r="F2373" t="s">
        <v>1884</v>
      </c>
      <c r="G2373" t="s">
        <v>1854</v>
      </c>
      <c r="H2373" t="s">
        <v>1885</v>
      </c>
      <c r="J2373" t="s">
        <v>773</v>
      </c>
      <c r="K2373" t="s">
        <v>2913</v>
      </c>
      <c r="L2373" t="s">
        <v>99</v>
      </c>
      <c r="M2373" t="s">
        <v>98</v>
      </c>
      <c r="N2373" t="s">
        <v>770</v>
      </c>
      <c r="O2373">
        <v>1</v>
      </c>
      <c r="P2373" t="s">
        <v>776</v>
      </c>
      <c r="Q2373">
        <v>32.9</v>
      </c>
      <c r="R2373">
        <v>5.93</v>
      </c>
      <c r="S2373">
        <v>3</v>
      </c>
      <c r="T2373">
        <v>0.54</v>
      </c>
      <c r="Y2373" t="s">
        <v>9867</v>
      </c>
      <c r="Z2373" t="s">
        <v>2533</v>
      </c>
      <c r="AA2373">
        <v>35028</v>
      </c>
      <c r="AB2373" t="s">
        <v>11</v>
      </c>
    </row>
    <row r="2374" spans="1:35" x14ac:dyDescent="0.25">
      <c r="A2374" t="s">
        <v>9868</v>
      </c>
      <c r="B2374" t="s">
        <v>9868</v>
      </c>
      <c r="C2374" t="s">
        <v>9869</v>
      </c>
      <c r="D2374" t="s">
        <v>9870</v>
      </c>
      <c r="E2374" t="s">
        <v>770</v>
      </c>
      <c r="F2374" t="s">
        <v>771</v>
      </c>
      <c r="G2374" t="s">
        <v>1854</v>
      </c>
      <c r="J2374" t="s">
        <v>783</v>
      </c>
      <c r="K2374" t="s">
        <v>1930</v>
      </c>
      <c r="L2374" t="s">
        <v>775</v>
      </c>
      <c r="M2374" t="s">
        <v>65</v>
      </c>
      <c r="N2374" t="s">
        <v>770</v>
      </c>
      <c r="O2374">
        <v>1</v>
      </c>
      <c r="P2374" t="s">
        <v>776</v>
      </c>
      <c r="Q2374">
        <v>29.9</v>
      </c>
      <c r="R2374">
        <v>5.39</v>
      </c>
      <c r="Y2374" t="s">
        <v>1875</v>
      </c>
      <c r="Z2374" t="s">
        <v>1875</v>
      </c>
      <c r="AA2374">
        <v>20155</v>
      </c>
      <c r="AB2374" t="s">
        <v>11</v>
      </c>
    </row>
    <row r="2375" spans="1:35" x14ac:dyDescent="0.25">
      <c r="A2375" t="s">
        <v>9871</v>
      </c>
      <c r="B2375" t="s">
        <v>9871</v>
      </c>
      <c r="C2375" t="s">
        <v>9872</v>
      </c>
      <c r="D2375" t="s">
        <v>9873</v>
      </c>
      <c r="E2375" t="s">
        <v>770</v>
      </c>
      <c r="F2375" t="s">
        <v>771</v>
      </c>
      <c r="G2375" t="s">
        <v>1854</v>
      </c>
      <c r="J2375" t="s">
        <v>783</v>
      </c>
      <c r="K2375" t="s">
        <v>2424</v>
      </c>
      <c r="L2375" t="s">
        <v>2425</v>
      </c>
      <c r="M2375" t="s">
        <v>86</v>
      </c>
      <c r="N2375" t="s">
        <v>770</v>
      </c>
      <c r="O2375">
        <v>1</v>
      </c>
      <c r="P2375" t="s">
        <v>776</v>
      </c>
      <c r="Q2375">
        <v>39.9</v>
      </c>
      <c r="R2375">
        <v>7.2</v>
      </c>
      <c r="Y2375" t="s">
        <v>9874</v>
      </c>
      <c r="Z2375" t="s">
        <v>3645</v>
      </c>
      <c r="AA2375">
        <v>35010</v>
      </c>
      <c r="AB2375" t="s">
        <v>11</v>
      </c>
    </row>
    <row r="2376" spans="1:35" x14ac:dyDescent="0.25">
      <c r="A2376" t="s">
        <v>9875</v>
      </c>
      <c r="C2376" t="s">
        <v>9876</v>
      </c>
      <c r="D2376" t="s">
        <v>9877</v>
      </c>
      <c r="E2376" t="s">
        <v>770</v>
      </c>
      <c r="F2376" t="s">
        <v>1884</v>
      </c>
      <c r="G2376" t="s">
        <v>1854</v>
      </c>
      <c r="H2376" t="s">
        <v>1885</v>
      </c>
      <c r="J2376" t="s">
        <v>773</v>
      </c>
      <c r="K2376" t="s">
        <v>1873</v>
      </c>
      <c r="L2376" t="s">
        <v>27</v>
      </c>
      <c r="M2376" t="s">
        <v>26</v>
      </c>
      <c r="N2376" t="s">
        <v>770</v>
      </c>
      <c r="O2376">
        <v>1</v>
      </c>
      <c r="P2376" t="s">
        <v>776</v>
      </c>
      <c r="Q2376">
        <v>34.9</v>
      </c>
      <c r="R2376">
        <v>6.29</v>
      </c>
      <c r="S2376">
        <v>3</v>
      </c>
      <c r="T2376">
        <v>0.54</v>
      </c>
      <c r="Y2376" t="s">
        <v>9878</v>
      </c>
      <c r="Z2376" t="s">
        <v>2523</v>
      </c>
      <c r="AA2376">
        <v>87040</v>
      </c>
      <c r="AB2376" t="s">
        <v>11</v>
      </c>
    </row>
    <row r="2377" spans="1:35" x14ac:dyDescent="0.25">
      <c r="A2377" t="s">
        <v>9879</v>
      </c>
      <c r="B2377" t="s">
        <v>9879</v>
      </c>
      <c r="C2377" t="s">
        <v>9880</v>
      </c>
      <c r="D2377" t="s">
        <v>9881</v>
      </c>
      <c r="E2377" t="s">
        <v>770</v>
      </c>
      <c r="F2377" t="s">
        <v>771</v>
      </c>
      <c r="G2377" t="s">
        <v>1854</v>
      </c>
      <c r="J2377" t="s">
        <v>783</v>
      </c>
      <c r="K2377" t="s">
        <v>3363</v>
      </c>
      <c r="L2377" t="s">
        <v>5572</v>
      </c>
      <c r="M2377" t="s">
        <v>71</v>
      </c>
      <c r="N2377" t="s">
        <v>770</v>
      </c>
      <c r="O2377">
        <v>1</v>
      </c>
      <c r="P2377" t="s">
        <v>776</v>
      </c>
      <c r="Q2377">
        <v>29.9</v>
      </c>
      <c r="R2377">
        <v>5.39</v>
      </c>
      <c r="Y2377" t="s">
        <v>9882</v>
      </c>
      <c r="Z2377" t="s">
        <v>1875</v>
      </c>
      <c r="AA2377">
        <v>20084</v>
      </c>
      <c r="AB2377" t="s">
        <v>11</v>
      </c>
    </row>
    <row r="2378" spans="1:35" x14ac:dyDescent="0.25">
      <c r="A2378" t="s">
        <v>9883</v>
      </c>
      <c r="B2378" t="s">
        <v>9883</v>
      </c>
      <c r="C2378" t="s">
        <v>9884</v>
      </c>
      <c r="D2378" t="s">
        <v>9885</v>
      </c>
      <c r="E2378" t="s">
        <v>770</v>
      </c>
      <c r="F2378" t="s">
        <v>771</v>
      </c>
      <c r="G2378" t="s">
        <v>1854</v>
      </c>
      <c r="J2378" t="s">
        <v>783</v>
      </c>
      <c r="K2378" t="s">
        <v>1862</v>
      </c>
      <c r="L2378" t="s">
        <v>1505</v>
      </c>
      <c r="M2378" t="s">
        <v>53</v>
      </c>
      <c r="N2378" t="s">
        <v>770</v>
      </c>
      <c r="O2378">
        <v>1</v>
      </c>
      <c r="P2378" t="s">
        <v>776</v>
      </c>
      <c r="Q2378">
        <v>32.9</v>
      </c>
      <c r="R2378">
        <v>5.93</v>
      </c>
      <c r="Y2378" t="s">
        <v>9886</v>
      </c>
      <c r="Z2378" t="s">
        <v>6084</v>
      </c>
      <c r="AA2378">
        <v>89866</v>
      </c>
      <c r="AB2378" t="s">
        <v>11</v>
      </c>
    </row>
    <row r="2379" spans="1:35" x14ac:dyDescent="0.25">
      <c r="A2379" t="s">
        <v>9887</v>
      </c>
      <c r="B2379" t="s">
        <v>9887</v>
      </c>
      <c r="C2379" t="s">
        <v>9888</v>
      </c>
      <c r="D2379" t="s">
        <v>9889</v>
      </c>
      <c r="E2379" t="s">
        <v>770</v>
      </c>
      <c r="F2379" t="s">
        <v>771</v>
      </c>
      <c r="G2379" t="s">
        <v>1854</v>
      </c>
      <c r="J2379" t="s">
        <v>783</v>
      </c>
      <c r="K2379" t="s">
        <v>3363</v>
      </c>
      <c r="L2379" t="s">
        <v>5572</v>
      </c>
      <c r="M2379" t="s">
        <v>71</v>
      </c>
      <c r="N2379" t="s">
        <v>770</v>
      </c>
      <c r="O2379">
        <v>3</v>
      </c>
      <c r="P2379" t="s">
        <v>776</v>
      </c>
      <c r="Q2379">
        <v>89.7</v>
      </c>
      <c r="R2379">
        <v>16.170000000000002</v>
      </c>
      <c r="Y2379" t="s">
        <v>2134</v>
      </c>
      <c r="Z2379" t="s">
        <v>1926</v>
      </c>
      <c r="AA2379">
        <v>185</v>
      </c>
      <c r="AB2379" t="s">
        <v>11</v>
      </c>
      <c r="AG2379" t="s">
        <v>9890</v>
      </c>
      <c r="AH2379" t="s">
        <v>11</v>
      </c>
      <c r="AI2379" t="s">
        <v>1258</v>
      </c>
    </row>
    <row r="2380" spans="1:35" x14ac:dyDescent="0.25">
      <c r="A2380" t="s">
        <v>9891</v>
      </c>
      <c r="C2380" t="s">
        <v>9892</v>
      </c>
      <c r="D2380" t="s">
        <v>9817</v>
      </c>
      <c r="E2380" t="s">
        <v>770</v>
      </c>
      <c r="F2380" t="s">
        <v>1884</v>
      </c>
      <c r="G2380" t="s">
        <v>1854</v>
      </c>
      <c r="H2380" t="s">
        <v>1885</v>
      </c>
      <c r="J2380" t="s">
        <v>773</v>
      </c>
      <c r="K2380" t="s">
        <v>3328</v>
      </c>
      <c r="L2380" t="s">
        <v>36</v>
      </c>
      <c r="M2380" t="s">
        <v>35</v>
      </c>
      <c r="N2380" t="s">
        <v>770</v>
      </c>
      <c r="O2380">
        <v>1</v>
      </c>
      <c r="P2380" t="s">
        <v>776</v>
      </c>
      <c r="Q2380">
        <v>24.9</v>
      </c>
      <c r="R2380">
        <v>4.49</v>
      </c>
      <c r="S2380">
        <v>3</v>
      </c>
      <c r="T2380">
        <v>0.54</v>
      </c>
      <c r="Y2380" t="s">
        <v>9893</v>
      </c>
      <c r="Z2380" t="s">
        <v>2257</v>
      </c>
      <c r="AA2380">
        <v>40016</v>
      </c>
      <c r="AB2380" t="s">
        <v>11</v>
      </c>
    </row>
    <row r="2381" spans="1:35" x14ac:dyDescent="0.25">
      <c r="A2381" t="s">
        <v>9894</v>
      </c>
      <c r="B2381" t="s">
        <v>9894</v>
      </c>
      <c r="C2381" t="s">
        <v>9895</v>
      </c>
      <c r="D2381" t="s">
        <v>9896</v>
      </c>
      <c r="E2381" t="s">
        <v>782</v>
      </c>
      <c r="F2381" t="s">
        <v>771</v>
      </c>
      <c r="G2381" t="s">
        <v>1854</v>
      </c>
      <c r="J2381" t="s">
        <v>783</v>
      </c>
      <c r="K2381" t="s">
        <v>2390</v>
      </c>
      <c r="L2381" t="s">
        <v>1094</v>
      </c>
      <c r="M2381" t="s">
        <v>208</v>
      </c>
      <c r="N2381" t="s">
        <v>782</v>
      </c>
      <c r="O2381">
        <v>0</v>
      </c>
      <c r="Y2381" t="s">
        <v>9897</v>
      </c>
      <c r="Z2381" t="s">
        <v>9898</v>
      </c>
      <c r="AA2381">
        <v>31050</v>
      </c>
      <c r="AB2381" t="s">
        <v>11</v>
      </c>
      <c r="AG2381" t="s">
        <v>9899</v>
      </c>
      <c r="AH2381" t="s">
        <v>11</v>
      </c>
      <c r="AI2381" t="s">
        <v>1258</v>
      </c>
    </row>
    <row r="2382" spans="1:35" x14ac:dyDescent="0.25">
      <c r="A2382" t="s">
        <v>9900</v>
      </c>
      <c r="B2382" t="s">
        <v>9900</v>
      </c>
      <c r="C2382" t="s">
        <v>9901</v>
      </c>
      <c r="D2382" t="s">
        <v>9902</v>
      </c>
      <c r="E2382" t="s">
        <v>770</v>
      </c>
      <c r="F2382" t="s">
        <v>771</v>
      </c>
      <c r="G2382" t="s">
        <v>1854</v>
      </c>
      <c r="J2382" t="s">
        <v>783</v>
      </c>
      <c r="K2382" t="s">
        <v>2390</v>
      </c>
      <c r="L2382" t="s">
        <v>1094</v>
      </c>
      <c r="M2382" t="s">
        <v>208</v>
      </c>
      <c r="N2382" t="s">
        <v>770</v>
      </c>
      <c r="O2382">
        <v>1</v>
      </c>
      <c r="P2382" t="s">
        <v>776</v>
      </c>
      <c r="Q2382">
        <v>79.900000000000006</v>
      </c>
      <c r="R2382">
        <v>14.41</v>
      </c>
      <c r="Y2382" t="s">
        <v>9897</v>
      </c>
      <c r="Z2382" t="s">
        <v>9898</v>
      </c>
      <c r="AA2382">
        <v>31050</v>
      </c>
      <c r="AB2382" t="s">
        <v>11</v>
      </c>
      <c r="AG2382" t="s">
        <v>9899</v>
      </c>
      <c r="AH2382" t="s">
        <v>11</v>
      </c>
      <c r="AI2382" t="s">
        <v>1258</v>
      </c>
    </row>
    <row r="2383" spans="1:35" x14ac:dyDescent="0.25">
      <c r="A2383" t="s">
        <v>9903</v>
      </c>
      <c r="C2383" t="s">
        <v>9904</v>
      </c>
      <c r="D2383" t="s">
        <v>9905</v>
      </c>
      <c r="E2383" t="s">
        <v>770</v>
      </c>
      <c r="F2383" t="s">
        <v>1884</v>
      </c>
      <c r="G2383" t="s">
        <v>1854</v>
      </c>
      <c r="H2383" t="s">
        <v>1885</v>
      </c>
      <c r="J2383" t="s">
        <v>773</v>
      </c>
      <c r="K2383" t="s">
        <v>4362</v>
      </c>
      <c r="L2383" s="2">
        <v>40500</v>
      </c>
      <c r="M2383" t="s">
        <v>53</v>
      </c>
      <c r="N2383" t="s">
        <v>770</v>
      </c>
      <c r="O2383">
        <v>1</v>
      </c>
      <c r="P2383" t="s">
        <v>776</v>
      </c>
      <c r="Q2383">
        <v>32.9</v>
      </c>
      <c r="R2383">
        <v>5.93</v>
      </c>
      <c r="S2383">
        <v>3</v>
      </c>
      <c r="T2383">
        <v>0.54</v>
      </c>
      <c r="Y2383" t="s">
        <v>5767</v>
      </c>
      <c r="Z2383" t="s">
        <v>1922</v>
      </c>
      <c r="AA2383">
        <v>31015</v>
      </c>
      <c r="AB2383" t="s">
        <v>11</v>
      </c>
    </row>
    <row r="2384" spans="1:35" x14ac:dyDescent="0.25">
      <c r="A2384" t="s">
        <v>9906</v>
      </c>
      <c r="B2384" t="s">
        <v>9906</v>
      </c>
      <c r="C2384" t="s">
        <v>9907</v>
      </c>
      <c r="D2384" t="s">
        <v>9908</v>
      </c>
      <c r="E2384" t="s">
        <v>770</v>
      </c>
      <c r="F2384" t="s">
        <v>771</v>
      </c>
      <c r="G2384" t="s">
        <v>1854</v>
      </c>
      <c r="J2384" t="s">
        <v>783</v>
      </c>
      <c r="K2384" t="s">
        <v>1930</v>
      </c>
      <c r="L2384" t="s">
        <v>775</v>
      </c>
      <c r="M2384" t="s">
        <v>65</v>
      </c>
      <c r="N2384" t="s">
        <v>770</v>
      </c>
      <c r="O2384">
        <v>1</v>
      </c>
      <c r="P2384" t="s">
        <v>776</v>
      </c>
      <c r="Q2384">
        <v>29.9</v>
      </c>
      <c r="R2384">
        <v>5.39</v>
      </c>
      <c r="Y2384" t="s">
        <v>1875</v>
      </c>
      <c r="Z2384" t="s">
        <v>1864</v>
      </c>
      <c r="AA2384">
        <v>20133</v>
      </c>
      <c r="AB2384" t="s">
        <v>11</v>
      </c>
    </row>
    <row r="2385" spans="1:35" x14ac:dyDescent="0.25">
      <c r="A2385" t="s">
        <v>9909</v>
      </c>
      <c r="C2385" t="s">
        <v>9910</v>
      </c>
      <c r="D2385" t="s">
        <v>9911</v>
      </c>
      <c r="E2385" t="s">
        <v>770</v>
      </c>
      <c r="F2385" t="s">
        <v>1884</v>
      </c>
      <c r="G2385" t="s">
        <v>1854</v>
      </c>
      <c r="H2385" t="s">
        <v>1885</v>
      </c>
      <c r="J2385" t="s">
        <v>773</v>
      </c>
      <c r="K2385" t="s">
        <v>4362</v>
      </c>
      <c r="L2385" s="2">
        <v>40500</v>
      </c>
      <c r="M2385" t="s">
        <v>53</v>
      </c>
      <c r="N2385" t="s">
        <v>770</v>
      </c>
      <c r="O2385">
        <v>1</v>
      </c>
      <c r="P2385" t="s">
        <v>776</v>
      </c>
      <c r="Q2385">
        <v>32.9</v>
      </c>
      <c r="R2385">
        <v>5.93</v>
      </c>
      <c r="S2385">
        <v>3</v>
      </c>
      <c r="T2385">
        <v>0.54</v>
      </c>
      <c r="Y2385" t="s">
        <v>5643</v>
      </c>
      <c r="Z2385" t="s">
        <v>3080</v>
      </c>
      <c r="AA2385">
        <v>30038</v>
      </c>
      <c r="AB2385" t="s">
        <v>11</v>
      </c>
    </row>
    <row r="2386" spans="1:35" x14ac:dyDescent="0.25">
      <c r="A2386" t="s">
        <v>9912</v>
      </c>
      <c r="B2386" t="s">
        <v>9912</v>
      </c>
      <c r="C2386" t="s">
        <v>9913</v>
      </c>
      <c r="D2386" t="s">
        <v>9914</v>
      </c>
      <c r="E2386" t="s">
        <v>770</v>
      </c>
      <c r="F2386" t="s">
        <v>771</v>
      </c>
      <c r="G2386" t="s">
        <v>1854</v>
      </c>
      <c r="J2386" t="s">
        <v>783</v>
      </c>
      <c r="K2386" t="s">
        <v>1873</v>
      </c>
      <c r="L2386" t="s">
        <v>840</v>
      </c>
      <c r="M2386" t="s">
        <v>26</v>
      </c>
      <c r="N2386" t="s">
        <v>770</v>
      </c>
      <c r="O2386">
        <v>1</v>
      </c>
      <c r="P2386" t="s">
        <v>776</v>
      </c>
      <c r="Q2386">
        <v>34.9</v>
      </c>
      <c r="R2386">
        <v>6.29</v>
      </c>
      <c r="Y2386" t="s">
        <v>9915</v>
      </c>
      <c r="AA2386">
        <v>70015</v>
      </c>
      <c r="AB2386" t="s">
        <v>11</v>
      </c>
    </row>
    <row r="2387" spans="1:35" x14ac:dyDescent="0.25">
      <c r="A2387" t="s">
        <v>9916</v>
      </c>
      <c r="C2387" t="s">
        <v>9917</v>
      </c>
      <c r="D2387" t="s">
        <v>9918</v>
      </c>
      <c r="E2387" t="s">
        <v>770</v>
      </c>
      <c r="F2387" t="s">
        <v>1884</v>
      </c>
      <c r="G2387" t="s">
        <v>1854</v>
      </c>
      <c r="H2387" t="s">
        <v>1885</v>
      </c>
      <c r="J2387" t="s">
        <v>773</v>
      </c>
      <c r="K2387" t="s">
        <v>2889</v>
      </c>
      <c r="L2387" t="s">
        <v>135</v>
      </c>
      <c r="M2387" t="s">
        <v>134</v>
      </c>
      <c r="N2387" t="s">
        <v>770</v>
      </c>
      <c r="O2387">
        <v>1</v>
      </c>
      <c r="P2387" t="s">
        <v>776</v>
      </c>
      <c r="Q2387">
        <v>59.9</v>
      </c>
      <c r="R2387">
        <v>10.8</v>
      </c>
      <c r="S2387">
        <v>3</v>
      </c>
      <c r="T2387">
        <v>0.54</v>
      </c>
      <c r="Y2387" t="s">
        <v>4130</v>
      </c>
      <c r="Z2387" t="s">
        <v>3031</v>
      </c>
      <c r="AA2387">
        <v>20090</v>
      </c>
      <c r="AB2387" t="s">
        <v>11</v>
      </c>
    </row>
    <row r="2388" spans="1:35" x14ac:dyDescent="0.25">
      <c r="A2388" t="s">
        <v>9919</v>
      </c>
      <c r="C2388" t="s">
        <v>9920</v>
      </c>
      <c r="D2388" t="s">
        <v>9921</v>
      </c>
      <c r="E2388" t="s">
        <v>770</v>
      </c>
      <c r="F2388" t="s">
        <v>1884</v>
      </c>
      <c r="G2388" t="s">
        <v>1854</v>
      </c>
      <c r="H2388" t="s">
        <v>1885</v>
      </c>
      <c r="J2388" t="s">
        <v>773</v>
      </c>
      <c r="K2388" t="s">
        <v>4362</v>
      </c>
      <c r="L2388" s="2">
        <v>40500</v>
      </c>
      <c r="M2388" t="s">
        <v>53</v>
      </c>
      <c r="N2388" t="s">
        <v>770</v>
      </c>
      <c r="O2388">
        <v>1</v>
      </c>
      <c r="P2388" t="s">
        <v>776</v>
      </c>
      <c r="Q2388">
        <v>32.9</v>
      </c>
      <c r="R2388">
        <v>5.93</v>
      </c>
      <c r="S2388">
        <v>3</v>
      </c>
      <c r="T2388">
        <v>0.54</v>
      </c>
      <c r="Y2388" t="s">
        <v>9922</v>
      </c>
      <c r="Z2388" t="s">
        <v>5895</v>
      </c>
      <c r="AA2388">
        <v>14036</v>
      </c>
      <c r="AB2388" t="s">
        <v>11</v>
      </c>
    </row>
    <row r="2389" spans="1:35" x14ac:dyDescent="0.25">
      <c r="A2389" t="s">
        <v>9923</v>
      </c>
      <c r="C2389" t="s">
        <v>9924</v>
      </c>
      <c r="D2389" t="s">
        <v>9925</v>
      </c>
      <c r="E2389" t="s">
        <v>770</v>
      </c>
      <c r="F2389" t="s">
        <v>1884</v>
      </c>
      <c r="G2389" t="s">
        <v>1854</v>
      </c>
      <c r="H2389" t="s">
        <v>1885</v>
      </c>
      <c r="J2389" t="s">
        <v>773</v>
      </c>
      <c r="K2389" t="s">
        <v>4362</v>
      </c>
      <c r="L2389" s="2">
        <v>40500</v>
      </c>
      <c r="M2389" t="s">
        <v>53</v>
      </c>
      <c r="N2389" t="s">
        <v>770</v>
      </c>
      <c r="O2389">
        <v>1</v>
      </c>
      <c r="P2389" t="s">
        <v>776</v>
      </c>
      <c r="Q2389">
        <v>32.9</v>
      </c>
      <c r="R2389">
        <v>5.93</v>
      </c>
      <c r="S2389">
        <v>3</v>
      </c>
      <c r="T2389">
        <v>0.54</v>
      </c>
      <c r="Y2389" t="s">
        <v>7604</v>
      </c>
      <c r="Z2389" t="s">
        <v>1908</v>
      </c>
      <c r="AA2389">
        <v>80077</v>
      </c>
      <c r="AB2389" t="s">
        <v>11</v>
      </c>
      <c r="AG2389" t="s">
        <v>9926</v>
      </c>
      <c r="AH2389" t="s">
        <v>11</v>
      </c>
      <c r="AI2389" t="s">
        <v>1258</v>
      </c>
    </row>
    <row r="2390" spans="1:35" x14ac:dyDescent="0.25">
      <c r="A2390" t="s">
        <v>9927</v>
      </c>
      <c r="C2390" t="s">
        <v>9928</v>
      </c>
      <c r="D2390" t="s">
        <v>9929</v>
      </c>
      <c r="E2390" t="s">
        <v>770</v>
      </c>
      <c r="F2390" t="s">
        <v>1884</v>
      </c>
      <c r="G2390" t="s">
        <v>1854</v>
      </c>
      <c r="H2390" t="s">
        <v>1885</v>
      </c>
      <c r="J2390" t="s">
        <v>773</v>
      </c>
      <c r="K2390" t="s">
        <v>3363</v>
      </c>
      <c r="L2390" s="2">
        <v>40490</v>
      </c>
      <c r="M2390" t="s">
        <v>71</v>
      </c>
      <c r="N2390" t="s">
        <v>770</v>
      </c>
      <c r="O2390">
        <v>5</v>
      </c>
      <c r="P2390" t="s">
        <v>776</v>
      </c>
      <c r="Q2390">
        <v>149.5</v>
      </c>
      <c r="R2390">
        <v>26.95</v>
      </c>
      <c r="S2390">
        <v>15</v>
      </c>
      <c r="T2390">
        <v>2.7</v>
      </c>
      <c r="Y2390" t="s">
        <v>2051</v>
      </c>
      <c r="Z2390" t="s">
        <v>2051</v>
      </c>
      <c r="AA2390">
        <v>95123</v>
      </c>
      <c r="AB2390" t="s">
        <v>11</v>
      </c>
    </row>
    <row r="2391" spans="1:35" x14ac:dyDescent="0.25">
      <c r="A2391" t="s">
        <v>9930</v>
      </c>
      <c r="C2391" t="s">
        <v>9931</v>
      </c>
      <c r="D2391" t="s">
        <v>9932</v>
      </c>
      <c r="E2391" t="s">
        <v>770</v>
      </c>
      <c r="F2391" t="s">
        <v>1884</v>
      </c>
      <c r="G2391" t="s">
        <v>1854</v>
      </c>
      <c r="H2391" t="s">
        <v>1885</v>
      </c>
      <c r="J2391" t="s">
        <v>773</v>
      </c>
      <c r="K2391" t="s">
        <v>4362</v>
      </c>
      <c r="L2391" s="2">
        <v>40500</v>
      </c>
      <c r="M2391" t="s">
        <v>53</v>
      </c>
      <c r="N2391" t="s">
        <v>770</v>
      </c>
      <c r="O2391">
        <v>1</v>
      </c>
      <c r="P2391" t="s">
        <v>776</v>
      </c>
      <c r="Q2391">
        <v>32.9</v>
      </c>
      <c r="R2391">
        <v>5.93</v>
      </c>
      <c r="S2391">
        <v>3</v>
      </c>
      <c r="T2391">
        <v>0.54</v>
      </c>
      <c r="Y2391" t="s">
        <v>9933</v>
      </c>
      <c r="Z2391" t="s">
        <v>1913</v>
      </c>
      <c r="AA2391">
        <v>60</v>
      </c>
      <c r="AB2391" t="s">
        <v>11</v>
      </c>
    </row>
    <row r="2392" spans="1:35" x14ac:dyDescent="0.25">
      <c r="A2392" t="s">
        <v>9934</v>
      </c>
      <c r="C2392" t="s">
        <v>9935</v>
      </c>
      <c r="D2392" t="s">
        <v>9936</v>
      </c>
      <c r="E2392" t="s">
        <v>770</v>
      </c>
      <c r="F2392" t="s">
        <v>1884</v>
      </c>
      <c r="G2392" t="s">
        <v>1854</v>
      </c>
      <c r="H2392" t="s">
        <v>1885</v>
      </c>
      <c r="J2392" t="s">
        <v>773</v>
      </c>
      <c r="K2392" t="s">
        <v>1886</v>
      </c>
      <c r="L2392" t="s">
        <v>18</v>
      </c>
      <c r="M2392" t="s">
        <v>17</v>
      </c>
      <c r="N2392" t="s">
        <v>770</v>
      </c>
      <c r="O2392">
        <v>2</v>
      </c>
      <c r="P2392" t="s">
        <v>776</v>
      </c>
      <c r="Q2392">
        <v>45.8</v>
      </c>
      <c r="R2392">
        <v>8.26</v>
      </c>
      <c r="S2392">
        <v>6</v>
      </c>
      <c r="T2392">
        <v>1.08</v>
      </c>
      <c r="Y2392" t="s">
        <v>9937</v>
      </c>
      <c r="Z2392" t="s">
        <v>2219</v>
      </c>
      <c r="AA2392">
        <v>50012</v>
      </c>
      <c r="AB2392" t="s">
        <v>11</v>
      </c>
      <c r="AG2392" t="s">
        <v>9938</v>
      </c>
      <c r="AH2392" t="s">
        <v>11</v>
      </c>
      <c r="AI2392" t="s">
        <v>1258</v>
      </c>
    </row>
    <row r="2393" spans="1:35" x14ac:dyDescent="0.25">
      <c r="A2393" t="s">
        <v>9939</v>
      </c>
      <c r="C2393" t="s">
        <v>9940</v>
      </c>
      <c r="D2393" t="s">
        <v>9941</v>
      </c>
      <c r="E2393" t="s">
        <v>770</v>
      </c>
      <c r="F2393" t="s">
        <v>1884</v>
      </c>
      <c r="G2393" t="s">
        <v>1854</v>
      </c>
      <c r="H2393" t="s">
        <v>1885</v>
      </c>
      <c r="J2393" t="s">
        <v>773</v>
      </c>
      <c r="K2393" t="s">
        <v>4362</v>
      </c>
      <c r="L2393" s="2">
        <v>40500</v>
      </c>
      <c r="M2393" t="s">
        <v>53</v>
      </c>
      <c r="N2393" t="s">
        <v>770</v>
      </c>
      <c r="O2393">
        <v>1</v>
      </c>
      <c r="P2393" t="s">
        <v>776</v>
      </c>
      <c r="Q2393">
        <v>32.9</v>
      </c>
      <c r="R2393">
        <v>5.93</v>
      </c>
      <c r="S2393">
        <v>3</v>
      </c>
      <c r="T2393">
        <v>0.54</v>
      </c>
      <c r="Y2393" t="s">
        <v>9942</v>
      </c>
      <c r="Z2393" t="s">
        <v>1875</v>
      </c>
      <c r="AA2393">
        <v>20067</v>
      </c>
      <c r="AB2393" t="s">
        <v>11</v>
      </c>
    </row>
    <row r="2394" spans="1:35" x14ac:dyDescent="0.25">
      <c r="A2394" t="s">
        <v>9943</v>
      </c>
      <c r="B2394" t="s">
        <v>9943</v>
      </c>
      <c r="C2394" t="s">
        <v>9944</v>
      </c>
      <c r="D2394" t="s">
        <v>9945</v>
      </c>
      <c r="E2394" t="s">
        <v>770</v>
      </c>
      <c r="F2394" t="s">
        <v>771</v>
      </c>
      <c r="G2394" t="s">
        <v>1854</v>
      </c>
      <c r="J2394" t="s">
        <v>773</v>
      </c>
      <c r="K2394" t="s">
        <v>1873</v>
      </c>
      <c r="L2394" t="s">
        <v>840</v>
      </c>
      <c r="M2394" t="s">
        <v>26</v>
      </c>
      <c r="N2394" t="s">
        <v>770</v>
      </c>
      <c r="O2394">
        <v>1</v>
      </c>
      <c r="P2394" t="s">
        <v>776</v>
      </c>
      <c r="Q2394">
        <v>28.61</v>
      </c>
      <c r="S2394">
        <v>0.57999999999999996</v>
      </c>
      <c r="X2394">
        <v>0.57999999999999996</v>
      </c>
      <c r="Y2394" t="s">
        <v>8885</v>
      </c>
      <c r="Z2394" t="s">
        <v>3947</v>
      </c>
      <c r="AA2394">
        <v>6932</v>
      </c>
      <c r="AB2394" t="s">
        <v>1716</v>
      </c>
    </row>
    <row r="2395" spans="1:35" x14ac:dyDescent="0.25">
      <c r="A2395" t="s">
        <v>9946</v>
      </c>
      <c r="C2395" t="s">
        <v>9947</v>
      </c>
      <c r="D2395" t="s">
        <v>9948</v>
      </c>
      <c r="E2395" t="s">
        <v>770</v>
      </c>
      <c r="F2395" t="s">
        <v>1884</v>
      </c>
      <c r="G2395" t="s">
        <v>1854</v>
      </c>
      <c r="H2395" t="s">
        <v>1885</v>
      </c>
      <c r="J2395" t="s">
        <v>773</v>
      </c>
      <c r="K2395" t="s">
        <v>4362</v>
      </c>
      <c r="L2395" s="2">
        <v>40500</v>
      </c>
      <c r="M2395" t="s">
        <v>53</v>
      </c>
      <c r="N2395" t="s">
        <v>770</v>
      </c>
      <c r="O2395">
        <v>1</v>
      </c>
      <c r="P2395" t="s">
        <v>776</v>
      </c>
      <c r="Q2395">
        <v>32.9</v>
      </c>
      <c r="R2395">
        <v>5.93</v>
      </c>
      <c r="S2395">
        <v>3</v>
      </c>
      <c r="T2395">
        <v>0.54</v>
      </c>
      <c r="Y2395" t="s">
        <v>3220</v>
      </c>
      <c r="AA2395">
        <v>80027</v>
      </c>
      <c r="AB2395" t="s">
        <v>11</v>
      </c>
    </row>
    <row r="2396" spans="1:35" x14ac:dyDescent="0.25">
      <c r="A2396" t="s">
        <v>9949</v>
      </c>
      <c r="C2396" t="s">
        <v>9950</v>
      </c>
      <c r="D2396" t="s">
        <v>9951</v>
      </c>
      <c r="E2396" t="s">
        <v>770</v>
      </c>
      <c r="F2396" t="s">
        <v>1884</v>
      </c>
      <c r="G2396" t="s">
        <v>1854</v>
      </c>
      <c r="H2396" t="s">
        <v>1885</v>
      </c>
      <c r="J2396" t="s">
        <v>773</v>
      </c>
      <c r="K2396" t="s">
        <v>1873</v>
      </c>
      <c r="L2396" t="s">
        <v>27</v>
      </c>
      <c r="M2396" t="s">
        <v>26</v>
      </c>
      <c r="N2396" t="s">
        <v>770</v>
      </c>
      <c r="O2396">
        <v>1</v>
      </c>
      <c r="P2396" t="s">
        <v>776</v>
      </c>
      <c r="Q2396">
        <v>34.9</v>
      </c>
      <c r="R2396">
        <v>6.29</v>
      </c>
      <c r="Y2396" t="s">
        <v>9952</v>
      </c>
      <c r="Z2396" t="s">
        <v>2101</v>
      </c>
      <c r="AA2396">
        <v>47865</v>
      </c>
      <c r="AB2396" t="s">
        <v>11</v>
      </c>
    </row>
    <row r="2397" spans="1:35" x14ac:dyDescent="0.25">
      <c r="A2397" t="s">
        <v>9953</v>
      </c>
      <c r="C2397" t="s">
        <v>9954</v>
      </c>
      <c r="D2397" t="s">
        <v>9955</v>
      </c>
      <c r="E2397" t="s">
        <v>770</v>
      </c>
      <c r="F2397" t="s">
        <v>1884</v>
      </c>
      <c r="G2397" t="s">
        <v>1854</v>
      </c>
      <c r="H2397" t="s">
        <v>1885</v>
      </c>
      <c r="J2397" t="s">
        <v>773</v>
      </c>
      <c r="K2397" t="s">
        <v>4362</v>
      </c>
      <c r="L2397" s="2">
        <v>40500</v>
      </c>
      <c r="M2397" t="s">
        <v>53</v>
      </c>
      <c r="N2397" t="s">
        <v>770</v>
      </c>
      <c r="O2397">
        <v>1</v>
      </c>
      <c r="P2397" t="s">
        <v>776</v>
      </c>
      <c r="Q2397">
        <v>32.9</v>
      </c>
      <c r="R2397">
        <v>5.93</v>
      </c>
      <c r="Y2397" t="s">
        <v>1875</v>
      </c>
      <c r="Z2397" t="s">
        <v>1875</v>
      </c>
      <c r="AA2397">
        <v>20159</v>
      </c>
      <c r="AB2397" t="s">
        <v>11</v>
      </c>
    </row>
    <row r="2398" spans="1:35" x14ac:dyDescent="0.25">
      <c r="A2398" t="s">
        <v>9956</v>
      </c>
      <c r="C2398" t="s">
        <v>9957</v>
      </c>
      <c r="D2398" t="s">
        <v>9958</v>
      </c>
      <c r="E2398" t="s">
        <v>770</v>
      </c>
      <c r="F2398" t="s">
        <v>1884</v>
      </c>
      <c r="G2398" t="s">
        <v>1854</v>
      </c>
      <c r="H2398" t="s">
        <v>1885</v>
      </c>
      <c r="J2398" t="s">
        <v>773</v>
      </c>
      <c r="K2398" t="s">
        <v>1873</v>
      </c>
      <c r="L2398" t="s">
        <v>27</v>
      </c>
      <c r="M2398" t="s">
        <v>26</v>
      </c>
      <c r="N2398" t="s">
        <v>770</v>
      </c>
      <c r="O2398">
        <v>1</v>
      </c>
      <c r="P2398" t="s">
        <v>776</v>
      </c>
      <c r="Q2398">
        <v>34.9</v>
      </c>
      <c r="R2398">
        <v>6.29</v>
      </c>
      <c r="Y2398" t="s">
        <v>1908</v>
      </c>
      <c r="Z2398" t="s">
        <v>1908</v>
      </c>
      <c r="AA2398">
        <v>80124</v>
      </c>
      <c r="AB2398" t="s">
        <v>11</v>
      </c>
    </row>
    <row r="2399" spans="1:35" x14ac:dyDescent="0.25">
      <c r="A2399" t="s">
        <v>9959</v>
      </c>
      <c r="C2399" t="s">
        <v>9960</v>
      </c>
      <c r="D2399" t="s">
        <v>9961</v>
      </c>
      <c r="E2399" t="s">
        <v>782</v>
      </c>
      <c r="F2399" t="s">
        <v>1884</v>
      </c>
      <c r="G2399" t="s">
        <v>1854</v>
      </c>
      <c r="H2399" t="s">
        <v>1885</v>
      </c>
      <c r="J2399" t="s">
        <v>773</v>
      </c>
      <c r="K2399" t="s">
        <v>1873</v>
      </c>
      <c r="L2399" t="s">
        <v>27</v>
      </c>
      <c r="M2399" t="s">
        <v>26</v>
      </c>
      <c r="O2399">
        <v>0</v>
      </c>
      <c r="Y2399" t="s">
        <v>1908</v>
      </c>
      <c r="Z2399" t="s">
        <v>1908</v>
      </c>
      <c r="AA2399">
        <v>80124</v>
      </c>
      <c r="AB2399" t="s">
        <v>11</v>
      </c>
    </row>
    <row r="2400" spans="1:35" x14ac:dyDescent="0.25">
      <c r="A2400" t="s">
        <v>9962</v>
      </c>
      <c r="C2400" t="s">
        <v>9963</v>
      </c>
      <c r="D2400" t="s">
        <v>9964</v>
      </c>
      <c r="E2400" t="s">
        <v>770</v>
      </c>
      <c r="F2400" t="s">
        <v>1884</v>
      </c>
      <c r="G2400" t="s">
        <v>1854</v>
      </c>
      <c r="H2400" t="s">
        <v>1885</v>
      </c>
      <c r="J2400" t="s">
        <v>773</v>
      </c>
      <c r="K2400" t="s">
        <v>4362</v>
      </c>
      <c r="L2400" s="2">
        <v>40500</v>
      </c>
      <c r="M2400" t="s">
        <v>53</v>
      </c>
      <c r="N2400" t="s">
        <v>770</v>
      </c>
      <c r="O2400">
        <v>1</v>
      </c>
      <c r="P2400" t="s">
        <v>776</v>
      </c>
      <c r="Q2400">
        <v>32.9</v>
      </c>
      <c r="R2400">
        <v>5.93</v>
      </c>
      <c r="Y2400" t="s">
        <v>9965</v>
      </c>
      <c r="Z2400" t="s">
        <v>2503</v>
      </c>
      <c r="AA2400">
        <v>48125</v>
      </c>
      <c r="AB2400" t="s">
        <v>11</v>
      </c>
    </row>
    <row r="2401" spans="1:35" x14ac:dyDescent="0.25">
      <c r="A2401" t="s">
        <v>9966</v>
      </c>
      <c r="C2401" t="s">
        <v>9967</v>
      </c>
      <c r="D2401" t="s">
        <v>9968</v>
      </c>
      <c r="E2401" t="s">
        <v>770</v>
      </c>
      <c r="F2401" t="s">
        <v>1884</v>
      </c>
      <c r="G2401" t="s">
        <v>1854</v>
      </c>
      <c r="H2401" t="s">
        <v>1885</v>
      </c>
      <c r="J2401" t="s">
        <v>773</v>
      </c>
      <c r="K2401" t="s">
        <v>1930</v>
      </c>
      <c r="L2401" t="s">
        <v>66</v>
      </c>
      <c r="M2401" t="s">
        <v>65</v>
      </c>
      <c r="N2401" t="s">
        <v>770</v>
      </c>
      <c r="O2401">
        <v>1</v>
      </c>
      <c r="P2401" t="s">
        <v>776</v>
      </c>
      <c r="Q2401">
        <v>29.9</v>
      </c>
      <c r="R2401">
        <v>5.39</v>
      </c>
      <c r="Y2401" t="s">
        <v>9969</v>
      </c>
      <c r="Z2401" t="s">
        <v>1893</v>
      </c>
      <c r="AA2401">
        <v>10070</v>
      </c>
      <c r="AB2401" t="s">
        <v>11</v>
      </c>
    </row>
    <row r="2402" spans="1:35" x14ac:dyDescent="0.25">
      <c r="A2402" t="s">
        <v>9970</v>
      </c>
      <c r="C2402" t="s">
        <v>9971</v>
      </c>
      <c r="D2402" t="s">
        <v>9972</v>
      </c>
      <c r="E2402" t="s">
        <v>770</v>
      </c>
      <c r="F2402" t="s">
        <v>1884</v>
      </c>
      <c r="G2402" t="s">
        <v>1854</v>
      </c>
      <c r="H2402" t="s">
        <v>1885</v>
      </c>
      <c r="J2402" t="s">
        <v>773</v>
      </c>
      <c r="K2402" t="s">
        <v>2889</v>
      </c>
      <c r="L2402" t="s">
        <v>135</v>
      </c>
      <c r="M2402" t="s">
        <v>134</v>
      </c>
      <c r="N2402" t="s">
        <v>770</v>
      </c>
      <c r="O2402">
        <v>1</v>
      </c>
      <c r="P2402" t="s">
        <v>776</v>
      </c>
      <c r="Q2402">
        <v>59.9</v>
      </c>
      <c r="R2402">
        <v>10.8</v>
      </c>
      <c r="Y2402" t="s">
        <v>9973</v>
      </c>
      <c r="Z2402" t="s">
        <v>9974</v>
      </c>
      <c r="AA2402">
        <v>54033</v>
      </c>
      <c r="AB2402" t="s">
        <v>11</v>
      </c>
    </row>
    <row r="2403" spans="1:35" x14ac:dyDescent="0.25">
      <c r="A2403" t="s">
        <v>9975</v>
      </c>
      <c r="C2403" t="s">
        <v>9976</v>
      </c>
      <c r="D2403" t="s">
        <v>9977</v>
      </c>
      <c r="E2403" t="s">
        <v>770</v>
      </c>
      <c r="F2403" t="s">
        <v>1884</v>
      </c>
      <c r="G2403" t="s">
        <v>1854</v>
      </c>
      <c r="H2403" t="s">
        <v>1885</v>
      </c>
      <c r="J2403" t="s">
        <v>773</v>
      </c>
      <c r="K2403" t="s">
        <v>4362</v>
      </c>
      <c r="L2403" s="2">
        <v>40500</v>
      </c>
      <c r="M2403" t="s">
        <v>53</v>
      </c>
      <c r="N2403" t="s">
        <v>770</v>
      </c>
      <c r="O2403">
        <v>1</v>
      </c>
      <c r="P2403" t="s">
        <v>776</v>
      </c>
      <c r="Q2403">
        <v>32.9</v>
      </c>
      <c r="R2403">
        <v>5.93</v>
      </c>
      <c r="Y2403" t="s">
        <v>9978</v>
      </c>
      <c r="Z2403" t="s">
        <v>9979</v>
      </c>
      <c r="AA2403">
        <v>52028</v>
      </c>
      <c r="AB2403" t="s">
        <v>11</v>
      </c>
    </row>
    <row r="2404" spans="1:35" x14ac:dyDescent="0.25">
      <c r="A2404" t="s">
        <v>9980</v>
      </c>
      <c r="C2404" t="s">
        <v>9981</v>
      </c>
      <c r="D2404" t="s">
        <v>9982</v>
      </c>
      <c r="E2404" t="s">
        <v>770</v>
      </c>
      <c r="F2404" t="s">
        <v>1884</v>
      </c>
      <c r="G2404" t="s">
        <v>1854</v>
      </c>
      <c r="H2404" t="s">
        <v>1885</v>
      </c>
      <c r="J2404" t="s">
        <v>773</v>
      </c>
      <c r="K2404" t="s">
        <v>4881</v>
      </c>
      <c r="L2404" s="2">
        <v>90882</v>
      </c>
      <c r="M2404" t="s">
        <v>232</v>
      </c>
      <c r="N2404" t="s">
        <v>770</v>
      </c>
      <c r="O2404">
        <v>1</v>
      </c>
      <c r="P2404" t="s">
        <v>776</v>
      </c>
      <c r="Q2404">
        <v>49.9</v>
      </c>
      <c r="R2404">
        <v>9</v>
      </c>
      <c r="Y2404" t="s">
        <v>9983</v>
      </c>
      <c r="Z2404" t="s">
        <v>2030</v>
      </c>
      <c r="AA2404">
        <v>38061</v>
      </c>
      <c r="AB2404" t="s">
        <v>11</v>
      </c>
      <c r="AG2404" t="s">
        <v>9984</v>
      </c>
      <c r="AH2404" t="s">
        <v>11</v>
      </c>
      <c r="AI2404" t="s">
        <v>1258</v>
      </c>
    </row>
    <row r="2405" spans="1:35" x14ac:dyDescent="0.25">
      <c r="A2405" t="s">
        <v>9985</v>
      </c>
      <c r="C2405" t="s">
        <v>9986</v>
      </c>
      <c r="D2405" t="s">
        <v>9987</v>
      </c>
      <c r="E2405" t="s">
        <v>770</v>
      </c>
      <c r="F2405" t="s">
        <v>1884</v>
      </c>
      <c r="G2405" t="s">
        <v>1854</v>
      </c>
      <c r="H2405" t="s">
        <v>1885</v>
      </c>
      <c r="J2405" t="s">
        <v>773</v>
      </c>
      <c r="K2405" t="s">
        <v>4822</v>
      </c>
      <c r="L2405" t="s">
        <v>123</v>
      </c>
      <c r="M2405" t="s">
        <v>122</v>
      </c>
      <c r="N2405" t="s">
        <v>770</v>
      </c>
      <c r="O2405">
        <v>1</v>
      </c>
      <c r="P2405" t="s">
        <v>776</v>
      </c>
      <c r="Q2405">
        <v>32.9</v>
      </c>
      <c r="R2405">
        <v>5.93</v>
      </c>
      <c r="Y2405" t="s">
        <v>2463</v>
      </c>
      <c r="Z2405" t="s">
        <v>2463</v>
      </c>
      <c r="AA2405">
        <v>6132</v>
      </c>
      <c r="AB2405" t="s">
        <v>11</v>
      </c>
      <c r="AG2405" t="s">
        <v>9988</v>
      </c>
      <c r="AH2405" t="s">
        <v>11</v>
      </c>
      <c r="AI2405" t="s">
        <v>1258</v>
      </c>
    </row>
    <row r="2406" spans="1:35" x14ac:dyDescent="0.25">
      <c r="A2406" t="s">
        <v>9989</v>
      </c>
      <c r="C2406" t="s">
        <v>9990</v>
      </c>
      <c r="D2406" t="s">
        <v>9991</v>
      </c>
      <c r="E2406" t="s">
        <v>770</v>
      </c>
      <c r="F2406" t="s">
        <v>1884</v>
      </c>
      <c r="G2406" t="s">
        <v>1854</v>
      </c>
      <c r="H2406" t="s">
        <v>1885</v>
      </c>
      <c r="J2406" t="s">
        <v>773</v>
      </c>
      <c r="K2406" t="s">
        <v>4362</v>
      </c>
      <c r="L2406" s="2">
        <v>40500</v>
      </c>
      <c r="M2406" t="s">
        <v>53</v>
      </c>
      <c r="N2406" t="s">
        <v>770</v>
      </c>
      <c r="O2406">
        <v>1</v>
      </c>
      <c r="P2406" t="s">
        <v>776</v>
      </c>
      <c r="Q2406">
        <v>32.9</v>
      </c>
      <c r="R2406">
        <v>5.93</v>
      </c>
      <c r="Y2406" t="s">
        <v>9992</v>
      </c>
      <c r="Z2406" t="s">
        <v>1913</v>
      </c>
      <c r="AA2406">
        <v>30</v>
      </c>
      <c r="AB2406" t="s">
        <v>11</v>
      </c>
    </row>
    <row r="2407" spans="1:35" x14ac:dyDescent="0.25">
      <c r="A2407" t="s">
        <v>9993</v>
      </c>
      <c r="C2407" t="s">
        <v>9994</v>
      </c>
      <c r="D2407" t="s">
        <v>9995</v>
      </c>
      <c r="E2407" t="s">
        <v>770</v>
      </c>
      <c r="F2407" t="s">
        <v>1884</v>
      </c>
      <c r="G2407" t="s">
        <v>1854</v>
      </c>
      <c r="H2407" t="s">
        <v>1885</v>
      </c>
      <c r="J2407" t="s">
        <v>773</v>
      </c>
      <c r="K2407" t="s">
        <v>1886</v>
      </c>
      <c r="L2407" t="s">
        <v>18</v>
      </c>
      <c r="M2407" t="s">
        <v>17</v>
      </c>
      <c r="N2407" t="s">
        <v>770</v>
      </c>
      <c r="O2407">
        <v>1</v>
      </c>
      <c r="P2407" t="s">
        <v>776</v>
      </c>
      <c r="Q2407">
        <v>22.9</v>
      </c>
      <c r="R2407">
        <v>4.13</v>
      </c>
      <c r="Y2407" t="s">
        <v>3287</v>
      </c>
      <c r="Z2407" t="s">
        <v>3916</v>
      </c>
      <c r="AA2407">
        <v>23900</v>
      </c>
      <c r="AB2407" t="s">
        <v>11</v>
      </c>
    </row>
    <row r="2408" spans="1:35" x14ac:dyDescent="0.25">
      <c r="A2408" t="s">
        <v>9996</v>
      </c>
      <c r="C2408" t="s">
        <v>9997</v>
      </c>
      <c r="D2408" t="s">
        <v>9958</v>
      </c>
      <c r="E2408" t="s">
        <v>770</v>
      </c>
      <c r="F2408" t="s">
        <v>1884</v>
      </c>
      <c r="G2408" t="s">
        <v>1854</v>
      </c>
      <c r="H2408" t="s">
        <v>1885</v>
      </c>
      <c r="J2408" t="s">
        <v>773</v>
      </c>
      <c r="K2408" t="s">
        <v>4362</v>
      </c>
      <c r="L2408" s="2">
        <v>40500</v>
      </c>
      <c r="M2408" t="s">
        <v>53</v>
      </c>
      <c r="N2408" t="s">
        <v>770</v>
      </c>
      <c r="O2408">
        <v>1</v>
      </c>
      <c r="P2408" t="s">
        <v>776</v>
      </c>
      <c r="Q2408">
        <v>32.9</v>
      </c>
      <c r="R2408">
        <v>5.93</v>
      </c>
      <c r="Y2408" t="s">
        <v>9998</v>
      </c>
      <c r="Z2408" t="s">
        <v>2057</v>
      </c>
      <c r="AA2408">
        <v>37010</v>
      </c>
      <c r="AB2408" t="s">
        <v>11</v>
      </c>
    </row>
    <row r="2409" spans="1:35" x14ac:dyDescent="0.25">
      <c r="A2409" t="s">
        <v>9999</v>
      </c>
      <c r="C2409" t="s">
        <v>10000</v>
      </c>
      <c r="D2409" t="s">
        <v>9964</v>
      </c>
      <c r="E2409" t="s">
        <v>770</v>
      </c>
      <c r="F2409" t="s">
        <v>1884</v>
      </c>
      <c r="G2409" t="s">
        <v>1854</v>
      </c>
      <c r="H2409" t="s">
        <v>1885</v>
      </c>
      <c r="J2409" t="s">
        <v>773</v>
      </c>
      <c r="K2409" t="s">
        <v>3363</v>
      </c>
      <c r="L2409" s="2">
        <v>40490</v>
      </c>
      <c r="M2409" t="s">
        <v>71</v>
      </c>
      <c r="N2409" t="s">
        <v>770</v>
      </c>
      <c r="O2409">
        <v>1</v>
      </c>
      <c r="P2409" t="s">
        <v>776</v>
      </c>
      <c r="Q2409">
        <v>29.9</v>
      </c>
      <c r="R2409">
        <v>5.39</v>
      </c>
      <c r="Y2409" t="s">
        <v>10001</v>
      </c>
      <c r="Z2409" t="s">
        <v>2523</v>
      </c>
      <c r="AA2409">
        <v>87100</v>
      </c>
      <c r="AB2409" t="s">
        <v>11</v>
      </c>
    </row>
    <row r="2410" spans="1:35" x14ac:dyDescent="0.25">
      <c r="A2410" t="s">
        <v>10002</v>
      </c>
      <c r="C2410" t="s">
        <v>10003</v>
      </c>
      <c r="D2410" t="s">
        <v>10004</v>
      </c>
      <c r="E2410" t="s">
        <v>770</v>
      </c>
      <c r="F2410" t="s">
        <v>1884</v>
      </c>
      <c r="G2410" t="s">
        <v>1854</v>
      </c>
      <c r="H2410" t="s">
        <v>1885</v>
      </c>
      <c r="J2410" t="s">
        <v>773</v>
      </c>
      <c r="K2410" t="s">
        <v>1930</v>
      </c>
      <c r="L2410" t="s">
        <v>66</v>
      </c>
      <c r="M2410" t="s">
        <v>65</v>
      </c>
      <c r="N2410" t="s">
        <v>770</v>
      </c>
      <c r="O2410">
        <v>1</v>
      </c>
      <c r="P2410" t="s">
        <v>776</v>
      </c>
      <c r="Q2410">
        <v>29.9</v>
      </c>
      <c r="R2410">
        <v>5.39</v>
      </c>
      <c r="Y2410" t="s">
        <v>4749</v>
      </c>
      <c r="Z2410" t="s">
        <v>1913</v>
      </c>
      <c r="AA2410">
        <v>54</v>
      </c>
      <c r="AB2410" t="s">
        <v>11</v>
      </c>
    </row>
    <row r="2411" spans="1:35" x14ac:dyDescent="0.25">
      <c r="A2411" t="s">
        <v>10005</v>
      </c>
      <c r="C2411" t="s">
        <v>10006</v>
      </c>
      <c r="D2411" t="s">
        <v>10007</v>
      </c>
      <c r="E2411" t="s">
        <v>770</v>
      </c>
      <c r="F2411" t="s">
        <v>1884</v>
      </c>
      <c r="G2411" t="s">
        <v>1854</v>
      </c>
      <c r="H2411" t="s">
        <v>1885</v>
      </c>
      <c r="J2411" t="s">
        <v>773</v>
      </c>
      <c r="K2411" t="s">
        <v>1873</v>
      </c>
      <c r="L2411" t="s">
        <v>27</v>
      </c>
      <c r="M2411" t="s">
        <v>26</v>
      </c>
      <c r="N2411" t="s">
        <v>770</v>
      </c>
      <c r="O2411">
        <v>1</v>
      </c>
      <c r="P2411" t="s">
        <v>776</v>
      </c>
      <c r="Q2411">
        <v>34.9</v>
      </c>
      <c r="R2411">
        <v>6.29</v>
      </c>
    </row>
    <row r="2412" spans="1:35" x14ac:dyDescent="0.25">
      <c r="A2412" t="s">
        <v>10008</v>
      </c>
      <c r="C2412" t="s">
        <v>10009</v>
      </c>
      <c r="D2412" t="s">
        <v>10010</v>
      </c>
      <c r="E2412" t="s">
        <v>770</v>
      </c>
      <c r="F2412" t="s">
        <v>1884</v>
      </c>
      <c r="G2412" t="s">
        <v>1854</v>
      </c>
      <c r="H2412" t="s">
        <v>1885</v>
      </c>
      <c r="J2412" t="s">
        <v>773</v>
      </c>
      <c r="K2412" t="s">
        <v>1873</v>
      </c>
      <c r="L2412" t="s">
        <v>27</v>
      </c>
      <c r="M2412" t="s">
        <v>26</v>
      </c>
      <c r="N2412" t="s">
        <v>770</v>
      </c>
      <c r="O2412">
        <v>1</v>
      </c>
      <c r="P2412" t="s">
        <v>776</v>
      </c>
      <c r="Q2412">
        <v>34.9</v>
      </c>
      <c r="R2412">
        <v>6.29</v>
      </c>
      <c r="Y2412" t="s">
        <v>10011</v>
      </c>
      <c r="Z2412" t="s">
        <v>2855</v>
      </c>
      <c r="AA2412">
        <v>61049</v>
      </c>
      <c r="AB2412" t="s">
        <v>11</v>
      </c>
    </row>
    <row r="2413" spans="1:35" x14ac:dyDescent="0.25">
      <c r="A2413" t="s">
        <v>10012</v>
      </c>
      <c r="C2413" t="s">
        <v>10013</v>
      </c>
      <c r="D2413" t="s">
        <v>10014</v>
      </c>
      <c r="E2413" t="s">
        <v>770</v>
      </c>
      <c r="F2413" t="s">
        <v>1884</v>
      </c>
      <c r="G2413" t="s">
        <v>1854</v>
      </c>
      <c r="H2413" t="s">
        <v>1885</v>
      </c>
      <c r="J2413" t="s">
        <v>773</v>
      </c>
      <c r="K2413" t="s">
        <v>1873</v>
      </c>
      <c r="L2413" t="s">
        <v>27</v>
      </c>
      <c r="M2413" t="s">
        <v>26</v>
      </c>
      <c r="N2413" t="s">
        <v>770</v>
      </c>
      <c r="O2413">
        <v>1</v>
      </c>
      <c r="P2413" t="s">
        <v>776</v>
      </c>
      <c r="Q2413">
        <v>34.9</v>
      </c>
      <c r="R2413">
        <v>6.29</v>
      </c>
      <c r="Y2413" t="s">
        <v>10015</v>
      </c>
      <c r="Z2413" t="s">
        <v>2281</v>
      </c>
      <c r="AA2413">
        <v>73032</v>
      </c>
      <c r="AB2413" t="s">
        <v>11</v>
      </c>
    </row>
    <row r="2414" spans="1:35" x14ac:dyDescent="0.25">
      <c r="A2414" t="s">
        <v>10016</v>
      </c>
      <c r="C2414" t="s">
        <v>10017</v>
      </c>
      <c r="D2414" t="s">
        <v>10018</v>
      </c>
      <c r="E2414" t="s">
        <v>770</v>
      </c>
      <c r="F2414" t="s">
        <v>1884</v>
      </c>
      <c r="G2414" t="s">
        <v>1854</v>
      </c>
      <c r="H2414" t="s">
        <v>1885</v>
      </c>
      <c r="J2414" t="s">
        <v>773</v>
      </c>
      <c r="K2414" t="s">
        <v>4362</v>
      </c>
      <c r="L2414" s="2">
        <v>40500</v>
      </c>
      <c r="M2414" t="s">
        <v>53</v>
      </c>
      <c r="N2414" t="s">
        <v>770</v>
      </c>
      <c r="O2414">
        <v>1</v>
      </c>
      <c r="P2414" t="s">
        <v>776</v>
      </c>
      <c r="Q2414">
        <v>32.9</v>
      </c>
      <c r="R2414">
        <v>5.93</v>
      </c>
      <c r="Y2414" t="s">
        <v>10019</v>
      </c>
      <c r="Z2414" t="s">
        <v>3089</v>
      </c>
      <c r="AA2414">
        <v>25039</v>
      </c>
      <c r="AB2414" t="s">
        <v>11</v>
      </c>
    </row>
    <row r="2415" spans="1:35" x14ac:dyDescent="0.25">
      <c r="A2415" t="s">
        <v>10020</v>
      </c>
      <c r="C2415" t="s">
        <v>10021</v>
      </c>
      <c r="D2415" t="s">
        <v>10022</v>
      </c>
      <c r="E2415" t="s">
        <v>770</v>
      </c>
      <c r="F2415" t="s">
        <v>1884</v>
      </c>
      <c r="G2415" t="s">
        <v>1854</v>
      </c>
      <c r="H2415" t="s">
        <v>1885</v>
      </c>
      <c r="J2415" t="s">
        <v>773</v>
      </c>
      <c r="K2415" t="s">
        <v>1873</v>
      </c>
      <c r="L2415" t="s">
        <v>27</v>
      </c>
      <c r="M2415" t="s">
        <v>26</v>
      </c>
      <c r="N2415" t="s">
        <v>770</v>
      </c>
      <c r="O2415">
        <v>1</v>
      </c>
      <c r="P2415" t="s">
        <v>776</v>
      </c>
      <c r="Q2415">
        <v>34.9</v>
      </c>
      <c r="R2415">
        <v>6.29</v>
      </c>
      <c r="Y2415" t="s">
        <v>10023</v>
      </c>
      <c r="Z2415" t="s">
        <v>3089</v>
      </c>
      <c r="AA2415">
        <v>25030</v>
      </c>
      <c r="AB2415" t="s">
        <v>11</v>
      </c>
    </row>
    <row r="2416" spans="1:35" x14ac:dyDescent="0.25">
      <c r="A2416" t="s">
        <v>10024</v>
      </c>
      <c r="C2416" t="s">
        <v>10025</v>
      </c>
      <c r="D2416" t="s">
        <v>10026</v>
      </c>
      <c r="E2416" t="s">
        <v>770</v>
      </c>
      <c r="F2416" t="s">
        <v>1884</v>
      </c>
      <c r="G2416" t="s">
        <v>1854</v>
      </c>
      <c r="H2416" t="s">
        <v>1885</v>
      </c>
      <c r="J2416" t="s">
        <v>773</v>
      </c>
      <c r="K2416" t="s">
        <v>4362</v>
      </c>
      <c r="L2416" s="2">
        <v>40500</v>
      </c>
      <c r="M2416" t="s">
        <v>53</v>
      </c>
      <c r="N2416" t="s">
        <v>770</v>
      </c>
      <c r="O2416">
        <v>1</v>
      </c>
      <c r="P2416" t="s">
        <v>776</v>
      </c>
      <c r="Q2416">
        <v>32.9</v>
      </c>
      <c r="R2416">
        <v>5.93</v>
      </c>
      <c r="Y2416" t="s">
        <v>10027</v>
      </c>
      <c r="Z2416" t="s">
        <v>1864</v>
      </c>
      <c r="AA2416">
        <v>20098</v>
      </c>
      <c r="AB2416" t="s">
        <v>11</v>
      </c>
    </row>
    <row r="2417" spans="1:35" x14ac:dyDescent="0.25">
      <c r="A2417" t="s">
        <v>10028</v>
      </c>
      <c r="C2417" t="s">
        <v>10029</v>
      </c>
      <c r="D2417" t="s">
        <v>10030</v>
      </c>
      <c r="E2417" t="s">
        <v>770</v>
      </c>
      <c r="F2417" t="s">
        <v>1884</v>
      </c>
      <c r="G2417" t="s">
        <v>1854</v>
      </c>
      <c r="H2417" t="s">
        <v>1885</v>
      </c>
      <c r="J2417" t="s">
        <v>773</v>
      </c>
      <c r="K2417" t="s">
        <v>1930</v>
      </c>
      <c r="L2417" t="s">
        <v>66</v>
      </c>
      <c r="M2417" t="s">
        <v>65</v>
      </c>
      <c r="N2417" t="s">
        <v>770</v>
      </c>
      <c r="O2417">
        <v>1</v>
      </c>
      <c r="P2417" t="s">
        <v>776</v>
      </c>
      <c r="Q2417">
        <v>29.9</v>
      </c>
      <c r="R2417">
        <v>5.39</v>
      </c>
      <c r="Y2417" t="s">
        <v>2533</v>
      </c>
      <c r="Z2417" t="s">
        <v>2533</v>
      </c>
      <c r="AA2417">
        <v>35128</v>
      </c>
      <c r="AB2417" t="s">
        <v>11</v>
      </c>
    </row>
    <row r="2418" spans="1:35" x14ac:dyDescent="0.25">
      <c r="A2418" t="s">
        <v>10031</v>
      </c>
      <c r="C2418" t="s">
        <v>10032</v>
      </c>
      <c r="D2418" t="s">
        <v>10022</v>
      </c>
      <c r="E2418" t="s">
        <v>770</v>
      </c>
      <c r="F2418" t="s">
        <v>1884</v>
      </c>
      <c r="G2418" t="s">
        <v>1854</v>
      </c>
      <c r="H2418" t="s">
        <v>1885</v>
      </c>
      <c r="J2418" t="s">
        <v>773</v>
      </c>
      <c r="K2418" t="s">
        <v>1886</v>
      </c>
      <c r="L2418" t="s">
        <v>18</v>
      </c>
      <c r="M2418" t="s">
        <v>17</v>
      </c>
      <c r="N2418" t="s">
        <v>770</v>
      </c>
      <c r="O2418">
        <v>1</v>
      </c>
      <c r="P2418" t="s">
        <v>776</v>
      </c>
      <c r="Q2418">
        <v>22.9</v>
      </c>
      <c r="R2418">
        <v>4.13</v>
      </c>
      <c r="Y2418" t="s">
        <v>10033</v>
      </c>
      <c r="Z2418" t="s">
        <v>3608</v>
      </c>
      <c r="AA2418">
        <v>21038</v>
      </c>
      <c r="AB2418" t="s">
        <v>11</v>
      </c>
    </row>
    <row r="2419" spans="1:35" x14ac:dyDescent="0.25">
      <c r="A2419" t="s">
        <v>10034</v>
      </c>
      <c r="C2419" t="s">
        <v>10035</v>
      </c>
      <c r="D2419" t="s">
        <v>10036</v>
      </c>
      <c r="E2419" t="s">
        <v>770</v>
      </c>
      <c r="F2419" t="s">
        <v>1884</v>
      </c>
      <c r="G2419" t="s">
        <v>1854</v>
      </c>
      <c r="H2419" t="s">
        <v>1885</v>
      </c>
      <c r="J2419" t="s">
        <v>773</v>
      </c>
      <c r="K2419" t="s">
        <v>1886</v>
      </c>
      <c r="L2419" t="s">
        <v>18</v>
      </c>
      <c r="M2419" t="s">
        <v>17</v>
      </c>
      <c r="N2419" t="s">
        <v>770</v>
      </c>
      <c r="O2419">
        <v>1</v>
      </c>
      <c r="P2419" t="s">
        <v>776</v>
      </c>
      <c r="Q2419">
        <v>22.9</v>
      </c>
      <c r="R2419">
        <v>4.13</v>
      </c>
      <c r="Y2419" t="s">
        <v>8585</v>
      </c>
      <c r="Z2419" t="s">
        <v>8585</v>
      </c>
      <c r="AA2419">
        <v>42124</v>
      </c>
      <c r="AB2419" t="s">
        <v>11</v>
      </c>
    </row>
    <row r="2420" spans="1:35" x14ac:dyDescent="0.25">
      <c r="A2420" t="s">
        <v>10037</v>
      </c>
      <c r="C2420" t="s">
        <v>10038</v>
      </c>
      <c r="D2420" t="s">
        <v>10039</v>
      </c>
      <c r="E2420" t="s">
        <v>770</v>
      </c>
      <c r="F2420" t="s">
        <v>1884</v>
      </c>
      <c r="G2420" t="s">
        <v>1854</v>
      </c>
      <c r="H2420" t="s">
        <v>1885</v>
      </c>
      <c r="J2420" t="s">
        <v>773</v>
      </c>
      <c r="K2420" t="s">
        <v>4362</v>
      </c>
      <c r="L2420" s="2">
        <v>40500</v>
      </c>
      <c r="M2420" t="s">
        <v>53</v>
      </c>
      <c r="N2420" t="s">
        <v>770</v>
      </c>
      <c r="O2420">
        <v>1</v>
      </c>
      <c r="P2420" t="s">
        <v>776</v>
      </c>
      <c r="Q2420">
        <v>32.9</v>
      </c>
      <c r="R2420">
        <v>5.93</v>
      </c>
      <c r="Y2420" t="s">
        <v>10040</v>
      </c>
      <c r="Z2420" t="s">
        <v>3080</v>
      </c>
      <c r="AA2420">
        <v>30010</v>
      </c>
      <c r="AB2420" t="s">
        <v>11</v>
      </c>
    </row>
    <row r="2421" spans="1:35" x14ac:dyDescent="0.25">
      <c r="A2421" t="s">
        <v>10041</v>
      </c>
      <c r="C2421" t="s">
        <v>10042</v>
      </c>
      <c r="D2421" t="s">
        <v>10036</v>
      </c>
      <c r="E2421" t="s">
        <v>770</v>
      </c>
      <c r="F2421" t="s">
        <v>1884</v>
      </c>
      <c r="G2421" t="s">
        <v>1854</v>
      </c>
      <c r="H2421" t="s">
        <v>1885</v>
      </c>
      <c r="J2421" t="s">
        <v>773</v>
      </c>
      <c r="K2421" t="s">
        <v>1873</v>
      </c>
      <c r="L2421" t="s">
        <v>27</v>
      </c>
      <c r="M2421" t="s">
        <v>26</v>
      </c>
      <c r="N2421" t="s">
        <v>770</v>
      </c>
      <c r="O2421">
        <v>1</v>
      </c>
      <c r="P2421" t="s">
        <v>776</v>
      </c>
      <c r="Q2421">
        <v>34.9</v>
      </c>
      <c r="R2421">
        <v>6.29</v>
      </c>
      <c r="Y2421" t="s">
        <v>10043</v>
      </c>
      <c r="Z2421" t="s">
        <v>10044</v>
      </c>
      <c r="AA2421">
        <v>47039</v>
      </c>
      <c r="AB2421" t="s">
        <v>11</v>
      </c>
    </row>
    <row r="2422" spans="1:35" x14ac:dyDescent="0.25">
      <c r="A2422" t="s">
        <v>10045</v>
      </c>
      <c r="C2422" t="s">
        <v>10046</v>
      </c>
      <c r="D2422" t="s">
        <v>10047</v>
      </c>
      <c r="E2422" t="s">
        <v>770</v>
      </c>
      <c r="F2422" t="s">
        <v>1884</v>
      </c>
      <c r="G2422" t="s">
        <v>1854</v>
      </c>
      <c r="H2422" t="s">
        <v>1885</v>
      </c>
      <c r="J2422" t="s">
        <v>773</v>
      </c>
      <c r="K2422" t="s">
        <v>3363</v>
      </c>
      <c r="L2422" s="2">
        <v>40490</v>
      </c>
      <c r="M2422" t="s">
        <v>71</v>
      </c>
      <c r="N2422" t="s">
        <v>770</v>
      </c>
      <c r="O2422">
        <v>1</v>
      </c>
      <c r="P2422" t="s">
        <v>776</v>
      </c>
      <c r="Q2422">
        <v>29.9</v>
      </c>
      <c r="R2422">
        <v>5.39</v>
      </c>
      <c r="Y2422" t="s">
        <v>3003</v>
      </c>
      <c r="Z2422" t="s">
        <v>1913</v>
      </c>
      <c r="AA2422">
        <v>44</v>
      </c>
      <c r="AB2422" t="s">
        <v>11</v>
      </c>
      <c r="AG2422" t="s">
        <v>10048</v>
      </c>
      <c r="AH2422" t="s">
        <v>11</v>
      </c>
      <c r="AI2422" t="s">
        <v>1258</v>
      </c>
    </row>
    <row r="2423" spans="1:35" x14ac:dyDescent="0.25">
      <c r="A2423" t="s">
        <v>10049</v>
      </c>
      <c r="C2423" t="s">
        <v>10050</v>
      </c>
      <c r="D2423" t="s">
        <v>10026</v>
      </c>
      <c r="E2423" t="s">
        <v>770</v>
      </c>
      <c r="F2423" t="s">
        <v>1884</v>
      </c>
      <c r="G2423" t="s">
        <v>1854</v>
      </c>
      <c r="H2423" t="s">
        <v>1885</v>
      </c>
      <c r="J2423" t="s">
        <v>773</v>
      </c>
      <c r="K2423" t="s">
        <v>9645</v>
      </c>
      <c r="L2423" t="s">
        <v>213</v>
      </c>
      <c r="M2423" t="s">
        <v>212</v>
      </c>
      <c r="N2423" t="s">
        <v>770</v>
      </c>
      <c r="O2423">
        <v>1</v>
      </c>
      <c r="P2423" t="s">
        <v>776</v>
      </c>
      <c r="Q2423">
        <v>39.9</v>
      </c>
      <c r="R2423">
        <v>7.2</v>
      </c>
      <c r="Y2423" t="s">
        <v>10051</v>
      </c>
      <c r="Z2423" t="s">
        <v>3089</v>
      </c>
      <c r="AA2423">
        <v>25034</v>
      </c>
      <c r="AB2423" t="s">
        <v>11</v>
      </c>
    </row>
    <row r="2424" spans="1:35" x14ac:dyDescent="0.25">
      <c r="A2424" t="s">
        <v>10052</v>
      </c>
      <c r="C2424" t="s">
        <v>10053</v>
      </c>
      <c r="D2424" t="s">
        <v>10054</v>
      </c>
      <c r="E2424" t="s">
        <v>770</v>
      </c>
      <c r="F2424" t="s">
        <v>1884</v>
      </c>
      <c r="G2424" t="s">
        <v>1854</v>
      </c>
      <c r="H2424" t="s">
        <v>1885</v>
      </c>
      <c r="J2424" t="s">
        <v>773</v>
      </c>
      <c r="K2424" t="s">
        <v>9290</v>
      </c>
      <c r="L2424" t="s">
        <v>74</v>
      </c>
      <c r="M2424" t="s">
        <v>73</v>
      </c>
      <c r="N2424" t="s">
        <v>770</v>
      </c>
      <c r="O2424">
        <v>1</v>
      </c>
      <c r="P2424" t="s">
        <v>776</v>
      </c>
      <c r="Q2424">
        <v>18.899999999999999</v>
      </c>
      <c r="R2424">
        <v>3.41</v>
      </c>
      <c r="Y2424" t="s">
        <v>1913</v>
      </c>
      <c r="Z2424" t="s">
        <v>1926</v>
      </c>
      <c r="AA2424">
        <v>199</v>
      </c>
      <c r="AB2424" t="s">
        <v>11</v>
      </c>
    </row>
    <row r="2425" spans="1:35" x14ac:dyDescent="0.25">
      <c r="A2425" t="s">
        <v>10055</v>
      </c>
      <c r="C2425" t="s">
        <v>10056</v>
      </c>
      <c r="D2425" t="s">
        <v>10057</v>
      </c>
      <c r="E2425" t="s">
        <v>770</v>
      </c>
      <c r="F2425" t="s">
        <v>1884</v>
      </c>
      <c r="G2425" t="s">
        <v>1854</v>
      </c>
      <c r="H2425" t="s">
        <v>1885</v>
      </c>
      <c r="J2425" t="s">
        <v>773</v>
      </c>
      <c r="K2425" t="s">
        <v>1886</v>
      </c>
      <c r="L2425" t="s">
        <v>18</v>
      </c>
      <c r="M2425" t="s">
        <v>17</v>
      </c>
      <c r="N2425" t="s">
        <v>770</v>
      </c>
      <c r="O2425">
        <v>1</v>
      </c>
      <c r="P2425" t="s">
        <v>776</v>
      </c>
      <c r="Q2425">
        <v>22.9</v>
      </c>
      <c r="R2425">
        <v>4.13</v>
      </c>
      <c r="Y2425" t="s">
        <v>10058</v>
      </c>
      <c r="Z2425" t="s">
        <v>1913</v>
      </c>
      <c r="AA2425">
        <v>41</v>
      </c>
      <c r="AB2425" t="s">
        <v>11</v>
      </c>
    </row>
    <row r="2426" spans="1:35" x14ac:dyDescent="0.25">
      <c r="A2426" t="s">
        <v>10059</v>
      </c>
      <c r="C2426" t="s">
        <v>10060</v>
      </c>
      <c r="D2426" t="s">
        <v>10061</v>
      </c>
      <c r="E2426" t="s">
        <v>770</v>
      </c>
      <c r="F2426" t="s">
        <v>1884</v>
      </c>
      <c r="G2426" t="s">
        <v>1854</v>
      </c>
      <c r="H2426" t="s">
        <v>1885</v>
      </c>
      <c r="J2426" t="s">
        <v>773</v>
      </c>
      <c r="K2426" t="s">
        <v>4362</v>
      </c>
      <c r="L2426" s="2">
        <v>40500</v>
      </c>
      <c r="M2426" t="s">
        <v>53</v>
      </c>
      <c r="N2426" t="s">
        <v>770</v>
      </c>
      <c r="O2426">
        <v>1</v>
      </c>
      <c r="P2426" t="s">
        <v>776</v>
      </c>
      <c r="Q2426">
        <v>32.9</v>
      </c>
      <c r="R2426">
        <v>5.93</v>
      </c>
      <c r="Y2426" t="s">
        <v>1997</v>
      </c>
      <c r="Z2426" t="s">
        <v>1997</v>
      </c>
      <c r="AA2426">
        <v>50126</v>
      </c>
      <c r="AB2426" t="s">
        <v>11</v>
      </c>
    </row>
    <row r="2427" spans="1:35" x14ac:dyDescent="0.25">
      <c r="A2427" t="s">
        <v>10062</v>
      </c>
      <c r="C2427" t="s">
        <v>10063</v>
      </c>
      <c r="D2427" t="s">
        <v>10064</v>
      </c>
      <c r="E2427" t="s">
        <v>770</v>
      </c>
      <c r="F2427" t="s">
        <v>1884</v>
      </c>
      <c r="G2427" t="s">
        <v>1854</v>
      </c>
      <c r="H2427" t="s">
        <v>1885</v>
      </c>
      <c r="J2427" t="s">
        <v>773</v>
      </c>
      <c r="K2427" t="s">
        <v>2248</v>
      </c>
      <c r="L2427" t="s">
        <v>173</v>
      </c>
      <c r="M2427" t="s">
        <v>172</v>
      </c>
      <c r="N2427" t="s">
        <v>770</v>
      </c>
      <c r="O2427">
        <v>1</v>
      </c>
      <c r="P2427" t="s">
        <v>776</v>
      </c>
      <c r="Q2427">
        <v>44.9</v>
      </c>
      <c r="R2427">
        <v>8.1</v>
      </c>
      <c r="Y2427" t="s">
        <v>10065</v>
      </c>
      <c r="Z2427" t="s">
        <v>2528</v>
      </c>
      <c r="AA2427">
        <v>85050</v>
      </c>
      <c r="AB2427" t="s">
        <v>11</v>
      </c>
    </row>
    <row r="2428" spans="1:35" x14ac:dyDescent="0.25">
      <c r="A2428" t="s">
        <v>10066</v>
      </c>
      <c r="C2428" t="s">
        <v>10067</v>
      </c>
      <c r="D2428" t="s">
        <v>10036</v>
      </c>
      <c r="E2428" t="s">
        <v>770</v>
      </c>
      <c r="F2428" t="s">
        <v>1884</v>
      </c>
      <c r="G2428" t="s">
        <v>1854</v>
      </c>
      <c r="H2428" t="s">
        <v>1885</v>
      </c>
      <c r="J2428" t="s">
        <v>773</v>
      </c>
      <c r="K2428" t="s">
        <v>2889</v>
      </c>
      <c r="L2428" t="s">
        <v>135</v>
      </c>
      <c r="M2428" t="s">
        <v>134</v>
      </c>
      <c r="N2428" t="s">
        <v>770</v>
      </c>
      <c r="O2428">
        <v>1</v>
      </c>
      <c r="P2428" t="s">
        <v>776</v>
      </c>
      <c r="Q2428">
        <v>59.9</v>
      </c>
      <c r="R2428">
        <v>10.8</v>
      </c>
      <c r="Y2428" t="s">
        <v>1893</v>
      </c>
      <c r="Z2428" t="s">
        <v>1869</v>
      </c>
      <c r="AA2428">
        <v>10128</v>
      </c>
      <c r="AB2428" t="s">
        <v>11</v>
      </c>
    </row>
    <row r="2429" spans="1:35" x14ac:dyDescent="0.25">
      <c r="A2429" t="s">
        <v>10068</v>
      </c>
      <c r="C2429" t="s">
        <v>10069</v>
      </c>
      <c r="D2429" t="s">
        <v>10036</v>
      </c>
      <c r="E2429" t="s">
        <v>770</v>
      </c>
      <c r="F2429" t="s">
        <v>1884</v>
      </c>
      <c r="G2429" t="s">
        <v>1854</v>
      </c>
      <c r="H2429" t="s">
        <v>1885</v>
      </c>
      <c r="J2429" t="s">
        <v>773</v>
      </c>
      <c r="K2429" t="s">
        <v>2889</v>
      </c>
      <c r="L2429" t="s">
        <v>135</v>
      </c>
      <c r="M2429" t="s">
        <v>134</v>
      </c>
      <c r="N2429" t="s">
        <v>770</v>
      </c>
      <c r="O2429">
        <v>1</v>
      </c>
      <c r="P2429" t="s">
        <v>776</v>
      </c>
      <c r="Q2429">
        <v>59.9</v>
      </c>
      <c r="R2429">
        <v>10.8</v>
      </c>
      <c r="Y2429" t="s">
        <v>10070</v>
      </c>
      <c r="Z2429" t="s">
        <v>1997</v>
      </c>
      <c r="AA2429">
        <v>50055</v>
      </c>
      <c r="AB2429" t="s">
        <v>11</v>
      </c>
    </row>
    <row r="2430" spans="1:35" x14ac:dyDescent="0.25">
      <c r="A2430" t="s">
        <v>10071</v>
      </c>
      <c r="C2430" t="s">
        <v>10072</v>
      </c>
      <c r="D2430" t="s">
        <v>10073</v>
      </c>
      <c r="E2430" t="s">
        <v>770</v>
      </c>
      <c r="F2430" t="s">
        <v>1884</v>
      </c>
      <c r="G2430" t="s">
        <v>1854</v>
      </c>
      <c r="H2430" t="s">
        <v>1885</v>
      </c>
      <c r="J2430" t="s">
        <v>773</v>
      </c>
      <c r="K2430" t="s">
        <v>4362</v>
      </c>
      <c r="L2430" s="2">
        <v>40500</v>
      </c>
      <c r="M2430" t="s">
        <v>53</v>
      </c>
      <c r="N2430" t="s">
        <v>770</v>
      </c>
      <c r="O2430">
        <v>1</v>
      </c>
      <c r="P2430" t="s">
        <v>776</v>
      </c>
      <c r="Q2430">
        <v>32.9</v>
      </c>
      <c r="R2430">
        <v>5.93</v>
      </c>
      <c r="Y2430" t="s">
        <v>1913</v>
      </c>
      <c r="Z2430" t="s">
        <v>1926</v>
      </c>
      <c r="AA2430">
        <v>132</v>
      </c>
      <c r="AB2430" t="s">
        <v>11</v>
      </c>
    </row>
    <row r="2431" spans="1:35" x14ac:dyDescent="0.25">
      <c r="A2431" t="s">
        <v>10074</v>
      </c>
      <c r="C2431" t="s">
        <v>10075</v>
      </c>
      <c r="D2431" t="s">
        <v>10076</v>
      </c>
      <c r="E2431" t="s">
        <v>770</v>
      </c>
      <c r="F2431" t="s">
        <v>1884</v>
      </c>
      <c r="G2431" t="s">
        <v>1854</v>
      </c>
      <c r="H2431" t="s">
        <v>1885</v>
      </c>
      <c r="J2431" t="s">
        <v>773</v>
      </c>
      <c r="K2431" t="s">
        <v>4822</v>
      </c>
      <c r="L2431" t="s">
        <v>123</v>
      </c>
      <c r="M2431" t="s">
        <v>122</v>
      </c>
      <c r="N2431" t="s">
        <v>770</v>
      </c>
      <c r="O2431">
        <v>1</v>
      </c>
      <c r="P2431" t="s">
        <v>776</v>
      </c>
      <c r="Q2431">
        <v>32.9</v>
      </c>
      <c r="R2431">
        <v>5.93</v>
      </c>
      <c r="Y2431" t="s">
        <v>3608</v>
      </c>
      <c r="Z2431" t="s">
        <v>3608</v>
      </c>
      <c r="AA2431">
        <v>21100</v>
      </c>
      <c r="AB2431" t="s">
        <v>11</v>
      </c>
      <c r="AG2431" t="s">
        <v>10077</v>
      </c>
      <c r="AH2431" t="s">
        <v>11</v>
      </c>
      <c r="AI2431" t="s">
        <v>1258</v>
      </c>
    </row>
    <row r="2432" spans="1:35" x14ac:dyDescent="0.25">
      <c r="A2432" t="s">
        <v>10078</v>
      </c>
      <c r="C2432" t="s">
        <v>10079</v>
      </c>
      <c r="D2432" t="s">
        <v>10080</v>
      </c>
      <c r="E2432" t="s">
        <v>770</v>
      </c>
      <c r="F2432" t="s">
        <v>1884</v>
      </c>
      <c r="G2432" t="s">
        <v>1854</v>
      </c>
      <c r="H2432" t="s">
        <v>1885</v>
      </c>
      <c r="J2432" t="s">
        <v>773</v>
      </c>
      <c r="K2432" t="s">
        <v>4362</v>
      </c>
      <c r="L2432" s="2">
        <v>40500</v>
      </c>
      <c r="M2432" t="s">
        <v>53</v>
      </c>
      <c r="N2432" t="s">
        <v>770</v>
      </c>
      <c r="O2432">
        <v>1</v>
      </c>
      <c r="P2432" t="s">
        <v>776</v>
      </c>
      <c r="Q2432">
        <v>32.9</v>
      </c>
      <c r="R2432">
        <v>5.93</v>
      </c>
      <c r="Y2432" t="s">
        <v>10081</v>
      </c>
      <c r="Z2432" t="s">
        <v>1908</v>
      </c>
      <c r="AA2432">
        <v>80034</v>
      </c>
      <c r="AB2432" t="s">
        <v>11</v>
      </c>
    </row>
    <row r="2433" spans="1:35" x14ac:dyDescent="0.25">
      <c r="A2433" t="s">
        <v>10082</v>
      </c>
      <c r="C2433" t="s">
        <v>10083</v>
      </c>
      <c r="D2433" t="s">
        <v>10084</v>
      </c>
      <c r="E2433" t="s">
        <v>770</v>
      </c>
      <c r="F2433" t="s">
        <v>1884</v>
      </c>
      <c r="G2433" t="s">
        <v>1854</v>
      </c>
      <c r="H2433" t="s">
        <v>1885</v>
      </c>
      <c r="J2433" t="s">
        <v>773</v>
      </c>
      <c r="K2433" t="s">
        <v>1873</v>
      </c>
      <c r="L2433" t="s">
        <v>27</v>
      </c>
      <c r="M2433" t="s">
        <v>26</v>
      </c>
      <c r="N2433" t="s">
        <v>770</v>
      </c>
      <c r="O2433">
        <v>1</v>
      </c>
      <c r="P2433" t="s">
        <v>776</v>
      </c>
      <c r="Q2433">
        <v>34.9</v>
      </c>
      <c r="R2433">
        <v>6.29</v>
      </c>
      <c r="Y2433" t="s">
        <v>1913</v>
      </c>
      <c r="Z2433" t="s">
        <v>2548</v>
      </c>
      <c r="AA2433">
        <v>144</v>
      </c>
      <c r="AB2433" t="s">
        <v>11</v>
      </c>
    </row>
    <row r="2434" spans="1:35" x14ac:dyDescent="0.25">
      <c r="A2434" t="s">
        <v>10085</v>
      </c>
      <c r="C2434" t="s">
        <v>10086</v>
      </c>
      <c r="D2434" t="s">
        <v>10087</v>
      </c>
      <c r="E2434" t="s">
        <v>770</v>
      </c>
      <c r="F2434" t="s">
        <v>1884</v>
      </c>
      <c r="G2434" t="s">
        <v>1854</v>
      </c>
      <c r="H2434" t="s">
        <v>1885</v>
      </c>
      <c r="J2434" t="s">
        <v>773</v>
      </c>
      <c r="K2434" t="s">
        <v>1886</v>
      </c>
      <c r="L2434" t="s">
        <v>18</v>
      </c>
      <c r="M2434" t="s">
        <v>17</v>
      </c>
      <c r="N2434" t="s">
        <v>770</v>
      </c>
      <c r="O2434">
        <v>1</v>
      </c>
      <c r="P2434" t="s">
        <v>776</v>
      </c>
      <c r="Q2434">
        <v>22.9</v>
      </c>
      <c r="R2434">
        <v>4.13</v>
      </c>
      <c r="Y2434" t="s">
        <v>10088</v>
      </c>
      <c r="Z2434" t="s">
        <v>1898</v>
      </c>
      <c r="AA2434">
        <v>46033</v>
      </c>
      <c r="AB2434" t="s">
        <v>11</v>
      </c>
    </row>
    <row r="2435" spans="1:35" x14ac:dyDescent="0.25">
      <c r="A2435" t="s">
        <v>10089</v>
      </c>
      <c r="C2435" t="s">
        <v>10090</v>
      </c>
      <c r="D2435" t="s">
        <v>10091</v>
      </c>
      <c r="E2435" t="s">
        <v>770</v>
      </c>
      <c r="F2435" t="s">
        <v>1884</v>
      </c>
      <c r="G2435" t="s">
        <v>1854</v>
      </c>
      <c r="H2435" t="s">
        <v>1885</v>
      </c>
      <c r="J2435" t="s">
        <v>773</v>
      </c>
      <c r="K2435" t="s">
        <v>3363</v>
      </c>
      <c r="L2435" s="2">
        <v>40490</v>
      </c>
      <c r="M2435" t="s">
        <v>71</v>
      </c>
      <c r="N2435" t="s">
        <v>770</v>
      </c>
      <c r="O2435">
        <v>1</v>
      </c>
      <c r="P2435" t="s">
        <v>776</v>
      </c>
      <c r="Q2435">
        <v>29.9</v>
      </c>
      <c r="R2435">
        <v>5.39</v>
      </c>
      <c r="Y2435" t="s">
        <v>2134</v>
      </c>
      <c r="Z2435" t="s">
        <v>1913</v>
      </c>
      <c r="AA2435">
        <v>134</v>
      </c>
      <c r="AB2435" t="s">
        <v>11</v>
      </c>
      <c r="AG2435" t="s">
        <v>10092</v>
      </c>
      <c r="AH2435" t="s">
        <v>11</v>
      </c>
      <c r="AI2435" t="s">
        <v>1258</v>
      </c>
    </row>
    <row r="2436" spans="1:35" x14ac:dyDescent="0.25">
      <c r="A2436" t="s">
        <v>10093</v>
      </c>
      <c r="C2436" t="s">
        <v>10094</v>
      </c>
      <c r="D2436" t="s">
        <v>10095</v>
      </c>
      <c r="E2436" t="s">
        <v>770</v>
      </c>
      <c r="F2436" t="s">
        <v>1884</v>
      </c>
      <c r="G2436" t="s">
        <v>1854</v>
      </c>
      <c r="H2436" t="s">
        <v>1885</v>
      </c>
      <c r="J2436" t="s">
        <v>773</v>
      </c>
      <c r="K2436" t="s">
        <v>4470</v>
      </c>
      <c r="L2436" t="s">
        <v>95</v>
      </c>
      <c r="M2436" t="s">
        <v>94</v>
      </c>
      <c r="N2436" t="s">
        <v>770</v>
      </c>
      <c r="O2436">
        <v>1</v>
      </c>
      <c r="P2436" t="s">
        <v>776</v>
      </c>
      <c r="Q2436">
        <v>39.9</v>
      </c>
      <c r="R2436">
        <v>7.2</v>
      </c>
      <c r="Y2436" t="s">
        <v>10096</v>
      </c>
      <c r="Z2436" t="s">
        <v>4393</v>
      </c>
      <c r="AA2436">
        <v>95047</v>
      </c>
      <c r="AB2436" t="s">
        <v>11</v>
      </c>
    </row>
    <row r="2437" spans="1:35" x14ac:dyDescent="0.25">
      <c r="A2437" t="s">
        <v>10097</v>
      </c>
      <c r="C2437" t="s">
        <v>10098</v>
      </c>
      <c r="D2437" t="s">
        <v>10099</v>
      </c>
      <c r="E2437" t="s">
        <v>770</v>
      </c>
      <c r="F2437" t="s">
        <v>1884</v>
      </c>
      <c r="G2437" t="s">
        <v>1854</v>
      </c>
      <c r="H2437" t="s">
        <v>1885</v>
      </c>
      <c r="J2437" t="s">
        <v>773</v>
      </c>
      <c r="K2437" t="s">
        <v>4822</v>
      </c>
      <c r="L2437" t="s">
        <v>123</v>
      </c>
      <c r="M2437" t="s">
        <v>122</v>
      </c>
      <c r="N2437" t="s">
        <v>770</v>
      </c>
      <c r="O2437">
        <v>1</v>
      </c>
      <c r="P2437" t="s">
        <v>776</v>
      </c>
      <c r="Q2437">
        <v>32.9</v>
      </c>
      <c r="R2437">
        <v>5.93</v>
      </c>
      <c r="Y2437" t="s">
        <v>10100</v>
      </c>
      <c r="Z2437" t="s">
        <v>2786</v>
      </c>
      <c r="AA2437">
        <v>23020</v>
      </c>
      <c r="AB2437" t="s">
        <v>11</v>
      </c>
    </row>
    <row r="2438" spans="1:35" x14ac:dyDescent="0.25">
      <c r="A2438" t="s">
        <v>10101</v>
      </c>
      <c r="C2438" t="s">
        <v>10102</v>
      </c>
      <c r="D2438" t="s">
        <v>10036</v>
      </c>
      <c r="E2438" t="s">
        <v>770</v>
      </c>
      <c r="F2438" t="s">
        <v>1884</v>
      </c>
      <c r="G2438" t="s">
        <v>1854</v>
      </c>
      <c r="H2438" t="s">
        <v>1885</v>
      </c>
      <c r="J2438" t="s">
        <v>773</v>
      </c>
      <c r="K2438" t="s">
        <v>4881</v>
      </c>
      <c r="L2438" s="2">
        <v>90882</v>
      </c>
      <c r="M2438" t="s">
        <v>232</v>
      </c>
      <c r="N2438" t="s">
        <v>770</v>
      </c>
      <c r="O2438">
        <v>1</v>
      </c>
      <c r="P2438" t="s">
        <v>776</v>
      </c>
      <c r="Q2438">
        <v>49.9</v>
      </c>
      <c r="R2438">
        <v>9</v>
      </c>
      <c r="Y2438" t="s">
        <v>10103</v>
      </c>
      <c r="Z2438" t="s">
        <v>5455</v>
      </c>
      <c r="AA2438">
        <v>92026</v>
      </c>
      <c r="AB2438" t="s">
        <v>11</v>
      </c>
    </row>
    <row r="2439" spans="1:35" x14ac:dyDescent="0.25">
      <c r="A2439" t="s">
        <v>10104</v>
      </c>
      <c r="C2439" t="s">
        <v>10105</v>
      </c>
      <c r="D2439" t="s">
        <v>10026</v>
      </c>
      <c r="E2439" t="s">
        <v>770</v>
      </c>
      <c r="F2439" t="s">
        <v>1884</v>
      </c>
      <c r="G2439" t="s">
        <v>1854</v>
      </c>
      <c r="H2439" t="s">
        <v>1885</v>
      </c>
      <c r="J2439" t="s">
        <v>773</v>
      </c>
      <c r="K2439" t="s">
        <v>1886</v>
      </c>
      <c r="L2439" t="s">
        <v>18</v>
      </c>
      <c r="M2439" t="s">
        <v>17</v>
      </c>
      <c r="N2439" t="s">
        <v>770</v>
      </c>
      <c r="O2439">
        <v>1</v>
      </c>
      <c r="P2439" t="s">
        <v>776</v>
      </c>
      <c r="Q2439">
        <v>22.9</v>
      </c>
      <c r="R2439">
        <v>4.13</v>
      </c>
      <c r="Y2439" t="s">
        <v>10106</v>
      </c>
      <c r="Z2439" t="s">
        <v>1913</v>
      </c>
      <c r="AA2439">
        <v>33</v>
      </c>
      <c r="AB2439" t="s">
        <v>11</v>
      </c>
    </row>
    <row r="2440" spans="1:35" x14ac:dyDescent="0.25">
      <c r="A2440" t="s">
        <v>10107</v>
      </c>
      <c r="C2440" t="s">
        <v>10108</v>
      </c>
      <c r="D2440" t="s">
        <v>10022</v>
      </c>
      <c r="E2440" t="s">
        <v>770</v>
      </c>
      <c r="F2440" t="s">
        <v>1884</v>
      </c>
      <c r="G2440" t="s">
        <v>1854</v>
      </c>
      <c r="H2440" t="s">
        <v>1885</v>
      </c>
      <c r="J2440" t="s">
        <v>773</v>
      </c>
      <c r="K2440" t="s">
        <v>3363</v>
      </c>
      <c r="L2440" s="2">
        <v>40490</v>
      </c>
      <c r="M2440" t="s">
        <v>71</v>
      </c>
      <c r="N2440" t="s">
        <v>770</v>
      </c>
      <c r="O2440">
        <v>1</v>
      </c>
      <c r="P2440" t="s">
        <v>776</v>
      </c>
      <c r="Q2440">
        <v>29.9</v>
      </c>
      <c r="R2440">
        <v>5.39</v>
      </c>
      <c r="Y2440" t="s">
        <v>10109</v>
      </c>
      <c r="Z2440" t="s">
        <v>3287</v>
      </c>
      <c r="AA2440">
        <v>23880</v>
      </c>
      <c r="AB2440" t="s">
        <v>11</v>
      </c>
    </row>
    <row r="2441" spans="1:35" x14ac:dyDescent="0.25">
      <c r="A2441" t="s">
        <v>10110</v>
      </c>
      <c r="C2441" t="s">
        <v>10111</v>
      </c>
      <c r="D2441" t="s">
        <v>10112</v>
      </c>
      <c r="E2441" t="s">
        <v>770</v>
      </c>
      <c r="F2441" t="s">
        <v>1884</v>
      </c>
      <c r="G2441" t="s">
        <v>1854</v>
      </c>
      <c r="H2441" t="s">
        <v>1885</v>
      </c>
      <c r="J2441" t="s">
        <v>773</v>
      </c>
      <c r="K2441" t="s">
        <v>1886</v>
      </c>
      <c r="L2441" t="s">
        <v>18</v>
      </c>
      <c r="M2441" t="s">
        <v>17</v>
      </c>
      <c r="N2441" t="s">
        <v>770</v>
      </c>
      <c r="O2441">
        <v>1</v>
      </c>
      <c r="P2441" t="s">
        <v>776</v>
      </c>
      <c r="Q2441">
        <v>22.9</v>
      </c>
      <c r="R2441">
        <v>4.13</v>
      </c>
      <c r="Y2441" t="s">
        <v>6670</v>
      </c>
      <c r="Z2441" t="s">
        <v>2433</v>
      </c>
      <c r="AA2441">
        <v>37126</v>
      </c>
      <c r="AB2441" t="s">
        <v>11</v>
      </c>
    </row>
    <row r="2442" spans="1:35" x14ac:dyDescent="0.25">
      <c r="A2442" t="s">
        <v>10113</v>
      </c>
      <c r="C2442" t="s">
        <v>10114</v>
      </c>
      <c r="D2442" t="s">
        <v>10115</v>
      </c>
      <c r="E2442" t="s">
        <v>770</v>
      </c>
      <c r="F2442" t="s">
        <v>1884</v>
      </c>
      <c r="G2442" t="s">
        <v>1854</v>
      </c>
      <c r="H2442" t="s">
        <v>1885</v>
      </c>
      <c r="J2442" t="s">
        <v>773</v>
      </c>
      <c r="K2442" t="s">
        <v>1930</v>
      </c>
      <c r="L2442" t="s">
        <v>66</v>
      </c>
      <c r="M2442" t="s">
        <v>65</v>
      </c>
      <c r="N2442" t="s">
        <v>770</v>
      </c>
      <c r="O2442">
        <v>1</v>
      </c>
      <c r="P2442" t="s">
        <v>776</v>
      </c>
      <c r="Q2442">
        <v>29.9</v>
      </c>
      <c r="R2442">
        <v>5.39</v>
      </c>
      <c r="Y2442" t="s">
        <v>10116</v>
      </c>
      <c r="Z2442" t="s">
        <v>2040</v>
      </c>
      <c r="AA2442">
        <v>65010</v>
      </c>
      <c r="AB2442" t="s">
        <v>11</v>
      </c>
    </row>
    <row r="2443" spans="1:35" x14ac:dyDescent="0.25">
      <c r="A2443" t="s">
        <v>10117</v>
      </c>
      <c r="C2443" t="s">
        <v>10118</v>
      </c>
      <c r="D2443" t="s">
        <v>10119</v>
      </c>
      <c r="E2443" t="s">
        <v>770</v>
      </c>
      <c r="F2443" t="s">
        <v>1884</v>
      </c>
      <c r="G2443" t="s">
        <v>1854</v>
      </c>
      <c r="H2443" t="s">
        <v>1885</v>
      </c>
      <c r="J2443" t="s">
        <v>773</v>
      </c>
      <c r="K2443" t="s">
        <v>1873</v>
      </c>
      <c r="L2443" t="s">
        <v>27</v>
      </c>
      <c r="M2443" t="s">
        <v>26</v>
      </c>
      <c r="N2443" t="s">
        <v>770</v>
      </c>
      <c r="O2443">
        <v>1</v>
      </c>
      <c r="P2443" t="s">
        <v>776</v>
      </c>
      <c r="Q2443">
        <v>34.9</v>
      </c>
      <c r="R2443">
        <v>6.29</v>
      </c>
      <c r="Y2443" t="s">
        <v>10120</v>
      </c>
      <c r="Z2443" t="s">
        <v>2281</v>
      </c>
      <c r="AA2443">
        <v>73059</v>
      </c>
      <c r="AB2443" t="s">
        <v>11</v>
      </c>
    </row>
    <row r="2444" spans="1:35" x14ac:dyDescent="0.25">
      <c r="A2444" t="s">
        <v>10121</v>
      </c>
      <c r="C2444" t="s">
        <v>10122</v>
      </c>
      <c r="D2444" t="s">
        <v>10123</v>
      </c>
      <c r="E2444" t="s">
        <v>770</v>
      </c>
      <c r="F2444" t="s">
        <v>1884</v>
      </c>
      <c r="G2444" t="s">
        <v>1854</v>
      </c>
      <c r="H2444" t="s">
        <v>1885</v>
      </c>
      <c r="J2444" t="s">
        <v>773</v>
      </c>
      <c r="K2444" t="s">
        <v>4362</v>
      </c>
      <c r="L2444" s="2">
        <v>40500</v>
      </c>
      <c r="M2444" t="s">
        <v>53</v>
      </c>
      <c r="N2444" t="s">
        <v>770</v>
      </c>
      <c r="O2444">
        <v>1</v>
      </c>
      <c r="P2444" t="s">
        <v>776</v>
      </c>
      <c r="Q2444">
        <v>32.9</v>
      </c>
      <c r="R2444">
        <v>5.93</v>
      </c>
      <c r="Y2444" t="s">
        <v>10124</v>
      </c>
      <c r="Z2444" t="s">
        <v>10125</v>
      </c>
      <c r="AA2444">
        <v>85035</v>
      </c>
      <c r="AB2444" t="s">
        <v>11</v>
      </c>
    </row>
    <row r="2445" spans="1:35" x14ac:dyDescent="0.25">
      <c r="A2445" t="s">
        <v>10126</v>
      </c>
      <c r="C2445" t="s">
        <v>10127</v>
      </c>
      <c r="D2445" t="s">
        <v>10128</v>
      </c>
      <c r="E2445" t="s">
        <v>770</v>
      </c>
      <c r="F2445" t="s">
        <v>1884</v>
      </c>
      <c r="G2445" t="s">
        <v>1854</v>
      </c>
      <c r="H2445" t="s">
        <v>1885</v>
      </c>
      <c r="J2445" t="s">
        <v>773</v>
      </c>
      <c r="K2445" t="s">
        <v>1873</v>
      </c>
      <c r="L2445" t="s">
        <v>27</v>
      </c>
      <c r="M2445" t="s">
        <v>26</v>
      </c>
      <c r="N2445" t="s">
        <v>770</v>
      </c>
      <c r="O2445">
        <v>1</v>
      </c>
      <c r="P2445" t="s">
        <v>776</v>
      </c>
      <c r="Q2445">
        <v>34.9</v>
      </c>
      <c r="R2445">
        <v>6.29</v>
      </c>
      <c r="Y2445" t="s">
        <v>1913</v>
      </c>
      <c r="Z2445" t="s">
        <v>1913</v>
      </c>
      <c r="AA2445">
        <v>155</v>
      </c>
      <c r="AB2445" t="s">
        <v>11</v>
      </c>
    </row>
    <row r="2446" spans="1:35" x14ac:dyDescent="0.25">
      <c r="A2446" t="s">
        <v>10129</v>
      </c>
      <c r="C2446" t="s">
        <v>10130</v>
      </c>
      <c r="D2446" t="s">
        <v>10084</v>
      </c>
      <c r="E2446" t="s">
        <v>770</v>
      </c>
      <c r="F2446" t="s">
        <v>1884</v>
      </c>
      <c r="G2446" t="s">
        <v>1854</v>
      </c>
      <c r="H2446" t="s">
        <v>1885</v>
      </c>
      <c r="J2446" t="s">
        <v>773</v>
      </c>
      <c r="K2446" t="s">
        <v>1886</v>
      </c>
      <c r="L2446" t="s">
        <v>18</v>
      </c>
      <c r="M2446" t="s">
        <v>17</v>
      </c>
      <c r="N2446" t="s">
        <v>770</v>
      </c>
      <c r="O2446">
        <v>1</v>
      </c>
      <c r="P2446" t="s">
        <v>776</v>
      </c>
      <c r="Q2446">
        <v>22.9</v>
      </c>
      <c r="R2446">
        <v>4.13</v>
      </c>
      <c r="Y2446" t="s">
        <v>10131</v>
      </c>
      <c r="Z2446" t="s">
        <v>1067</v>
      </c>
      <c r="AA2446">
        <v>55041</v>
      </c>
      <c r="AB2446" t="s">
        <v>11</v>
      </c>
    </row>
    <row r="2447" spans="1:35" x14ac:dyDescent="0.25">
      <c r="A2447" t="s">
        <v>10132</v>
      </c>
      <c r="C2447" t="s">
        <v>10133</v>
      </c>
      <c r="D2447" t="s">
        <v>10134</v>
      </c>
      <c r="E2447" t="s">
        <v>770</v>
      </c>
      <c r="F2447" t="s">
        <v>1884</v>
      </c>
      <c r="G2447" t="s">
        <v>1854</v>
      </c>
      <c r="H2447" t="s">
        <v>1885</v>
      </c>
      <c r="J2447" t="s">
        <v>773</v>
      </c>
      <c r="K2447" t="s">
        <v>10135</v>
      </c>
      <c r="L2447" s="2">
        <v>40979</v>
      </c>
      <c r="M2447" t="s">
        <v>310</v>
      </c>
      <c r="N2447" t="s">
        <v>770</v>
      </c>
      <c r="O2447">
        <v>1</v>
      </c>
      <c r="P2447" t="s">
        <v>776</v>
      </c>
      <c r="Q2447">
        <v>18.899999999999999</v>
      </c>
      <c r="R2447">
        <v>3.41</v>
      </c>
      <c r="Y2447" t="s">
        <v>1937</v>
      </c>
      <c r="Z2447" t="s">
        <v>1937</v>
      </c>
      <c r="AA2447">
        <v>24121</v>
      </c>
      <c r="AB2447" t="s">
        <v>11</v>
      </c>
    </row>
    <row r="2448" spans="1:35" x14ac:dyDescent="0.25">
      <c r="A2448" t="s">
        <v>10136</v>
      </c>
      <c r="C2448" t="s">
        <v>10137</v>
      </c>
      <c r="D2448" t="s">
        <v>10138</v>
      </c>
      <c r="E2448" t="s">
        <v>770</v>
      </c>
      <c r="F2448" t="s">
        <v>1884</v>
      </c>
      <c r="G2448" t="s">
        <v>1854</v>
      </c>
      <c r="H2448" t="s">
        <v>1885</v>
      </c>
      <c r="J2448" t="s">
        <v>773</v>
      </c>
      <c r="K2448" t="s">
        <v>1930</v>
      </c>
      <c r="L2448" t="s">
        <v>66</v>
      </c>
      <c r="M2448" t="s">
        <v>65</v>
      </c>
      <c r="N2448" t="s">
        <v>770</v>
      </c>
      <c r="O2448">
        <v>1</v>
      </c>
      <c r="P2448" t="s">
        <v>776</v>
      </c>
      <c r="Q2448">
        <v>29.9</v>
      </c>
      <c r="R2448">
        <v>5.39</v>
      </c>
      <c r="Y2448" t="s">
        <v>10139</v>
      </c>
      <c r="Z2448" t="s">
        <v>2269</v>
      </c>
      <c r="AA2448">
        <v>9043</v>
      </c>
      <c r="AB2448" t="s">
        <v>11</v>
      </c>
    </row>
    <row r="2449" spans="1:28" x14ac:dyDescent="0.25">
      <c r="A2449" t="s">
        <v>10140</v>
      </c>
      <c r="C2449" t="s">
        <v>10141</v>
      </c>
      <c r="D2449" t="s">
        <v>10142</v>
      </c>
      <c r="E2449" t="s">
        <v>770</v>
      </c>
      <c r="F2449" t="s">
        <v>1884</v>
      </c>
      <c r="G2449" t="s">
        <v>1854</v>
      </c>
      <c r="H2449" t="s">
        <v>1885</v>
      </c>
      <c r="J2449" t="s">
        <v>773</v>
      </c>
      <c r="K2449" t="s">
        <v>1930</v>
      </c>
      <c r="L2449" t="s">
        <v>66</v>
      </c>
      <c r="M2449" t="s">
        <v>65</v>
      </c>
      <c r="N2449" t="s">
        <v>770</v>
      </c>
      <c r="O2449">
        <v>1</v>
      </c>
      <c r="P2449" t="s">
        <v>776</v>
      </c>
      <c r="Q2449">
        <v>29.9</v>
      </c>
      <c r="R2449">
        <v>5.39</v>
      </c>
      <c r="Y2449" t="s">
        <v>10143</v>
      </c>
      <c r="Z2449" t="s">
        <v>3453</v>
      </c>
      <c r="AA2449">
        <v>33010</v>
      </c>
      <c r="AB2449" t="s">
        <v>11</v>
      </c>
    </row>
    <row r="2450" spans="1:28" x14ac:dyDescent="0.25">
      <c r="A2450" t="s">
        <v>10144</v>
      </c>
      <c r="C2450" t="s">
        <v>10145</v>
      </c>
      <c r="D2450" t="s">
        <v>10146</v>
      </c>
      <c r="E2450" t="s">
        <v>770</v>
      </c>
      <c r="F2450" t="s">
        <v>1884</v>
      </c>
      <c r="G2450" t="s">
        <v>1854</v>
      </c>
      <c r="H2450" t="s">
        <v>1885</v>
      </c>
      <c r="J2450" t="s">
        <v>773</v>
      </c>
      <c r="K2450" t="s">
        <v>3363</v>
      </c>
      <c r="L2450" s="2">
        <v>40490</v>
      </c>
      <c r="M2450" t="s">
        <v>71</v>
      </c>
      <c r="N2450" t="s">
        <v>770</v>
      </c>
      <c r="O2450">
        <v>1</v>
      </c>
      <c r="P2450" t="s">
        <v>776</v>
      </c>
      <c r="Q2450">
        <v>29.9</v>
      </c>
      <c r="R2450">
        <v>5.39</v>
      </c>
      <c r="Y2450" t="s">
        <v>1917</v>
      </c>
      <c r="Z2450" t="s">
        <v>1875</v>
      </c>
      <c r="AA2450">
        <v>20159</v>
      </c>
      <c r="AB2450" t="s">
        <v>11</v>
      </c>
    </row>
    <row r="2451" spans="1:28" x14ac:dyDescent="0.25">
      <c r="A2451" t="s">
        <v>10147</v>
      </c>
      <c r="C2451" t="s">
        <v>10148</v>
      </c>
      <c r="D2451" t="s">
        <v>10149</v>
      </c>
      <c r="E2451" t="s">
        <v>770</v>
      </c>
      <c r="F2451" t="s">
        <v>1884</v>
      </c>
      <c r="G2451" t="s">
        <v>1854</v>
      </c>
      <c r="H2451" t="s">
        <v>1885</v>
      </c>
      <c r="J2451" t="s">
        <v>773</v>
      </c>
      <c r="K2451" t="s">
        <v>4362</v>
      </c>
      <c r="L2451" s="2">
        <v>40500</v>
      </c>
      <c r="M2451" t="s">
        <v>53</v>
      </c>
      <c r="N2451" t="s">
        <v>770</v>
      </c>
      <c r="O2451">
        <v>1</v>
      </c>
      <c r="P2451" t="s">
        <v>776</v>
      </c>
      <c r="Q2451">
        <v>32.9</v>
      </c>
      <c r="R2451">
        <v>5.93</v>
      </c>
      <c r="Y2451" t="s">
        <v>1875</v>
      </c>
      <c r="Z2451" t="s">
        <v>1875</v>
      </c>
      <c r="AA2451">
        <v>20121</v>
      </c>
      <c r="AB2451" t="s">
        <v>11</v>
      </c>
    </row>
    <row r="2452" spans="1:28" x14ac:dyDescent="0.25">
      <c r="A2452" t="s">
        <v>10150</v>
      </c>
      <c r="C2452" t="s">
        <v>10151</v>
      </c>
      <c r="D2452" t="s">
        <v>10152</v>
      </c>
      <c r="E2452" t="s">
        <v>770</v>
      </c>
      <c r="F2452" t="s">
        <v>1884</v>
      </c>
      <c r="G2452" t="s">
        <v>1854</v>
      </c>
      <c r="H2452" t="s">
        <v>1885</v>
      </c>
      <c r="J2452" t="s">
        <v>773</v>
      </c>
      <c r="K2452" t="s">
        <v>4362</v>
      </c>
      <c r="L2452" s="2">
        <v>40500</v>
      </c>
      <c r="M2452" t="s">
        <v>53</v>
      </c>
      <c r="N2452" t="s">
        <v>770</v>
      </c>
      <c r="O2452">
        <v>1</v>
      </c>
      <c r="P2452" t="s">
        <v>776</v>
      </c>
      <c r="Q2452">
        <v>32.9</v>
      </c>
      <c r="R2452">
        <v>5.93</v>
      </c>
      <c r="Y2452" t="s">
        <v>10153</v>
      </c>
      <c r="Z2452" t="s">
        <v>1979</v>
      </c>
      <c r="AA2452">
        <v>92023</v>
      </c>
      <c r="AB2452" t="s">
        <v>11</v>
      </c>
    </row>
    <row r="2453" spans="1:28" x14ac:dyDescent="0.25">
      <c r="A2453" t="s">
        <v>10154</v>
      </c>
      <c r="C2453" t="s">
        <v>10155</v>
      </c>
      <c r="D2453" t="s">
        <v>10156</v>
      </c>
      <c r="E2453" t="s">
        <v>770</v>
      </c>
      <c r="F2453" t="s">
        <v>1884</v>
      </c>
      <c r="G2453" t="s">
        <v>1854</v>
      </c>
      <c r="H2453" t="s">
        <v>1885</v>
      </c>
      <c r="J2453" t="s">
        <v>773</v>
      </c>
      <c r="K2453" t="s">
        <v>1873</v>
      </c>
      <c r="L2453" t="s">
        <v>27</v>
      </c>
      <c r="M2453" t="s">
        <v>26</v>
      </c>
      <c r="N2453" t="s">
        <v>770</v>
      </c>
      <c r="O2453">
        <v>1</v>
      </c>
      <c r="P2453" t="s">
        <v>776</v>
      </c>
      <c r="Q2453">
        <v>34.9</v>
      </c>
      <c r="R2453">
        <v>6.29</v>
      </c>
      <c r="Y2453" t="s">
        <v>2454</v>
      </c>
      <c r="Z2453" t="s">
        <v>9549</v>
      </c>
      <c r="AA2453">
        <v>71121</v>
      </c>
      <c r="AB2453" t="s">
        <v>11</v>
      </c>
    </row>
    <row r="2454" spans="1:28" x14ac:dyDescent="0.25">
      <c r="A2454" t="s">
        <v>10157</v>
      </c>
      <c r="C2454" t="s">
        <v>10158</v>
      </c>
      <c r="D2454" t="s">
        <v>10159</v>
      </c>
      <c r="E2454" t="s">
        <v>770</v>
      </c>
      <c r="F2454" t="s">
        <v>1884</v>
      </c>
      <c r="G2454" t="s">
        <v>1854</v>
      </c>
      <c r="H2454" t="s">
        <v>1885</v>
      </c>
      <c r="J2454" t="s">
        <v>773</v>
      </c>
      <c r="K2454" t="s">
        <v>1873</v>
      </c>
      <c r="L2454" t="s">
        <v>27</v>
      </c>
      <c r="M2454" t="s">
        <v>26</v>
      </c>
      <c r="N2454" t="s">
        <v>770</v>
      </c>
      <c r="O2454">
        <v>1</v>
      </c>
      <c r="P2454" t="s">
        <v>776</v>
      </c>
      <c r="Q2454">
        <v>34.9</v>
      </c>
      <c r="R2454">
        <v>6.29</v>
      </c>
      <c r="Y2454" t="s">
        <v>5069</v>
      </c>
      <c r="Z2454" t="s">
        <v>1908</v>
      </c>
      <c r="AA2454">
        <v>80020</v>
      </c>
      <c r="AB2454" t="s">
        <v>11</v>
      </c>
    </row>
    <row r="2455" spans="1:28" x14ac:dyDescent="0.25">
      <c r="A2455" t="s">
        <v>10160</v>
      </c>
      <c r="C2455" t="s">
        <v>10161</v>
      </c>
      <c r="D2455" t="s">
        <v>10162</v>
      </c>
      <c r="E2455" t="s">
        <v>782</v>
      </c>
      <c r="F2455" t="s">
        <v>1884</v>
      </c>
      <c r="G2455" t="s">
        <v>1854</v>
      </c>
      <c r="H2455" t="s">
        <v>1885</v>
      </c>
      <c r="J2455" t="s">
        <v>773</v>
      </c>
      <c r="K2455" t="s">
        <v>1873</v>
      </c>
      <c r="L2455" t="s">
        <v>27</v>
      </c>
      <c r="M2455" t="s">
        <v>26</v>
      </c>
      <c r="O2455">
        <v>0</v>
      </c>
      <c r="Y2455" t="s">
        <v>2454</v>
      </c>
      <c r="Z2455" t="s">
        <v>9549</v>
      </c>
      <c r="AA2455">
        <v>71121</v>
      </c>
      <c r="AB2455" t="s">
        <v>11</v>
      </c>
    </row>
    <row r="2456" spans="1:28" x14ac:dyDescent="0.25">
      <c r="A2456" t="s">
        <v>10163</v>
      </c>
      <c r="C2456" t="s">
        <v>10164</v>
      </c>
      <c r="D2456" t="s">
        <v>10165</v>
      </c>
      <c r="E2456" t="s">
        <v>770</v>
      </c>
      <c r="F2456" t="s">
        <v>1884</v>
      </c>
      <c r="G2456" t="s">
        <v>1854</v>
      </c>
      <c r="H2456" t="s">
        <v>1885</v>
      </c>
      <c r="J2456" t="s">
        <v>773</v>
      </c>
      <c r="K2456" t="s">
        <v>1873</v>
      </c>
      <c r="L2456" t="s">
        <v>27</v>
      </c>
      <c r="M2456" t="s">
        <v>26</v>
      </c>
      <c r="N2456" t="s">
        <v>770</v>
      </c>
      <c r="O2456">
        <v>1</v>
      </c>
      <c r="P2456" t="s">
        <v>776</v>
      </c>
      <c r="Q2456">
        <v>34.9</v>
      </c>
      <c r="R2456">
        <v>6.29</v>
      </c>
      <c r="Y2456" t="s">
        <v>5908</v>
      </c>
      <c r="Z2456" t="s">
        <v>3608</v>
      </c>
      <c r="AA2456">
        <v>21052</v>
      </c>
      <c r="AB2456" t="s">
        <v>11</v>
      </c>
    </row>
    <row r="2457" spans="1:28" x14ac:dyDescent="0.25">
      <c r="A2457" t="s">
        <v>10166</v>
      </c>
      <c r="C2457" t="s">
        <v>10167</v>
      </c>
      <c r="D2457" t="s">
        <v>10156</v>
      </c>
      <c r="E2457" t="s">
        <v>770</v>
      </c>
      <c r="F2457" t="s">
        <v>1884</v>
      </c>
      <c r="G2457" t="s">
        <v>1854</v>
      </c>
      <c r="H2457" t="s">
        <v>1885</v>
      </c>
      <c r="J2457" t="s">
        <v>773</v>
      </c>
      <c r="K2457" t="s">
        <v>4362</v>
      </c>
      <c r="L2457" s="2">
        <v>40500</v>
      </c>
      <c r="M2457" t="s">
        <v>53</v>
      </c>
      <c r="N2457" t="s">
        <v>770</v>
      </c>
      <c r="O2457">
        <v>1</v>
      </c>
      <c r="P2457" t="s">
        <v>776</v>
      </c>
      <c r="Q2457">
        <v>32.9</v>
      </c>
      <c r="R2457">
        <v>5.93</v>
      </c>
      <c r="Y2457" t="s">
        <v>10168</v>
      </c>
      <c r="Z2457" t="s">
        <v>6127</v>
      </c>
      <c r="AA2457">
        <v>31048</v>
      </c>
      <c r="AB2457" t="s">
        <v>11</v>
      </c>
    </row>
    <row r="2458" spans="1:28" x14ac:dyDescent="0.25">
      <c r="A2458" t="s">
        <v>10169</v>
      </c>
      <c r="C2458" t="s">
        <v>10170</v>
      </c>
      <c r="D2458" t="s">
        <v>10171</v>
      </c>
      <c r="E2458" t="s">
        <v>770</v>
      </c>
      <c r="F2458" t="s">
        <v>1884</v>
      </c>
      <c r="G2458" t="s">
        <v>1854</v>
      </c>
      <c r="H2458" t="s">
        <v>1885</v>
      </c>
      <c r="J2458" t="s">
        <v>773</v>
      </c>
      <c r="K2458" t="s">
        <v>1930</v>
      </c>
      <c r="L2458" t="s">
        <v>66</v>
      </c>
      <c r="M2458" t="s">
        <v>65</v>
      </c>
      <c r="N2458" t="s">
        <v>770</v>
      </c>
      <c r="O2458">
        <v>1</v>
      </c>
      <c r="P2458" t="s">
        <v>776</v>
      </c>
      <c r="Q2458">
        <v>29.9</v>
      </c>
      <c r="R2458">
        <v>5.39</v>
      </c>
      <c r="Y2458" t="s">
        <v>8707</v>
      </c>
      <c r="Z2458" t="s">
        <v>1893</v>
      </c>
      <c r="AA2458">
        <v>10042</v>
      </c>
      <c r="AB2458" t="s">
        <v>11</v>
      </c>
    </row>
    <row r="2459" spans="1:28" x14ac:dyDescent="0.25">
      <c r="A2459" t="s">
        <v>10172</v>
      </c>
      <c r="C2459" t="s">
        <v>10173</v>
      </c>
      <c r="D2459" t="s">
        <v>10174</v>
      </c>
      <c r="E2459" t="s">
        <v>770</v>
      </c>
      <c r="F2459" t="s">
        <v>1884</v>
      </c>
      <c r="G2459" t="s">
        <v>1854</v>
      </c>
      <c r="H2459" t="s">
        <v>1885</v>
      </c>
      <c r="J2459" t="s">
        <v>773</v>
      </c>
      <c r="K2459" t="s">
        <v>1873</v>
      </c>
      <c r="L2459" t="s">
        <v>27</v>
      </c>
      <c r="M2459" t="s">
        <v>26</v>
      </c>
      <c r="N2459" t="s">
        <v>770</v>
      </c>
      <c r="O2459">
        <v>1</v>
      </c>
      <c r="P2459" t="s">
        <v>776</v>
      </c>
      <c r="Q2459">
        <v>34.9</v>
      </c>
      <c r="R2459">
        <v>6.29</v>
      </c>
      <c r="Y2459" t="s">
        <v>1893</v>
      </c>
      <c r="Z2459" t="s">
        <v>1893</v>
      </c>
      <c r="AA2459">
        <v>10155</v>
      </c>
      <c r="AB2459" t="s">
        <v>11</v>
      </c>
    </row>
    <row r="2460" spans="1:28" x14ac:dyDescent="0.25">
      <c r="A2460" t="s">
        <v>10175</v>
      </c>
      <c r="C2460" t="s">
        <v>10176</v>
      </c>
      <c r="D2460" t="s">
        <v>10177</v>
      </c>
      <c r="E2460" t="s">
        <v>770</v>
      </c>
      <c r="F2460" t="s">
        <v>1884</v>
      </c>
      <c r="G2460" t="s">
        <v>1854</v>
      </c>
      <c r="H2460" t="s">
        <v>1885</v>
      </c>
      <c r="J2460" t="s">
        <v>773</v>
      </c>
      <c r="K2460" t="s">
        <v>1873</v>
      </c>
      <c r="L2460" t="s">
        <v>27</v>
      </c>
      <c r="M2460" t="s">
        <v>26</v>
      </c>
      <c r="N2460" t="s">
        <v>770</v>
      </c>
      <c r="O2460">
        <v>1</v>
      </c>
      <c r="P2460" t="s">
        <v>776</v>
      </c>
      <c r="Q2460">
        <v>34.9</v>
      </c>
      <c r="R2460">
        <v>6.29</v>
      </c>
      <c r="Y2460" t="s">
        <v>1875</v>
      </c>
      <c r="Z2460" t="s">
        <v>1875</v>
      </c>
      <c r="AA2460">
        <v>20141</v>
      </c>
      <c r="AB2460" t="s">
        <v>11</v>
      </c>
    </row>
    <row r="2461" spans="1:28" x14ac:dyDescent="0.25">
      <c r="A2461" t="s">
        <v>10178</v>
      </c>
      <c r="C2461" t="s">
        <v>10179</v>
      </c>
      <c r="D2461" t="s">
        <v>10180</v>
      </c>
      <c r="E2461" t="s">
        <v>770</v>
      </c>
      <c r="F2461" t="s">
        <v>1884</v>
      </c>
      <c r="G2461" t="s">
        <v>1854</v>
      </c>
      <c r="H2461" t="s">
        <v>1885</v>
      </c>
      <c r="J2461" t="s">
        <v>773</v>
      </c>
      <c r="K2461" t="s">
        <v>1873</v>
      </c>
      <c r="L2461" t="s">
        <v>27</v>
      </c>
      <c r="M2461" t="s">
        <v>26</v>
      </c>
      <c r="N2461" t="s">
        <v>770</v>
      </c>
      <c r="O2461">
        <v>1</v>
      </c>
      <c r="P2461" t="s">
        <v>776</v>
      </c>
      <c r="Q2461">
        <v>34.9</v>
      </c>
      <c r="R2461">
        <v>6.29</v>
      </c>
      <c r="Y2461" t="s">
        <v>10181</v>
      </c>
      <c r="Z2461" t="s">
        <v>2227</v>
      </c>
      <c r="AA2461">
        <v>67100</v>
      </c>
      <c r="AB2461" t="s">
        <v>11</v>
      </c>
    </row>
    <row r="2462" spans="1:28" x14ac:dyDescent="0.25">
      <c r="A2462" t="s">
        <v>10182</v>
      </c>
      <c r="C2462" t="s">
        <v>10183</v>
      </c>
      <c r="D2462" t="s">
        <v>10184</v>
      </c>
      <c r="E2462" t="s">
        <v>770</v>
      </c>
      <c r="F2462" t="s">
        <v>1884</v>
      </c>
      <c r="G2462" t="s">
        <v>1854</v>
      </c>
      <c r="H2462" t="s">
        <v>1885</v>
      </c>
      <c r="J2462" t="s">
        <v>773</v>
      </c>
      <c r="K2462" t="s">
        <v>1873</v>
      </c>
      <c r="L2462" t="s">
        <v>27</v>
      </c>
      <c r="M2462" t="s">
        <v>26</v>
      </c>
      <c r="N2462" t="s">
        <v>770</v>
      </c>
      <c r="O2462">
        <v>1</v>
      </c>
      <c r="P2462" t="s">
        <v>776</v>
      </c>
      <c r="Q2462">
        <v>34.9</v>
      </c>
      <c r="R2462">
        <v>6.29</v>
      </c>
      <c r="Y2462" t="s">
        <v>10185</v>
      </c>
      <c r="Z2462" t="s">
        <v>2057</v>
      </c>
      <c r="AA2462">
        <v>37030</v>
      </c>
      <c r="AB2462" t="s">
        <v>11</v>
      </c>
    </row>
    <row r="2463" spans="1:28" x14ac:dyDescent="0.25">
      <c r="A2463" t="s">
        <v>10186</v>
      </c>
      <c r="C2463" t="s">
        <v>10187</v>
      </c>
      <c r="D2463" t="s">
        <v>10188</v>
      </c>
      <c r="E2463" t="s">
        <v>770</v>
      </c>
      <c r="F2463" t="s">
        <v>1884</v>
      </c>
      <c r="G2463" t="s">
        <v>1854</v>
      </c>
      <c r="H2463" t="s">
        <v>1885</v>
      </c>
      <c r="J2463" t="s">
        <v>773</v>
      </c>
      <c r="K2463" t="s">
        <v>1930</v>
      </c>
      <c r="L2463" t="s">
        <v>66</v>
      </c>
      <c r="M2463" t="s">
        <v>65</v>
      </c>
      <c r="N2463" t="s">
        <v>770</v>
      </c>
      <c r="O2463">
        <v>1</v>
      </c>
      <c r="P2463" t="s">
        <v>776</v>
      </c>
      <c r="Q2463">
        <v>29.9</v>
      </c>
      <c r="R2463">
        <v>5.39</v>
      </c>
      <c r="Y2463" t="s">
        <v>10189</v>
      </c>
      <c r="Z2463" t="s">
        <v>1913</v>
      </c>
      <c r="AA2463">
        <v>12</v>
      </c>
      <c r="AB2463" t="s">
        <v>11</v>
      </c>
    </row>
    <row r="2464" spans="1:28" x14ac:dyDescent="0.25">
      <c r="A2464" t="s">
        <v>10190</v>
      </c>
      <c r="C2464" t="s">
        <v>10191</v>
      </c>
      <c r="D2464" t="s">
        <v>10192</v>
      </c>
      <c r="E2464" t="s">
        <v>770</v>
      </c>
      <c r="F2464" t="s">
        <v>1884</v>
      </c>
      <c r="G2464" t="s">
        <v>1854</v>
      </c>
      <c r="H2464" t="s">
        <v>1885</v>
      </c>
      <c r="J2464" t="s">
        <v>773</v>
      </c>
      <c r="K2464" t="s">
        <v>1930</v>
      </c>
      <c r="L2464" t="s">
        <v>66</v>
      </c>
      <c r="M2464" t="s">
        <v>65</v>
      </c>
      <c r="N2464" t="s">
        <v>770</v>
      </c>
      <c r="O2464">
        <v>1</v>
      </c>
      <c r="P2464" t="s">
        <v>776</v>
      </c>
      <c r="Q2464">
        <v>29.9</v>
      </c>
      <c r="R2464">
        <v>5.39</v>
      </c>
      <c r="Y2464" t="s">
        <v>10193</v>
      </c>
      <c r="Z2464" t="s">
        <v>2855</v>
      </c>
      <c r="AA2464">
        <v>61025</v>
      </c>
      <c r="AB2464" t="s">
        <v>11</v>
      </c>
    </row>
    <row r="2465" spans="1:35" x14ac:dyDescent="0.25">
      <c r="A2465" t="s">
        <v>10194</v>
      </c>
      <c r="C2465" t="s">
        <v>10195</v>
      </c>
      <c r="D2465" t="s">
        <v>10196</v>
      </c>
      <c r="E2465" t="s">
        <v>770</v>
      </c>
      <c r="F2465" t="s">
        <v>1884</v>
      </c>
      <c r="G2465" t="s">
        <v>1854</v>
      </c>
      <c r="H2465" t="s">
        <v>1885</v>
      </c>
      <c r="J2465" t="s">
        <v>773</v>
      </c>
      <c r="K2465" t="s">
        <v>1873</v>
      </c>
      <c r="L2465" t="s">
        <v>27</v>
      </c>
      <c r="M2465" t="s">
        <v>26</v>
      </c>
      <c r="N2465" t="s">
        <v>770</v>
      </c>
      <c r="O2465">
        <v>1</v>
      </c>
      <c r="P2465" t="s">
        <v>776</v>
      </c>
      <c r="Q2465">
        <v>34.9</v>
      </c>
      <c r="R2465">
        <v>6.29</v>
      </c>
      <c r="Y2465" t="s">
        <v>3649</v>
      </c>
      <c r="Z2465" t="s">
        <v>3649</v>
      </c>
      <c r="AA2465">
        <v>9134</v>
      </c>
      <c r="AB2465" t="s">
        <v>11</v>
      </c>
    </row>
    <row r="2466" spans="1:35" x14ac:dyDescent="0.25">
      <c r="A2466" t="s">
        <v>10197</v>
      </c>
      <c r="C2466" t="s">
        <v>10198</v>
      </c>
      <c r="D2466" t="s">
        <v>10199</v>
      </c>
      <c r="E2466" t="s">
        <v>782</v>
      </c>
      <c r="F2466" t="s">
        <v>1884</v>
      </c>
      <c r="G2466" t="s">
        <v>1854</v>
      </c>
      <c r="H2466" t="s">
        <v>1885</v>
      </c>
      <c r="J2466" t="s">
        <v>773</v>
      </c>
      <c r="K2466" t="s">
        <v>3363</v>
      </c>
      <c r="L2466" s="2">
        <v>40490</v>
      </c>
      <c r="M2466" t="s">
        <v>71</v>
      </c>
      <c r="O2466">
        <v>0</v>
      </c>
      <c r="Y2466" t="s">
        <v>1956</v>
      </c>
      <c r="Z2466" t="s">
        <v>1956</v>
      </c>
      <c r="AA2466">
        <v>123</v>
      </c>
      <c r="AB2466" t="s">
        <v>11</v>
      </c>
      <c r="AG2466" t="s">
        <v>10200</v>
      </c>
      <c r="AH2466" t="s">
        <v>11</v>
      </c>
      <c r="AI2466" t="s">
        <v>1258</v>
      </c>
    </row>
    <row r="2467" spans="1:35" x14ac:dyDescent="0.25">
      <c r="A2467" t="s">
        <v>10201</v>
      </c>
      <c r="C2467" t="s">
        <v>10202</v>
      </c>
      <c r="D2467" t="s">
        <v>10203</v>
      </c>
      <c r="E2467" t="s">
        <v>770</v>
      </c>
      <c r="F2467" t="s">
        <v>1884</v>
      </c>
      <c r="G2467" t="s">
        <v>1854</v>
      </c>
      <c r="H2467" t="s">
        <v>1885</v>
      </c>
      <c r="J2467" t="s">
        <v>773</v>
      </c>
      <c r="K2467" t="s">
        <v>10135</v>
      </c>
      <c r="L2467" s="2">
        <v>40979</v>
      </c>
      <c r="M2467" t="s">
        <v>310</v>
      </c>
      <c r="N2467" t="s">
        <v>770</v>
      </c>
      <c r="O2467">
        <v>1</v>
      </c>
      <c r="P2467" t="s">
        <v>776</v>
      </c>
      <c r="Q2467">
        <v>18.899999999999999</v>
      </c>
      <c r="R2467">
        <v>3.41</v>
      </c>
      <c r="Y2467" t="s">
        <v>10204</v>
      </c>
      <c r="Z2467" t="s">
        <v>3089</v>
      </c>
      <c r="AA2467">
        <v>25084</v>
      </c>
      <c r="AB2467" t="s">
        <v>11</v>
      </c>
    </row>
    <row r="2468" spans="1:35" x14ac:dyDescent="0.25">
      <c r="A2468" t="s">
        <v>10205</v>
      </c>
      <c r="C2468" t="s">
        <v>10206</v>
      </c>
      <c r="D2468" t="s">
        <v>10207</v>
      </c>
      <c r="E2468" t="s">
        <v>770</v>
      </c>
      <c r="F2468" t="s">
        <v>1884</v>
      </c>
      <c r="G2468" t="s">
        <v>1854</v>
      </c>
      <c r="H2468" t="s">
        <v>1885</v>
      </c>
      <c r="J2468" t="s">
        <v>773</v>
      </c>
      <c r="K2468" t="s">
        <v>3328</v>
      </c>
      <c r="L2468" t="s">
        <v>36</v>
      </c>
      <c r="M2468" t="s">
        <v>35</v>
      </c>
      <c r="N2468" t="s">
        <v>770</v>
      </c>
      <c r="O2468">
        <v>1</v>
      </c>
      <c r="P2468" t="s">
        <v>776</v>
      </c>
      <c r="Q2468">
        <v>24.9</v>
      </c>
      <c r="R2468">
        <v>4.49</v>
      </c>
      <c r="Y2468" t="s">
        <v>10208</v>
      </c>
      <c r="Z2468" t="s">
        <v>1875</v>
      </c>
      <c r="AA2468">
        <v>20063</v>
      </c>
      <c r="AB2468" t="s">
        <v>11</v>
      </c>
    </row>
    <row r="2469" spans="1:35" x14ac:dyDescent="0.25">
      <c r="A2469" t="s">
        <v>10209</v>
      </c>
      <c r="C2469" t="s">
        <v>10210</v>
      </c>
      <c r="D2469" t="s">
        <v>10211</v>
      </c>
      <c r="E2469" t="s">
        <v>770</v>
      </c>
      <c r="F2469" t="s">
        <v>1884</v>
      </c>
      <c r="G2469" t="s">
        <v>1854</v>
      </c>
      <c r="H2469" t="s">
        <v>1885</v>
      </c>
      <c r="J2469" t="s">
        <v>773</v>
      </c>
      <c r="K2469" t="s">
        <v>1886</v>
      </c>
      <c r="L2469" t="s">
        <v>18</v>
      </c>
      <c r="M2469" t="s">
        <v>17</v>
      </c>
      <c r="N2469" t="s">
        <v>770</v>
      </c>
      <c r="O2469">
        <v>1</v>
      </c>
      <c r="P2469" t="s">
        <v>776</v>
      </c>
      <c r="Q2469">
        <v>22.9</v>
      </c>
      <c r="R2469">
        <v>4.13</v>
      </c>
      <c r="Y2469" t="s">
        <v>10212</v>
      </c>
      <c r="Z2469" t="s">
        <v>2433</v>
      </c>
      <c r="AA2469">
        <v>37059</v>
      </c>
      <c r="AB2469" t="s">
        <v>11</v>
      </c>
    </row>
    <row r="2470" spans="1:35" x14ac:dyDescent="0.25">
      <c r="A2470" t="s">
        <v>10213</v>
      </c>
      <c r="C2470" t="s">
        <v>10214</v>
      </c>
      <c r="D2470" t="s">
        <v>10215</v>
      </c>
      <c r="E2470" t="s">
        <v>770</v>
      </c>
      <c r="F2470" t="s">
        <v>1884</v>
      </c>
      <c r="G2470" t="s">
        <v>1854</v>
      </c>
      <c r="H2470" t="s">
        <v>1885</v>
      </c>
      <c r="J2470" t="s">
        <v>773</v>
      </c>
      <c r="K2470" t="s">
        <v>4362</v>
      </c>
      <c r="L2470" s="2">
        <v>40500</v>
      </c>
      <c r="M2470" t="s">
        <v>53</v>
      </c>
      <c r="N2470" t="s">
        <v>770</v>
      </c>
      <c r="O2470">
        <v>1</v>
      </c>
      <c r="P2470" t="s">
        <v>776</v>
      </c>
      <c r="Q2470">
        <v>32.9</v>
      </c>
      <c r="R2470">
        <v>5.93</v>
      </c>
      <c r="Y2470" t="s">
        <v>2051</v>
      </c>
      <c r="Z2470" t="s">
        <v>2051</v>
      </c>
      <c r="AA2470">
        <v>95124</v>
      </c>
      <c r="AB2470" t="s">
        <v>11</v>
      </c>
    </row>
    <row r="2471" spans="1:35" x14ac:dyDescent="0.25">
      <c r="A2471" t="s">
        <v>10216</v>
      </c>
      <c r="C2471" t="s">
        <v>10217</v>
      </c>
      <c r="D2471" t="s">
        <v>10218</v>
      </c>
      <c r="E2471" t="s">
        <v>770</v>
      </c>
      <c r="F2471" t="s">
        <v>1884</v>
      </c>
      <c r="G2471" t="s">
        <v>1854</v>
      </c>
      <c r="H2471" t="s">
        <v>1885</v>
      </c>
      <c r="J2471" t="s">
        <v>773</v>
      </c>
      <c r="K2471" t="s">
        <v>3308</v>
      </c>
      <c r="L2471" s="2">
        <v>50700</v>
      </c>
      <c r="M2471" t="s">
        <v>61</v>
      </c>
      <c r="N2471" t="s">
        <v>770</v>
      </c>
      <c r="O2471">
        <v>1</v>
      </c>
      <c r="P2471" t="s">
        <v>776</v>
      </c>
      <c r="Q2471">
        <v>44.9</v>
      </c>
      <c r="R2471">
        <v>8.1</v>
      </c>
      <c r="Y2471" t="s">
        <v>10219</v>
      </c>
      <c r="Z2471" t="s">
        <v>1937</v>
      </c>
      <c r="AA2471">
        <v>24030</v>
      </c>
      <c r="AB2471" t="s">
        <v>11</v>
      </c>
    </row>
    <row r="2472" spans="1:35" x14ac:dyDescent="0.25">
      <c r="A2472" t="s">
        <v>10220</v>
      </c>
      <c r="C2472" t="s">
        <v>10221</v>
      </c>
      <c r="D2472" t="s">
        <v>10222</v>
      </c>
      <c r="E2472" t="s">
        <v>770</v>
      </c>
      <c r="F2472" t="s">
        <v>1884</v>
      </c>
      <c r="G2472" t="s">
        <v>1854</v>
      </c>
      <c r="H2472" t="s">
        <v>1885</v>
      </c>
      <c r="J2472" t="s">
        <v>773</v>
      </c>
      <c r="K2472" t="s">
        <v>4362</v>
      </c>
      <c r="L2472" s="2">
        <v>40500</v>
      </c>
      <c r="M2472" t="s">
        <v>53</v>
      </c>
      <c r="N2472" t="s">
        <v>770</v>
      </c>
      <c r="O2472">
        <v>1</v>
      </c>
      <c r="P2472" t="s">
        <v>776</v>
      </c>
      <c r="Q2472">
        <v>32.9</v>
      </c>
      <c r="R2472">
        <v>5.93</v>
      </c>
      <c r="Y2472" t="s">
        <v>10223</v>
      </c>
      <c r="Z2472" t="s">
        <v>2454</v>
      </c>
      <c r="AA2472">
        <v>71022</v>
      </c>
      <c r="AB2472" t="s">
        <v>11</v>
      </c>
    </row>
    <row r="2473" spans="1:35" x14ac:dyDescent="0.25">
      <c r="A2473" t="s">
        <v>10224</v>
      </c>
      <c r="C2473" t="s">
        <v>10225</v>
      </c>
      <c r="D2473" t="s">
        <v>10203</v>
      </c>
      <c r="E2473" t="s">
        <v>770</v>
      </c>
      <c r="F2473" t="s">
        <v>1884</v>
      </c>
      <c r="G2473" t="s">
        <v>1854</v>
      </c>
      <c r="H2473" t="s">
        <v>1885</v>
      </c>
      <c r="J2473" t="s">
        <v>773</v>
      </c>
      <c r="K2473" t="s">
        <v>2319</v>
      </c>
      <c r="L2473" t="s">
        <v>187</v>
      </c>
      <c r="M2473" t="s">
        <v>186</v>
      </c>
      <c r="N2473" t="s">
        <v>770</v>
      </c>
      <c r="O2473">
        <v>1</v>
      </c>
      <c r="P2473" t="s">
        <v>776</v>
      </c>
      <c r="Q2473">
        <v>39.9</v>
      </c>
      <c r="R2473">
        <v>7.2</v>
      </c>
      <c r="Y2473" t="s">
        <v>4944</v>
      </c>
      <c r="Z2473" t="s">
        <v>10226</v>
      </c>
      <c r="AA2473">
        <v>61029</v>
      </c>
      <c r="AB2473" t="s">
        <v>11</v>
      </c>
    </row>
    <row r="2474" spans="1:35" x14ac:dyDescent="0.25">
      <c r="A2474" t="s">
        <v>10227</v>
      </c>
      <c r="C2474" t="s">
        <v>10228</v>
      </c>
      <c r="D2474" t="s">
        <v>10229</v>
      </c>
      <c r="E2474" t="s">
        <v>782</v>
      </c>
      <c r="F2474" t="s">
        <v>1884</v>
      </c>
      <c r="G2474" t="s">
        <v>1854</v>
      </c>
      <c r="H2474" t="s">
        <v>1885</v>
      </c>
      <c r="J2474" t="s">
        <v>773</v>
      </c>
      <c r="K2474" t="s">
        <v>1873</v>
      </c>
      <c r="L2474" t="s">
        <v>27</v>
      </c>
      <c r="M2474" t="s">
        <v>26</v>
      </c>
      <c r="O2474">
        <v>0</v>
      </c>
      <c r="Y2474" t="s">
        <v>4692</v>
      </c>
      <c r="Z2474" t="s">
        <v>4692</v>
      </c>
      <c r="AA2474">
        <v>60131</v>
      </c>
      <c r="AB2474" t="s">
        <v>11</v>
      </c>
    </row>
    <row r="2475" spans="1:35" x14ac:dyDescent="0.25">
      <c r="A2475" t="s">
        <v>10230</v>
      </c>
      <c r="C2475" t="s">
        <v>10231</v>
      </c>
      <c r="D2475" t="s">
        <v>10232</v>
      </c>
      <c r="E2475" t="s">
        <v>770</v>
      </c>
      <c r="F2475" t="s">
        <v>1884</v>
      </c>
      <c r="G2475" t="s">
        <v>1854</v>
      </c>
      <c r="H2475" t="s">
        <v>1885</v>
      </c>
      <c r="J2475" t="s">
        <v>773</v>
      </c>
      <c r="K2475" t="s">
        <v>1873</v>
      </c>
      <c r="L2475" t="s">
        <v>27</v>
      </c>
      <c r="M2475" t="s">
        <v>26</v>
      </c>
      <c r="N2475" t="s">
        <v>770</v>
      </c>
      <c r="O2475">
        <v>1</v>
      </c>
      <c r="P2475" t="s">
        <v>776</v>
      </c>
      <c r="Q2475">
        <v>34.9</v>
      </c>
      <c r="R2475">
        <v>6.29</v>
      </c>
      <c r="Y2475" t="s">
        <v>3777</v>
      </c>
      <c r="Z2475" t="s">
        <v>1869</v>
      </c>
      <c r="AA2475">
        <v>10094</v>
      </c>
      <c r="AB2475" t="s">
        <v>11</v>
      </c>
    </row>
    <row r="2476" spans="1:35" x14ac:dyDescent="0.25">
      <c r="A2476" t="s">
        <v>10233</v>
      </c>
      <c r="C2476" t="s">
        <v>10234</v>
      </c>
      <c r="D2476" t="s">
        <v>10235</v>
      </c>
      <c r="E2476" t="s">
        <v>782</v>
      </c>
      <c r="F2476" t="s">
        <v>1884</v>
      </c>
      <c r="G2476" t="s">
        <v>1854</v>
      </c>
      <c r="H2476" t="s">
        <v>1885</v>
      </c>
      <c r="J2476" t="s">
        <v>773</v>
      </c>
      <c r="K2476" t="s">
        <v>2913</v>
      </c>
      <c r="L2476" t="s">
        <v>99</v>
      </c>
      <c r="M2476" t="s">
        <v>98</v>
      </c>
      <c r="O2476">
        <v>0</v>
      </c>
      <c r="Y2476" t="s">
        <v>10236</v>
      </c>
      <c r="Z2476" t="s">
        <v>2819</v>
      </c>
      <c r="AA2476">
        <v>74122</v>
      </c>
      <c r="AB2476" t="s">
        <v>11</v>
      </c>
    </row>
    <row r="2477" spans="1:35" x14ac:dyDescent="0.25">
      <c r="A2477" t="s">
        <v>10237</v>
      </c>
      <c r="C2477" t="s">
        <v>10238</v>
      </c>
      <c r="D2477" t="s">
        <v>10239</v>
      </c>
      <c r="E2477" t="s">
        <v>770</v>
      </c>
      <c r="F2477" t="s">
        <v>1884</v>
      </c>
      <c r="G2477" t="s">
        <v>1854</v>
      </c>
      <c r="H2477" t="s">
        <v>1885</v>
      </c>
      <c r="J2477" t="s">
        <v>773</v>
      </c>
      <c r="K2477" t="s">
        <v>4362</v>
      </c>
      <c r="L2477" s="2">
        <v>40500</v>
      </c>
      <c r="M2477" t="s">
        <v>53</v>
      </c>
      <c r="N2477" t="s">
        <v>770</v>
      </c>
      <c r="O2477">
        <v>1</v>
      </c>
      <c r="P2477" t="s">
        <v>776</v>
      </c>
      <c r="Q2477">
        <v>32.9</v>
      </c>
      <c r="R2477">
        <v>5.93</v>
      </c>
      <c r="Y2477" t="s">
        <v>10240</v>
      </c>
      <c r="Z2477" t="s">
        <v>1913</v>
      </c>
      <c r="AA2477">
        <v>71</v>
      </c>
      <c r="AB2477" t="s">
        <v>11</v>
      </c>
      <c r="AG2477" t="s">
        <v>10241</v>
      </c>
      <c r="AH2477" t="s">
        <v>11</v>
      </c>
      <c r="AI2477" t="s">
        <v>1258</v>
      </c>
    </row>
    <row r="2478" spans="1:35" x14ac:dyDescent="0.25">
      <c r="A2478" t="s">
        <v>10242</v>
      </c>
      <c r="C2478" t="s">
        <v>10243</v>
      </c>
      <c r="D2478" t="s">
        <v>10211</v>
      </c>
      <c r="E2478" t="s">
        <v>770</v>
      </c>
      <c r="F2478" t="s">
        <v>1884</v>
      </c>
      <c r="G2478" t="s">
        <v>1854</v>
      </c>
      <c r="H2478" t="s">
        <v>1885</v>
      </c>
      <c r="J2478" t="s">
        <v>773</v>
      </c>
      <c r="K2478" t="s">
        <v>1930</v>
      </c>
      <c r="L2478" t="s">
        <v>66</v>
      </c>
      <c r="M2478" t="s">
        <v>65</v>
      </c>
      <c r="N2478" t="s">
        <v>770</v>
      </c>
      <c r="O2478">
        <v>1</v>
      </c>
      <c r="P2478" t="s">
        <v>776</v>
      </c>
      <c r="Q2478">
        <v>29.9</v>
      </c>
      <c r="R2478">
        <v>5.39</v>
      </c>
      <c r="Y2478" t="s">
        <v>10244</v>
      </c>
      <c r="Z2478" t="s">
        <v>2528</v>
      </c>
      <c r="AA2478">
        <v>85021</v>
      </c>
      <c r="AB2478" t="s">
        <v>11</v>
      </c>
    </row>
    <row r="2479" spans="1:35" x14ac:dyDescent="0.25">
      <c r="A2479" t="s">
        <v>10245</v>
      </c>
      <c r="C2479" t="s">
        <v>10246</v>
      </c>
      <c r="D2479" t="s">
        <v>10180</v>
      </c>
      <c r="E2479" t="s">
        <v>770</v>
      </c>
      <c r="F2479" t="s">
        <v>1884</v>
      </c>
      <c r="G2479" t="s">
        <v>1854</v>
      </c>
      <c r="H2479" t="s">
        <v>1885</v>
      </c>
      <c r="J2479" t="s">
        <v>773</v>
      </c>
      <c r="K2479" t="s">
        <v>1873</v>
      </c>
      <c r="L2479" t="s">
        <v>27</v>
      </c>
      <c r="M2479" t="s">
        <v>26</v>
      </c>
      <c r="N2479" t="s">
        <v>770</v>
      </c>
      <c r="O2479">
        <v>1</v>
      </c>
      <c r="P2479" t="s">
        <v>776</v>
      </c>
      <c r="Q2479">
        <v>34.9</v>
      </c>
      <c r="R2479">
        <v>6.29</v>
      </c>
      <c r="Y2479" t="s">
        <v>10247</v>
      </c>
      <c r="Z2479" t="s">
        <v>2971</v>
      </c>
      <c r="AA2479">
        <v>26039</v>
      </c>
      <c r="AB2479" t="s">
        <v>11</v>
      </c>
    </row>
    <row r="2480" spans="1:35" x14ac:dyDescent="0.25">
      <c r="A2480" t="s">
        <v>10248</v>
      </c>
      <c r="C2480" t="s">
        <v>10249</v>
      </c>
      <c r="D2480" t="s">
        <v>10211</v>
      </c>
      <c r="E2480" t="s">
        <v>770</v>
      </c>
      <c r="F2480" t="s">
        <v>1884</v>
      </c>
      <c r="G2480" t="s">
        <v>1854</v>
      </c>
      <c r="H2480" t="s">
        <v>1885</v>
      </c>
      <c r="J2480" t="s">
        <v>773</v>
      </c>
      <c r="K2480" t="s">
        <v>1930</v>
      </c>
      <c r="L2480" t="s">
        <v>66</v>
      </c>
      <c r="M2480" t="s">
        <v>65</v>
      </c>
      <c r="N2480" t="s">
        <v>770</v>
      </c>
      <c r="O2480">
        <v>1</v>
      </c>
      <c r="P2480" t="s">
        <v>776</v>
      </c>
      <c r="Q2480">
        <v>29.9</v>
      </c>
      <c r="R2480">
        <v>5.39</v>
      </c>
      <c r="Y2480" t="s">
        <v>10250</v>
      </c>
      <c r="Z2480" t="s">
        <v>1888</v>
      </c>
      <c r="AA2480">
        <v>40023</v>
      </c>
      <c r="AB2480" t="s">
        <v>11</v>
      </c>
    </row>
    <row r="2481" spans="1:35" x14ac:dyDescent="0.25">
      <c r="A2481" t="s">
        <v>10251</v>
      </c>
      <c r="C2481" t="s">
        <v>10252</v>
      </c>
      <c r="D2481" t="s">
        <v>10188</v>
      </c>
      <c r="E2481" t="s">
        <v>770</v>
      </c>
      <c r="F2481" t="s">
        <v>1884</v>
      </c>
      <c r="G2481" t="s">
        <v>1854</v>
      </c>
      <c r="H2481" t="s">
        <v>1885</v>
      </c>
      <c r="J2481" t="s">
        <v>773</v>
      </c>
      <c r="K2481" t="s">
        <v>2044</v>
      </c>
      <c r="L2481" t="s">
        <v>76</v>
      </c>
      <c r="M2481" t="s">
        <v>75</v>
      </c>
      <c r="N2481" t="s">
        <v>770</v>
      </c>
      <c r="O2481">
        <v>1</v>
      </c>
      <c r="P2481" t="s">
        <v>776</v>
      </c>
      <c r="Q2481">
        <v>49.9</v>
      </c>
      <c r="R2481">
        <v>9</v>
      </c>
      <c r="Y2481" t="s">
        <v>10253</v>
      </c>
      <c r="Z2481" t="s">
        <v>2101</v>
      </c>
      <c r="AA2481">
        <v>47832</v>
      </c>
      <c r="AB2481" t="s">
        <v>11</v>
      </c>
    </row>
    <row r="2482" spans="1:35" x14ac:dyDescent="0.25">
      <c r="A2482" t="s">
        <v>10254</v>
      </c>
      <c r="C2482" t="s">
        <v>10255</v>
      </c>
      <c r="D2482" t="s">
        <v>10196</v>
      </c>
      <c r="E2482" t="s">
        <v>770</v>
      </c>
      <c r="F2482" t="s">
        <v>1884</v>
      </c>
      <c r="G2482" t="s">
        <v>1854</v>
      </c>
      <c r="H2482" t="s">
        <v>1885</v>
      </c>
      <c r="J2482" t="s">
        <v>773</v>
      </c>
      <c r="K2482" t="s">
        <v>9494</v>
      </c>
      <c r="L2482" t="s">
        <v>58</v>
      </c>
      <c r="M2482" t="s">
        <v>57</v>
      </c>
      <c r="N2482" t="s">
        <v>770</v>
      </c>
      <c r="O2482">
        <v>1</v>
      </c>
      <c r="P2482" t="s">
        <v>776</v>
      </c>
      <c r="Q2482">
        <v>69.900000000000006</v>
      </c>
      <c r="R2482">
        <v>12.6</v>
      </c>
      <c r="Y2482" t="s">
        <v>2040</v>
      </c>
      <c r="Z2482" t="s">
        <v>2148</v>
      </c>
      <c r="AA2482">
        <v>65127</v>
      </c>
      <c r="AB2482" t="s">
        <v>11</v>
      </c>
    </row>
    <row r="2483" spans="1:35" x14ac:dyDescent="0.25">
      <c r="A2483" t="s">
        <v>10256</v>
      </c>
      <c r="C2483" t="s">
        <v>10257</v>
      </c>
      <c r="D2483" t="s">
        <v>10258</v>
      </c>
      <c r="E2483" t="s">
        <v>770</v>
      </c>
      <c r="F2483" t="s">
        <v>1884</v>
      </c>
      <c r="G2483" t="s">
        <v>1854</v>
      </c>
      <c r="H2483" t="s">
        <v>1885</v>
      </c>
      <c r="J2483" t="s">
        <v>773</v>
      </c>
      <c r="K2483" t="s">
        <v>1886</v>
      </c>
      <c r="L2483" t="s">
        <v>18</v>
      </c>
      <c r="M2483" t="s">
        <v>17</v>
      </c>
      <c r="N2483" t="s">
        <v>770</v>
      </c>
      <c r="O2483">
        <v>1</v>
      </c>
      <c r="P2483" t="s">
        <v>776</v>
      </c>
      <c r="Q2483">
        <v>22.9</v>
      </c>
      <c r="R2483">
        <v>4.13</v>
      </c>
      <c r="Y2483" t="s">
        <v>10259</v>
      </c>
      <c r="Z2483" t="s">
        <v>6127</v>
      </c>
      <c r="AA2483">
        <v>31050</v>
      </c>
      <c r="AB2483" t="s">
        <v>11</v>
      </c>
    </row>
    <row r="2484" spans="1:35" x14ac:dyDescent="0.25">
      <c r="A2484" t="s">
        <v>10260</v>
      </c>
      <c r="C2484" t="s">
        <v>10261</v>
      </c>
      <c r="D2484" t="s">
        <v>10159</v>
      </c>
      <c r="E2484" t="s">
        <v>770</v>
      </c>
      <c r="F2484" t="s">
        <v>1884</v>
      </c>
      <c r="G2484" t="s">
        <v>1854</v>
      </c>
      <c r="H2484" t="s">
        <v>1885</v>
      </c>
      <c r="J2484" t="s">
        <v>773</v>
      </c>
      <c r="K2484" t="s">
        <v>2889</v>
      </c>
      <c r="L2484" t="s">
        <v>135</v>
      </c>
      <c r="M2484" t="s">
        <v>134</v>
      </c>
      <c r="N2484" t="s">
        <v>770</v>
      </c>
      <c r="O2484">
        <v>1</v>
      </c>
      <c r="P2484" t="s">
        <v>776</v>
      </c>
      <c r="Q2484">
        <v>59.9</v>
      </c>
      <c r="R2484">
        <v>10.8</v>
      </c>
      <c r="Y2484" t="s">
        <v>1913</v>
      </c>
      <c r="Z2484" t="s">
        <v>1926</v>
      </c>
      <c r="AA2484">
        <v>124</v>
      </c>
      <c r="AB2484" t="s">
        <v>11</v>
      </c>
      <c r="AG2484">
        <v>9121400585</v>
      </c>
      <c r="AH2484" t="s">
        <v>11</v>
      </c>
      <c r="AI2484" t="s">
        <v>1258</v>
      </c>
    </row>
    <row r="2485" spans="1:35" x14ac:dyDescent="0.25">
      <c r="A2485" t="s">
        <v>10262</v>
      </c>
      <c r="C2485" t="s">
        <v>10263</v>
      </c>
      <c r="D2485" t="s">
        <v>10264</v>
      </c>
      <c r="E2485" t="s">
        <v>770</v>
      </c>
      <c r="F2485" t="s">
        <v>1884</v>
      </c>
      <c r="G2485" t="s">
        <v>1854</v>
      </c>
      <c r="H2485" t="s">
        <v>1885</v>
      </c>
      <c r="J2485" t="s">
        <v>773</v>
      </c>
      <c r="K2485" t="s">
        <v>1873</v>
      </c>
      <c r="L2485" t="s">
        <v>27</v>
      </c>
      <c r="M2485" t="s">
        <v>26</v>
      </c>
      <c r="N2485" t="s">
        <v>770</v>
      </c>
      <c r="O2485">
        <v>1</v>
      </c>
      <c r="P2485" t="s">
        <v>776</v>
      </c>
      <c r="Q2485">
        <v>34.9</v>
      </c>
      <c r="R2485">
        <v>6.29</v>
      </c>
      <c r="Y2485" t="s">
        <v>10265</v>
      </c>
      <c r="Z2485" t="s">
        <v>1989</v>
      </c>
      <c r="AA2485">
        <v>36040</v>
      </c>
      <c r="AB2485" t="s">
        <v>11</v>
      </c>
    </row>
    <row r="2486" spans="1:35" x14ac:dyDescent="0.25">
      <c r="A2486" t="s">
        <v>10266</v>
      </c>
      <c r="C2486" t="s">
        <v>10267</v>
      </c>
      <c r="D2486" t="s">
        <v>10268</v>
      </c>
      <c r="E2486" t="s">
        <v>770</v>
      </c>
      <c r="F2486" t="s">
        <v>1884</v>
      </c>
      <c r="G2486" t="s">
        <v>1854</v>
      </c>
      <c r="H2486" t="s">
        <v>1885</v>
      </c>
      <c r="J2486" t="s">
        <v>773</v>
      </c>
      <c r="K2486" t="s">
        <v>1873</v>
      </c>
      <c r="L2486" t="s">
        <v>27</v>
      </c>
      <c r="M2486" t="s">
        <v>26</v>
      </c>
      <c r="N2486" t="s">
        <v>770</v>
      </c>
      <c r="O2486">
        <v>1</v>
      </c>
      <c r="P2486" t="s">
        <v>776</v>
      </c>
      <c r="Q2486">
        <v>34.9</v>
      </c>
      <c r="R2486">
        <v>6.29</v>
      </c>
      <c r="Y2486" t="s">
        <v>10269</v>
      </c>
      <c r="Z2486" t="s">
        <v>1893</v>
      </c>
      <c r="AA2486">
        <v>10051</v>
      </c>
      <c r="AB2486" t="s">
        <v>11</v>
      </c>
    </row>
    <row r="2487" spans="1:35" x14ac:dyDescent="0.25">
      <c r="A2487" t="s">
        <v>10270</v>
      </c>
      <c r="C2487" t="s">
        <v>10271</v>
      </c>
      <c r="D2487" t="s">
        <v>10272</v>
      </c>
      <c r="E2487" t="s">
        <v>770</v>
      </c>
      <c r="F2487" t="s">
        <v>1884</v>
      </c>
      <c r="G2487" t="s">
        <v>1854</v>
      </c>
      <c r="H2487" t="s">
        <v>1885</v>
      </c>
      <c r="J2487" t="s">
        <v>773</v>
      </c>
      <c r="K2487" t="s">
        <v>3958</v>
      </c>
      <c r="L2487" t="s">
        <v>97</v>
      </c>
      <c r="M2487" t="s">
        <v>96</v>
      </c>
      <c r="N2487" t="s">
        <v>770</v>
      </c>
      <c r="O2487">
        <v>1</v>
      </c>
      <c r="P2487" t="s">
        <v>776</v>
      </c>
      <c r="Q2487">
        <v>24.9</v>
      </c>
      <c r="R2487">
        <v>4.49</v>
      </c>
      <c r="Y2487" t="s">
        <v>4137</v>
      </c>
      <c r="Z2487" t="s">
        <v>2663</v>
      </c>
      <c r="AA2487">
        <v>47122</v>
      </c>
      <c r="AB2487" t="s">
        <v>11</v>
      </c>
    </row>
    <row r="2488" spans="1:35" x14ac:dyDescent="0.25">
      <c r="A2488" t="s">
        <v>10273</v>
      </c>
      <c r="C2488" t="s">
        <v>10274</v>
      </c>
      <c r="D2488" t="s">
        <v>10275</v>
      </c>
      <c r="E2488" t="s">
        <v>770</v>
      </c>
      <c r="F2488" t="s">
        <v>1884</v>
      </c>
      <c r="G2488" t="s">
        <v>1854</v>
      </c>
      <c r="H2488" t="s">
        <v>1885</v>
      </c>
      <c r="J2488" t="s">
        <v>773</v>
      </c>
      <c r="K2488" t="s">
        <v>4362</v>
      </c>
      <c r="L2488" s="2">
        <v>40500</v>
      </c>
      <c r="M2488" t="s">
        <v>53</v>
      </c>
      <c r="N2488" t="s">
        <v>770</v>
      </c>
      <c r="O2488">
        <v>1</v>
      </c>
      <c r="P2488" t="s">
        <v>776</v>
      </c>
      <c r="Q2488">
        <v>32.9</v>
      </c>
      <c r="R2488">
        <v>5.93</v>
      </c>
      <c r="Y2488" t="s">
        <v>3861</v>
      </c>
      <c r="Z2488" t="s">
        <v>6845</v>
      </c>
      <c r="AA2488">
        <v>58100</v>
      </c>
      <c r="AB2488" t="s">
        <v>11</v>
      </c>
    </row>
    <row r="2489" spans="1:35" x14ac:dyDescent="0.25">
      <c r="A2489" t="s">
        <v>10276</v>
      </c>
      <c r="C2489" t="s">
        <v>10277</v>
      </c>
      <c r="D2489" t="s">
        <v>10278</v>
      </c>
      <c r="E2489" t="s">
        <v>770</v>
      </c>
      <c r="F2489" t="s">
        <v>1884</v>
      </c>
      <c r="G2489" t="s">
        <v>1854</v>
      </c>
      <c r="H2489" t="s">
        <v>1885</v>
      </c>
      <c r="J2489" t="s">
        <v>773</v>
      </c>
      <c r="K2489" t="s">
        <v>4362</v>
      </c>
      <c r="L2489" s="2">
        <v>40500</v>
      </c>
      <c r="M2489" t="s">
        <v>53</v>
      </c>
      <c r="N2489" t="s">
        <v>770</v>
      </c>
      <c r="O2489">
        <v>1</v>
      </c>
      <c r="P2489" t="s">
        <v>776</v>
      </c>
      <c r="Q2489">
        <v>32.9</v>
      </c>
      <c r="R2489">
        <v>5.93</v>
      </c>
      <c r="Y2489" t="s">
        <v>10279</v>
      </c>
      <c r="Z2489" t="s">
        <v>4974</v>
      </c>
      <c r="AA2489">
        <v>91014</v>
      </c>
      <c r="AB2489" t="s">
        <v>11</v>
      </c>
    </row>
    <row r="2490" spans="1:35" x14ac:dyDescent="0.25">
      <c r="A2490" t="s">
        <v>10280</v>
      </c>
      <c r="C2490" t="s">
        <v>10281</v>
      </c>
      <c r="D2490" t="s">
        <v>10282</v>
      </c>
      <c r="E2490" t="s">
        <v>770</v>
      </c>
      <c r="F2490" t="s">
        <v>1884</v>
      </c>
      <c r="G2490" t="s">
        <v>1854</v>
      </c>
      <c r="H2490" t="s">
        <v>1885</v>
      </c>
      <c r="J2490" t="s">
        <v>773</v>
      </c>
      <c r="K2490" t="s">
        <v>1873</v>
      </c>
      <c r="L2490" t="s">
        <v>27</v>
      </c>
      <c r="M2490" t="s">
        <v>26</v>
      </c>
      <c r="N2490" t="s">
        <v>770</v>
      </c>
      <c r="O2490">
        <v>1</v>
      </c>
      <c r="P2490" t="s">
        <v>776</v>
      </c>
      <c r="Q2490">
        <v>34.9</v>
      </c>
      <c r="R2490">
        <v>6.29</v>
      </c>
      <c r="Y2490" t="s">
        <v>1913</v>
      </c>
      <c r="Z2490" t="s">
        <v>1926</v>
      </c>
      <c r="AA2490">
        <v>191</v>
      </c>
      <c r="AB2490" t="s">
        <v>11</v>
      </c>
    </row>
    <row r="2491" spans="1:35" x14ac:dyDescent="0.25">
      <c r="A2491" t="s">
        <v>10283</v>
      </c>
      <c r="C2491" t="s">
        <v>10284</v>
      </c>
      <c r="D2491" t="s">
        <v>10285</v>
      </c>
      <c r="E2491" t="s">
        <v>782</v>
      </c>
      <c r="F2491" t="s">
        <v>1884</v>
      </c>
      <c r="G2491" t="s">
        <v>1854</v>
      </c>
      <c r="H2491" t="s">
        <v>1885</v>
      </c>
      <c r="J2491" t="s">
        <v>773</v>
      </c>
      <c r="K2491" t="s">
        <v>2044</v>
      </c>
      <c r="L2491" t="s">
        <v>76</v>
      </c>
      <c r="M2491" t="s">
        <v>75</v>
      </c>
      <c r="O2491">
        <v>0</v>
      </c>
      <c r="Y2491" t="s">
        <v>1913</v>
      </c>
      <c r="Z2491" t="s">
        <v>1913</v>
      </c>
      <c r="AA2491">
        <v>133</v>
      </c>
      <c r="AB2491" t="s">
        <v>11</v>
      </c>
    </row>
    <row r="2492" spans="1:35" x14ac:dyDescent="0.25">
      <c r="A2492" t="s">
        <v>10286</v>
      </c>
      <c r="C2492" t="s">
        <v>10287</v>
      </c>
      <c r="D2492" t="s">
        <v>10288</v>
      </c>
      <c r="E2492" t="s">
        <v>770</v>
      </c>
      <c r="F2492" t="s">
        <v>1884</v>
      </c>
      <c r="G2492" t="s">
        <v>1854</v>
      </c>
      <c r="H2492" t="s">
        <v>1885</v>
      </c>
      <c r="J2492" t="s">
        <v>773</v>
      </c>
      <c r="K2492" t="s">
        <v>1873</v>
      </c>
      <c r="L2492" t="s">
        <v>27</v>
      </c>
      <c r="M2492" t="s">
        <v>26</v>
      </c>
      <c r="N2492" t="s">
        <v>770</v>
      </c>
      <c r="O2492">
        <v>1</v>
      </c>
      <c r="P2492" t="s">
        <v>776</v>
      </c>
      <c r="Q2492">
        <v>34.9</v>
      </c>
      <c r="R2492">
        <v>6.29</v>
      </c>
      <c r="Y2492" t="s">
        <v>10289</v>
      </c>
      <c r="Z2492" t="s">
        <v>5468</v>
      </c>
      <c r="AA2492">
        <v>83044</v>
      </c>
      <c r="AB2492" t="s">
        <v>11</v>
      </c>
    </row>
    <row r="2493" spans="1:35" x14ac:dyDescent="0.25">
      <c r="A2493" t="s">
        <v>10290</v>
      </c>
      <c r="C2493" t="s">
        <v>10291</v>
      </c>
      <c r="D2493" t="s">
        <v>10292</v>
      </c>
      <c r="E2493" t="s">
        <v>770</v>
      </c>
      <c r="F2493" t="s">
        <v>1884</v>
      </c>
      <c r="G2493" t="s">
        <v>1854</v>
      </c>
      <c r="H2493" t="s">
        <v>1885</v>
      </c>
      <c r="J2493" t="s">
        <v>773</v>
      </c>
      <c r="K2493" t="s">
        <v>4881</v>
      </c>
      <c r="L2493" s="2">
        <v>90882</v>
      </c>
      <c r="M2493" t="s">
        <v>232</v>
      </c>
      <c r="N2493" t="s">
        <v>770</v>
      </c>
      <c r="O2493">
        <v>1</v>
      </c>
      <c r="P2493" t="s">
        <v>776</v>
      </c>
      <c r="Q2493">
        <v>49.9</v>
      </c>
      <c r="R2493">
        <v>9</v>
      </c>
      <c r="Y2493" t="s">
        <v>2057</v>
      </c>
      <c r="Z2493" t="s">
        <v>2433</v>
      </c>
      <c r="AA2493">
        <v>37139</v>
      </c>
      <c r="AB2493" t="s">
        <v>11</v>
      </c>
    </row>
    <row r="2494" spans="1:35" x14ac:dyDescent="0.25">
      <c r="A2494" t="s">
        <v>10293</v>
      </c>
      <c r="C2494" t="s">
        <v>10294</v>
      </c>
      <c r="D2494" t="s">
        <v>10295</v>
      </c>
      <c r="E2494" t="s">
        <v>770</v>
      </c>
      <c r="F2494" t="s">
        <v>1884</v>
      </c>
      <c r="G2494" t="s">
        <v>1854</v>
      </c>
      <c r="H2494" t="s">
        <v>1885</v>
      </c>
      <c r="J2494" t="s">
        <v>773</v>
      </c>
      <c r="K2494" t="s">
        <v>1873</v>
      </c>
      <c r="L2494" t="s">
        <v>27</v>
      </c>
      <c r="M2494" t="s">
        <v>26</v>
      </c>
      <c r="N2494" t="s">
        <v>770</v>
      </c>
      <c r="O2494">
        <v>1</v>
      </c>
      <c r="P2494" t="s">
        <v>776</v>
      </c>
      <c r="Q2494">
        <v>34.9</v>
      </c>
      <c r="R2494">
        <v>6.29</v>
      </c>
      <c r="Y2494" t="s">
        <v>5304</v>
      </c>
      <c r="Z2494" t="s">
        <v>1858</v>
      </c>
      <c r="AA2494">
        <v>45100</v>
      </c>
      <c r="AB2494" t="s">
        <v>11</v>
      </c>
    </row>
    <row r="2495" spans="1:35" x14ac:dyDescent="0.25">
      <c r="A2495" t="s">
        <v>10296</v>
      </c>
      <c r="C2495" t="s">
        <v>10297</v>
      </c>
      <c r="D2495" t="s">
        <v>10298</v>
      </c>
      <c r="E2495" t="s">
        <v>770</v>
      </c>
      <c r="F2495" t="s">
        <v>1884</v>
      </c>
      <c r="G2495" t="s">
        <v>1854</v>
      </c>
      <c r="H2495" t="s">
        <v>1885</v>
      </c>
      <c r="J2495" t="s">
        <v>773</v>
      </c>
      <c r="K2495" t="s">
        <v>4362</v>
      </c>
      <c r="L2495" s="2">
        <v>40500</v>
      </c>
      <c r="M2495" t="s">
        <v>53</v>
      </c>
      <c r="N2495" t="s">
        <v>770</v>
      </c>
      <c r="O2495">
        <v>1</v>
      </c>
      <c r="P2495" t="s">
        <v>776</v>
      </c>
      <c r="Q2495">
        <v>32.9</v>
      </c>
      <c r="R2495">
        <v>5.93</v>
      </c>
      <c r="Y2495" t="s">
        <v>2448</v>
      </c>
      <c r="Z2495" t="s">
        <v>2697</v>
      </c>
      <c r="AA2495">
        <v>18038</v>
      </c>
      <c r="AB2495" t="s">
        <v>11</v>
      </c>
    </row>
    <row r="2496" spans="1:35" x14ac:dyDescent="0.25">
      <c r="A2496" t="s">
        <v>10299</v>
      </c>
      <c r="C2496" t="s">
        <v>10300</v>
      </c>
      <c r="D2496" t="s">
        <v>10301</v>
      </c>
      <c r="E2496" t="s">
        <v>770</v>
      </c>
      <c r="F2496" t="s">
        <v>1884</v>
      </c>
      <c r="G2496" t="s">
        <v>1854</v>
      </c>
      <c r="H2496" t="s">
        <v>1885</v>
      </c>
      <c r="J2496" t="s">
        <v>773</v>
      </c>
      <c r="K2496" t="s">
        <v>1886</v>
      </c>
      <c r="L2496" t="s">
        <v>18</v>
      </c>
      <c r="M2496" t="s">
        <v>17</v>
      </c>
      <c r="N2496" t="s">
        <v>770</v>
      </c>
      <c r="O2496">
        <v>2</v>
      </c>
      <c r="P2496" t="s">
        <v>776</v>
      </c>
      <c r="Q2496">
        <v>45.8</v>
      </c>
      <c r="R2496">
        <v>8.26</v>
      </c>
      <c r="Y2496" t="s">
        <v>3180</v>
      </c>
      <c r="Z2496" t="s">
        <v>3180</v>
      </c>
      <c r="AA2496">
        <v>96100</v>
      </c>
      <c r="AB2496" t="s">
        <v>11</v>
      </c>
    </row>
    <row r="2497" spans="1:28" x14ac:dyDescent="0.25">
      <c r="A2497" t="s">
        <v>10302</v>
      </c>
      <c r="C2497" t="s">
        <v>10303</v>
      </c>
      <c r="D2497" t="s">
        <v>10304</v>
      </c>
      <c r="E2497" t="s">
        <v>770</v>
      </c>
      <c r="F2497" t="s">
        <v>1884</v>
      </c>
      <c r="G2497" t="s">
        <v>1854</v>
      </c>
      <c r="H2497" t="s">
        <v>1885</v>
      </c>
      <c r="J2497" t="s">
        <v>773</v>
      </c>
      <c r="K2497" t="s">
        <v>4362</v>
      </c>
      <c r="L2497" s="2">
        <v>40500</v>
      </c>
      <c r="M2497" t="s">
        <v>53</v>
      </c>
      <c r="N2497" t="s">
        <v>770</v>
      </c>
      <c r="O2497">
        <v>1</v>
      </c>
      <c r="P2497" t="s">
        <v>776</v>
      </c>
      <c r="Q2497">
        <v>32.9</v>
      </c>
      <c r="R2497">
        <v>5.93</v>
      </c>
      <c r="Y2497" t="s">
        <v>10305</v>
      </c>
      <c r="Z2497" t="s">
        <v>3080</v>
      </c>
      <c r="AA2497">
        <v>30141</v>
      </c>
      <c r="AB2497" t="s">
        <v>11</v>
      </c>
    </row>
    <row r="2498" spans="1:28" x14ac:dyDescent="0.25">
      <c r="A2498" t="s">
        <v>10306</v>
      </c>
      <c r="C2498" t="s">
        <v>10307</v>
      </c>
      <c r="D2498" t="s">
        <v>10308</v>
      </c>
      <c r="E2498" t="s">
        <v>770</v>
      </c>
      <c r="F2498" t="s">
        <v>1884</v>
      </c>
      <c r="G2498" t="s">
        <v>1854</v>
      </c>
      <c r="H2498" t="s">
        <v>1885</v>
      </c>
      <c r="J2498" t="s">
        <v>773</v>
      </c>
      <c r="K2498" t="s">
        <v>1873</v>
      </c>
      <c r="L2498" t="s">
        <v>27</v>
      </c>
      <c r="M2498" t="s">
        <v>26</v>
      </c>
      <c r="N2498" t="s">
        <v>770</v>
      </c>
      <c r="O2498">
        <v>1</v>
      </c>
      <c r="P2498" t="s">
        <v>776</v>
      </c>
      <c r="Q2498">
        <v>34.9</v>
      </c>
      <c r="R2498">
        <v>6.29</v>
      </c>
      <c r="Y2498" t="s">
        <v>3043</v>
      </c>
      <c r="Z2498" t="s">
        <v>2362</v>
      </c>
      <c r="AA2498">
        <v>15122</v>
      </c>
      <c r="AB2498" t="s">
        <v>11</v>
      </c>
    </row>
    <row r="2499" spans="1:28" x14ac:dyDescent="0.25">
      <c r="A2499" t="s">
        <v>10309</v>
      </c>
      <c r="C2499" t="s">
        <v>10310</v>
      </c>
      <c r="D2499" t="s">
        <v>10311</v>
      </c>
      <c r="E2499" t="s">
        <v>770</v>
      </c>
      <c r="F2499" t="s">
        <v>1884</v>
      </c>
      <c r="G2499" t="s">
        <v>1854</v>
      </c>
      <c r="H2499" t="s">
        <v>1885</v>
      </c>
      <c r="J2499" t="s">
        <v>773</v>
      </c>
      <c r="K2499" t="s">
        <v>1886</v>
      </c>
      <c r="L2499" t="s">
        <v>18</v>
      </c>
      <c r="M2499" t="s">
        <v>17</v>
      </c>
      <c r="N2499" t="s">
        <v>770</v>
      </c>
      <c r="O2499">
        <v>1</v>
      </c>
      <c r="P2499" t="s">
        <v>776</v>
      </c>
      <c r="Q2499">
        <v>22.9</v>
      </c>
      <c r="R2499">
        <v>4.13</v>
      </c>
      <c r="Y2499" t="s">
        <v>6638</v>
      </c>
      <c r="Z2499" t="s">
        <v>2860</v>
      </c>
      <c r="AA2499">
        <v>36031</v>
      </c>
      <c r="AB2499" t="s">
        <v>11</v>
      </c>
    </row>
    <row r="2500" spans="1:28" x14ac:dyDescent="0.25">
      <c r="A2500" t="s">
        <v>10312</v>
      </c>
      <c r="C2500" t="s">
        <v>10313</v>
      </c>
      <c r="D2500" t="s">
        <v>10308</v>
      </c>
      <c r="E2500" t="s">
        <v>770</v>
      </c>
      <c r="F2500" t="s">
        <v>1884</v>
      </c>
      <c r="G2500" t="s">
        <v>1854</v>
      </c>
      <c r="H2500" t="s">
        <v>1885</v>
      </c>
      <c r="J2500" t="s">
        <v>773</v>
      </c>
      <c r="K2500" t="s">
        <v>1886</v>
      </c>
      <c r="L2500" t="s">
        <v>18</v>
      </c>
      <c r="M2500" t="s">
        <v>17</v>
      </c>
      <c r="N2500" t="s">
        <v>770</v>
      </c>
      <c r="O2500">
        <v>1</v>
      </c>
      <c r="P2500" t="s">
        <v>776</v>
      </c>
      <c r="Q2500">
        <v>22.9</v>
      </c>
      <c r="R2500">
        <v>4.13</v>
      </c>
      <c r="Y2500" t="s">
        <v>1913</v>
      </c>
      <c r="Z2500" t="s">
        <v>2548</v>
      </c>
      <c r="AA2500">
        <v>161</v>
      </c>
      <c r="AB2500" t="s">
        <v>11</v>
      </c>
    </row>
    <row r="2501" spans="1:28" x14ac:dyDescent="0.25">
      <c r="A2501" t="s">
        <v>10314</v>
      </c>
      <c r="C2501" t="s">
        <v>10315</v>
      </c>
      <c r="D2501" t="s">
        <v>10316</v>
      </c>
      <c r="E2501" t="s">
        <v>770</v>
      </c>
      <c r="F2501" t="s">
        <v>1884</v>
      </c>
      <c r="G2501" t="s">
        <v>1854</v>
      </c>
      <c r="H2501" t="s">
        <v>1885</v>
      </c>
      <c r="J2501" t="s">
        <v>773</v>
      </c>
      <c r="K2501" t="s">
        <v>1873</v>
      </c>
      <c r="L2501" t="s">
        <v>27</v>
      </c>
      <c r="M2501" t="s">
        <v>26</v>
      </c>
      <c r="N2501" t="s">
        <v>770</v>
      </c>
      <c r="O2501">
        <v>1</v>
      </c>
      <c r="P2501" t="s">
        <v>776</v>
      </c>
      <c r="Q2501">
        <v>34.9</v>
      </c>
      <c r="R2501">
        <v>6.29</v>
      </c>
      <c r="Y2501" t="s">
        <v>10317</v>
      </c>
      <c r="Z2501" t="s">
        <v>10317</v>
      </c>
      <c r="AA2501">
        <v>89133</v>
      </c>
      <c r="AB2501" t="s">
        <v>11</v>
      </c>
    </row>
    <row r="2502" spans="1:28" x14ac:dyDescent="0.25">
      <c r="A2502" t="s">
        <v>10318</v>
      </c>
      <c r="C2502" t="s">
        <v>10319</v>
      </c>
      <c r="D2502" t="s">
        <v>10320</v>
      </c>
      <c r="E2502" t="s">
        <v>770</v>
      </c>
      <c r="F2502" t="s">
        <v>1884</v>
      </c>
      <c r="G2502" t="s">
        <v>1854</v>
      </c>
      <c r="H2502" t="s">
        <v>1885</v>
      </c>
      <c r="J2502" t="s">
        <v>773</v>
      </c>
      <c r="K2502" t="s">
        <v>4362</v>
      </c>
      <c r="L2502" s="2">
        <v>40500</v>
      </c>
      <c r="M2502" t="s">
        <v>53</v>
      </c>
      <c r="N2502" t="s">
        <v>770</v>
      </c>
      <c r="O2502">
        <v>1</v>
      </c>
      <c r="P2502" t="s">
        <v>776</v>
      </c>
      <c r="Q2502">
        <v>32.9</v>
      </c>
      <c r="R2502">
        <v>5.93</v>
      </c>
      <c r="Y2502" t="s">
        <v>7251</v>
      </c>
      <c r="Z2502" t="s">
        <v>2819</v>
      </c>
      <c r="AA2502">
        <v>74020</v>
      </c>
      <c r="AB2502" t="s">
        <v>11</v>
      </c>
    </row>
    <row r="2503" spans="1:28" x14ac:dyDescent="0.25">
      <c r="A2503" t="s">
        <v>10321</v>
      </c>
      <c r="C2503" t="s">
        <v>10322</v>
      </c>
      <c r="D2503" t="s">
        <v>10323</v>
      </c>
      <c r="E2503" t="s">
        <v>770</v>
      </c>
      <c r="F2503" t="s">
        <v>1884</v>
      </c>
      <c r="G2503" t="s">
        <v>1854</v>
      </c>
      <c r="H2503" t="s">
        <v>1885</v>
      </c>
      <c r="J2503" t="s">
        <v>773</v>
      </c>
      <c r="K2503" t="s">
        <v>4362</v>
      </c>
      <c r="L2503" s="2">
        <v>40500</v>
      </c>
      <c r="M2503" t="s">
        <v>53</v>
      </c>
      <c r="N2503" t="s">
        <v>770</v>
      </c>
      <c r="O2503">
        <v>1</v>
      </c>
      <c r="P2503" t="s">
        <v>776</v>
      </c>
      <c r="Q2503">
        <v>32.9</v>
      </c>
      <c r="R2503">
        <v>5.93</v>
      </c>
      <c r="Y2503" t="s">
        <v>10324</v>
      </c>
      <c r="Z2503" t="s">
        <v>2503</v>
      </c>
      <c r="AA2503">
        <v>48033</v>
      </c>
      <c r="AB2503" t="s">
        <v>11</v>
      </c>
    </row>
    <row r="2504" spans="1:28" x14ac:dyDescent="0.25">
      <c r="A2504" t="s">
        <v>10325</v>
      </c>
      <c r="C2504" t="s">
        <v>10326</v>
      </c>
      <c r="D2504" t="s">
        <v>10327</v>
      </c>
      <c r="E2504" t="s">
        <v>770</v>
      </c>
      <c r="F2504" t="s">
        <v>1884</v>
      </c>
      <c r="G2504" t="s">
        <v>1854</v>
      </c>
      <c r="H2504" t="s">
        <v>1885</v>
      </c>
      <c r="J2504" t="s">
        <v>773</v>
      </c>
      <c r="K2504" t="s">
        <v>9645</v>
      </c>
      <c r="L2504" t="s">
        <v>213</v>
      </c>
      <c r="M2504" t="s">
        <v>212</v>
      </c>
      <c r="N2504" t="s">
        <v>770</v>
      </c>
      <c r="O2504">
        <v>1</v>
      </c>
      <c r="P2504" t="s">
        <v>776</v>
      </c>
      <c r="Q2504">
        <v>39.9</v>
      </c>
      <c r="R2504">
        <v>7.2</v>
      </c>
      <c r="Y2504" t="s">
        <v>10328</v>
      </c>
      <c r="Z2504" t="s">
        <v>3089</v>
      </c>
      <c r="AA2504">
        <v>25040</v>
      </c>
      <c r="AB2504" t="s">
        <v>11</v>
      </c>
    </row>
    <row r="2505" spans="1:28" x14ac:dyDescent="0.25">
      <c r="A2505" t="s">
        <v>10329</v>
      </c>
      <c r="C2505" t="s">
        <v>10330</v>
      </c>
      <c r="D2505" t="s">
        <v>10331</v>
      </c>
      <c r="E2505" t="s">
        <v>770</v>
      </c>
      <c r="F2505" t="s">
        <v>1884</v>
      </c>
      <c r="G2505" t="s">
        <v>1854</v>
      </c>
      <c r="H2505" t="s">
        <v>1885</v>
      </c>
      <c r="J2505" t="s">
        <v>773</v>
      </c>
      <c r="K2505" t="s">
        <v>4822</v>
      </c>
      <c r="L2505" t="s">
        <v>123</v>
      </c>
      <c r="M2505" t="s">
        <v>122</v>
      </c>
      <c r="N2505" t="s">
        <v>770</v>
      </c>
      <c r="O2505">
        <v>1</v>
      </c>
      <c r="P2505" t="s">
        <v>776</v>
      </c>
      <c r="Q2505">
        <v>32.9</v>
      </c>
      <c r="R2505">
        <v>5.93</v>
      </c>
      <c r="Y2505" t="s">
        <v>1956</v>
      </c>
      <c r="Z2505" t="s">
        <v>1913</v>
      </c>
      <c r="AA2505">
        <v>141</v>
      </c>
      <c r="AB2505" t="s">
        <v>11</v>
      </c>
    </row>
    <row r="2506" spans="1:28" x14ac:dyDescent="0.25">
      <c r="A2506" t="s">
        <v>10332</v>
      </c>
      <c r="C2506" t="s">
        <v>10333</v>
      </c>
      <c r="D2506" t="s">
        <v>10334</v>
      </c>
      <c r="E2506" t="s">
        <v>770</v>
      </c>
      <c r="F2506" t="s">
        <v>1884</v>
      </c>
      <c r="G2506" t="s">
        <v>1854</v>
      </c>
      <c r="H2506" t="s">
        <v>1885</v>
      </c>
      <c r="J2506" t="s">
        <v>773</v>
      </c>
      <c r="K2506" t="s">
        <v>10135</v>
      </c>
      <c r="L2506" s="2">
        <v>40979</v>
      </c>
      <c r="M2506" t="s">
        <v>310</v>
      </c>
      <c r="N2506" t="s">
        <v>770</v>
      </c>
      <c r="O2506">
        <v>1</v>
      </c>
      <c r="P2506" t="s">
        <v>776</v>
      </c>
      <c r="Q2506">
        <v>22.9</v>
      </c>
      <c r="R2506">
        <v>4.13</v>
      </c>
      <c r="Y2506" t="s">
        <v>4233</v>
      </c>
      <c r="Z2506" t="s">
        <v>2088</v>
      </c>
      <c r="AA2506">
        <v>98164</v>
      </c>
      <c r="AB2506" t="s">
        <v>11</v>
      </c>
    </row>
    <row r="2507" spans="1:28" x14ac:dyDescent="0.25">
      <c r="A2507" t="s">
        <v>10335</v>
      </c>
      <c r="C2507" t="s">
        <v>10336</v>
      </c>
      <c r="D2507" t="s">
        <v>10331</v>
      </c>
      <c r="E2507" t="s">
        <v>770</v>
      </c>
      <c r="F2507" t="s">
        <v>1884</v>
      </c>
      <c r="G2507" t="s">
        <v>1854</v>
      </c>
      <c r="H2507" t="s">
        <v>1885</v>
      </c>
      <c r="J2507" t="s">
        <v>773</v>
      </c>
      <c r="K2507" t="s">
        <v>1873</v>
      </c>
      <c r="L2507" t="s">
        <v>27</v>
      </c>
      <c r="M2507" t="s">
        <v>26</v>
      </c>
      <c r="N2507" t="s">
        <v>770</v>
      </c>
      <c r="O2507">
        <v>1</v>
      </c>
      <c r="P2507" t="s">
        <v>776</v>
      </c>
      <c r="Q2507">
        <v>34.9</v>
      </c>
      <c r="R2507">
        <v>6.29</v>
      </c>
      <c r="Y2507" t="s">
        <v>10337</v>
      </c>
      <c r="Z2507" t="s">
        <v>1913</v>
      </c>
      <c r="AA2507">
        <v>61</v>
      </c>
      <c r="AB2507" t="s">
        <v>11</v>
      </c>
    </row>
    <row r="2508" spans="1:28" x14ac:dyDescent="0.25">
      <c r="A2508" t="s">
        <v>10338</v>
      </c>
      <c r="C2508" t="s">
        <v>10339</v>
      </c>
      <c r="D2508" t="s">
        <v>10340</v>
      </c>
      <c r="E2508" t="s">
        <v>770</v>
      </c>
      <c r="F2508" t="s">
        <v>1884</v>
      </c>
      <c r="G2508" t="s">
        <v>1854</v>
      </c>
      <c r="H2508" t="s">
        <v>1885</v>
      </c>
      <c r="J2508" t="s">
        <v>773</v>
      </c>
      <c r="K2508" t="s">
        <v>1873</v>
      </c>
      <c r="L2508" t="s">
        <v>27</v>
      </c>
      <c r="M2508" t="s">
        <v>26</v>
      </c>
      <c r="N2508" t="s">
        <v>770</v>
      </c>
      <c r="O2508">
        <v>1</v>
      </c>
      <c r="P2508" t="s">
        <v>776</v>
      </c>
      <c r="Q2508">
        <v>34.9</v>
      </c>
      <c r="R2508">
        <v>6.29</v>
      </c>
      <c r="Y2508" t="s">
        <v>10341</v>
      </c>
      <c r="Z2508" t="s">
        <v>10342</v>
      </c>
      <c r="AA2508">
        <v>38025</v>
      </c>
      <c r="AB2508" t="s">
        <v>11</v>
      </c>
    </row>
    <row r="2509" spans="1:28" x14ac:dyDescent="0.25">
      <c r="A2509" t="s">
        <v>10343</v>
      </c>
      <c r="C2509" t="s">
        <v>10344</v>
      </c>
      <c r="D2509" t="s">
        <v>10331</v>
      </c>
      <c r="E2509" t="s">
        <v>770</v>
      </c>
      <c r="F2509" t="s">
        <v>1884</v>
      </c>
      <c r="G2509" t="s">
        <v>1854</v>
      </c>
      <c r="H2509" t="s">
        <v>1885</v>
      </c>
      <c r="J2509" t="s">
        <v>773</v>
      </c>
      <c r="K2509" t="s">
        <v>9645</v>
      </c>
      <c r="L2509" t="s">
        <v>213</v>
      </c>
      <c r="M2509" t="s">
        <v>212</v>
      </c>
      <c r="N2509" t="s">
        <v>770</v>
      </c>
      <c r="O2509">
        <v>1</v>
      </c>
      <c r="P2509" t="s">
        <v>776</v>
      </c>
      <c r="Q2509">
        <v>39.9</v>
      </c>
      <c r="R2509">
        <v>7.2</v>
      </c>
      <c r="Y2509" t="s">
        <v>2602</v>
      </c>
      <c r="Z2509" t="s">
        <v>2602</v>
      </c>
      <c r="AA2509">
        <v>16154</v>
      </c>
      <c r="AB2509" t="s">
        <v>11</v>
      </c>
    </row>
    <row r="2510" spans="1:28" x14ac:dyDescent="0.25">
      <c r="A2510" t="s">
        <v>10345</v>
      </c>
      <c r="C2510" t="s">
        <v>10346</v>
      </c>
      <c r="D2510" t="s">
        <v>10347</v>
      </c>
      <c r="E2510" t="s">
        <v>782</v>
      </c>
      <c r="F2510" t="s">
        <v>1884</v>
      </c>
      <c r="G2510" t="s">
        <v>1854</v>
      </c>
      <c r="H2510" t="s">
        <v>1885</v>
      </c>
      <c r="J2510" t="s">
        <v>773</v>
      </c>
      <c r="K2510" t="s">
        <v>1930</v>
      </c>
      <c r="L2510" t="s">
        <v>66</v>
      </c>
      <c r="M2510" t="s">
        <v>65</v>
      </c>
      <c r="O2510">
        <v>0</v>
      </c>
      <c r="Y2510" t="s">
        <v>10348</v>
      </c>
      <c r="Z2510" t="s">
        <v>10349</v>
      </c>
      <c r="AA2510">
        <v>81041</v>
      </c>
      <c r="AB2510" t="s">
        <v>11</v>
      </c>
    </row>
    <row r="2511" spans="1:28" x14ac:dyDescent="0.25">
      <c r="A2511" t="s">
        <v>10350</v>
      </c>
      <c r="C2511" t="s">
        <v>10351</v>
      </c>
      <c r="D2511" t="s">
        <v>10352</v>
      </c>
      <c r="E2511" t="s">
        <v>770</v>
      </c>
      <c r="F2511" t="s">
        <v>1884</v>
      </c>
      <c r="G2511" t="s">
        <v>1854</v>
      </c>
      <c r="H2511" t="s">
        <v>1885</v>
      </c>
      <c r="J2511" t="s">
        <v>773</v>
      </c>
      <c r="K2511" t="s">
        <v>2913</v>
      </c>
      <c r="L2511" t="s">
        <v>99</v>
      </c>
      <c r="M2511" t="s">
        <v>98</v>
      </c>
      <c r="N2511" t="s">
        <v>770</v>
      </c>
      <c r="O2511">
        <v>1</v>
      </c>
      <c r="P2511" t="s">
        <v>776</v>
      </c>
      <c r="Q2511">
        <v>32.9</v>
      </c>
      <c r="R2511">
        <v>5.93</v>
      </c>
      <c r="Y2511" t="s">
        <v>10353</v>
      </c>
      <c r="Z2511" t="s">
        <v>2030</v>
      </c>
      <c r="AA2511">
        <v>38050</v>
      </c>
      <c r="AB2511" t="s">
        <v>11</v>
      </c>
    </row>
    <row r="2512" spans="1:28" x14ac:dyDescent="0.25">
      <c r="A2512" t="s">
        <v>10354</v>
      </c>
      <c r="C2512" t="s">
        <v>10355</v>
      </c>
      <c r="D2512" t="s">
        <v>10356</v>
      </c>
      <c r="E2512" t="s">
        <v>770</v>
      </c>
      <c r="F2512" t="s">
        <v>1884</v>
      </c>
      <c r="G2512" t="s">
        <v>1854</v>
      </c>
      <c r="H2512" t="s">
        <v>1885</v>
      </c>
      <c r="J2512" t="s">
        <v>773</v>
      </c>
      <c r="K2512" t="s">
        <v>3363</v>
      </c>
      <c r="L2512" s="2">
        <v>40490</v>
      </c>
      <c r="M2512" t="s">
        <v>71</v>
      </c>
      <c r="N2512" t="s">
        <v>770</v>
      </c>
      <c r="O2512">
        <v>2</v>
      </c>
      <c r="P2512" t="s">
        <v>776</v>
      </c>
      <c r="Q2512">
        <v>59.8</v>
      </c>
      <c r="R2512">
        <v>10.78</v>
      </c>
      <c r="Y2512" t="s">
        <v>10357</v>
      </c>
      <c r="Z2512" t="s">
        <v>2088</v>
      </c>
      <c r="AA2512">
        <v>98042</v>
      </c>
      <c r="AB2512" t="s">
        <v>11</v>
      </c>
    </row>
    <row r="2513" spans="1:35" x14ac:dyDescent="0.25">
      <c r="A2513" t="s">
        <v>10358</v>
      </c>
      <c r="C2513" t="s">
        <v>10359</v>
      </c>
      <c r="D2513" t="s">
        <v>10360</v>
      </c>
      <c r="E2513" t="s">
        <v>770</v>
      </c>
      <c r="F2513" t="s">
        <v>1884</v>
      </c>
      <c r="G2513" t="s">
        <v>1854</v>
      </c>
      <c r="H2513" t="s">
        <v>1885</v>
      </c>
      <c r="J2513" t="s">
        <v>773</v>
      </c>
      <c r="K2513" t="s">
        <v>1930</v>
      </c>
      <c r="L2513" t="s">
        <v>66</v>
      </c>
      <c r="M2513" t="s">
        <v>65</v>
      </c>
      <c r="N2513" t="s">
        <v>770</v>
      </c>
      <c r="O2513">
        <v>1</v>
      </c>
      <c r="P2513" t="s">
        <v>776</v>
      </c>
      <c r="Q2513">
        <v>29.9</v>
      </c>
      <c r="R2513">
        <v>5.39</v>
      </c>
      <c r="Y2513" t="s">
        <v>10361</v>
      </c>
      <c r="Z2513" t="s">
        <v>10362</v>
      </c>
      <c r="AA2513">
        <v>30021</v>
      </c>
      <c r="AB2513" t="s">
        <v>11</v>
      </c>
      <c r="AG2513" t="s">
        <v>10363</v>
      </c>
      <c r="AH2513" t="s">
        <v>11</v>
      </c>
      <c r="AI2513" t="s">
        <v>2459</v>
      </c>
    </row>
    <row r="2514" spans="1:35" x14ac:dyDescent="0.25">
      <c r="A2514" t="s">
        <v>10364</v>
      </c>
      <c r="C2514" t="s">
        <v>10365</v>
      </c>
      <c r="D2514" t="s">
        <v>10366</v>
      </c>
      <c r="E2514" t="s">
        <v>770</v>
      </c>
      <c r="F2514" t="s">
        <v>1884</v>
      </c>
      <c r="G2514" t="s">
        <v>1854</v>
      </c>
      <c r="H2514" t="s">
        <v>1885</v>
      </c>
      <c r="J2514" t="s">
        <v>773</v>
      </c>
      <c r="K2514" t="s">
        <v>2889</v>
      </c>
      <c r="L2514" t="s">
        <v>135</v>
      </c>
      <c r="M2514" t="s">
        <v>134</v>
      </c>
      <c r="N2514" t="s">
        <v>770</v>
      </c>
      <c r="O2514">
        <v>1</v>
      </c>
      <c r="P2514" t="s">
        <v>776</v>
      </c>
      <c r="Q2514">
        <v>59.9</v>
      </c>
      <c r="R2514">
        <v>10.8</v>
      </c>
      <c r="Y2514" t="s">
        <v>10367</v>
      </c>
      <c r="Z2514" t="s">
        <v>1908</v>
      </c>
      <c r="AA2514">
        <v>80061</v>
      </c>
      <c r="AB2514" t="s">
        <v>11</v>
      </c>
    </row>
    <row r="2515" spans="1:35" x14ac:dyDescent="0.25">
      <c r="A2515" t="s">
        <v>10368</v>
      </c>
      <c r="C2515" t="s">
        <v>10369</v>
      </c>
      <c r="D2515" t="s">
        <v>10370</v>
      </c>
      <c r="E2515" t="s">
        <v>770</v>
      </c>
      <c r="F2515" t="s">
        <v>1884</v>
      </c>
      <c r="G2515" t="s">
        <v>1854</v>
      </c>
      <c r="H2515" t="s">
        <v>1885</v>
      </c>
      <c r="J2515" t="s">
        <v>773</v>
      </c>
      <c r="K2515" t="s">
        <v>2913</v>
      </c>
      <c r="L2515" t="s">
        <v>99</v>
      </c>
      <c r="M2515" t="s">
        <v>98</v>
      </c>
      <c r="N2515" t="s">
        <v>770</v>
      </c>
      <c r="O2515">
        <v>1</v>
      </c>
      <c r="P2515" t="s">
        <v>776</v>
      </c>
      <c r="Q2515">
        <v>32.9</v>
      </c>
      <c r="R2515">
        <v>5.93</v>
      </c>
      <c r="Y2515" t="s">
        <v>1893</v>
      </c>
      <c r="Z2515" t="s">
        <v>1869</v>
      </c>
      <c r="AA2515">
        <v>10152</v>
      </c>
      <c r="AB2515" t="s">
        <v>11</v>
      </c>
    </row>
    <row r="2516" spans="1:35" x14ac:dyDescent="0.25">
      <c r="A2516" t="s">
        <v>10371</v>
      </c>
      <c r="C2516" t="s">
        <v>10372</v>
      </c>
      <c r="D2516" t="s">
        <v>10373</v>
      </c>
      <c r="E2516" t="s">
        <v>770</v>
      </c>
      <c r="F2516" t="s">
        <v>1884</v>
      </c>
      <c r="G2516" t="s">
        <v>1854</v>
      </c>
      <c r="H2516" t="s">
        <v>1885</v>
      </c>
      <c r="J2516" t="s">
        <v>773</v>
      </c>
      <c r="K2516" t="s">
        <v>1930</v>
      </c>
      <c r="L2516" t="s">
        <v>66</v>
      </c>
      <c r="M2516" t="s">
        <v>65</v>
      </c>
      <c r="N2516" t="s">
        <v>770</v>
      </c>
      <c r="O2516">
        <v>1</v>
      </c>
      <c r="P2516" t="s">
        <v>776</v>
      </c>
      <c r="Q2516">
        <v>29.9</v>
      </c>
      <c r="R2516">
        <v>5.39</v>
      </c>
      <c r="Y2516" t="s">
        <v>10374</v>
      </c>
      <c r="Z2516" t="s">
        <v>2030</v>
      </c>
      <c r="AA2516">
        <v>38060</v>
      </c>
      <c r="AB2516" t="s">
        <v>11</v>
      </c>
    </row>
    <row r="2517" spans="1:35" x14ac:dyDescent="0.25">
      <c r="A2517" t="s">
        <v>10375</v>
      </c>
      <c r="C2517" t="s">
        <v>10376</v>
      </c>
      <c r="D2517" t="s">
        <v>10377</v>
      </c>
      <c r="E2517" t="s">
        <v>770</v>
      </c>
      <c r="F2517" t="s">
        <v>1884</v>
      </c>
      <c r="G2517" t="s">
        <v>1854</v>
      </c>
      <c r="H2517" t="s">
        <v>1885</v>
      </c>
      <c r="J2517" t="s">
        <v>773</v>
      </c>
      <c r="K2517" t="s">
        <v>3363</v>
      </c>
      <c r="L2517" s="2">
        <v>40490</v>
      </c>
      <c r="M2517" t="s">
        <v>71</v>
      </c>
      <c r="N2517" t="s">
        <v>770</v>
      </c>
      <c r="O2517">
        <v>2</v>
      </c>
      <c r="P2517" t="s">
        <v>776</v>
      </c>
      <c r="Q2517">
        <v>59.8</v>
      </c>
      <c r="R2517">
        <v>10.78</v>
      </c>
      <c r="Y2517" t="s">
        <v>5531</v>
      </c>
      <c r="Z2517" t="s">
        <v>1893</v>
      </c>
      <c r="AA2517">
        <v>10095</v>
      </c>
      <c r="AB2517" t="s">
        <v>11</v>
      </c>
      <c r="AG2517" t="s">
        <v>10378</v>
      </c>
      <c r="AH2517" t="s">
        <v>11</v>
      </c>
      <c r="AI2517" t="s">
        <v>1258</v>
      </c>
    </row>
    <row r="2518" spans="1:35" x14ac:dyDescent="0.25">
      <c r="A2518" t="s">
        <v>10379</v>
      </c>
      <c r="C2518" t="s">
        <v>10380</v>
      </c>
      <c r="D2518" t="s">
        <v>10381</v>
      </c>
      <c r="E2518" t="s">
        <v>770</v>
      </c>
      <c r="F2518" t="s">
        <v>1884</v>
      </c>
      <c r="G2518" t="s">
        <v>1854</v>
      </c>
      <c r="H2518" t="s">
        <v>1885</v>
      </c>
      <c r="J2518" t="s">
        <v>773</v>
      </c>
      <c r="K2518" t="s">
        <v>10382</v>
      </c>
      <c r="L2518" t="s">
        <v>137</v>
      </c>
      <c r="M2518" t="s">
        <v>136</v>
      </c>
      <c r="N2518" t="s">
        <v>770</v>
      </c>
      <c r="O2518">
        <v>1</v>
      </c>
      <c r="P2518" t="s">
        <v>776</v>
      </c>
      <c r="Q2518">
        <v>29.9</v>
      </c>
      <c r="R2518">
        <v>5.39</v>
      </c>
      <c r="Y2518" t="s">
        <v>10383</v>
      </c>
      <c r="Z2518" t="s">
        <v>2025</v>
      </c>
      <c r="AA2518">
        <v>80062</v>
      </c>
      <c r="AB2518" t="s">
        <v>11</v>
      </c>
    </row>
    <row r="2519" spans="1:35" x14ac:dyDescent="0.25">
      <c r="A2519" t="s">
        <v>10384</v>
      </c>
      <c r="C2519" t="s">
        <v>10385</v>
      </c>
      <c r="D2519" t="s">
        <v>10386</v>
      </c>
      <c r="E2519" t="s">
        <v>770</v>
      </c>
      <c r="F2519" t="s">
        <v>1884</v>
      </c>
      <c r="G2519" t="s">
        <v>1854</v>
      </c>
      <c r="H2519" t="s">
        <v>1885</v>
      </c>
      <c r="J2519" t="s">
        <v>773</v>
      </c>
      <c r="K2519" t="s">
        <v>1886</v>
      </c>
      <c r="L2519" t="s">
        <v>18</v>
      </c>
      <c r="M2519" t="s">
        <v>17</v>
      </c>
      <c r="N2519" t="s">
        <v>770</v>
      </c>
      <c r="O2519">
        <v>1</v>
      </c>
      <c r="P2519" t="s">
        <v>776</v>
      </c>
      <c r="Q2519">
        <v>22.9</v>
      </c>
      <c r="R2519">
        <v>4.13</v>
      </c>
      <c r="Y2519" t="s">
        <v>2639</v>
      </c>
      <c r="Z2519" t="s">
        <v>2088</v>
      </c>
      <c r="AA2519">
        <v>98057</v>
      </c>
      <c r="AB2519" t="s">
        <v>11</v>
      </c>
    </row>
    <row r="2520" spans="1:35" x14ac:dyDescent="0.25">
      <c r="A2520" t="s">
        <v>10387</v>
      </c>
      <c r="C2520" t="s">
        <v>10388</v>
      </c>
      <c r="D2520" t="s">
        <v>10389</v>
      </c>
      <c r="E2520" t="s">
        <v>770</v>
      </c>
      <c r="F2520" t="s">
        <v>1884</v>
      </c>
      <c r="G2520" t="s">
        <v>1854</v>
      </c>
      <c r="H2520" t="s">
        <v>1885</v>
      </c>
      <c r="J2520" t="s">
        <v>773</v>
      </c>
      <c r="K2520" t="s">
        <v>4362</v>
      </c>
      <c r="L2520" s="2">
        <v>40500</v>
      </c>
      <c r="M2520" t="s">
        <v>53</v>
      </c>
      <c r="N2520" t="s">
        <v>770</v>
      </c>
      <c r="O2520">
        <v>1</v>
      </c>
      <c r="P2520" t="s">
        <v>776</v>
      </c>
      <c r="Q2520">
        <v>32.9</v>
      </c>
      <c r="R2520">
        <v>5.93</v>
      </c>
      <c r="Y2520" t="s">
        <v>10390</v>
      </c>
      <c r="Z2520" t="s">
        <v>1898</v>
      </c>
      <c r="AA2520">
        <v>46048</v>
      </c>
      <c r="AB2520" t="s">
        <v>11</v>
      </c>
    </row>
    <row r="2521" spans="1:35" x14ac:dyDescent="0.25">
      <c r="A2521" t="s">
        <v>10391</v>
      </c>
      <c r="C2521" t="s">
        <v>10392</v>
      </c>
      <c r="D2521" t="s">
        <v>10393</v>
      </c>
      <c r="E2521" t="s">
        <v>770</v>
      </c>
      <c r="F2521" t="s">
        <v>1884</v>
      </c>
      <c r="G2521" t="s">
        <v>1854</v>
      </c>
      <c r="H2521" t="s">
        <v>1885</v>
      </c>
      <c r="J2521" t="s">
        <v>773</v>
      </c>
      <c r="K2521" t="s">
        <v>1886</v>
      </c>
      <c r="L2521" t="s">
        <v>18</v>
      </c>
      <c r="M2521" t="s">
        <v>17</v>
      </c>
      <c r="N2521" t="s">
        <v>770</v>
      </c>
      <c r="O2521">
        <v>1</v>
      </c>
      <c r="P2521" t="s">
        <v>776</v>
      </c>
      <c r="Q2521">
        <v>22.9</v>
      </c>
      <c r="R2521">
        <v>4.13</v>
      </c>
      <c r="Y2521" t="s">
        <v>10394</v>
      </c>
      <c r="Z2521" t="s">
        <v>4066</v>
      </c>
      <c r="AA2521">
        <v>52019</v>
      </c>
      <c r="AB2521" t="s">
        <v>11</v>
      </c>
    </row>
    <row r="2522" spans="1:35" x14ac:dyDescent="0.25">
      <c r="A2522" t="s">
        <v>10395</v>
      </c>
      <c r="C2522" t="s">
        <v>10396</v>
      </c>
      <c r="D2522" t="s">
        <v>10397</v>
      </c>
      <c r="E2522" t="s">
        <v>770</v>
      </c>
      <c r="F2522" t="s">
        <v>1884</v>
      </c>
      <c r="G2522" t="s">
        <v>1854</v>
      </c>
      <c r="H2522" t="s">
        <v>1885</v>
      </c>
      <c r="J2522" t="s">
        <v>773</v>
      </c>
      <c r="K2522" t="s">
        <v>4362</v>
      </c>
      <c r="L2522" s="2">
        <v>40500</v>
      </c>
      <c r="M2522" t="s">
        <v>53</v>
      </c>
      <c r="N2522" t="s">
        <v>770</v>
      </c>
      <c r="O2522">
        <v>1</v>
      </c>
      <c r="P2522" t="s">
        <v>776</v>
      </c>
      <c r="Q2522">
        <v>32.9</v>
      </c>
      <c r="R2522">
        <v>5.93</v>
      </c>
      <c r="Y2522" t="s">
        <v>10398</v>
      </c>
      <c r="Z2522" t="s">
        <v>5891</v>
      </c>
      <c r="AA2522">
        <v>33038</v>
      </c>
      <c r="AB2522" t="s">
        <v>11</v>
      </c>
    </row>
    <row r="2523" spans="1:35" x14ac:dyDescent="0.25">
      <c r="A2523" t="s">
        <v>10399</v>
      </c>
      <c r="C2523" t="s">
        <v>10400</v>
      </c>
      <c r="D2523" t="s">
        <v>10401</v>
      </c>
      <c r="E2523" t="s">
        <v>782</v>
      </c>
      <c r="F2523" t="s">
        <v>1884</v>
      </c>
      <c r="G2523" t="s">
        <v>1854</v>
      </c>
      <c r="H2523" t="s">
        <v>1885</v>
      </c>
      <c r="J2523" t="s">
        <v>773</v>
      </c>
      <c r="K2523" t="s">
        <v>10382</v>
      </c>
      <c r="L2523" t="s">
        <v>137</v>
      </c>
      <c r="M2523" t="s">
        <v>136</v>
      </c>
      <c r="O2523">
        <v>0</v>
      </c>
      <c r="Y2523" t="s">
        <v>10402</v>
      </c>
      <c r="Z2523" t="s">
        <v>4692</v>
      </c>
      <c r="AA2523">
        <v>60020</v>
      </c>
      <c r="AB2523" t="s">
        <v>11</v>
      </c>
    </row>
    <row r="2524" spans="1:35" x14ac:dyDescent="0.25">
      <c r="A2524" t="s">
        <v>10403</v>
      </c>
      <c r="C2524" t="s">
        <v>10404</v>
      </c>
      <c r="D2524" t="s">
        <v>10386</v>
      </c>
      <c r="E2524" t="s">
        <v>770</v>
      </c>
      <c r="F2524" t="s">
        <v>1884</v>
      </c>
      <c r="G2524" t="s">
        <v>1854</v>
      </c>
      <c r="H2524" t="s">
        <v>1885</v>
      </c>
      <c r="J2524" t="s">
        <v>773</v>
      </c>
      <c r="K2524" t="s">
        <v>1873</v>
      </c>
      <c r="L2524" t="s">
        <v>27</v>
      </c>
      <c r="M2524" t="s">
        <v>26</v>
      </c>
      <c r="N2524" t="s">
        <v>770</v>
      </c>
      <c r="O2524">
        <v>1</v>
      </c>
      <c r="P2524" t="s">
        <v>776</v>
      </c>
      <c r="Q2524">
        <v>34.9</v>
      </c>
      <c r="R2524">
        <v>6.29</v>
      </c>
      <c r="Y2524" t="s">
        <v>2819</v>
      </c>
      <c r="Z2524" t="s">
        <v>2819</v>
      </c>
      <c r="AA2524">
        <v>74123</v>
      </c>
      <c r="AB2524" t="s">
        <v>11</v>
      </c>
    </row>
    <row r="2525" spans="1:35" x14ac:dyDescent="0.25">
      <c r="A2525" t="s">
        <v>10405</v>
      </c>
      <c r="C2525" t="s">
        <v>10406</v>
      </c>
      <c r="D2525" t="s">
        <v>10381</v>
      </c>
      <c r="E2525" t="s">
        <v>770</v>
      </c>
      <c r="F2525" t="s">
        <v>1884</v>
      </c>
      <c r="G2525" t="s">
        <v>1854</v>
      </c>
      <c r="H2525" t="s">
        <v>1885</v>
      </c>
      <c r="J2525" t="s">
        <v>773</v>
      </c>
      <c r="K2525" t="s">
        <v>1886</v>
      </c>
      <c r="L2525" t="s">
        <v>18</v>
      </c>
      <c r="M2525" t="s">
        <v>17</v>
      </c>
      <c r="N2525" t="s">
        <v>770</v>
      </c>
      <c r="O2525">
        <v>1</v>
      </c>
      <c r="P2525" t="s">
        <v>776</v>
      </c>
      <c r="Q2525">
        <v>22.9</v>
      </c>
      <c r="R2525">
        <v>4.13</v>
      </c>
      <c r="Y2525" t="s">
        <v>10407</v>
      </c>
      <c r="AA2525">
        <v>39022</v>
      </c>
      <c r="AB2525" t="s">
        <v>11</v>
      </c>
    </row>
    <row r="2526" spans="1:35" x14ac:dyDescent="0.25">
      <c r="A2526" t="s">
        <v>10408</v>
      </c>
      <c r="C2526" t="s">
        <v>10409</v>
      </c>
      <c r="D2526" t="s">
        <v>10410</v>
      </c>
      <c r="E2526" t="s">
        <v>770</v>
      </c>
      <c r="F2526" t="s">
        <v>1884</v>
      </c>
      <c r="G2526" t="s">
        <v>1854</v>
      </c>
      <c r="H2526" t="s">
        <v>1885</v>
      </c>
      <c r="J2526" t="s">
        <v>773</v>
      </c>
      <c r="K2526" t="s">
        <v>9494</v>
      </c>
      <c r="L2526" t="s">
        <v>58</v>
      </c>
      <c r="M2526" t="s">
        <v>57</v>
      </c>
      <c r="N2526" t="s">
        <v>770</v>
      </c>
      <c r="O2526">
        <v>1</v>
      </c>
      <c r="P2526" t="s">
        <v>776</v>
      </c>
      <c r="Q2526">
        <v>69.900000000000006</v>
      </c>
      <c r="R2526">
        <v>12.6</v>
      </c>
      <c r="Y2526" t="s">
        <v>10411</v>
      </c>
      <c r="Z2526" t="s">
        <v>3113</v>
      </c>
      <c r="AA2526">
        <v>80053</v>
      </c>
      <c r="AB2526" t="s">
        <v>11</v>
      </c>
    </row>
    <row r="2527" spans="1:35" x14ac:dyDescent="0.25">
      <c r="A2527" t="s">
        <v>10412</v>
      </c>
      <c r="C2527" t="s">
        <v>10413</v>
      </c>
      <c r="D2527" t="s">
        <v>10414</v>
      </c>
      <c r="E2527" t="s">
        <v>770</v>
      </c>
      <c r="F2527" t="s">
        <v>1884</v>
      </c>
      <c r="G2527" t="s">
        <v>1854</v>
      </c>
      <c r="H2527" t="s">
        <v>1885</v>
      </c>
      <c r="J2527" t="s">
        <v>773</v>
      </c>
      <c r="K2527" t="s">
        <v>4362</v>
      </c>
      <c r="L2527" s="2">
        <v>40500</v>
      </c>
      <c r="M2527" t="s">
        <v>53</v>
      </c>
      <c r="N2527" t="s">
        <v>770</v>
      </c>
      <c r="O2527">
        <v>1</v>
      </c>
      <c r="P2527" t="s">
        <v>776</v>
      </c>
      <c r="Q2527">
        <v>32.9</v>
      </c>
      <c r="R2527">
        <v>5.93</v>
      </c>
      <c r="Y2527" t="s">
        <v>1913</v>
      </c>
      <c r="Z2527" t="s">
        <v>2548</v>
      </c>
      <c r="AA2527">
        <v>131</v>
      </c>
      <c r="AB2527" t="s">
        <v>11</v>
      </c>
    </row>
    <row r="2528" spans="1:35" x14ac:dyDescent="0.25">
      <c r="A2528" t="s">
        <v>10415</v>
      </c>
      <c r="C2528" t="s">
        <v>10416</v>
      </c>
      <c r="D2528" t="s">
        <v>10417</v>
      </c>
      <c r="E2528" t="s">
        <v>770</v>
      </c>
      <c r="F2528" t="s">
        <v>1884</v>
      </c>
      <c r="G2528" t="s">
        <v>1854</v>
      </c>
      <c r="H2528" t="s">
        <v>1885</v>
      </c>
      <c r="J2528" t="s">
        <v>773</v>
      </c>
      <c r="K2528" t="s">
        <v>1930</v>
      </c>
      <c r="L2528" t="s">
        <v>66</v>
      </c>
      <c r="M2528" t="s">
        <v>65</v>
      </c>
      <c r="N2528" t="s">
        <v>770</v>
      </c>
      <c r="O2528">
        <v>1</v>
      </c>
      <c r="P2528" t="s">
        <v>776</v>
      </c>
      <c r="Q2528">
        <v>29.9</v>
      </c>
      <c r="R2528">
        <v>5.39</v>
      </c>
      <c r="Y2528" t="s">
        <v>10418</v>
      </c>
      <c r="Z2528" t="s">
        <v>2720</v>
      </c>
      <c r="AA2528">
        <v>27019</v>
      </c>
      <c r="AB2528" t="s">
        <v>11</v>
      </c>
    </row>
    <row r="2529" spans="1:28" x14ac:dyDescent="0.25">
      <c r="A2529" t="s">
        <v>10419</v>
      </c>
      <c r="C2529" t="s">
        <v>10420</v>
      </c>
      <c r="D2529" t="s">
        <v>10381</v>
      </c>
      <c r="E2529" t="s">
        <v>770</v>
      </c>
      <c r="F2529" t="s">
        <v>1884</v>
      </c>
      <c r="G2529" t="s">
        <v>1854</v>
      </c>
      <c r="H2529" t="s">
        <v>1885</v>
      </c>
      <c r="J2529" t="s">
        <v>773</v>
      </c>
      <c r="K2529" t="s">
        <v>1886</v>
      </c>
      <c r="L2529" t="s">
        <v>18</v>
      </c>
      <c r="M2529" t="s">
        <v>17</v>
      </c>
      <c r="N2529" t="s">
        <v>770</v>
      </c>
      <c r="O2529">
        <v>1</v>
      </c>
      <c r="P2529" t="s">
        <v>776</v>
      </c>
      <c r="Q2529">
        <v>22.9</v>
      </c>
      <c r="R2529">
        <v>4.13</v>
      </c>
      <c r="Y2529" t="s">
        <v>10421</v>
      </c>
      <c r="Z2529" t="s">
        <v>3126</v>
      </c>
      <c r="AA2529">
        <v>20871</v>
      </c>
      <c r="AB2529" t="s">
        <v>11</v>
      </c>
    </row>
    <row r="2530" spans="1:28" x14ac:dyDescent="0.25">
      <c r="A2530" t="s">
        <v>10422</v>
      </c>
      <c r="C2530" t="s">
        <v>10423</v>
      </c>
      <c r="D2530" t="s">
        <v>10356</v>
      </c>
      <c r="E2530" t="s">
        <v>770</v>
      </c>
      <c r="F2530" t="s">
        <v>1884</v>
      </c>
      <c r="G2530" t="s">
        <v>1854</v>
      </c>
      <c r="H2530" t="s">
        <v>1885</v>
      </c>
      <c r="J2530" t="s">
        <v>773</v>
      </c>
      <c r="K2530" t="s">
        <v>1930</v>
      </c>
      <c r="L2530" t="s">
        <v>66</v>
      </c>
      <c r="M2530" t="s">
        <v>65</v>
      </c>
      <c r="N2530" t="s">
        <v>770</v>
      </c>
      <c r="O2530">
        <v>1</v>
      </c>
      <c r="P2530" t="s">
        <v>776</v>
      </c>
      <c r="Q2530">
        <v>29.9</v>
      </c>
      <c r="R2530">
        <v>5.39</v>
      </c>
      <c r="Y2530" t="s">
        <v>10424</v>
      </c>
      <c r="Z2530" t="s">
        <v>3147</v>
      </c>
      <c r="AA2530">
        <v>50063</v>
      </c>
      <c r="AB2530" t="s">
        <v>11</v>
      </c>
    </row>
    <row r="2531" spans="1:28" x14ac:dyDescent="0.25">
      <c r="A2531" t="s">
        <v>10425</v>
      </c>
      <c r="C2531" t="s">
        <v>10426</v>
      </c>
      <c r="D2531" t="s">
        <v>10427</v>
      </c>
      <c r="E2531" t="s">
        <v>770</v>
      </c>
      <c r="F2531" t="s">
        <v>1884</v>
      </c>
      <c r="G2531" t="s">
        <v>1854</v>
      </c>
      <c r="H2531" t="s">
        <v>1885</v>
      </c>
      <c r="J2531" t="s">
        <v>773</v>
      </c>
      <c r="K2531" t="s">
        <v>1873</v>
      </c>
      <c r="L2531" t="s">
        <v>27</v>
      </c>
      <c r="M2531" t="s">
        <v>26</v>
      </c>
      <c r="N2531" t="s">
        <v>770</v>
      </c>
      <c r="O2531">
        <v>1</v>
      </c>
      <c r="P2531" t="s">
        <v>776</v>
      </c>
      <c r="Q2531">
        <v>34.9</v>
      </c>
      <c r="R2531">
        <v>6.29</v>
      </c>
      <c r="Y2531" t="s">
        <v>10317</v>
      </c>
      <c r="Z2531" t="s">
        <v>10317</v>
      </c>
      <c r="AA2531">
        <v>89133</v>
      </c>
      <c r="AB2531" t="s">
        <v>11</v>
      </c>
    </row>
    <row r="2532" spans="1:28" x14ac:dyDescent="0.25">
      <c r="A2532" t="s">
        <v>10428</v>
      </c>
      <c r="C2532" t="s">
        <v>10429</v>
      </c>
      <c r="D2532" t="s">
        <v>10430</v>
      </c>
      <c r="E2532" t="s">
        <v>770</v>
      </c>
      <c r="F2532" t="s">
        <v>1884</v>
      </c>
      <c r="G2532" t="s">
        <v>1854</v>
      </c>
      <c r="H2532" t="s">
        <v>1885</v>
      </c>
      <c r="J2532" t="s">
        <v>773</v>
      </c>
      <c r="K2532" t="s">
        <v>4822</v>
      </c>
      <c r="L2532" t="s">
        <v>123</v>
      </c>
      <c r="M2532" t="s">
        <v>122</v>
      </c>
      <c r="N2532" t="s">
        <v>770</v>
      </c>
      <c r="O2532">
        <v>1</v>
      </c>
      <c r="P2532" t="s">
        <v>776</v>
      </c>
      <c r="Q2532">
        <v>32.9</v>
      </c>
      <c r="R2532">
        <v>5.93</v>
      </c>
      <c r="Y2532" t="s">
        <v>10431</v>
      </c>
      <c r="Z2532" t="s">
        <v>3685</v>
      </c>
      <c r="AA2532">
        <v>81030</v>
      </c>
      <c r="AB2532" t="s">
        <v>11</v>
      </c>
    </row>
    <row r="2533" spans="1:28" x14ac:dyDescent="0.25">
      <c r="A2533" t="s">
        <v>10432</v>
      </c>
      <c r="C2533" t="s">
        <v>10433</v>
      </c>
      <c r="D2533" t="s">
        <v>10434</v>
      </c>
      <c r="E2533" t="s">
        <v>770</v>
      </c>
      <c r="F2533" t="s">
        <v>1884</v>
      </c>
      <c r="G2533" t="s">
        <v>1854</v>
      </c>
      <c r="H2533" t="s">
        <v>1885</v>
      </c>
      <c r="J2533" t="s">
        <v>773</v>
      </c>
      <c r="K2533" t="s">
        <v>9494</v>
      </c>
      <c r="L2533" t="s">
        <v>58</v>
      </c>
      <c r="M2533" t="s">
        <v>57</v>
      </c>
      <c r="N2533" t="s">
        <v>770</v>
      </c>
      <c r="O2533">
        <v>1</v>
      </c>
      <c r="P2533" t="s">
        <v>776</v>
      </c>
      <c r="Q2533">
        <v>69.900000000000006</v>
      </c>
      <c r="R2533">
        <v>12.6</v>
      </c>
      <c r="Y2533" t="s">
        <v>10435</v>
      </c>
      <c r="Z2533" t="s">
        <v>1908</v>
      </c>
      <c r="AA2533">
        <v>80038</v>
      </c>
      <c r="AB2533" t="s">
        <v>11</v>
      </c>
    </row>
    <row r="2534" spans="1:28" x14ac:dyDescent="0.25">
      <c r="A2534" t="s">
        <v>10436</v>
      </c>
      <c r="C2534" t="s">
        <v>10437</v>
      </c>
      <c r="D2534" t="s">
        <v>10356</v>
      </c>
      <c r="E2534" t="s">
        <v>770</v>
      </c>
      <c r="F2534" t="s">
        <v>1884</v>
      </c>
      <c r="G2534" t="s">
        <v>1854</v>
      </c>
      <c r="H2534" t="s">
        <v>1885</v>
      </c>
      <c r="J2534" t="s">
        <v>773</v>
      </c>
      <c r="K2534" t="s">
        <v>2044</v>
      </c>
      <c r="L2534" t="s">
        <v>76</v>
      </c>
      <c r="M2534" t="s">
        <v>75</v>
      </c>
      <c r="N2534" t="s">
        <v>770</v>
      </c>
      <c r="O2534">
        <v>1</v>
      </c>
      <c r="P2534" t="s">
        <v>776</v>
      </c>
      <c r="Q2534">
        <v>49.9</v>
      </c>
      <c r="R2534">
        <v>9</v>
      </c>
      <c r="Y2534" t="s">
        <v>10438</v>
      </c>
      <c r="Z2534" t="s">
        <v>2126</v>
      </c>
      <c r="AA2534">
        <v>81037</v>
      </c>
      <c r="AB253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78C3-1C78-48E2-80CF-FAFAFB390A7C}">
  <dimension ref="A1:I296"/>
  <sheetViews>
    <sheetView workbookViewId="0">
      <selection activeCell="H11" sqref="H11"/>
    </sheetView>
  </sheetViews>
  <sheetFormatPr defaultRowHeight="15" x14ac:dyDescent="0.25"/>
  <cols>
    <col min="1" max="1" width="18.28515625" bestFit="1" customWidth="1"/>
    <col min="2" max="2" width="22" bestFit="1" customWidth="1"/>
    <col min="3" max="3" width="23.42578125" bestFit="1" customWidth="1"/>
    <col min="4" max="4" width="21.42578125" bestFit="1" customWidth="1"/>
    <col min="6" max="6" width="18.7109375" bestFit="1" customWidth="1"/>
    <col min="7" max="7" width="19.7109375" bestFit="1" customWidth="1"/>
    <col min="8" max="8" width="23.28515625" bestFit="1" customWidth="1"/>
    <col min="9" max="9" width="21.42578125" bestFit="1" customWidth="1"/>
  </cols>
  <sheetData>
    <row r="1" spans="1:9" x14ac:dyDescent="0.25">
      <c r="A1" s="3" t="s">
        <v>2</v>
      </c>
      <c r="B1" t="s">
        <v>10466</v>
      </c>
      <c r="F1" t="s">
        <v>2</v>
      </c>
      <c r="G1" t="s">
        <v>11</v>
      </c>
    </row>
    <row r="3" spans="1:9" x14ac:dyDescent="0.25">
      <c r="A3" s="3" t="s">
        <v>0</v>
      </c>
      <c r="B3" s="3" t="s">
        <v>1</v>
      </c>
      <c r="C3" t="s">
        <v>10442</v>
      </c>
      <c r="D3" t="s">
        <v>10441</v>
      </c>
      <c r="F3" t="s">
        <v>0</v>
      </c>
      <c r="G3" t="s">
        <v>1</v>
      </c>
      <c r="H3" t="s">
        <v>10442</v>
      </c>
      <c r="I3" t="s">
        <v>10441</v>
      </c>
    </row>
    <row r="4" spans="1:9" x14ac:dyDescent="0.25">
      <c r="A4" t="s">
        <v>310</v>
      </c>
      <c r="B4" t="s">
        <v>311</v>
      </c>
      <c r="C4">
        <v>14</v>
      </c>
      <c r="D4">
        <v>182.42</v>
      </c>
      <c r="F4" t="s">
        <v>310</v>
      </c>
      <c r="G4" t="s">
        <v>311</v>
      </c>
      <c r="H4">
        <v>14</v>
      </c>
      <c r="I4">
        <v>182.42</v>
      </c>
    </row>
    <row r="5" spans="1:9" x14ac:dyDescent="0.25">
      <c r="A5" t="s">
        <v>490</v>
      </c>
      <c r="B5" t="s">
        <v>491</v>
      </c>
      <c r="C5">
        <v>1</v>
      </c>
      <c r="D5">
        <v>20.59</v>
      </c>
      <c r="F5" t="s">
        <v>490</v>
      </c>
      <c r="G5" t="s">
        <v>491</v>
      </c>
      <c r="H5">
        <v>1</v>
      </c>
      <c r="I5">
        <v>20.59</v>
      </c>
    </row>
    <row r="6" spans="1:9" x14ac:dyDescent="0.25">
      <c r="A6" t="s">
        <v>366</v>
      </c>
      <c r="B6" t="s">
        <v>367</v>
      </c>
      <c r="C6">
        <v>8</v>
      </c>
      <c r="D6">
        <v>121.8</v>
      </c>
      <c r="F6" t="s">
        <v>494</v>
      </c>
      <c r="G6" t="s">
        <v>495</v>
      </c>
      <c r="H6">
        <v>1</v>
      </c>
      <c r="I6">
        <v>19.690000000000001</v>
      </c>
    </row>
    <row r="7" spans="1:9" x14ac:dyDescent="0.25">
      <c r="A7" t="s">
        <v>494</v>
      </c>
      <c r="B7" t="s">
        <v>495</v>
      </c>
      <c r="C7">
        <v>2</v>
      </c>
      <c r="D7">
        <v>34.18</v>
      </c>
      <c r="F7" t="s">
        <v>203</v>
      </c>
      <c r="G7" t="s">
        <v>204</v>
      </c>
      <c r="H7">
        <v>109</v>
      </c>
      <c r="I7">
        <v>755.85</v>
      </c>
    </row>
    <row r="8" spans="1:9" x14ac:dyDescent="0.25">
      <c r="A8" t="s">
        <v>203</v>
      </c>
      <c r="B8" t="s">
        <v>204</v>
      </c>
      <c r="C8">
        <v>119</v>
      </c>
      <c r="D8">
        <v>828.55000000000007</v>
      </c>
      <c r="F8" t="s">
        <v>536</v>
      </c>
      <c r="G8" t="s">
        <v>537</v>
      </c>
      <c r="H8">
        <v>0</v>
      </c>
      <c r="I8">
        <v>0</v>
      </c>
    </row>
    <row r="9" spans="1:9" x14ac:dyDescent="0.25">
      <c r="A9" t="s">
        <v>536</v>
      </c>
      <c r="B9" t="s">
        <v>537</v>
      </c>
      <c r="C9">
        <v>0</v>
      </c>
      <c r="D9">
        <v>0</v>
      </c>
      <c r="F9" t="s">
        <v>98</v>
      </c>
      <c r="G9" t="s">
        <v>99</v>
      </c>
      <c r="H9">
        <v>165</v>
      </c>
      <c r="I9">
        <v>3367.65</v>
      </c>
    </row>
    <row r="10" spans="1:9" x14ac:dyDescent="0.25">
      <c r="A10" t="s">
        <v>348</v>
      </c>
      <c r="B10" t="s">
        <v>349</v>
      </c>
      <c r="C10">
        <v>1</v>
      </c>
      <c r="D10">
        <v>119.51</v>
      </c>
      <c r="F10" t="s">
        <v>394</v>
      </c>
      <c r="G10" t="s">
        <v>395</v>
      </c>
      <c r="H10">
        <v>9</v>
      </c>
      <c r="I10">
        <v>71.489999999999995</v>
      </c>
    </row>
    <row r="11" spans="1:9" x14ac:dyDescent="0.25">
      <c r="A11" t="s">
        <v>98</v>
      </c>
      <c r="B11" t="s">
        <v>99</v>
      </c>
      <c r="C11">
        <v>302</v>
      </c>
      <c r="D11">
        <v>6543.9599999999991</v>
      </c>
      <c r="F11" t="s">
        <v>262</v>
      </c>
      <c r="G11" t="s">
        <v>263</v>
      </c>
      <c r="H11">
        <v>20</v>
      </c>
      <c r="I11">
        <v>325.83999999999997</v>
      </c>
    </row>
    <row r="12" spans="1:9" x14ac:dyDescent="0.25">
      <c r="A12" t="s">
        <v>470</v>
      </c>
      <c r="B12" t="s">
        <v>471</v>
      </c>
      <c r="C12">
        <v>1</v>
      </c>
      <c r="D12">
        <v>28.03</v>
      </c>
      <c r="F12" t="s">
        <v>79</v>
      </c>
      <c r="G12" t="s">
        <v>80</v>
      </c>
      <c r="H12">
        <v>258</v>
      </c>
      <c r="I12">
        <v>4379.4399999999996</v>
      </c>
    </row>
    <row r="13" spans="1:9" x14ac:dyDescent="0.25">
      <c r="A13" t="s">
        <v>394</v>
      </c>
      <c r="B13" t="s">
        <v>395</v>
      </c>
      <c r="C13">
        <v>13</v>
      </c>
      <c r="D13">
        <v>104.24</v>
      </c>
      <c r="F13" t="s">
        <v>59</v>
      </c>
      <c r="G13" t="s">
        <v>60</v>
      </c>
      <c r="H13">
        <v>388</v>
      </c>
      <c r="I13">
        <v>7919.08</v>
      </c>
    </row>
    <row r="14" spans="1:9" x14ac:dyDescent="0.25">
      <c r="A14" t="s">
        <v>580</v>
      </c>
      <c r="B14" t="s">
        <v>581</v>
      </c>
      <c r="C14">
        <v>0</v>
      </c>
      <c r="D14">
        <v>0</v>
      </c>
      <c r="F14" t="s">
        <v>250</v>
      </c>
      <c r="G14" t="s">
        <v>251</v>
      </c>
      <c r="H14">
        <v>7</v>
      </c>
      <c r="I14">
        <v>364.33</v>
      </c>
    </row>
    <row r="15" spans="1:9" x14ac:dyDescent="0.25">
      <c r="A15" t="s">
        <v>262</v>
      </c>
      <c r="B15" t="s">
        <v>263</v>
      </c>
      <c r="C15">
        <v>20</v>
      </c>
      <c r="D15">
        <v>325.83999999999997</v>
      </c>
      <c r="F15" t="s">
        <v>396</v>
      </c>
      <c r="G15" t="s">
        <v>397</v>
      </c>
      <c r="H15">
        <v>7</v>
      </c>
      <c r="I15">
        <v>71.13</v>
      </c>
    </row>
    <row r="16" spans="1:9" x14ac:dyDescent="0.25">
      <c r="A16" t="s">
        <v>79</v>
      </c>
      <c r="B16" t="s">
        <v>80</v>
      </c>
      <c r="C16">
        <v>573</v>
      </c>
      <c r="D16">
        <v>9291.39</v>
      </c>
      <c r="F16" t="s">
        <v>476</v>
      </c>
      <c r="G16" t="s">
        <v>477</v>
      </c>
      <c r="H16">
        <v>4</v>
      </c>
      <c r="I16">
        <v>27.55</v>
      </c>
    </row>
    <row r="17" spans="1:9" x14ac:dyDescent="0.25">
      <c r="A17" t="s">
        <v>59</v>
      </c>
      <c r="B17" t="s">
        <v>60</v>
      </c>
      <c r="C17">
        <v>400</v>
      </c>
      <c r="D17">
        <v>8213.58</v>
      </c>
      <c r="F17" t="s">
        <v>102</v>
      </c>
      <c r="G17" t="s">
        <v>103</v>
      </c>
      <c r="H17">
        <v>99</v>
      </c>
      <c r="I17">
        <v>2832.39</v>
      </c>
    </row>
    <row r="18" spans="1:9" x14ac:dyDescent="0.25">
      <c r="A18" t="s">
        <v>250</v>
      </c>
      <c r="B18" t="s">
        <v>251</v>
      </c>
      <c r="C18">
        <v>8</v>
      </c>
      <c r="D18">
        <v>425.01</v>
      </c>
      <c r="F18" t="s">
        <v>510</v>
      </c>
      <c r="G18" t="s">
        <v>511</v>
      </c>
      <c r="H18">
        <v>1</v>
      </c>
      <c r="I18">
        <v>11.82</v>
      </c>
    </row>
    <row r="19" spans="1:9" x14ac:dyDescent="0.25">
      <c r="A19" t="s">
        <v>396</v>
      </c>
      <c r="B19" t="s">
        <v>397</v>
      </c>
      <c r="C19">
        <v>7</v>
      </c>
      <c r="D19">
        <v>71.13</v>
      </c>
      <c r="F19" t="s">
        <v>19</v>
      </c>
      <c r="G19" t="s">
        <v>20</v>
      </c>
      <c r="H19">
        <v>1487</v>
      </c>
      <c r="I19">
        <v>19352.55</v>
      </c>
    </row>
    <row r="20" spans="1:9" x14ac:dyDescent="0.25">
      <c r="A20" t="s">
        <v>540</v>
      </c>
      <c r="B20" t="s">
        <v>541</v>
      </c>
      <c r="C20">
        <v>0</v>
      </c>
      <c r="D20">
        <v>0</v>
      </c>
      <c r="F20" t="s">
        <v>472</v>
      </c>
      <c r="G20" t="s">
        <v>473</v>
      </c>
      <c r="H20">
        <v>1</v>
      </c>
      <c r="I20">
        <v>27.93</v>
      </c>
    </row>
    <row r="21" spans="1:9" x14ac:dyDescent="0.25">
      <c r="A21" t="s">
        <v>474</v>
      </c>
      <c r="B21" t="s">
        <v>475</v>
      </c>
      <c r="C21">
        <v>2</v>
      </c>
      <c r="D21">
        <v>55.14</v>
      </c>
      <c r="F21" t="s">
        <v>205</v>
      </c>
      <c r="G21" t="s">
        <v>206</v>
      </c>
      <c r="H21">
        <v>3</v>
      </c>
      <c r="I21">
        <v>238.42</v>
      </c>
    </row>
    <row r="22" spans="1:9" x14ac:dyDescent="0.25">
      <c r="A22" t="s">
        <v>476</v>
      </c>
      <c r="B22" t="s">
        <v>477</v>
      </c>
      <c r="C22">
        <v>4</v>
      </c>
      <c r="D22">
        <v>27.55</v>
      </c>
      <c r="F22" t="s">
        <v>568</v>
      </c>
      <c r="G22" t="s">
        <v>569</v>
      </c>
      <c r="H22">
        <v>0</v>
      </c>
      <c r="I22">
        <v>0</v>
      </c>
    </row>
    <row r="23" spans="1:9" x14ac:dyDescent="0.25">
      <c r="A23" t="s">
        <v>596</v>
      </c>
      <c r="B23" t="s">
        <v>597</v>
      </c>
      <c r="C23">
        <v>-1</v>
      </c>
      <c r="D23">
        <v>-16.97</v>
      </c>
      <c r="F23" t="s">
        <v>432</v>
      </c>
      <c r="G23" t="s">
        <v>433</v>
      </c>
      <c r="H23">
        <v>13</v>
      </c>
      <c r="I23">
        <v>44.07</v>
      </c>
    </row>
    <row r="24" spans="1:9" x14ac:dyDescent="0.25">
      <c r="A24" t="s">
        <v>102</v>
      </c>
      <c r="B24" t="s">
        <v>103</v>
      </c>
      <c r="C24">
        <v>99</v>
      </c>
      <c r="D24">
        <v>2832.39</v>
      </c>
      <c r="F24" t="s">
        <v>12</v>
      </c>
      <c r="G24" t="s">
        <v>13</v>
      </c>
      <c r="H24">
        <v>2922</v>
      </c>
      <c r="I24">
        <v>34319.58</v>
      </c>
    </row>
    <row r="25" spans="1:9" x14ac:dyDescent="0.25">
      <c r="A25" t="s">
        <v>462</v>
      </c>
      <c r="B25" t="s">
        <v>463</v>
      </c>
      <c r="C25">
        <v>1</v>
      </c>
      <c r="D25">
        <v>31.23</v>
      </c>
      <c r="F25" t="s">
        <v>446</v>
      </c>
      <c r="G25" t="s">
        <v>447</v>
      </c>
      <c r="H25">
        <v>9</v>
      </c>
      <c r="I25">
        <v>37.22</v>
      </c>
    </row>
    <row r="26" spans="1:9" x14ac:dyDescent="0.25">
      <c r="A26" t="s">
        <v>510</v>
      </c>
      <c r="B26" t="s">
        <v>511</v>
      </c>
      <c r="C26">
        <v>1</v>
      </c>
      <c r="D26">
        <v>11.82</v>
      </c>
      <c r="F26" t="s">
        <v>350</v>
      </c>
      <c r="G26" t="s">
        <v>351</v>
      </c>
      <c r="H26">
        <v>14</v>
      </c>
      <c r="I26">
        <v>117.64</v>
      </c>
    </row>
    <row r="27" spans="1:9" x14ac:dyDescent="0.25">
      <c r="A27" t="s">
        <v>19</v>
      </c>
      <c r="B27" t="s">
        <v>20</v>
      </c>
      <c r="C27">
        <v>1584</v>
      </c>
      <c r="D27">
        <v>20644.509999999998</v>
      </c>
      <c r="F27" t="s">
        <v>436</v>
      </c>
      <c r="G27" t="s">
        <v>437</v>
      </c>
      <c r="H27">
        <v>7</v>
      </c>
      <c r="I27">
        <v>42.76</v>
      </c>
    </row>
    <row r="28" spans="1:9" x14ac:dyDescent="0.25">
      <c r="A28" t="s">
        <v>472</v>
      </c>
      <c r="B28" t="s">
        <v>473</v>
      </c>
      <c r="C28">
        <v>1</v>
      </c>
      <c r="D28">
        <v>27.93</v>
      </c>
      <c r="F28" t="s">
        <v>26</v>
      </c>
      <c r="G28" t="s">
        <v>27</v>
      </c>
      <c r="H28">
        <v>597</v>
      </c>
      <c r="I28">
        <v>17144.47</v>
      </c>
    </row>
    <row r="29" spans="1:9" x14ac:dyDescent="0.25">
      <c r="A29" t="s">
        <v>142</v>
      </c>
      <c r="B29" t="s">
        <v>143</v>
      </c>
      <c r="C29">
        <v>75</v>
      </c>
      <c r="D29">
        <v>1575.73</v>
      </c>
      <c r="F29" t="s">
        <v>156</v>
      </c>
      <c r="G29" t="s">
        <v>157</v>
      </c>
      <c r="H29">
        <v>60</v>
      </c>
      <c r="I29">
        <v>1297.24</v>
      </c>
    </row>
    <row r="30" spans="1:9" x14ac:dyDescent="0.25">
      <c r="A30" t="s">
        <v>320</v>
      </c>
      <c r="B30" t="s">
        <v>321</v>
      </c>
      <c r="C30">
        <v>8</v>
      </c>
      <c r="D30">
        <v>319.21999999999997</v>
      </c>
      <c r="F30" t="s">
        <v>61</v>
      </c>
      <c r="G30" t="s">
        <v>62</v>
      </c>
      <c r="H30">
        <v>266</v>
      </c>
      <c r="I30">
        <v>7610.26</v>
      </c>
    </row>
    <row r="31" spans="1:9" x14ac:dyDescent="0.25">
      <c r="A31" t="s">
        <v>205</v>
      </c>
      <c r="B31" t="s">
        <v>206</v>
      </c>
      <c r="C31">
        <v>13</v>
      </c>
      <c r="D31">
        <v>973.92</v>
      </c>
      <c r="F31" t="s">
        <v>283</v>
      </c>
      <c r="G31" t="s">
        <v>284</v>
      </c>
      <c r="H31">
        <v>26</v>
      </c>
      <c r="I31">
        <v>223.33</v>
      </c>
    </row>
    <row r="32" spans="1:9" x14ac:dyDescent="0.25">
      <c r="A32" t="s">
        <v>568</v>
      </c>
      <c r="B32" t="s">
        <v>569</v>
      </c>
      <c r="C32">
        <v>0</v>
      </c>
      <c r="D32">
        <v>0</v>
      </c>
      <c r="F32" t="s">
        <v>330</v>
      </c>
      <c r="G32" t="s">
        <v>331</v>
      </c>
      <c r="H32">
        <v>16</v>
      </c>
      <c r="I32">
        <v>150.5</v>
      </c>
    </row>
    <row r="33" spans="1:9" x14ac:dyDescent="0.25">
      <c r="A33" t="s">
        <v>432</v>
      </c>
      <c r="B33" t="s">
        <v>433</v>
      </c>
      <c r="C33">
        <v>13</v>
      </c>
      <c r="D33">
        <v>44.07</v>
      </c>
      <c r="F33" t="s">
        <v>570</v>
      </c>
      <c r="G33" t="s">
        <v>571</v>
      </c>
      <c r="H33">
        <v>0</v>
      </c>
      <c r="I33">
        <v>0</v>
      </c>
    </row>
    <row r="34" spans="1:9" x14ac:dyDescent="0.25">
      <c r="A34" t="s">
        <v>520</v>
      </c>
      <c r="B34" t="s">
        <v>521</v>
      </c>
      <c r="C34">
        <v>1</v>
      </c>
      <c r="D34">
        <v>5.54</v>
      </c>
      <c r="F34" t="s">
        <v>360</v>
      </c>
      <c r="G34" t="s">
        <v>361</v>
      </c>
      <c r="H34">
        <v>8</v>
      </c>
      <c r="I34">
        <v>100.16</v>
      </c>
    </row>
    <row r="35" spans="1:9" x14ac:dyDescent="0.25">
      <c r="A35" t="s">
        <v>12</v>
      </c>
      <c r="B35" t="s">
        <v>13</v>
      </c>
      <c r="C35">
        <v>3002</v>
      </c>
      <c r="D35">
        <v>35627.11</v>
      </c>
      <c r="F35" t="s">
        <v>424</v>
      </c>
      <c r="G35" t="s">
        <v>425</v>
      </c>
      <c r="H35">
        <v>3</v>
      </c>
      <c r="I35">
        <v>48.93</v>
      </c>
    </row>
    <row r="36" spans="1:9" x14ac:dyDescent="0.25">
      <c r="A36" t="s">
        <v>446</v>
      </c>
      <c r="B36" t="s">
        <v>447</v>
      </c>
      <c r="C36">
        <v>9</v>
      </c>
      <c r="D36">
        <v>37.22</v>
      </c>
      <c r="F36" t="s">
        <v>434</v>
      </c>
      <c r="G36" t="s">
        <v>435</v>
      </c>
      <c r="H36">
        <v>1</v>
      </c>
      <c r="I36">
        <v>6.89</v>
      </c>
    </row>
    <row r="37" spans="1:9" x14ac:dyDescent="0.25">
      <c r="A37" t="s">
        <v>350</v>
      </c>
      <c r="B37" t="s">
        <v>351</v>
      </c>
      <c r="C37">
        <v>43</v>
      </c>
      <c r="D37">
        <v>284.53999999999996</v>
      </c>
      <c r="F37" t="s">
        <v>588</v>
      </c>
      <c r="G37" t="s">
        <v>589</v>
      </c>
      <c r="H37">
        <v>-1</v>
      </c>
      <c r="I37">
        <v>-11.39</v>
      </c>
    </row>
    <row r="38" spans="1:9" x14ac:dyDescent="0.25">
      <c r="A38" t="s">
        <v>436</v>
      </c>
      <c r="B38" t="s">
        <v>437</v>
      </c>
      <c r="C38">
        <v>9</v>
      </c>
      <c r="D38">
        <v>54.099999999999994</v>
      </c>
      <c r="F38" t="s">
        <v>33</v>
      </c>
      <c r="G38" t="s">
        <v>34</v>
      </c>
      <c r="H38">
        <v>586</v>
      </c>
      <c r="I38">
        <v>14362.86</v>
      </c>
    </row>
    <row r="39" spans="1:9" x14ac:dyDescent="0.25">
      <c r="A39" t="s">
        <v>478</v>
      </c>
      <c r="B39" t="s">
        <v>479</v>
      </c>
      <c r="C39">
        <v>1</v>
      </c>
      <c r="D39">
        <v>24.92</v>
      </c>
      <c r="F39" t="s">
        <v>90</v>
      </c>
      <c r="G39" t="s">
        <v>91</v>
      </c>
      <c r="H39">
        <v>65</v>
      </c>
      <c r="I39">
        <v>3560.59</v>
      </c>
    </row>
    <row r="40" spans="1:9" x14ac:dyDescent="0.25">
      <c r="A40" t="s">
        <v>26</v>
      </c>
      <c r="B40" t="s">
        <v>27</v>
      </c>
      <c r="C40">
        <v>1143</v>
      </c>
      <c r="D40">
        <v>33655.870000000003</v>
      </c>
      <c r="F40" t="s">
        <v>558</v>
      </c>
      <c r="G40" t="s">
        <v>559</v>
      </c>
      <c r="H40">
        <v>0</v>
      </c>
      <c r="I40">
        <v>0</v>
      </c>
    </row>
    <row r="41" spans="1:9" x14ac:dyDescent="0.25">
      <c r="A41" t="s">
        <v>156</v>
      </c>
      <c r="B41" t="s">
        <v>157</v>
      </c>
      <c r="C41">
        <v>72</v>
      </c>
      <c r="D41">
        <v>1646.1000000000001</v>
      </c>
      <c r="F41" t="s">
        <v>486</v>
      </c>
      <c r="G41" t="s">
        <v>487</v>
      </c>
      <c r="H41">
        <v>2</v>
      </c>
      <c r="I41">
        <v>23.6</v>
      </c>
    </row>
    <row r="42" spans="1:9" x14ac:dyDescent="0.25">
      <c r="A42" t="s">
        <v>273</v>
      </c>
      <c r="B42" t="s">
        <v>274</v>
      </c>
      <c r="C42">
        <v>10</v>
      </c>
      <c r="D42">
        <v>315.68</v>
      </c>
      <c r="F42" t="s">
        <v>297</v>
      </c>
      <c r="G42" t="s">
        <v>298</v>
      </c>
      <c r="H42">
        <v>2</v>
      </c>
      <c r="I42">
        <v>211.48</v>
      </c>
    </row>
    <row r="43" spans="1:9" x14ac:dyDescent="0.25">
      <c r="A43" t="s">
        <v>594</v>
      </c>
      <c r="B43" t="s">
        <v>595</v>
      </c>
      <c r="C43">
        <v>-2</v>
      </c>
      <c r="D43">
        <v>-16.5</v>
      </c>
      <c r="F43" t="s">
        <v>104</v>
      </c>
      <c r="G43" t="s">
        <v>105</v>
      </c>
      <c r="H43">
        <v>38</v>
      </c>
      <c r="I43">
        <v>2800.22</v>
      </c>
    </row>
    <row r="44" spans="1:9" x14ac:dyDescent="0.25">
      <c r="A44" t="s">
        <v>61</v>
      </c>
      <c r="B44" t="s">
        <v>62</v>
      </c>
      <c r="C44">
        <v>266</v>
      </c>
      <c r="D44">
        <v>7610.26</v>
      </c>
      <c r="F44" t="s">
        <v>53</v>
      </c>
      <c r="G44" t="s">
        <v>54</v>
      </c>
      <c r="H44">
        <v>304</v>
      </c>
      <c r="I44">
        <v>8435.0400000000009</v>
      </c>
    </row>
    <row r="45" spans="1:9" x14ac:dyDescent="0.25">
      <c r="A45" t="s">
        <v>342</v>
      </c>
      <c r="B45" t="s">
        <v>343</v>
      </c>
      <c r="C45">
        <v>8</v>
      </c>
      <c r="D45">
        <v>137.27000000000001</v>
      </c>
      <c r="F45" t="s">
        <v>590</v>
      </c>
      <c r="G45" t="s">
        <v>591</v>
      </c>
      <c r="H45">
        <v>-1</v>
      </c>
      <c r="I45">
        <v>-14.75</v>
      </c>
    </row>
    <row r="46" spans="1:9" x14ac:dyDescent="0.25">
      <c r="A46" t="s">
        <v>283</v>
      </c>
      <c r="B46" t="s">
        <v>284</v>
      </c>
      <c r="C46">
        <v>38</v>
      </c>
      <c r="D46">
        <v>329.21000000000004</v>
      </c>
      <c r="F46" t="s">
        <v>230</v>
      </c>
      <c r="G46" t="s">
        <v>231</v>
      </c>
      <c r="H46">
        <v>19</v>
      </c>
      <c r="I46">
        <v>465.69</v>
      </c>
    </row>
    <row r="47" spans="1:9" x14ac:dyDescent="0.25">
      <c r="A47" t="s">
        <v>330</v>
      </c>
      <c r="B47" t="s">
        <v>331</v>
      </c>
      <c r="C47">
        <v>46</v>
      </c>
      <c r="D47">
        <v>405.53999999999996</v>
      </c>
      <c r="F47" t="s">
        <v>422</v>
      </c>
      <c r="G47" t="s">
        <v>423</v>
      </c>
      <c r="H47">
        <v>2</v>
      </c>
      <c r="I47">
        <v>49.02</v>
      </c>
    </row>
    <row r="48" spans="1:9" x14ac:dyDescent="0.25">
      <c r="A48" t="s">
        <v>502</v>
      </c>
      <c r="B48" t="s">
        <v>503</v>
      </c>
      <c r="C48">
        <v>1</v>
      </c>
      <c r="D48">
        <v>13.06</v>
      </c>
      <c r="F48" t="s">
        <v>488</v>
      </c>
      <c r="G48" t="s">
        <v>489</v>
      </c>
      <c r="H48">
        <v>1</v>
      </c>
      <c r="I48">
        <v>21.51</v>
      </c>
    </row>
    <row r="49" spans="1:9" x14ac:dyDescent="0.25">
      <c r="A49" t="s">
        <v>570</v>
      </c>
      <c r="B49" t="s">
        <v>571</v>
      </c>
      <c r="C49">
        <v>0</v>
      </c>
      <c r="D49">
        <v>0</v>
      </c>
      <c r="F49" t="s">
        <v>386</v>
      </c>
      <c r="G49" t="s">
        <v>387</v>
      </c>
      <c r="H49">
        <v>2</v>
      </c>
      <c r="I49">
        <v>45.58</v>
      </c>
    </row>
    <row r="50" spans="1:9" x14ac:dyDescent="0.25">
      <c r="A50" t="s">
        <v>360</v>
      </c>
      <c r="B50" t="s">
        <v>361</v>
      </c>
      <c r="C50">
        <v>8</v>
      </c>
      <c r="D50">
        <v>100.16</v>
      </c>
      <c r="F50" t="s">
        <v>51</v>
      </c>
      <c r="G50" t="s">
        <v>52</v>
      </c>
      <c r="H50">
        <v>417</v>
      </c>
      <c r="I50">
        <v>8510.9699999999993</v>
      </c>
    </row>
    <row r="51" spans="1:9" x14ac:dyDescent="0.25">
      <c r="A51" t="s">
        <v>424</v>
      </c>
      <c r="B51" t="s">
        <v>425</v>
      </c>
      <c r="C51">
        <v>6</v>
      </c>
      <c r="D51">
        <v>98.39</v>
      </c>
      <c r="F51" t="s">
        <v>176</v>
      </c>
      <c r="G51" t="s">
        <v>177</v>
      </c>
      <c r="H51">
        <v>18</v>
      </c>
      <c r="I51">
        <v>1031.4000000000001</v>
      </c>
    </row>
    <row r="52" spans="1:9" x14ac:dyDescent="0.25">
      <c r="A52" t="s">
        <v>434</v>
      </c>
      <c r="B52" t="s">
        <v>435</v>
      </c>
      <c r="C52">
        <v>17</v>
      </c>
      <c r="D52">
        <v>72.960000000000008</v>
      </c>
      <c r="F52" t="s">
        <v>49</v>
      </c>
      <c r="G52" t="s">
        <v>50</v>
      </c>
      <c r="H52">
        <v>222</v>
      </c>
      <c r="I52">
        <v>9036.6</v>
      </c>
    </row>
    <row r="53" spans="1:9" x14ac:dyDescent="0.25">
      <c r="A53" t="s">
        <v>564</v>
      </c>
      <c r="B53" t="s">
        <v>565</v>
      </c>
      <c r="C53">
        <v>0</v>
      </c>
      <c r="D53">
        <v>0</v>
      </c>
      <c r="F53" t="s">
        <v>452</v>
      </c>
      <c r="G53" t="s">
        <v>453</v>
      </c>
      <c r="H53">
        <v>2</v>
      </c>
      <c r="I53">
        <v>33.9</v>
      </c>
    </row>
    <row r="54" spans="1:9" x14ac:dyDescent="0.25">
      <c r="A54" t="s">
        <v>588</v>
      </c>
      <c r="B54" t="s">
        <v>589</v>
      </c>
      <c r="C54">
        <v>-1</v>
      </c>
      <c r="D54">
        <v>-11.39</v>
      </c>
      <c r="F54" t="s">
        <v>392</v>
      </c>
      <c r="G54" t="s">
        <v>393</v>
      </c>
      <c r="H54">
        <v>14</v>
      </c>
      <c r="I54">
        <v>71.680000000000007</v>
      </c>
    </row>
    <row r="55" spans="1:9" x14ac:dyDescent="0.25">
      <c r="A55" t="s">
        <v>33</v>
      </c>
      <c r="B55" t="s">
        <v>34</v>
      </c>
      <c r="C55">
        <v>633</v>
      </c>
      <c r="D55">
        <v>15925.61</v>
      </c>
      <c r="F55" t="s">
        <v>106</v>
      </c>
      <c r="G55" t="s">
        <v>107</v>
      </c>
      <c r="H55">
        <v>181</v>
      </c>
      <c r="I55">
        <v>2670.84</v>
      </c>
    </row>
    <row r="56" spans="1:9" x14ac:dyDescent="0.25">
      <c r="A56" t="s">
        <v>232</v>
      </c>
      <c r="B56" t="s">
        <v>233</v>
      </c>
      <c r="C56">
        <v>17</v>
      </c>
      <c r="D56">
        <v>651.91000000000008</v>
      </c>
      <c r="F56" t="s">
        <v>37</v>
      </c>
      <c r="G56" t="s">
        <v>38</v>
      </c>
      <c r="H56">
        <v>400</v>
      </c>
      <c r="I56">
        <v>13080</v>
      </c>
    </row>
    <row r="57" spans="1:9" x14ac:dyDescent="0.25">
      <c r="A57" t="s">
        <v>90</v>
      </c>
      <c r="B57" t="s">
        <v>91</v>
      </c>
      <c r="C57">
        <v>68</v>
      </c>
      <c r="D57">
        <v>3790.13</v>
      </c>
      <c r="F57" t="s">
        <v>408</v>
      </c>
      <c r="G57" t="s">
        <v>409</v>
      </c>
      <c r="H57">
        <v>1</v>
      </c>
      <c r="I57">
        <v>64.61</v>
      </c>
    </row>
    <row r="58" spans="1:9" x14ac:dyDescent="0.25">
      <c r="A58" t="s">
        <v>576</v>
      </c>
      <c r="B58" t="s">
        <v>577</v>
      </c>
      <c r="C58">
        <v>0</v>
      </c>
      <c r="D58">
        <v>0</v>
      </c>
      <c r="F58" t="s">
        <v>164</v>
      </c>
      <c r="G58" t="s">
        <v>165</v>
      </c>
      <c r="H58">
        <v>23</v>
      </c>
      <c r="I58">
        <v>1118.2</v>
      </c>
    </row>
    <row r="59" spans="1:9" x14ac:dyDescent="0.25">
      <c r="A59" t="s">
        <v>558</v>
      </c>
      <c r="B59" t="s">
        <v>559</v>
      </c>
      <c r="C59">
        <v>0</v>
      </c>
      <c r="D59">
        <v>0</v>
      </c>
      <c r="F59" t="s">
        <v>186</v>
      </c>
      <c r="G59" t="s">
        <v>187</v>
      </c>
      <c r="H59">
        <v>20</v>
      </c>
      <c r="I59">
        <v>490.2</v>
      </c>
    </row>
    <row r="60" spans="1:9" x14ac:dyDescent="0.25">
      <c r="A60" t="s">
        <v>486</v>
      </c>
      <c r="B60" t="s">
        <v>487</v>
      </c>
      <c r="C60">
        <v>2</v>
      </c>
      <c r="D60">
        <v>23.6</v>
      </c>
      <c r="F60" t="s">
        <v>293</v>
      </c>
      <c r="G60" t="s">
        <v>294</v>
      </c>
      <c r="H60">
        <v>2</v>
      </c>
      <c r="I60">
        <v>26.88</v>
      </c>
    </row>
    <row r="61" spans="1:9" x14ac:dyDescent="0.25">
      <c r="A61" t="s">
        <v>297</v>
      </c>
      <c r="B61" t="s">
        <v>298</v>
      </c>
      <c r="C61">
        <v>3</v>
      </c>
      <c r="D61">
        <v>325.48</v>
      </c>
      <c r="F61" t="s">
        <v>534</v>
      </c>
      <c r="G61" t="s">
        <v>535</v>
      </c>
      <c r="H61">
        <v>0</v>
      </c>
      <c r="I61">
        <v>0</v>
      </c>
    </row>
    <row r="62" spans="1:9" x14ac:dyDescent="0.25">
      <c r="A62" t="s">
        <v>104</v>
      </c>
      <c r="B62" t="s">
        <v>105</v>
      </c>
      <c r="C62">
        <v>43</v>
      </c>
      <c r="D62">
        <v>3112.52</v>
      </c>
      <c r="F62" t="s">
        <v>420</v>
      </c>
      <c r="G62" t="s">
        <v>421</v>
      </c>
      <c r="H62">
        <v>2</v>
      </c>
      <c r="I62">
        <v>49.02</v>
      </c>
    </row>
    <row r="63" spans="1:9" x14ac:dyDescent="0.25">
      <c r="A63" t="s">
        <v>53</v>
      </c>
      <c r="B63" t="s">
        <v>54</v>
      </c>
      <c r="C63">
        <v>803</v>
      </c>
      <c r="D63">
        <v>20999.620000000003</v>
      </c>
      <c r="F63" t="s">
        <v>122</v>
      </c>
      <c r="G63" t="s">
        <v>123</v>
      </c>
      <c r="H63">
        <v>91</v>
      </c>
      <c r="I63">
        <v>2230.41</v>
      </c>
    </row>
    <row r="64" spans="1:9" x14ac:dyDescent="0.25">
      <c r="A64" t="s">
        <v>340</v>
      </c>
      <c r="B64" t="s">
        <v>341</v>
      </c>
      <c r="C64">
        <v>4</v>
      </c>
      <c r="D64">
        <v>139.68</v>
      </c>
      <c r="F64" t="s">
        <v>492</v>
      </c>
      <c r="G64" t="s">
        <v>493</v>
      </c>
      <c r="H64">
        <v>1</v>
      </c>
      <c r="I64">
        <v>20.41</v>
      </c>
    </row>
    <row r="65" spans="1:9" x14ac:dyDescent="0.25">
      <c r="A65" t="s">
        <v>590</v>
      </c>
      <c r="B65" t="s">
        <v>591</v>
      </c>
      <c r="C65">
        <v>-1</v>
      </c>
      <c r="D65">
        <v>-14.75</v>
      </c>
      <c r="F65" t="s">
        <v>300</v>
      </c>
      <c r="G65" t="s">
        <v>301</v>
      </c>
      <c r="H65">
        <v>13</v>
      </c>
      <c r="I65">
        <v>199.11</v>
      </c>
    </row>
    <row r="66" spans="1:9" x14ac:dyDescent="0.25">
      <c r="A66" t="s">
        <v>230</v>
      </c>
      <c r="B66" t="s">
        <v>231</v>
      </c>
      <c r="C66">
        <v>19</v>
      </c>
      <c r="D66">
        <v>465.69</v>
      </c>
      <c r="F66" t="s">
        <v>550</v>
      </c>
      <c r="G66" t="s">
        <v>551</v>
      </c>
      <c r="H66">
        <v>0</v>
      </c>
      <c r="I66">
        <v>0</v>
      </c>
    </row>
    <row r="67" spans="1:9" x14ac:dyDescent="0.25">
      <c r="A67" t="s">
        <v>422</v>
      </c>
      <c r="B67" t="s">
        <v>423</v>
      </c>
      <c r="C67">
        <v>2</v>
      </c>
      <c r="D67">
        <v>49.02</v>
      </c>
      <c r="F67" t="s">
        <v>196</v>
      </c>
      <c r="G67" t="s">
        <v>197</v>
      </c>
      <c r="H67">
        <v>37</v>
      </c>
      <c r="I67">
        <v>878.32</v>
      </c>
    </row>
    <row r="68" spans="1:9" x14ac:dyDescent="0.25">
      <c r="A68" t="s">
        <v>302</v>
      </c>
      <c r="B68" t="s">
        <v>303</v>
      </c>
      <c r="C68">
        <v>11</v>
      </c>
      <c r="D68">
        <v>311.01</v>
      </c>
      <c r="F68" t="s">
        <v>202</v>
      </c>
      <c r="G68" t="s">
        <v>197</v>
      </c>
      <c r="H68">
        <v>68</v>
      </c>
      <c r="I68">
        <v>794.19</v>
      </c>
    </row>
    <row r="69" spans="1:9" x14ac:dyDescent="0.25">
      <c r="A69" t="s">
        <v>488</v>
      </c>
      <c r="B69" t="s">
        <v>489</v>
      </c>
      <c r="C69">
        <v>1</v>
      </c>
      <c r="D69">
        <v>21.51</v>
      </c>
      <c r="F69" t="s">
        <v>128</v>
      </c>
      <c r="G69" t="s">
        <v>129</v>
      </c>
      <c r="H69">
        <v>161</v>
      </c>
      <c r="I69">
        <v>1965.81</v>
      </c>
    </row>
    <row r="70" spans="1:9" x14ac:dyDescent="0.25">
      <c r="A70" t="s">
        <v>190</v>
      </c>
      <c r="B70" t="s">
        <v>191</v>
      </c>
      <c r="C70">
        <v>43</v>
      </c>
      <c r="D70">
        <v>1264.96</v>
      </c>
      <c r="F70" t="s">
        <v>584</v>
      </c>
      <c r="G70" t="s">
        <v>585</v>
      </c>
      <c r="H70">
        <v>0</v>
      </c>
      <c r="I70">
        <v>0</v>
      </c>
    </row>
    <row r="71" spans="1:9" x14ac:dyDescent="0.25">
      <c r="A71" t="s">
        <v>386</v>
      </c>
      <c r="B71" t="s">
        <v>387</v>
      </c>
      <c r="C71">
        <v>7</v>
      </c>
      <c r="D71">
        <v>169.26</v>
      </c>
      <c r="F71" t="s">
        <v>260</v>
      </c>
      <c r="G71" t="s">
        <v>261</v>
      </c>
      <c r="H71">
        <v>5</v>
      </c>
      <c r="I71">
        <v>327.45</v>
      </c>
    </row>
    <row r="72" spans="1:9" x14ac:dyDescent="0.25">
      <c r="A72" t="s">
        <v>51</v>
      </c>
      <c r="B72" t="s">
        <v>52</v>
      </c>
      <c r="C72">
        <v>573</v>
      </c>
      <c r="D72">
        <v>11649.880000000001</v>
      </c>
      <c r="F72" t="s">
        <v>75</v>
      </c>
      <c r="G72" t="s">
        <v>76</v>
      </c>
      <c r="H72">
        <v>135</v>
      </c>
      <c r="I72">
        <v>4968</v>
      </c>
    </row>
    <row r="73" spans="1:9" x14ac:dyDescent="0.25">
      <c r="A73" t="s">
        <v>176</v>
      </c>
      <c r="B73" t="s">
        <v>177</v>
      </c>
      <c r="C73">
        <v>23</v>
      </c>
      <c r="D73">
        <v>1319.95</v>
      </c>
      <c r="F73" t="s">
        <v>430</v>
      </c>
      <c r="G73" t="s">
        <v>431</v>
      </c>
      <c r="H73">
        <v>1</v>
      </c>
      <c r="I73">
        <v>44.57</v>
      </c>
    </row>
    <row r="74" spans="1:9" x14ac:dyDescent="0.25">
      <c r="A74" t="s">
        <v>418</v>
      </c>
      <c r="B74" t="s">
        <v>419</v>
      </c>
      <c r="C74">
        <v>2</v>
      </c>
      <c r="D74">
        <v>49.42</v>
      </c>
      <c r="F74" t="s">
        <v>47</v>
      </c>
      <c r="G74" t="s">
        <v>48</v>
      </c>
      <c r="H74">
        <v>472</v>
      </c>
      <c r="I74">
        <v>9633.52</v>
      </c>
    </row>
    <row r="75" spans="1:9" x14ac:dyDescent="0.25">
      <c r="A75" t="s">
        <v>372</v>
      </c>
      <c r="B75" t="s">
        <v>373</v>
      </c>
      <c r="C75">
        <v>4</v>
      </c>
      <c r="D75">
        <v>167.39</v>
      </c>
      <c r="F75" t="s">
        <v>358</v>
      </c>
      <c r="G75" t="s">
        <v>359</v>
      </c>
      <c r="H75">
        <v>5</v>
      </c>
      <c r="I75">
        <v>104.95</v>
      </c>
    </row>
    <row r="76" spans="1:9" x14ac:dyDescent="0.25">
      <c r="A76" t="s">
        <v>586</v>
      </c>
      <c r="B76" t="s">
        <v>587</v>
      </c>
      <c r="C76">
        <v>-1</v>
      </c>
      <c r="D76">
        <v>-10.75</v>
      </c>
      <c r="F76" t="s">
        <v>322</v>
      </c>
      <c r="G76" t="s">
        <v>323</v>
      </c>
      <c r="H76">
        <v>8</v>
      </c>
      <c r="I76">
        <v>156.72</v>
      </c>
    </row>
    <row r="77" spans="1:9" x14ac:dyDescent="0.25">
      <c r="A77" t="s">
        <v>49</v>
      </c>
      <c r="B77" t="s">
        <v>50</v>
      </c>
      <c r="C77">
        <v>244</v>
      </c>
      <c r="D77">
        <v>9958.3100000000013</v>
      </c>
      <c r="F77" t="s">
        <v>484</v>
      </c>
      <c r="G77" t="s">
        <v>485</v>
      </c>
      <c r="H77">
        <v>1</v>
      </c>
      <c r="I77">
        <v>24.51</v>
      </c>
    </row>
    <row r="78" spans="1:9" x14ac:dyDescent="0.25">
      <c r="A78" t="s">
        <v>452</v>
      </c>
      <c r="B78" t="s">
        <v>453</v>
      </c>
      <c r="C78">
        <v>4</v>
      </c>
      <c r="D78">
        <v>67.509999999999991</v>
      </c>
      <c r="F78" t="s">
        <v>318</v>
      </c>
      <c r="G78" t="s">
        <v>319</v>
      </c>
      <c r="H78">
        <v>2</v>
      </c>
      <c r="I78">
        <v>162.30000000000001</v>
      </c>
    </row>
    <row r="79" spans="1:9" x14ac:dyDescent="0.25">
      <c r="A79" t="s">
        <v>392</v>
      </c>
      <c r="B79" t="s">
        <v>393</v>
      </c>
      <c r="C79">
        <v>14</v>
      </c>
      <c r="D79">
        <v>71.680000000000007</v>
      </c>
      <c r="F79" t="s">
        <v>582</v>
      </c>
      <c r="G79" t="s">
        <v>583</v>
      </c>
      <c r="H79">
        <v>0</v>
      </c>
      <c r="I79">
        <v>0</v>
      </c>
    </row>
    <row r="80" spans="1:9" x14ac:dyDescent="0.25">
      <c r="A80" t="s">
        <v>106</v>
      </c>
      <c r="B80" t="s">
        <v>107</v>
      </c>
      <c r="C80">
        <v>212</v>
      </c>
      <c r="D80">
        <v>3204.1000000000004</v>
      </c>
      <c r="F80" t="s">
        <v>560</v>
      </c>
      <c r="G80" t="s">
        <v>561</v>
      </c>
      <c r="H80">
        <v>0</v>
      </c>
      <c r="I80">
        <v>0</v>
      </c>
    </row>
    <row r="81" spans="1:9" x14ac:dyDescent="0.25">
      <c r="A81" t="s">
        <v>37</v>
      </c>
      <c r="B81" t="s">
        <v>38</v>
      </c>
      <c r="C81">
        <v>401</v>
      </c>
      <c r="D81">
        <v>13128.1</v>
      </c>
      <c r="F81" t="s">
        <v>368</v>
      </c>
      <c r="G81" t="s">
        <v>369</v>
      </c>
      <c r="H81">
        <v>2</v>
      </c>
      <c r="I81">
        <v>98.2</v>
      </c>
    </row>
    <row r="82" spans="1:9" x14ac:dyDescent="0.25">
      <c r="A82" t="s">
        <v>408</v>
      </c>
      <c r="B82" t="s">
        <v>409</v>
      </c>
      <c r="C82">
        <v>1</v>
      </c>
      <c r="D82">
        <v>64.61</v>
      </c>
      <c r="F82" t="s">
        <v>132</v>
      </c>
      <c r="G82" t="s">
        <v>133</v>
      </c>
      <c r="H82">
        <v>43</v>
      </c>
      <c r="I82">
        <v>701.33</v>
      </c>
    </row>
    <row r="83" spans="1:9" x14ac:dyDescent="0.25">
      <c r="A83" t="s">
        <v>164</v>
      </c>
      <c r="B83" t="s">
        <v>165</v>
      </c>
      <c r="C83">
        <v>30</v>
      </c>
      <c r="D83">
        <v>1541.3400000000001</v>
      </c>
      <c r="F83" t="s">
        <v>456</v>
      </c>
      <c r="G83" t="s">
        <v>457</v>
      </c>
      <c r="H83">
        <v>2</v>
      </c>
      <c r="I83">
        <v>32.659999999999997</v>
      </c>
    </row>
    <row r="84" spans="1:9" x14ac:dyDescent="0.25">
      <c r="A84" t="s">
        <v>186</v>
      </c>
      <c r="B84" t="s">
        <v>187</v>
      </c>
      <c r="C84">
        <v>67</v>
      </c>
      <c r="D84">
        <v>1995.43</v>
      </c>
      <c r="F84" t="s">
        <v>244</v>
      </c>
      <c r="G84" t="s">
        <v>245</v>
      </c>
      <c r="H84">
        <v>16</v>
      </c>
      <c r="I84">
        <v>392.16</v>
      </c>
    </row>
    <row r="85" spans="1:9" x14ac:dyDescent="0.25">
      <c r="A85" t="s">
        <v>293</v>
      </c>
      <c r="B85" t="s">
        <v>294</v>
      </c>
      <c r="C85">
        <v>32</v>
      </c>
      <c r="D85">
        <v>241.24</v>
      </c>
      <c r="F85" t="s">
        <v>45</v>
      </c>
      <c r="G85" t="s">
        <v>46</v>
      </c>
      <c r="H85">
        <v>794</v>
      </c>
      <c r="I85">
        <v>9694.74</v>
      </c>
    </row>
    <row r="86" spans="1:9" x14ac:dyDescent="0.25">
      <c r="A86" t="s">
        <v>534</v>
      </c>
      <c r="B86" t="s">
        <v>535</v>
      </c>
      <c r="C86">
        <v>0</v>
      </c>
      <c r="D86">
        <v>0</v>
      </c>
      <c r="F86" t="s">
        <v>216</v>
      </c>
      <c r="G86" t="s">
        <v>217</v>
      </c>
      <c r="H86">
        <v>52</v>
      </c>
      <c r="I86">
        <v>596.63</v>
      </c>
    </row>
    <row r="87" spans="1:9" x14ac:dyDescent="0.25">
      <c r="A87" t="s">
        <v>334</v>
      </c>
      <c r="B87" t="s">
        <v>335</v>
      </c>
      <c r="C87">
        <v>2</v>
      </c>
      <c r="D87">
        <v>143.11000000000001</v>
      </c>
      <c r="F87" t="s">
        <v>450</v>
      </c>
      <c r="G87" t="s">
        <v>451</v>
      </c>
      <c r="H87">
        <v>3</v>
      </c>
      <c r="I87">
        <v>34.130000000000003</v>
      </c>
    </row>
    <row r="88" spans="1:9" x14ac:dyDescent="0.25">
      <c r="A88" t="s">
        <v>554</v>
      </c>
      <c r="B88" t="s">
        <v>555</v>
      </c>
      <c r="C88">
        <v>0</v>
      </c>
      <c r="D88">
        <v>0</v>
      </c>
      <c r="F88" t="s">
        <v>314</v>
      </c>
      <c r="G88" t="s">
        <v>315</v>
      </c>
      <c r="H88">
        <v>23</v>
      </c>
      <c r="I88">
        <v>171.89</v>
      </c>
    </row>
    <row r="89" spans="1:9" x14ac:dyDescent="0.25">
      <c r="A89" t="s">
        <v>214</v>
      </c>
      <c r="B89" t="s">
        <v>215</v>
      </c>
      <c r="C89">
        <v>15</v>
      </c>
      <c r="D89">
        <v>623.70000000000005</v>
      </c>
      <c r="F89" t="s">
        <v>71</v>
      </c>
      <c r="G89" t="s">
        <v>72</v>
      </c>
      <c r="H89">
        <v>247</v>
      </c>
      <c r="I89">
        <v>5658.63</v>
      </c>
    </row>
    <row r="90" spans="1:9" x14ac:dyDescent="0.25">
      <c r="A90" t="s">
        <v>420</v>
      </c>
      <c r="B90" t="s">
        <v>421</v>
      </c>
      <c r="C90">
        <v>2</v>
      </c>
      <c r="D90">
        <v>49.02</v>
      </c>
      <c r="F90" t="s">
        <v>180</v>
      </c>
      <c r="G90" t="s">
        <v>181</v>
      </c>
      <c r="H90">
        <v>21</v>
      </c>
      <c r="I90">
        <v>998.34</v>
      </c>
    </row>
    <row r="91" spans="1:9" x14ac:dyDescent="0.25">
      <c r="A91" t="s">
        <v>122</v>
      </c>
      <c r="B91" t="s">
        <v>123</v>
      </c>
      <c r="C91">
        <v>100</v>
      </c>
      <c r="D91">
        <v>2466.4</v>
      </c>
      <c r="F91" t="s">
        <v>428</v>
      </c>
      <c r="G91" t="s">
        <v>429</v>
      </c>
      <c r="H91">
        <v>1</v>
      </c>
      <c r="I91">
        <v>47.98</v>
      </c>
    </row>
    <row r="92" spans="1:9" x14ac:dyDescent="0.25">
      <c r="A92" t="s">
        <v>492</v>
      </c>
      <c r="B92" t="s">
        <v>493</v>
      </c>
      <c r="C92">
        <v>1</v>
      </c>
      <c r="D92">
        <v>20.41</v>
      </c>
      <c r="F92" t="s">
        <v>285</v>
      </c>
      <c r="G92" t="s">
        <v>286</v>
      </c>
      <c r="H92">
        <v>11</v>
      </c>
      <c r="I92">
        <v>221.38</v>
      </c>
    </row>
    <row r="93" spans="1:9" x14ac:dyDescent="0.25">
      <c r="A93" t="s">
        <v>300</v>
      </c>
      <c r="B93" t="s">
        <v>301</v>
      </c>
      <c r="C93">
        <v>17</v>
      </c>
      <c r="D93">
        <v>261.64999999999998</v>
      </c>
      <c r="F93" t="s">
        <v>542</v>
      </c>
      <c r="G93" t="s">
        <v>543</v>
      </c>
      <c r="H93">
        <v>0</v>
      </c>
      <c r="I93">
        <v>0</v>
      </c>
    </row>
    <row r="94" spans="1:9" x14ac:dyDescent="0.25">
      <c r="A94" t="s">
        <v>550</v>
      </c>
      <c r="B94" t="s">
        <v>551</v>
      </c>
      <c r="C94">
        <v>0</v>
      </c>
      <c r="D94">
        <v>0</v>
      </c>
      <c r="F94" t="s">
        <v>188</v>
      </c>
      <c r="G94" t="s">
        <v>189</v>
      </c>
      <c r="H94">
        <v>39</v>
      </c>
      <c r="I94">
        <v>955.89</v>
      </c>
    </row>
    <row r="95" spans="1:9" x14ac:dyDescent="0.25">
      <c r="A95" t="s">
        <v>388</v>
      </c>
      <c r="B95" t="s">
        <v>389</v>
      </c>
      <c r="C95">
        <v>2</v>
      </c>
      <c r="D95">
        <v>139.94999999999999</v>
      </c>
      <c r="F95" t="s">
        <v>77</v>
      </c>
      <c r="G95" t="s">
        <v>78</v>
      </c>
      <c r="H95">
        <v>76</v>
      </c>
      <c r="I95">
        <v>4817.34</v>
      </c>
    </row>
    <row r="96" spans="1:9" x14ac:dyDescent="0.25">
      <c r="A96" t="s">
        <v>196</v>
      </c>
      <c r="B96" t="s">
        <v>197</v>
      </c>
      <c r="C96">
        <v>37</v>
      </c>
      <c r="D96">
        <v>878.32</v>
      </c>
      <c r="F96" t="s">
        <v>130</v>
      </c>
      <c r="G96" t="s">
        <v>131</v>
      </c>
      <c r="H96">
        <v>33</v>
      </c>
      <c r="I96">
        <v>1963.08</v>
      </c>
    </row>
    <row r="97" spans="1:9" x14ac:dyDescent="0.25">
      <c r="A97" t="s">
        <v>202</v>
      </c>
      <c r="B97" t="s">
        <v>197</v>
      </c>
      <c r="C97">
        <v>85</v>
      </c>
      <c r="D97">
        <v>1021.69</v>
      </c>
      <c r="F97" t="s">
        <v>9</v>
      </c>
      <c r="G97" t="s">
        <v>10</v>
      </c>
      <c r="H97">
        <v>2989</v>
      </c>
      <c r="I97">
        <v>36493.17</v>
      </c>
    </row>
    <row r="98" spans="1:9" x14ac:dyDescent="0.25">
      <c r="A98" t="s">
        <v>562</v>
      </c>
      <c r="B98" t="s">
        <v>563</v>
      </c>
      <c r="C98">
        <v>0</v>
      </c>
      <c r="D98">
        <v>0</v>
      </c>
      <c r="F98" t="s">
        <v>374</v>
      </c>
      <c r="G98" t="s">
        <v>375</v>
      </c>
      <c r="H98">
        <v>4</v>
      </c>
      <c r="I98">
        <v>81.64</v>
      </c>
    </row>
    <row r="99" spans="1:9" x14ac:dyDescent="0.25">
      <c r="A99" t="s">
        <v>128</v>
      </c>
      <c r="B99" t="s">
        <v>129</v>
      </c>
      <c r="C99">
        <v>164</v>
      </c>
      <c r="D99">
        <v>2010.57</v>
      </c>
      <c r="F99" t="s">
        <v>220</v>
      </c>
      <c r="G99" t="s">
        <v>221</v>
      </c>
      <c r="H99">
        <v>3</v>
      </c>
      <c r="I99">
        <v>61.23</v>
      </c>
    </row>
    <row r="100" spans="1:9" x14ac:dyDescent="0.25">
      <c r="A100" t="s">
        <v>65</v>
      </c>
      <c r="B100" t="s">
        <v>66</v>
      </c>
      <c r="C100">
        <v>375</v>
      </c>
      <c r="D100">
        <v>11812.32</v>
      </c>
      <c r="F100" t="s">
        <v>21</v>
      </c>
      <c r="G100" t="s">
        <v>22</v>
      </c>
      <c r="H100">
        <v>889</v>
      </c>
      <c r="I100">
        <v>18144.490000000002</v>
      </c>
    </row>
    <row r="101" spans="1:9" x14ac:dyDescent="0.25">
      <c r="A101" t="s">
        <v>584</v>
      </c>
      <c r="B101" t="s">
        <v>585</v>
      </c>
      <c r="C101">
        <v>0</v>
      </c>
      <c r="D101">
        <v>0</v>
      </c>
      <c r="F101" t="s">
        <v>69</v>
      </c>
      <c r="G101" t="s">
        <v>70</v>
      </c>
      <c r="H101">
        <v>245</v>
      </c>
      <c r="I101">
        <v>6004.95</v>
      </c>
    </row>
    <row r="102" spans="1:9" x14ac:dyDescent="0.25">
      <c r="A102" t="s">
        <v>260</v>
      </c>
      <c r="B102" t="s">
        <v>261</v>
      </c>
      <c r="C102">
        <v>6</v>
      </c>
      <c r="D102">
        <v>394.15999999999997</v>
      </c>
      <c r="F102" t="s">
        <v>592</v>
      </c>
      <c r="G102" t="s">
        <v>593</v>
      </c>
      <c r="H102">
        <v>-1</v>
      </c>
      <c r="I102">
        <v>-16.309999999999999</v>
      </c>
    </row>
    <row r="103" spans="1:9" x14ac:dyDescent="0.25">
      <c r="A103" t="s">
        <v>466</v>
      </c>
      <c r="B103" t="s">
        <v>467</v>
      </c>
      <c r="C103">
        <v>1</v>
      </c>
      <c r="D103">
        <v>28.84</v>
      </c>
      <c r="F103" t="s">
        <v>438</v>
      </c>
      <c r="G103" t="s">
        <v>439</v>
      </c>
      <c r="H103">
        <v>7</v>
      </c>
      <c r="I103">
        <v>41.82</v>
      </c>
    </row>
    <row r="104" spans="1:9" x14ac:dyDescent="0.25">
      <c r="A104" t="s">
        <v>75</v>
      </c>
      <c r="B104" t="s">
        <v>76</v>
      </c>
      <c r="C104">
        <v>287</v>
      </c>
      <c r="D104">
        <v>10625.77</v>
      </c>
      <c r="F104" t="s">
        <v>226</v>
      </c>
      <c r="G104" t="s">
        <v>227</v>
      </c>
      <c r="H104">
        <v>74</v>
      </c>
      <c r="I104">
        <v>540.20000000000005</v>
      </c>
    </row>
    <row r="105" spans="1:9" x14ac:dyDescent="0.25">
      <c r="A105" t="s">
        <v>134</v>
      </c>
      <c r="B105" t="s">
        <v>135</v>
      </c>
      <c r="C105">
        <v>62</v>
      </c>
      <c r="D105">
        <v>2954.2999999999997</v>
      </c>
      <c r="F105" t="s">
        <v>376</v>
      </c>
      <c r="G105" t="s">
        <v>377</v>
      </c>
      <c r="H105">
        <v>11</v>
      </c>
      <c r="I105">
        <v>80.3</v>
      </c>
    </row>
    <row r="106" spans="1:9" x14ac:dyDescent="0.25">
      <c r="A106" t="s">
        <v>430</v>
      </c>
      <c r="B106" t="s">
        <v>431</v>
      </c>
      <c r="C106">
        <v>1</v>
      </c>
      <c r="D106">
        <v>44.57</v>
      </c>
      <c r="F106" t="s">
        <v>218</v>
      </c>
      <c r="G106" t="s">
        <v>219</v>
      </c>
      <c r="H106">
        <v>19</v>
      </c>
      <c r="I106">
        <v>138.69999999999999</v>
      </c>
    </row>
    <row r="107" spans="1:9" x14ac:dyDescent="0.25">
      <c r="A107" t="s">
        <v>496</v>
      </c>
      <c r="B107" t="s">
        <v>497</v>
      </c>
      <c r="C107">
        <v>1</v>
      </c>
      <c r="D107">
        <v>18.239999999999998</v>
      </c>
      <c r="F107" t="s">
        <v>254</v>
      </c>
      <c r="G107" t="s">
        <v>255</v>
      </c>
      <c r="H107">
        <v>50</v>
      </c>
      <c r="I107">
        <v>352.02</v>
      </c>
    </row>
    <row r="108" spans="1:9" x14ac:dyDescent="0.25">
      <c r="A108" t="s">
        <v>398</v>
      </c>
      <c r="B108" t="s">
        <v>399</v>
      </c>
      <c r="C108">
        <v>2</v>
      </c>
      <c r="D108">
        <v>71.099999999999994</v>
      </c>
      <c r="F108" t="s">
        <v>200</v>
      </c>
      <c r="G108" t="s">
        <v>201</v>
      </c>
      <c r="H108">
        <v>52</v>
      </c>
      <c r="I108">
        <v>818.72</v>
      </c>
    </row>
    <row r="109" spans="1:9" x14ac:dyDescent="0.25">
      <c r="A109" t="s">
        <v>47</v>
      </c>
      <c r="B109" t="s">
        <v>48</v>
      </c>
      <c r="C109">
        <v>491</v>
      </c>
      <c r="D109">
        <v>10102.950000000001</v>
      </c>
      <c r="F109" t="s">
        <v>198</v>
      </c>
      <c r="G109" t="s">
        <v>199</v>
      </c>
      <c r="H109">
        <v>53</v>
      </c>
      <c r="I109">
        <v>862.16</v>
      </c>
    </row>
    <row r="110" spans="1:9" x14ac:dyDescent="0.25">
      <c r="A110" t="s">
        <v>548</v>
      </c>
      <c r="B110" t="s">
        <v>549</v>
      </c>
      <c r="C110">
        <v>0</v>
      </c>
      <c r="D110">
        <v>0</v>
      </c>
      <c r="F110" t="s">
        <v>136</v>
      </c>
      <c r="G110" t="s">
        <v>137</v>
      </c>
      <c r="H110">
        <v>74</v>
      </c>
      <c r="I110">
        <v>1813.74</v>
      </c>
    </row>
    <row r="111" spans="1:9" x14ac:dyDescent="0.25">
      <c r="A111" t="s">
        <v>358</v>
      </c>
      <c r="B111" t="s">
        <v>359</v>
      </c>
      <c r="C111">
        <v>6</v>
      </c>
      <c r="D111">
        <v>134.09</v>
      </c>
      <c r="F111" t="s">
        <v>138</v>
      </c>
      <c r="G111" t="s">
        <v>139</v>
      </c>
      <c r="H111">
        <v>242</v>
      </c>
      <c r="I111">
        <v>1766.5</v>
      </c>
    </row>
    <row r="112" spans="1:9" x14ac:dyDescent="0.25">
      <c r="A112" t="s">
        <v>322</v>
      </c>
      <c r="B112" t="s">
        <v>323</v>
      </c>
      <c r="C112">
        <v>8</v>
      </c>
      <c r="D112">
        <v>156.72</v>
      </c>
      <c r="F112" t="s">
        <v>41</v>
      </c>
      <c r="G112" t="s">
        <v>42</v>
      </c>
      <c r="H112">
        <v>833</v>
      </c>
      <c r="I112">
        <v>10170.93</v>
      </c>
    </row>
    <row r="113" spans="1:9" x14ac:dyDescent="0.25">
      <c r="A113" t="s">
        <v>324</v>
      </c>
      <c r="B113" t="s">
        <v>325</v>
      </c>
      <c r="C113">
        <v>31</v>
      </c>
      <c r="D113">
        <v>255.23999999999998</v>
      </c>
      <c r="F113" t="s">
        <v>168</v>
      </c>
      <c r="G113" t="s">
        <v>169</v>
      </c>
      <c r="H113">
        <v>222</v>
      </c>
      <c r="I113">
        <v>1074.48</v>
      </c>
    </row>
    <row r="114" spans="1:9" x14ac:dyDescent="0.25">
      <c r="A114" t="s">
        <v>516</v>
      </c>
      <c r="B114" t="s">
        <v>517</v>
      </c>
      <c r="C114">
        <v>1</v>
      </c>
      <c r="D114">
        <v>8.32</v>
      </c>
      <c r="F114" t="s">
        <v>378</v>
      </c>
      <c r="G114" t="s">
        <v>379</v>
      </c>
      <c r="H114">
        <v>7</v>
      </c>
      <c r="I114">
        <v>79.989999999999995</v>
      </c>
    </row>
    <row r="115" spans="1:9" x14ac:dyDescent="0.25">
      <c r="A115" t="s">
        <v>370</v>
      </c>
      <c r="B115" t="s">
        <v>371</v>
      </c>
      <c r="C115">
        <v>3</v>
      </c>
      <c r="D115">
        <v>86.73</v>
      </c>
      <c r="F115" t="s">
        <v>92</v>
      </c>
      <c r="G115" t="s">
        <v>93</v>
      </c>
      <c r="H115">
        <v>229</v>
      </c>
      <c r="I115">
        <v>3405.42</v>
      </c>
    </row>
    <row r="116" spans="1:9" x14ac:dyDescent="0.25">
      <c r="A116" t="s">
        <v>484</v>
      </c>
      <c r="B116" t="s">
        <v>485</v>
      </c>
      <c r="C116">
        <v>1</v>
      </c>
      <c r="D116">
        <v>24.51</v>
      </c>
      <c r="F116" t="s">
        <v>306</v>
      </c>
      <c r="G116" t="s">
        <v>307</v>
      </c>
      <c r="H116">
        <v>12</v>
      </c>
      <c r="I116">
        <v>195.22</v>
      </c>
    </row>
    <row r="117" spans="1:9" x14ac:dyDescent="0.25">
      <c r="A117" t="s">
        <v>318</v>
      </c>
      <c r="B117" t="s">
        <v>319</v>
      </c>
      <c r="C117">
        <v>2</v>
      </c>
      <c r="D117">
        <v>162.30000000000001</v>
      </c>
      <c r="F117" t="s">
        <v>228</v>
      </c>
      <c r="G117" t="s">
        <v>229</v>
      </c>
      <c r="H117">
        <v>23</v>
      </c>
      <c r="I117">
        <v>477.88</v>
      </c>
    </row>
    <row r="118" spans="1:9" x14ac:dyDescent="0.25">
      <c r="A118" t="s">
        <v>240</v>
      </c>
      <c r="B118" t="s">
        <v>241</v>
      </c>
      <c r="C118">
        <v>11</v>
      </c>
      <c r="D118">
        <v>525.08000000000004</v>
      </c>
      <c r="F118" t="s">
        <v>84</v>
      </c>
      <c r="G118" t="s">
        <v>85</v>
      </c>
      <c r="H118">
        <v>339</v>
      </c>
      <c r="I118">
        <v>4139.1899999999996</v>
      </c>
    </row>
    <row r="119" spans="1:9" x14ac:dyDescent="0.25">
      <c r="A119" t="s">
        <v>582</v>
      </c>
      <c r="B119" t="s">
        <v>583</v>
      </c>
      <c r="C119">
        <v>0</v>
      </c>
      <c r="D119">
        <v>0</v>
      </c>
      <c r="F119" t="s">
        <v>234</v>
      </c>
      <c r="G119" t="s">
        <v>235</v>
      </c>
      <c r="H119">
        <v>5</v>
      </c>
      <c r="I119">
        <v>158.13</v>
      </c>
    </row>
    <row r="120" spans="1:9" x14ac:dyDescent="0.25">
      <c r="A120" t="s">
        <v>560</v>
      </c>
      <c r="B120" t="s">
        <v>561</v>
      </c>
      <c r="C120">
        <v>-1</v>
      </c>
      <c r="D120">
        <v>-10.84</v>
      </c>
      <c r="F120" t="s">
        <v>210</v>
      </c>
      <c r="G120" t="s">
        <v>211</v>
      </c>
      <c r="H120">
        <v>58</v>
      </c>
      <c r="I120">
        <v>708.18</v>
      </c>
    </row>
    <row r="121" spans="1:9" x14ac:dyDescent="0.25">
      <c r="A121" t="s">
        <v>368</v>
      </c>
      <c r="B121" t="s">
        <v>369</v>
      </c>
      <c r="C121">
        <v>2</v>
      </c>
      <c r="D121">
        <v>98.2</v>
      </c>
      <c r="F121" t="s">
        <v>328</v>
      </c>
      <c r="G121" t="s">
        <v>329</v>
      </c>
      <c r="H121">
        <v>12</v>
      </c>
      <c r="I121">
        <v>150.51</v>
      </c>
    </row>
    <row r="122" spans="1:9" x14ac:dyDescent="0.25">
      <c r="A122" t="s">
        <v>132</v>
      </c>
      <c r="B122" t="s">
        <v>133</v>
      </c>
      <c r="C122">
        <v>187</v>
      </c>
      <c r="D122">
        <v>2564.1999999999998</v>
      </c>
      <c r="F122" t="s">
        <v>458</v>
      </c>
      <c r="G122" t="s">
        <v>459</v>
      </c>
      <c r="H122">
        <v>3</v>
      </c>
      <c r="I122">
        <v>32.47</v>
      </c>
    </row>
    <row r="123" spans="1:9" x14ac:dyDescent="0.25">
      <c r="A123" t="s">
        <v>456</v>
      </c>
      <c r="B123" t="s">
        <v>457</v>
      </c>
      <c r="C123">
        <v>2</v>
      </c>
      <c r="D123">
        <v>32.659999999999997</v>
      </c>
      <c r="F123" t="s">
        <v>384</v>
      </c>
      <c r="G123" t="s">
        <v>385</v>
      </c>
      <c r="H123">
        <v>2</v>
      </c>
      <c r="I123">
        <v>24.42</v>
      </c>
    </row>
    <row r="124" spans="1:9" x14ac:dyDescent="0.25">
      <c r="A124" t="s">
        <v>244</v>
      </c>
      <c r="B124" t="s">
        <v>245</v>
      </c>
      <c r="C124">
        <v>22</v>
      </c>
      <c r="D124">
        <v>544.95000000000005</v>
      </c>
      <c r="F124" t="s">
        <v>94</v>
      </c>
      <c r="G124" t="s">
        <v>95</v>
      </c>
      <c r="H124">
        <v>23</v>
      </c>
      <c r="I124">
        <v>629.25</v>
      </c>
    </row>
    <row r="125" spans="1:9" x14ac:dyDescent="0.25">
      <c r="A125" t="s">
        <v>45</v>
      </c>
      <c r="B125" t="s">
        <v>46</v>
      </c>
      <c r="C125">
        <v>835</v>
      </c>
      <c r="D125">
        <v>10271.709999999999</v>
      </c>
      <c r="F125" t="s">
        <v>326</v>
      </c>
      <c r="G125" t="s">
        <v>327</v>
      </c>
      <c r="H125">
        <v>6</v>
      </c>
      <c r="I125">
        <v>154.09</v>
      </c>
    </row>
    <row r="126" spans="1:9" x14ac:dyDescent="0.25">
      <c r="A126" t="s">
        <v>216</v>
      </c>
      <c r="B126" t="s">
        <v>217</v>
      </c>
      <c r="C126">
        <v>54</v>
      </c>
      <c r="D126">
        <v>620.82000000000005</v>
      </c>
      <c r="F126" t="s">
        <v>312</v>
      </c>
      <c r="G126" t="s">
        <v>313</v>
      </c>
      <c r="H126">
        <v>12</v>
      </c>
      <c r="I126">
        <v>178.21</v>
      </c>
    </row>
    <row r="127" spans="1:9" x14ac:dyDescent="0.25">
      <c r="A127" t="s">
        <v>308</v>
      </c>
      <c r="B127" t="s">
        <v>309</v>
      </c>
      <c r="C127">
        <v>10</v>
      </c>
      <c r="D127">
        <v>245.4</v>
      </c>
      <c r="F127" t="s">
        <v>110</v>
      </c>
      <c r="G127" t="s">
        <v>111</v>
      </c>
      <c r="H127">
        <v>118</v>
      </c>
      <c r="I127">
        <v>2367.1999999999998</v>
      </c>
    </row>
    <row r="128" spans="1:9" x14ac:dyDescent="0.25">
      <c r="A128" t="s">
        <v>572</v>
      </c>
      <c r="B128" t="s">
        <v>573</v>
      </c>
      <c r="C128">
        <v>0</v>
      </c>
      <c r="D128">
        <v>0</v>
      </c>
      <c r="F128" t="s">
        <v>118</v>
      </c>
      <c r="G128" t="s">
        <v>119</v>
      </c>
      <c r="H128">
        <v>123</v>
      </c>
      <c r="I128">
        <v>2164.4499999999998</v>
      </c>
    </row>
    <row r="129" spans="1:9" x14ac:dyDescent="0.25">
      <c r="A129" t="s">
        <v>450</v>
      </c>
      <c r="B129" t="s">
        <v>451</v>
      </c>
      <c r="C129">
        <v>5</v>
      </c>
      <c r="D129">
        <v>57.47</v>
      </c>
      <c r="F129" t="s">
        <v>336</v>
      </c>
      <c r="G129" t="s">
        <v>337</v>
      </c>
      <c r="H129">
        <v>7</v>
      </c>
      <c r="I129">
        <v>141.31</v>
      </c>
    </row>
    <row r="130" spans="1:9" x14ac:dyDescent="0.25">
      <c r="A130" t="s">
        <v>526</v>
      </c>
      <c r="B130" t="s">
        <v>527</v>
      </c>
      <c r="C130">
        <v>0</v>
      </c>
      <c r="D130">
        <v>0</v>
      </c>
      <c r="F130" t="s">
        <v>17</v>
      </c>
      <c r="G130" t="s">
        <v>18</v>
      </c>
      <c r="H130">
        <v>1095</v>
      </c>
      <c r="I130">
        <v>24665.9</v>
      </c>
    </row>
    <row r="131" spans="1:9" x14ac:dyDescent="0.25">
      <c r="A131" t="s">
        <v>314</v>
      </c>
      <c r="B131" t="s">
        <v>315</v>
      </c>
      <c r="C131">
        <v>24</v>
      </c>
      <c r="D131">
        <v>184.5</v>
      </c>
      <c r="F131" t="s">
        <v>144</v>
      </c>
      <c r="G131" t="s">
        <v>145</v>
      </c>
      <c r="H131">
        <v>85</v>
      </c>
      <c r="I131">
        <v>1386.35</v>
      </c>
    </row>
    <row r="132" spans="1:9" x14ac:dyDescent="0.25">
      <c r="A132" t="s">
        <v>71</v>
      </c>
      <c r="B132" t="s">
        <v>72</v>
      </c>
      <c r="C132">
        <v>352</v>
      </c>
      <c r="D132">
        <v>8344.1</v>
      </c>
      <c r="F132" t="s">
        <v>267</v>
      </c>
      <c r="G132" t="s">
        <v>268</v>
      </c>
      <c r="H132">
        <v>19</v>
      </c>
      <c r="I132">
        <v>252.19</v>
      </c>
    </row>
    <row r="133" spans="1:9" x14ac:dyDescent="0.25">
      <c r="A133" t="s">
        <v>524</v>
      </c>
      <c r="B133" t="s">
        <v>525</v>
      </c>
      <c r="C133">
        <v>0</v>
      </c>
      <c r="D133">
        <v>0</v>
      </c>
      <c r="F133" t="s">
        <v>73</v>
      </c>
      <c r="G133" t="s">
        <v>74</v>
      </c>
      <c r="H133">
        <v>428</v>
      </c>
      <c r="I133">
        <v>5216.21</v>
      </c>
    </row>
    <row r="134" spans="1:9" x14ac:dyDescent="0.25">
      <c r="A134" t="s">
        <v>180</v>
      </c>
      <c r="B134" t="s">
        <v>181</v>
      </c>
      <c r="C134">
        <v>21</v>
      </c>
      <c r="D134">
        <v>998.34</v>
      </c>
      <c r="F134" t="s">
        <v>108</v>
      </c>
      <c r="G134" t="s">
        <v>109</v>
      </c>
      <c r="H134">
        <v>223</v>
      </c>
      <c r="I134">
        <v>2418.41</v>
      </c>
    </row>
    <row r="135" spans="1:9" x14ac:dyDescent="0.25">
      <c r="A135" t="s">
        <v>352</v>
      </c>
      <c r="B135" t="s">
        <v>353</v>
      </c>
      <c r="C135">
        <v>2</v>
      </c>
      <c r="D135">
        <v>221.75</v>
      </c>
      <c r="F135" t="s">
        <v>281</v>
      </c>
      <c r="G135" t="s">
        <v>282</v>
      </c>
      <c r="H135">
        <v>17</v>
      </c>
      <c r="I135">
        <v>227.33</v>
      </c>
    </row>
    <row r="136" spans="1:9" x14ac:dyDescent="0.25">
      <c r="A136" t="s">
        <v>428</v>
      </c>
      <c r="B136" t="s">
        <v>429</v>
      </c>
      <c r="C136">
        <v>1</v>
      </c>
      <c r="D136">
        <v>47.98</v>
      </c>
      <c r="F136" t="s">
        <v>67</v>
      </c>
      <c r="G136" t="s">
        <v>68</v>
      </c>
      <c r="H136">
        <v>152</v>
      </c>
      <c r="I136">
        <v>6234.61</v>
      </c>
    </row>
    <row r="137" spans="1:9" x14ac:dyDescent="0.25">
      <c r="A137" t="s">
        <v>285</v>
      </c>
      <c r="B137" t="s">
        <v>286</v>
      </c>
      <c r="C137">
        <v>20</v>
      </c>
      <c r="D137">
        <v>398.11</v>
      </c>
      <c r="F137" t="s">
        <v>57</v>
      </c>
      <c r="G137" t="s">
        <v>58</v>
      </c>
      <c r="H137">
        <v>150</v>
      </c>
      <c r="I137">
        <v>8110.64</v>
      </c>
    </row>
    <row r="138" spans="1:9" x14ac:dyDescent="0.25">
      <c r="A138" t="s">
        <v>468</v>
      </c>
      <c r="B138" t="s">
        <v>469</v>
      </c>
      <c r="C138">
        <v>2</v>
      </c>
      <c r="D138">
        <v>54.879999999999995</v>
      </c>
      <c r="F138" t="s">
        <v>402</v>
      </c>
      <c r="G138" t="s">
        <v>403</v>
      </c>
      <c r="H138">
        <v>17</v>
      </c>
      <c r="I138">
        <v>68.34</v>
      </c>
    </row>
    <row r="139" spans="1:9" x14ac:dyDescent="0.25">
      <c r="A139" t="s">
        <v>542</v>
      </c>
      <c r="B139" t="s">
        <v>543</v>
      </c>
      <c r="C139">
        <v>0</v>
      </c>
      <c r="D139">
        <v>0</v>
      </c>
      <c r="F139" t="s">
        <v>442</v>
      </c>
      <c r="G139" t="s">
        <v>443</v>
      </c>
      <c r="H139">
        <v>2</v>
      </c>
      <c r="I139">
        <v>32.619999999999997</v>
      </c>
    </row>
    <row r="140" spans="1:9" x14ac:dyDescent="0.25">
      <c r="A140" t="s">
        <v>208</v>
      </c>
      <c r="B140" t="s">
        <v>209</v>
      </c>
      <c r="C140">
        <v>10</v>
      </c>
      <c r="D140">
        <v>710.11</v>
      </c>
      <c r="F140" t="s">
        <v>271</v>
      </c>
      <c r="G140" t="s">
        <v>272</v>
      </c>
      <c r="H140">
        <v>8</v>
      </c>
      <c r="I140">
        <v>235.31</v>
      </c>
    </row>
    <row r="141" spans="1:9" x14ac:dyDescent="0.25">
      <c r="A141" t="s">
        <v>114</v>
      </c>
      <c r="B141" t="s">
        <v>115</v>
      </c>
      <c r="C141">
        <v>69</v>
      </c>
      <c r="D141">
        <v>3127.7400000000002</v>
      </c>
      <c r="F141" t="s">
        <v>160</v>
      </c>
      <c r="G141" t="s">
        <v>161</v>
      </c>
      <c r="H141">
        <v>101</v>
      </c>
      <c r="I141">
        <v>1233.21</v>
      </c>
    </row>
    <row r="142" spans="1:9" x14ac:dyDescent="0.25">
      <c r="A142" t="s">
        <v>188</v>
      </c>
      <c r="B142" t="s">
        <v>189</v>
      </c>
      <c r="C142">
        <v>48</v>
      </c>
      <c r="D142">
        <v>1180.17</v>
      </c>
      <c r="F142" t="s">
        <v>289</v>
      </c>
      <c r="G142" t="s">
        <v>290</v>
      </c>
      <c r="H142">
        <v>9</v>
      </c>
      <c r="I142">
        <v>220.59</v>
      </c>
    </row>
    <row r="143" spans="1:9" x14ac:dyDescent="0.25">
      <c r="A143" t="s">
        <v>77</v>
      </c>
      <c r="B143" t="s">
        <v>78</v>
      </c>
      <c r="C143">
        <v>180</v>
      </c>
      <c r="D143">
        <v>10892.220000000001</v>
      </c>
      <c r="F143" t="s">
        <v>316</v>
      </c>
      <c r="G143" t="s">
        <v>317</v>
      </c>
      <c r="H143">
        <v>24</v>
      </c>
      <c r="I143">
        <v>168.36</v>
      </c>
    </row>
    <row r="144" spans="1:9" x14ac:dyDescent="0.25">
      <c r="A144" t="s">
        <v>444</v>
      </c>
      <c r="B144" t="s">
        <v>445</v>
      </c>
      <c r="C144">
        <v>1</v>
      </c>
      <c r="D144">
        <v>37.97</v>
      </c>
      <c r="F144" t="s">
        <v>514</v>
      </c>
      <c r="G144" t="s">
        <v>515</v>
      </c>
      <c r="H144">
        <v>1</v>
      </c>
      <c r="I144">
        <v>10.57</v>
      </c>
    </row>
    <row r="145" spans="1:9" x14ac:dyDescent="0.25">
      <c r="A145" t="s">
        <v>130</v>
      </c>
      <c r="B145" t="s">
        <v>131</v>
      </c>
      <c r="C145">
        <v>45</v>
      </c>
      <c r="D145">
        <v>2654.8399999999997</v>
      </c>
      <c r="F145" t="s">
        <v>512</v>
      </c>
      <c r="G145" t="s">
        <v>513</v>
      </c>
      <c r="H145">
        <v>1</v>
      </c>
      <c r="I145">
        <v>10.83</v>
      </c>
    </row>
    <row r="146" spans="1:9" x14ac:dyDescent="0.25">
      <c r="A146" t="s">
        <v>9</v>
      </c>
      <c r="B146" t="s">
        <v>10</v>
      </c>
      <c r="C146">
        <v>3622</v>
      </c>
      <c r="D146">
        <v>44366.180000000008</v>
      </c>
      <c r="F146" t="s">
        <v>31</v>
      </c>
      <c r="G146" t="s">
        <v>32</v>
      </c>
      <c r="H146">
        <v>1836</v>
      </c>
      <c r="I146">
        <v>14888.98</v>
      </c>
    </row>
    <row r="147" spans="1:9" x14ac:dyDescent="0.25">
      <c r="A147" t="s">
        <v>556</v>
      </c>
      <c r="B147" t="s">
        <v>557</v>
      </c>
      <c r="C147">
        <v>0</v>
      </c>
      <c r="D147">
        <v>0</v>
      </c>
      <c r="F147" t="s">
        <v>100</v>
      </c>
      <c r="G147" t="s">
        <v>101</v>
      </c>
      <c r="H147">
        <v>51</v>
      </c>
      <c r="I147">
        <v>3256.79</v>
      </c>
    </row>
    <row r="148" spans="1:9" x14ac:dyDescent="0.25">
      <c r="A148" t="s">
        <v>374</v>
      </c>
      <c r="B148" t="s">
        <v>375</v>
      </c>
      <c r="C148">
        <v>5</v>
      </c>
      <c r="D148">
        <v>102.22</v>
      </c>
      <c r="F148" t="s">
        <v>426</v>
      </c>
      <c r="G148" t="s">
        <v>427</v>
      </c>
      <c r="H148">
        <v>3</v>
      </c>
      <c r="I148">
        <v>48.93</v>
      </c>
    </row>
    <row r="149" spans="1:9" x14ac:dyDescent="0.25">
      <c r="A149" t="s">
        <v>220</v>
      </c>
      <c r="B149" t="s">
        <v>221</v>
      </c>
      <c r="C149">
        <v>60</v>
      </c>
      <c r="D149">
        <v>1001.77</v>
      </c>
      <c r="F149" t="s">
        <v>264</v>
      </c>
      <c r="G149" t="s">
        <v>265</v>
      </c>
      <c r="H149">
        <v>40</v>
      </c>
      <c r="I149">
        <v>324.39999999999998</v>
      </c>
    </row>
    <row r="150" spans="1:9" x14ac:dyDescent="0.25">
      <c r="A150" t="s">
        <v>88</v>
      </c>
      <c r="B150" t="s">
        <v>89</v>
      </c>
      <c r="C150">
        <v>98</v>
      </c>
      <c r="D150">
        <v>5258.27</v>
      </c>
      <c r="F150" t="s">
        <v>530</v>
      </c>
      <c r="G150" t="s">
        <v>531</v>
      </c>
      <c r="H150">
        <v>0</v>
      </c>
      <c r="I150">
        <v>0</v>
      </c>
    </row>
    <row r="151" spans="1:9" x14ac:dyDescent="0.25">
      <c r="A151" t="s">
        <v>21</v>
      </c>
      <c r="B151" t="s">
        <v>22</v>
      </c>
      <c r="C151">
        <v>955</v>
      </c>
      <c r="D151">
        <v>20195.070000000003</v>
      </c>
      <c r="F151" t="s">
        <v>224</v>
      </c>
      <c r="G151" t="s">
        <v>225</v>
      </c>
      <c r="H151">
        <v>34</v>
      </c>
      <c r="I151">
        <v>543.38</v>
      </c>
    </row>
    <row r="152" spans="1:9" x14ac:dyDescent="0.25">
      <c r="A152" t="s">
        <v>69</v>
      </c>
      <c r="B152" t="s">
        <v>70</v>
      </c>
      <c r="C152">
        <v>427</v>
      </c>
      <c r="D152">
        <v>10551.099999999999</v>
      </c>
      <c r="F152" t="s">
        <v>116</v>
      </c>
      <c r="G152" t="s">
        <v>117</v>
      </c>
      <c r="H152">
        <v>146</v>
      </c>
      <c r="I152">
        <v>2282.7399999999998</v>
      </c>
    </row>
    <row r="153" spans="1:9" x14ac:dyDescent="0.25">
      <c r="A153" t="s">
        <v>592</v>
      </c>
      <c r="B153" t="s">
        <v>593</v>
      </c>
      <c r="C153">
        <v>-1</v>
      </c>
      <c r="D153">
        <v>-16.309999999999999</v>
      </c>
      <c r="F153" t="s">
        <v>150</v>
      </c>
      <c r="G153" t="s">
        <v>151</v>
      </c>
      <c r="H153">
        <v>111</v>
      </c>
      <c r="I153">
        <v>1355.31</v>
      </c>
    </row>
    <row r="154" spans="1:9" x14ac:dyDescent="0.25">
      <c r="A154" t="s">
        <v>438</v>
      </c>
      <c r="B154" t="s">
        <v>439</v>
      </c>
      <c r="C154">
        <v>7</v>
      </c>
      <c r="D154">
        <v>41.82</v>
      </c>
      <c r="F154" t="s">
        <v>23</v>
      </c>
      <c r="G154" t="s">
        <v>24</v>
      </c>
      <c r="H154">
        <v>546</v>
      </c>
      <c r="I154">
        <v>4428.0600000000004</v>
      </c>
    </row>
    <row r="155" spans="1:9" x14ac:dyDescent="0.25">
      <c r="A155" t="s">
        <v>226</v>
      </c>
      <c r="B155" t="s">
        <v>227</v>
      </c>
      <c r="C155">
        <v>94</v>
      </c>
      <c r="D155">
        <v>642.25000000000011</v>
      </c>
      <c r="F155" t="s">
        <v>566</v>
      </c>
      <c r="G155" t="s">
        <v>567</v>
      </c>
      <c r="H155">
        <v>0</v>
      </c>
      <c r="I155">
        <v>0</v>
      </c>
    </row>
    <row r="156" spans="1:9" x14ac:dyDescent="0.25">
      <c r="A156" t="s">
        <v>376</v>
      </c>
      <c r="B156" t="s">
        <v>377</v>
      </c>
      <c r="C156">
        <v>17</v>
      </c>
      <c r="D156">
        <v>112.24</v>
      </c>
      <c r="F156" t="s">
        <v>174</v>
      </c>
      <c r="G156" t="s">
        <v>175</v>
      </c>
      <c r="H156">
        <v>132</v>
      </c>
      <c r="I156">
        <v>1042.1500000000001</v>
      </c>
    </row>
    <row r="157" spans="1:9" x14ac:dyDescent="0.25">
      <c r="A157" t="s">
        <v>218</v>
      </c>
      <c r="B157" t="s">
        <v>219</v>
      </c>
      <c r="C157">
        <v>126</v>
      </c>
      <c r="D157">
        <v>754.6</v>
      </c>
      <c r="F157" t="s">
        <v>55</v>
      </c>
      <c r="G157" t="s">
        <v>56</v>
      </c>
      <c r="H157">
        <v>50</v>
      </c>
      <c r="I157">
        <v>859.53</v>
      </c>
    </row>
    <row r="158" spans="1:9" x14ac:dyDescent="0.25">
      <c r="A158" t="s">
        <v>254</v>
      </c>
      <c r="B158" t="s">
        <v>255</v>
      </c>
      <c r="C158">
        <v>73</v>
      </c>
      <c r="D158">
        <v>467.90000000000003</v>
      </c>
      <c r="F158" t="s">
        <v>275</v>
      </c>
      <c r="G158" t="s">
        <v>276</v>
      </c>
      <c r="H158">
        <v>24</v>
      </c>
      <c r="I158">
        <v>230.68</v>
      </c>
    </row>
    <row r="159" spans="1:9" x14ac:dyDescent="0.25">
      <c r="A159" t="s">
        <v>200</v>
      </c>
      <c r="B159" t="s">
        <v>201</v>
      </c>
      <c r="C159">
        <v>52</v>
      </c>
      <c r="D159">
        <v>818.72</v>
      </c>
      <c r="F159" t="s">
        <v>14</v>
      </c>
      <c r="G159" t="s">
        <v>15</v>
      </c>
      <c r="H159">
        <v>501</v>
      </c>
      <c r="I159">
        <v>6117.21</v>
      </c>
    </row>
    <row r="160" spans="1:9" x14ac:dyDescent="0.25">
      <c r="A160" t="s">
        <v>198</v>
      </c>
      <c r="B160" t="s">
        <v>199</v>
      </c>
      <c r="C160">
        <v>83</v>
      </c>
      <c r="D160">
        <v>1356.2</v>
      </c>
      <c r="F160" t="s">
        <v>344</v>
      </c>
      <c r="G160" t="s">
        <v>345</v>
      </c>
      <c r="H160">
        <v>11</v>
      </c>
      <c r="I160">
        <v>125.12</v>
      </c>
    </row>
    <row r="161" spans="1:9" x14ac:dyDescent="0.25">
      <c r="A161" t="s">
        <v>136</v>
      </c>
      <c r="B161" t="s">
        <v>137</v>
      </c>
      <c r="C161">
        <v>110</v>
      </c>
      <c r="D161">
        <v>2772.9399999999996</v>
      </c>
      <c r="F161" t="s">
        <v>246</v>
      </c>
      <c r="G161" t="s">
        <v>247</v>
      </c>
      <c r="H161">
        <v>32</v>
      </c>
      <c r="I161">
        <v>390.72</v>
      </c>
    </row>
    <row r="162" spans="1:9" x14ac:dyDescent="0.25">
      <c r="A162" t="s">
        <v>138</v>
      </c>
      <c r="B162" t="s">
        <v>139</v>
      </c>
      <c r="C162">
        <v>240</v>
      </c>
      <c r="D162">
        <v>1751.42</v>
      </c>
      <c r="F162" t="s">
        <v>86</v>
      </c>
      <c r="G162" t="s">
        <v>87</v>
      </c>
      <c r="H162">
        <v>33</v>
      </c>
      <c r="I162">
        <v>944.13</v>
      </c>
    </row>
    <row r="163" spans="1:9" x14ac:dyDescent="0.25">
      <c r="A163" t="s">
        <v>41</v>
      </c>
      <c r="B163" t="s">
        <v>42</v>
      </c>
      <c r="C163">
        <v>1211</v>
      </c>
      <c r="D163">
        <v>15347.37</v>
      </c>
      <c r="F163" t="s">
        <v>304</v>
      </c>
      <c r="G163" t="s">
        <v>305</v>
      </c>
      <c r="H163">
        <v>3</v>
      </c>
      <c r="I163">
        <v>196.47</v>
      </c>
    </row>
    <row r="164" spans="1:9" x14ac:dyDescent="0.25">
      <c r="A164" t="s">
        <v>168</v>
      </c>
      <c r="B164" t="s">
        <v>169</v>
      </c>
      <c r="C164">
        <v>223</v>
      </c>
      <c r="D164">
        <v>1083.48</v>
      </c>
      <c r="F164" t="s">
        <v>277</v>
      </c>
      <c r="G164" t="s">
        <v>278</v>
      </c>
      <c r="H164">
        <v>14</v>
      </c>
      <c r="I164">
        <v>228.34</v>
      </c>
    </row>
    <row r="165" spans="1:9" x14ac:dyDescent="0.25">
      <c r="A165" t="s">
        <v>295</v>
      </c>
      <c r="B165" t="s">
        <v>296</v>
      </c>
      <c r="C165">
        <v>14</v>
      </c>
      <c r="D165">
        <v>451.56999999999994</v>
      </c>
      <c r="F165" t="s">
        <v>178</v>
      </c>
      <c r="G165" t="s">
        <v>179</v>
      </c>
      <c r="H165">
        <v>6</v>
      </c>
      <c r="I165">
        <v>196.2</v>
      </c>
    </row>
    <row r="166" spans="1:9" x14ac:dyDescent="0.25">
      <c r="A166" t="s">
        <v>378</v>
      </c>
      <c r="B166" t="s">
        <v>379</v>
      </c>
      <c r="C166">
        <v>9</v>
      </c>
      <c r="D166">
        <v>107.09</v>
      </c>
      <c r="F166" t="s">
        <v>120</v>
      </c>
      <c r="G166" t="s">
        <v>121</v>
      </c>
      <c r="H166">
        <v>1</v>
      </c>
      <c r="I166">
        <v>28.61</v>
      </c>
    </row>
    <row r="167" spans="1:9" x14ac:dyDescent="0.25">
      <c r="A167" t="s">
        <v>92</v>
      </c>
      <c r="B167" t="s">
        <v>93</v>
      </c>
      <c r="C167">
        <v>497</v>
      </c>
      <c r="D167">
        <v>7835.1800000000012</v>
      </c>
      <c r="F167" t="s">
        <v>410</v>
      </c>
      <c r="G167" t="s">
        <v>411</v>
      </c>
      <c r="H167">
        <v>1</v>
      </c>
      <c r="I167">
        <v>56.23</v>
      </c>
    </row>
    <row r="168" spans="1:9" x14ac:dyDescent="0.25">
      <c r="A168" t="s">
        <v>412</v>
      </c>
      <c r="B168" t="s">
        <v>413</v>
      </c>
      <c r="C168">
        <v>4</v>
      </c>
      <c r="D168">
        <v>71.260000000000005</v>
      </c>
      <c r="F168" t="s">
        <v>238</v>
      </c>
      <c r="G168" t="s">
        <v>239</v>
      </c>
      <c r="H168">
        <v>5</v>
      </c>
      <c r="I168">
        <v>86.76</v>
      </c>
    </row>
    <row r="169" spans="1:9" x14ac:dyDescent="0.25">
      <c r="A169" t="s">
        <v>528</v>
      </c>
      <c r="B169" t="s">
        <v>529</v>
      </c>
      <c r="C169">
        <v>0</v>
      </c>
      <c r="D169">
        <v>0</v>
      </c>
      <c r="F169" t="s">
        <v>414</v>
      </c>
      <c r="G169" t="s">
        <v>415</v>
      </c>
      <c r="H169">
        <v>2</v>
      </c>
      <c r="I169">
        <v>51.28</v>
      </c>
    </row>
    <row r="170" spans="1:9" x14ac:dyDescent="0.25">
      <c r="A170" t="s">
        <v>440</v>
      </c>
      <c r="B170" t="s">
        <v>441</v>
      </c>
      <c r="C170">
        <v>1</v>
      </c>
      <c r="D170">
        <v>40.85</v>
      </c>
      <c r="F170" t="s">
        <v>162</v>
      </c>
      <c r="G170" t="s">
        <v>163</v>
      </c>
      <c r="H170">
        <v>11</v>
      </c>
      <c r="I170">
        <v>1190.25</v>
      </c>
    </row>
    <row r="171" spans="1:9" x14ac:dyDescent="0.25">
      <c r="A171" t="s">
        <v>482</v>
      </c>
      <c r="B171" t="s">
        <v>483</v>
      </c>
      <c r="C171">
        <v>1</v>
      </c>
      <c r="D171">
        <v>24.92</v>
      </c>
      <c r="F171" t="s">
        <v>222</v>
      </c>
      <c r="G171" t="s">
        <v>223</v>
      </c>
      <c r="H171">
        <v>6</v>
      </c>
      <c r="I171">
        <v>551.73</v>
      </c>
    </row>
    <row r="172" spans="1:9" x14ac:dyDescent="0.25">
      <c r="A172" t="s">
        <v>306</v>
      </c>
      <c r="B172" t="s">
        <v>307</v>
      </c>
      <c r="C172">
        <v>20</v>
      </c>
      <c r="D172">
        <v>300.42</v>
      </c>
      <c r="F172" t="s">
        <v>146</v>
      </c>
      <c r="G172" t="s">
        <v>147</v>
      </c>
      <c r="H172">
        <v>19</v>
      </c>
      <c r="I172">
        <v>1386.05</v>
      </c>
    </row>
    <row r="173" spans="1:9" x14ac:dyDescent="0.25">
      <c r="A173" t="s">
        <v>258</v>
      </c>
      <c r="B173" t="s">
        <v>259</v>
      </c>
      <c r="C173">
        <v>27</v>
      </c>
      <c r="D173">
        <v>637.74000000000012</v>
      </c>
      <c r="F173" t="s">
        <v>242</v>
      </c>
      <c r="G173" t="s">
        <v>243</v>
      </c>
      <c r="H173">
        <v>7</v>
      </c>
      <c r="I173">
        <v>401.1</v>
      </c>
    </row>
    <row r="174" spans="1:9" x14ac:dyDescent="0.25">
      <c r="A174" t="s">
        <v>228</v>
      </c>
      <c r="B174" t="s">
        <v>229</v>
      </c>
      <c r="C174">
        <v>28</v>
      </c>
      <c r="D174">
        <v>595.24</v>
      </c>
      <c r="F174" t="s">
        <v>124</v>
      </c>
      <c r="G174" t="s">
        <v>125</v>
      </c>
      <c r="H174">
        <v>105</v>
      </c>
      <c r="I174">
        <v>2143.0500000000002</v>
      </c>
    </row>
    <row r="175" spans="1:9" x14ac:dyDescent="0.25">
      <c r="A175" t="s">
        <v>498</v>
      </c>
      <c r="B175" t="s">
        <v>499</v>
      </c>
      <c r="C175">
        <v>4</v>
      </c>
      <c r="D175">
        <v>16.48</v>
      </c>
      <c r="F175" t="s">
        <v>154</v>
      </c>
      <c r="G175" t="s">
        <v>155</v>
      </c>
      <c r="H175">
        <v>53</v>
      </c>
      <c r="I175">
        <v>1299.03</v>
      </c>
    </row>
    <row r="176" spans="1:9" x14ac:dyDescent="0.25">
      <c r="A176" t="s">
        <v>84</v>
      </c>
      <c r="B176" t="s">
        <v>85</v>
      </c>
      <c r="C176">
        <v>454</v>
      </c>
      <c r="D176">
        <v>5565.4</v>
      </c>
      <c r="F176" t="s">
        <v>140</v>
      </c>
      <c r="G176" t="s">
        <v>141</v>
      </c>
      <c r="H176">
        <v>26</v>
      </c>
      <c r="I176">
        <v>536.78</v>
      </c>
    </row>
    <row r="177" spans="1:9" x14ac:dyDescent="0.25">
      <c r="A177" t="s">
        <v>234</v>
      </c>
      <c r="B177" t="s">
        <v>235</v>
      </c>
      <c r="C177">
        <v>19</v>
      </c>
      <c r="D177">
        <v>624.26</v>
      </c>
      <c r="F177" t="s">
        <v>170</v>
      </c>
      <c r="G177" t="s">
        <v>171</v>
      </c>
      <c r="H177">
        <v>9</v>
      </c>
      <c r="I177">
        <v>1073.6300000000001</v>
      </c>
    </row>
    <row r="178" spans="1:9" x14ac:dyDescent="0.25">
      <c r="A178" t="s">
        <v>544</v>
      </c>
      <c r="B178" t="s">
        <v>545</v>
      </c>
      <c r="C178">
        <v>0</v>
      </c>
      <c r="D178">
        <v>0</v>
      </c>
      <c r="F178" t="s">
        <v>538</v>
      </c>
      <c r="G178" t="s">
        <v>539</v>
      </c>
      <c r="H178">
        <v>0</v>
      </c>
      <c r="I178">
        <v>0</v>
      </c>
    </row>
    <row r="179" spans="1:9" x14ac:dyDescent="0.25">
      <c r="A179" t="s">
        <v>210</v>
      </c>
      <c r="B179" t="s">
        <v>211</v>
      </c>
      <c r="C179">
        <v>58</v>
      </c>
      <c r="D179">
        <v>708.18</v>
      </c>
      <c r="F179" t="s">
        <v>166</v>
      </c>
      <c r="G179" t="s">
        <v>167</v>
      </c>
      <c r="H179">
        <v>55</v>
      </c>
      <c r="I179">
        <v>1090.33</v>
      </c>
    </row>
    <row r="180" spans="1:9" x14ac:dyDescent="0.25">
      <c r="A180" t="s">
        <v>328</v>
      </c>
      <c r="B180" t="s">
        <v>329</v>
      </c>
      <c r="C180">
        <v>23</v>
      </c>
      <c r="D180">
        <v>292.07</v>
      </c>
      <c r="F180" t="s">
        <v>338</v>
      </c>
      <c r="G180" t="s">
        <v>339</v>
      </c>
      <c r="H180">
        <v>10</v>
      </c>
      <c r="I180">
        <v>140.69</v>
      </c>
    </row>
    <row r="181" spans="1:9" x14ac:dyDescent="0.25">
      <c r="A181" t="s">
        <v>458</v>
      </c>
      <c r="B181" t="s">
        <v>459</v>
      </c>
      <c r="C181">
        <v>3</v>
      </c>
      <c r="D181">
        <v>32.47</v>
      </c>
      <c r="F181" t="s">
        <v>400</v>
      </c>
      <c r="G181" t="s">
        <v>401</v>
      </c>
      <c r="H181">
        <v>1</v>
      </c>
      <c r="I181">
        <v>70.88</v>
      </c>
    </row>
    <row r="182" spans="1:9" x14ac:dyDescent="0.25">
      <c r="A182" t="s">
        <v>279</v>
      </c>
      <c r="B182" t="s">
        <v>280</v>
      </c>
      <c r="C182">
        <v>11</v>
      </c>
      <c r="D182">
        <v>250.83999999999997</v>
      </c>
      <c r="F182" t="s">
        <v>464</v>
      </c>
      <c r="G182" t="s">
        <v>465</v>
      </c>
      <c r="H182">
        <v>1</v>
      </c>
      <c r="I182">
        <v>30.37</v>
      </c>
    </row>
    <row r="183" spans="1:9" x14ac:dyDescent="0.25">
      <c r="A183" t="s">
        <v>384</v>
      </c>
      <c r="B183" t="s">
        <v>385</v>
      </c>
      <c r="C183">
        <v>9</v>
      </c>
      <c r="D183">
        <v>111.46</v>
      </c>
      <c r="F183" t="s">
        <v>192</v>
      </c>
      <c r="G183" t="s">
        <v>193</v>
      </c>
      <c r="H183">
        <v>13</v>
      </c>
      <c r="I183">
        <v>948.35</v>
      </c>
    </row>
    <row r="184" spans="1:9" x14ac:dyDescent="0.25">
      <c r="A184" t="s">
        <v>382</v>
      </c>
      <c r="B184" t="s">
        <v>383</v>
      </c>
      <c r="C184">
        <v>1</v>
      </c>
      <c r="D184">
        <v>75.790000000000006</v>
      </c>
      <c r="F184" t="s">
        <v>96</v>
      </c>
      <c r="G184" t="s">
        <v>97</v>
      </c>
      <c r="H184">
        <v>208</v>
      </c>
      <c r="I184">
        <v>3392.48</v>
      </c>
    </row>
    <row r="185" spans="1:9" x14ac:dyDescent="0.25">
      <c r="A185" t="s">
        <v>94</v>
      </c>
      <c r="B185" t="s">
        <v>95</v>
      </c>
      <c r="C185">
        <v>160</v>
      </c>
      <c r="D185">
        <v>4868.08</v>
      </c>
      <c r="F185" t="s">
        <v>194</v>
      </c>
      <c r="G185" t="s">
        <v>195</v>
      </c>
      <c r="H185">
        <v>23</v>
      </c>
      <c r="I185">
        <v>906.26</v>
      </c>
    </row>
    <row r="186" spans="1:9" x14ac:dyDescent="0.25">
      <c r="A186" t="s">
        <v>326</v>
      </c>
      <c r="B186" t="s">
        <v>327</v>
      </c>
      <c r="C186">
        <v>6</v>
      </c>
      <c r="D186">
        <v>154.09</v>
      </c>
      <c r="F186" t="s">
        <v>248</v>
      </c>
      <c r="G186" t="s">
        <v>249</v>
      </c>
      <c r="H186">
        <v>15</v>
      </c>
      <c r="I186">
        <v>367.65</v>
      </c>
    </row>
    <row r="187" spans="1:9" x14ac:dyDescent="0.25">
      <c r="A187" t="s">
        <v>312</v>
      </c>
      <c r="B187" t="s">
        <v>313</v>
      </c>
      <c r="C187">
        <v>13</v>
      </c>
      <c r="D187">
        <v>190.86</v>
      </c>
      <c r="F187" t="s">
        <v>39</v>
      </c>
      <c r="G187" t="s">
        <v>40</v>
      </c>
      <c r="H187">
        <v>1584</v>
      </c>
      <c r="I187">
        <v>12846.24</v>
      </c>
    </row>
    <row r="188" spans="1:9" x14ac:dyDescent="0.25">
      <c r="A188" t="s">
        <v>110</v>
      </c>
      <c r="B188" t="s">
        <v>111</v>
      </c>
      <c r="C188">
        <v>210</v>
      </c>
      <c r="D188">
        <v>4153.5599999999995</v>
      </c>
      <c r="F188" t="s">
        <v>148</v>
      </c>
      <c r="G188" t="s">
        <v>149</v>
      </c>
      <c r="H188">
        <v>32</v>
      </c>
      <c r="I188">
        <v>1046.4000000000001</v>
      </c>
    </row>
    <row r="189" spans="1:9" x14ac:dyDescent="0.25">
      <c r="A189" t="s">
        <v>598</v>
      </c>
      <c r="B189" t="s">
        <v>599</v>
      </c>
      <c r="C189">
        <v>-3</v>
      </c>
      <c r="D189">
        <v>-55.37</v>
      </c>
      <c r="F189" t="s">
        <v>184</v>
      </c>
      <c r="G189" t="s">
        <v>185</v>
      </c>
      <c r="H189">
        <v>60</v>
      </c>
      <c r="I189">
        <v>978.6</v>
      </c>
    </row>
    <row r="190" spans="1:9" x14ac:dyDescent="0.25">
      <c r="A190" t="s">
        <v>118</v>
      </c>
      <c r="B190" t="s">
        <v>119</v>
      </c>
      <c r="C190">
        <v>317</v>
      </c>
      <c r="D190">
        <v>5750.16</v>
      </c>
      <c r="F190" t="s">
        <v>252</v>
      </c>
      <c r="G190" t="s">
        <v>253</v>
      </c>
      <c r="H190">
        <v>22</v>
      </c>
      <c r="I190">
        <v>358.82</v>
      </c>
    </row>
    <row r="191" spans="1:9" x14ac:dyDescent="0.25">
      <c r="A191" t="s">
        <v>362</v>
      </c>
      <c r="B191" t="s">
        <v>363</v>
      </c>
      <c r="C191">
        <v>10</v>
      </c>
      <c r="D191">
        <v>166.36</v>
      </c>
      <c r="F191" t="s">
        <v>152</v>
      </c>
      <c r="G191" t="s">
        <v>153</v>
      </c>
      <c r="H191">
        <v>79</v>
      </c>
      <c r="I191">
        <v>1288.49</v>
      </c>
    </row>
    <row r="192" spans="1:9" x14ac:dyDescent="0.25">
      <c r="A192" t="s">
        <v>336</v>
      </c>
      <c r="B192" t="s">
        <v>337</v>
      </c>
      <c r="C192">
        <v>14</v>
      </c>
      <c r="D192">
        <v>292.45999999999998</v>
      </c>
      <c r="F192" t="s">
        <v>236</v>
      </c>
      <c r="G192" t="s">
        <v>237</v>
      </c>
      <c r="H192">
        <v>7</v>
      </c>
      <c r="I192">
        <v>276.7</v>
      </c>
    </row>
    <row r="193" spans="1:9" x14ac:dyDescent="0.25">
      <c r="A193" t="s">
        <v>17</v>
      </c>
      <c r="B193" t="s">
        <v>18</v>
      </c>
      <c r="C193">
        <v>1816</v>
      </c>
      <c r="D193">
        <v>34974.229999999996</v>
      </c>
      <c r="F193" t="s">
        <v>406</v>
      </c>
      <c r="G193" t="s">
        <v>407</v>
      </c>
      <c r="H193">
        <v>4</v>
      </c>
      <c r="I193">
        <v>65.239999999999995</v>
      </c>
    </row>
    <row r="194" spans="1:9" x14ac:dyDescent="0.25">
      <c r="A194" t="s">
        <v>144</v>
      </c>
      <c r="B194" t="s">
        <v>145</v>
      </c>
      <c r="C194">
        <v>152</v>
      </c>
      <c r="D194">
        <v>2186.64</v>
      </c>
      <c r="F194" t="s">
        <v>35</v>
      </c>
      <c r="G194" t="s">
        <v>36</v>
      </c>
      <c r="H194">
        <v>828</v>
      </c>
      <c r="I194">
        <v>13504.68</v>
      </c>
    </row>
    <row r="195" spans="1:9" x14ac:dyDescent="0.25">
      <c r="A195" t="s">
        <v>267</v>
      </c>
      <c r="B195" t="s">
        <v>268</v>
      </c>
      <c r="C195">
        <v>34</v>
      </c>
      <c r="D195">
        <v>451.27000000000004</v>
      </c>
      <c r="F195" t="s">
        <v>346</v>
      </c>
      <c r="G195" t="s">
        <v>347</v>
      </c>
      <c r="H195">
        <v>3</v>
      </c>
      <c r="I195">
        <v>122.7</v>
      </c>
    </row>
    <row r="196" spans="1:9" x14ac:dyDescent="0.25">
      <c r="A196" t="s">
        <v>269</v>
      </c>
      <c r="B196" t="s">
        <v>270</v>
      </c>
      <c r="C196">
        <v>29</v>
      </c>
      <c r="D196">
        <v>371.13</v>
      </c>
      <c r="F196" t="s">
        <v>291</v>
      </c>
      <c r="G196" t="s">
        <v>292</v>
      </c>
      <c r="H196">
        <v>27</v>
      </c>
      <c r="I196">
        <v>218.97</v>
      </c>
    </row>
    <row r="197" spans="1:9" x14ac:dyDescent="0.25">
      <c r="A197" t="s">
        <v>172</v>
      </c>
      <c r="B197" t="s">
        <v>173</v>
      </c>
      <c r="C197">
        <v>98</v>
      </c>
      <c r="D197">
        <v>2821.82</v>
      </c>
      <c r="F197" t="s">
        <v>158</v>
      </c>
      <c r="G197" t="s">
        <v>159</v>
      </c>
      <c r="H197">
        <v>13</v>
      </c>
      <c r="I197">
        <v>1278.33</v>
      </c>
    </row>
    <row r="198" spans="1:9" x14ac:dyDescent="0.25">
      <c r="A198" t="s">
        <v>73</v>
      </c>
      <c r="B198" t="s">
        <v>74</v>
      </c>
      <c r="C198">
        <v>536</v>
      </c>
      <c r="D198">
        <v>6360.58</v>
      </c>
      <c r="F198" t="s">
        <v>82</v>
      </c>
      <c r="G198" t="s">
        <v>83</v>
      </c>
      <c r="H198">
        <v>52</v>
      </c>
      <c r="I198">
        <v>4258.28</v>
      </c>
    </row>
    <row r="199" spans="1:9" x14ac:dyDescent="0.25">
      <c r="A199" t="s">
        <v>108</v>
      </c>
      <c r="B199" t="s">
        <v>109</v>
      </c>
      <c r="C199">
        <v>459</v>
      </c>
      <c r="D199">
        <v>4360.58</v>
      </c>
      <c r="F199" t="s">
        <v>112</v>
      </c>
      <c r="G199" t="s">
        <v>113</v>
      </c>
      <c r="H199">
        <v>198</v>
      </c>
      <c r="I199">
        <v>2092.86</v>
      </c>
    </row>
    <row r="200" spans="1:9" x14ac:dyDescent="0.25">
      <c r="A200" t="s">
        <v>281</v>
      </c>
      <c r="B200" t="s">
        <v>282</v>
      </c>
      <c r="C200">
        <v>18</v>
      </c>
      <c r="D200">
        <v>239.75</v>
      </c>
      <c r="F200" t="s">
        <v>546</v>
      </c>
      <c r="G200" t="s">
        <v>547</v>
      </c>
      <c r="H200">
        <v>0</v>
      </c>
      <c r="I200">
        <v>0</v>
      </c>
    </row>
    <row r="201" spans="1:9" x14ac:dyDescent="0.25">
      <c r="A201" t="s">
        <v>212</v>
      </c>
      <c r="B201" t="s">
        <v>213</v>
      </c>
      <c r="C201">
        <v>44</v>
      </c>
      <c r="D201">
        <v>1196.7399999999998</v>
      </c>
      <c r="F201" t="s">
        <v>287</v>
      </c>
      <c r="G201" t="s">
        <v>288</v>
      </c>
      <c r="H201">
        <v>6</v>
      </c>
      <c r="I201">
        <v>220.8</v>
      </c>
    </row>
    <row r="202" spans="1:9" x14ac:dyDescent="0.25">
      <c r="A202" t="s">
        <v>67</v>
      </c>
      <c r="B202" t="s">
        <v>68</v>
      </c>
      <c r="C202">
        <v>236</v>
      </c>
      <c r="D202">
        <v>10072.67</v>
      </c>
      <c r="F202" t="s">
        <v>29</v>
      </c>
      <c r="G202" t="s">
        <v>30</v>
      </c>
      <c r="H202">
        <v>922</v>
      </c>
      <c r="I202">
        <v>15037.82</v>
      </c>
    </row>
    <row r="203" spans="1:9" x14ac:dyDescent="0.25">
      <c r="A203" t="s">
        <v>57</v>
      </c>
      <c r="B203" t="s">
        <v>58</v>
      </c>
      <c r="C203">
        <v>154</v>
      </c>
      <c r="D203">
        <v>8345.619999999999</v>
      </c>
      <c r="F203" t="s">
        <v>460</v>
      </c>
      <c r="G203" t="s">
        <v>461</v>
      </c>
      <c r="H203">
        <v>1</v>
      </c>
      <c r="I203">
        <v>31.75</v>
      </c>
    </row>
    <row r="204" spans="1:9" x14ac:dyDescent="0.25">
      <c r="A204" t="s">
        <v>402</v>
      </c>
      <c r="B204" t="s">
        <v>403</v>
      </c>
      <c r="C204">
        <v>17</v>
      </c>
      <c r="D204">
        <v>68.34</v>
      </c>
      <c r="F204" t="s">
        <v>126</v>
      </c>
      <c r="G204" t="s">
        <v>127</v>
      </c>
      <c r="H204">
        <v>512</v>
      </c>
      <c r="I204">
        <v>2094.08</v>
      </c>
    </row>
    <row r="205" spans="1:9" x14ac:dyDescent="0.25">
      <c r="A205" t="s">
        <v>442</v>
      </c>
      <c r="B205" t="s">
        <v>443</v>
      </c>
      <c r="C205">
        <v>4</v>
      </c>
      <c r="D205">
        <v>73</v>
      </c>
      <c r="F205" t="s">
        <v>43</v>
      </c>
      <c r="G205" t="s">
        <v>44</v>
      </c>
      <c r="H205">
        <v>2441</v>
      </c>
      <c r="I205">
        <v>9812.82</v>
      </c>
    </row>
    <row r="206" spans="1:9" x14ac:dyDescent="0.25">
      <c r="A206" t="s">
        <v>63</v>
      </c>
      <c r="B206" t="s">
        <v>64</v>
      </c>
      <c r="C206">
        <v>189</v>
      </c>
      <c r="D206">
        <v>12965.4</v>
      </c>
      <c r="F206" t="s">
        <v>380</v>
      </c>
      <c r="G206" t="s">
        <v>381</v>
      </c>
      <c r="H206">
        <v>12</v>
      </c>
      <c r="I206">
        <v>78.599999999999994</v>
      </c>
    </row>
    <row r="207" spans="1:9" x14ac:dyDescent="0.25">
      <c r="A207" t="s">
        <v>271</v>
      </c>
      <c r="B207" t="s">
        <v>272</v>
      </c>
      <c r="C207">
        <v>13</v>
      </c>
      <c r="D207">
        <v>376.60999999999996</v>
      </c>
      <c r="F207" t="s">
        <v>448</v>
      </c>
      <c r="G207" t="s">
        <v>449</v>
      </c>
      <c r="H207">
        <v>9</v>
      </c>
      <c r="I207">
        <v>36.18</v>
      </c>
    </row>
    <row r="208" spans="1:9" x14ac:dyDescent="0.25">
      <c r="A208" t="s">
        <v>160</v>
      </c>
      <c r="B208" t="s">
        <v>161</v>
      </c>
      <c r="C208">
        <v>154</v>
      </c>
      <c r="D208">
        <v>1887.5</v>
      </c>
      <c r="F208" t="s">
        <v>10440</v>
      </c>
      <c r="H208">
        <v>31233</v>
      </c>
      <c r="I208">
        <v>477924.76000000013</v>
      </c>
    </row>
    <row r="209" spans="1:4" x14ac:dyDescent="0.25">
      <c r="A209" t="s">
        <v>182</v>
      </c>
      <c r="B209" t="s">
        <v>183</v>
      </c>
      <c r="C209">
        <v>35</v>
      </c>
      <c r="D209">
        <v>1010.8199999999999</v>
      </c>
    </row>
    <row r="210" spans="1:4" x14ac:dyDescent="0.25">
      <c r="A210" t="s">
        <v>289</v>
      </c>
      <c r="B210" t="s">
        <v>290</v>
      </c>
      <c r="C210">
        <v>9</v>
      </c>
      <c r="D210">
        <v>220.59</v>
      </c>
    </row>
    <row r="211" spans="1:4" x14ac:dyDescent="0.25">
      <c r="A211" t="s">
        <v>356</v>
      </c>
      <c r="B211" t="s">
        <v>357</v>
      </c>
      <c r="C211">
        <v>21</v>
      </c>
      <c r="D211">
        <v>172.9</v>
      </c>
    </row>
    <row r="212" spans="1:4" x14ac:dyDescent="0.25">
      <c r="A212" t="s">
        <v>316</v>
      </c>
      <c r="B212" t="s">
        <v>317</v>
      </c>
      <c r="C212">
        <v>27</v>
      </c>
      <c r="D212">
        <v>191.08</v>
      </c>
    </row>
    <row r="213" spans="1:4" x14ac:dyDescent="0.25">
      <c r="A213" t="s">
        <v>514</v>
      </c>
      <c r="B213" t="s">
        <v>515</v>
      </c>
      <c r="C213">
        <v>1</v>
      </c>
      <c r="D213">
        <v>10.57</v>
      </c>
    </row>
    <row r="214" spans="1:4" x14ac:dyDescent="0.25">
      <c r="A214" t="s">
        <v>354</v>
      </c>
      <c r="B214" t="s">
        <v>355</v>
      </c>
      <c r="C214">
        <v>5</v>
      </c>
      <c r="D214">
        <v>194.29</v>
      </c>
    </row>
    <row r="215" spans="1:4" x14ac:dyDescent="0.25">
      <c r="A215" t="s">
        <v>512</v>
      </c>
      <c r="B215" t="s">
        <v>513</v>
      </c>
      <c r="C215">
        <v>4</v>
      </c>
      <c r="D215">
        <v>45</v>
      </c>
    </row>
    <row r="216" spans="1:4" x14ac:dyDescent="0.25">
      <c r="A216" t="s">
        <v>31</v>
      </c>
      <c r="B216" t="s">
        <v>32</v>
      </c>
      <c r="C216">
        <v>4056</v>
      </c>
      <c r="D216">
        <v>33322.03</v>
      </c>
    </row>
    <row r="217" spans="1:4" x14ac:dyDescent="0.25">
      <c r="A217" t="s">
        <v>390</v>
      </c>
      <c r="B217" t="s">
        <v>391</v>
      </c>
      <c r="C217">
        <v>3</v>
      </c>
      <c r="D217">
        <v>168.63</v>
      </c>
    </row>
    <row r="218" spans="1:4" x14ac:dyDescent="0.25">
      <c r="A218" t="s">
        <v>100</v>
      </c>
      <c r="B218" t="s">
        <v>101</v>
      </c>
      <c r="C218">
        <v>66</v>
      </c>
      <c r="D218">
        <v>4251.6399999999994</v>
      </c>
    </row>
    <row r="219" spans="1:4" x14ac:dyDescent="0.25">
      <c r="A219" t="s">
        <v>578</v>
      </c>
      <c r="B219" t="s">
        <v>579</v>
      </c>
      <c r="C219">
        <v>0</v>
      </c>
      <c r="D219">
        <v>0</v>
      </c>
    </row>
    <row r="220" spans="1:4" x14ac:dyDescent="0.25">
      <c r="A220" t="s">
        <v>426</v>
      </c>
      <c r="B220" t="s">
        <v>427</v>
      </c>
      <c r="C220">
        <v>5</v>
      </c>
      <c r="D220">
        <v>81.96</v>
      </c>
    </row>
    <row r="221" spans="1:4" x14ac:dyDescent="0.25">
      <c r="A221" t="s">
        <v>532</v>
      </c>
      <c r="B221" t="s">
        <v>533</v>
      </c>
      <c r="C221">
        <v>0</v>
      </c>
      <c r="D221">
        <v>0</v>
      </c>
    </row>
    <row r="222" spans="1:4" x14ac:dyDescent="0.25">
      <c r="A222" t="s">
        <v>454</v>
      </c>
      <c r="B222" t="s">
        <v>455</v>
      </c>
      <c r="C222">
        <v>4</v>
      </c>
      <c r="D222">
        <v>33</v>
      </c>
    </row>
    <row r="223" spans="1:4" x14ac:dyDescent="0.25">
      <c r="A223" t="s">
        <v>264</v>
      </c>
      <c r="B223" t="s">
        <v>265</v>
      </c>
      <c r="C223">
        <v>40</v>
      </c>
      <c r="D223">
        <v>324.39999999999998</v>
      </c>
    </row>
    <row r="224" spans="1:4" x14ac:dyDescent="0.25">
      <c r="A224" t="s">
        <v>530</v>
      </c>
      <c r="B224" t="s">
        <v>531</v>
      </c>
      <c r="C224">
        <v>0</v>
      </c>
      <c r="D224">
        <v>0</v>
      </c>
    </row>
    <row r="225" spans="1:4" x14ac:dyDescent="0.25">
      <c r="A225" t="s">
        <v>224</v>
      </c>
      <c r="B225" t="s">
        <v>225</v>
      </c>
      <c r="C225">
        <v>71</v>
      </c>
      <c r="D225">
        <v>1141.3999999999999</v>
      </c>
    </row>
    <row r="226" spans="1:4" x14ac:dyDescent="0.25">
      <c r="A226" t="s">
        <v>116</v>
      </c>
      <c r="B226" t="s">
        <v>117</v>
      </c>
      <c r="C226">
        <v>204</v>
      </c>
      <c r="D226">
        <v>3245.7499999999995</v>
      </c>
    </row>
    <row r="227" spans="1:4" x14ac:dyDescent="0.25">
      <c r="A227" t="s">
        <v>150</v>
      </c>
      <c r="B227" t="s">
        <v>151</v>
      </c>
      <c r="C227">
        <v>183</v>
      </c>
      <c r="D227">
        <v>2226.5799999999995</v>
      </c>
    </row>
    <row r="228" spans="1:4" x14ac:dyDescent="0.25">
      <c r="A228" t="s">
        <v>332</v>
      </c>
      <c r="B228" t="s">
        <v>333</v>
      </c>
      <c r="C228">
        <v>6</v>
      </c>
      <c r="D228">
        <v>148.26</v>
      </c>
    </row>
    <row r="229" spans="1:4" x14ac:dyDescent="0.25">
      <c r="A229" t="s">
        <v>23</v>
      </c>
      <c r="B229" t="s">
        <v>24</v>
      </c>
      <c r="C229">
        <v>3244</v>
      </c>
      <c r="D229">
        <v>26543.63</v>
      </c>
    </row>
    <row r="230" spans="1:4" x14ac:dyDescent="0.25">
      <c r="A230" t="s">
        <v>566</v>
      </c>
      <c r="B230" t="s">
        <v>567</v>
      </c>
      <c r="C230">
        <v>0</v>
      </c>
      <c r="D230">
        <v>0</v>
      </c>
    </row>
    <row r="231" spans="1:4" x14ac:dyDescent="0.25">
      <c r="A231" t="s">
        <v>174</v>
      </c>
      <c r="B231" t="s">
        <v>175</v>
      </c>
      <c r="C231">
        <v>268</v>
      </c>
      <c r="D231">
        <v>2067.6999999999998</v>
      </c>
    </row>
    <row r="232" spans="1:4" x14ac:dyDescent="0.25">
      <c r="A232" t="s">
        <v>55</v>
      </c>
      <c r="B232" t="s">
        <v>56</v>
      </c>
      <c r="C232">
        <v>854</v>
      </c>
      <c r="D232">
        <v>11391.91</v>
      </c>
    </row>
    <row r="233" spans="1:4" x14ac:dyDescent="0.25">
      <c r="A233" t="s">
        <v>275</v>
      </c>
      <c r="B233" t="s">
        <v>276</v>
      </c>
      <c r="C233">
        <v>26</v>
      </c>
      <c r="D233">
        <v>259.92</v>
      </c>
    </row>
    <row r="234" spans="1:4" x14ac:dyDescent="0.25">
      <c r="A234" t="s">
        <v>14</v>
      </c>
      <c r="B234" t="s">
        <v>15</v>
      </c>
      <c r="C234">
        <v>3859</v>
      </c>
      <c r="D234">
        <v>47676.079999999994</v>
      </c>
    </row>
    <row r="235" spans="1:4" x14ac:dyDescent="0.25">
      <c r="A235" t="s">
        <v>344</v>
      </c>
      <c r="B235" t="s">
        <v>345</v>
      </c>
      <c r="C235">
        <v>13</v>
      </c>
      <c r="D235">
        <v>146.68</v>
      </c>
    </row>
    <row r="236" spans="1:4" x14ac:dyDescent="0.25">
      <c r="A236" t="s">
        <v>504</v>
      </c>
      <c r="B236" t="s">
        <v>505</v>
      </c>
      <c r="C236">
        <v>1</v>
      </c>
      <c r="D236">
        <v>12.65</v>
      </c>
    </row>
    <row r="237" spans="1:4" x14ac:dyDescent="0.25">
      <c r="A237" t="s">
        <v>246</v>
      </c>
      <c r="B237" t="s">
        <v>247</v>
      </c>
      <c r="C237">
        <v>47</v>
      </c>
      <c r="D237">
        <v>561.33000000000004</v>
      </c>
    </row>
    <row r="238" spans="1:4" x14ac:dyDescent="0.25">
      <c r="A238" t="s">
        <v>86</v>
      </c>
      <c r="B238" t="s">
        <v>87</v>
      </c>
      <c r="C238">
        <v>220</v>
      </c>
      <c r="D238">
        <v>6861.18</v>
      </c>
    </row>
    <row r="239" spans="1:4" x14ac:dyDescent="0.25">
      <c r="A239" t="s">
        <v>304</v>
      </c>
      <c r="B239" t="s">
        <v>305</v>
      </c>
      <c r="C239">
        <v>3</v>
      </c>
      <c r="D239">
        <v>196.47</v>
      </c>
    </row>
    <row r="240" spans="1:4" x14ac:dyDescent="0.25">
      <c r="A240" t="s">
        <v>574</v>
      </c>
      <c r="B240" t="s">
        <v>575</v>
      </c>
      <c r="C240">
        <v>0</v>
      </c>
      <c r="D240">
        <v>0</v>
      </c>
    </row>
    <row r="241" spans="1:4" x14ac:dyDescent="0.25">
      <c r="A241" t="s">
        <v>256</v>
      </c>
      <c r="B241" t="s">
        <v>257</v>
      </c>
      <c r="C241">
        <v>17</v>
      </c>
      <c r="D241">
        <v>535.31000000000006</v>
      </c>
    </row>
    <row r="242" spans="1:4" x14ac:dyDescent="0.25">
      <c r="A242" t="s">
        <v>518</v>
      </c>
      <c r="B242" t="s">
        <v>519</v>
      </c>
      <c r="C242">
        <v>1</v>
      </c>
      <c r="D242">
        <v>7.86</v>
      </c>
    </row>
    <row r="243" spans="1:4" x14ac:dyDescent="0.25">
      <c r="A243" t="s">
        <v>277</v>
      </c>
      <c r="B243" t="s">
        <v>278</v>
      </c>
      <c r="C243">
        <v>24</v>
      </c>
      <c r="D243">
        <v>369.42999999999995</v>
      </c>
    </row>
    <row r="244" spans="1:4" x14ac:dyDescent="0.25">
      <c r="A244" t="s">
        <v>404</v>
      </c>
      <c r="B244" t="s">
        <v>405</v>
      </c>
      <c r="C244">
        <v>5</v>
      </c>
      <c r="D244">
        <v>123.59</v>
      </c>
    </row>
    <row r="245" spans="1:4" x14ac:dyDescent="0.25">
      <c r="A245" t="s">
        <v>178</v>
      </c>
      <c r="B245" t="s">
        <v>179</v>
      </c>
      <c r="C245">
        <v>41</v>
      </c>
      <c r="D245">
        <v>1357.55</v>
      </c>
    </row>
    <row r="246" spans="1:4" x14ac:dyDescent="0.25">
      <c r="A246" t="s">
        <v>120</v>
      </c>
      <c r="B246" t="s">
        <v>121</v>
      </c>
      <c r="C246">
        <v>166</v>
      </c>
      <c r="D246">
        <v>4824.88</v>
      </c>
    </row>
    <row r="247" spans="1:4" x14ac:dyDescent="0.25">
      <c r="A247" t="s">
        <v>410</v>
      </c>
      <c r="B247" t="s">
        <v>411</v>
      </c>
      <c r="C247">
        <v>1</v>
      </c>
      <c r="D247">
        <v>56.23</v>
      </c>
    </row>
    <row r="248" spans="1:4" x14ac:dyDescent="0.25">
      <c r="A248" t="s">
        <v>238</v>
      </c>
      <c r="B248" t="s">
        <v>239</v>
      </c>
      <c r="C248">
        <v>57</v>
      </c>
      <c r="D248">
        <v>851.27</v>
      </c>
    </row>
    <row r="249" spans="1:4" x14ac:dyDescent="0.25">
      <c r="A249" t="s">
        <v>414</v>
      </c>
      <c r="B249" t="s">
        <v>415</v>
      </c>
      <c r="C249">
        <v>2</v>
      </c>
      <c r="D249">
        <v>51.28</v>
      </c>
    </row>
    <row r="250" spans="1:4" x14ac:dyDescent="0.25">
      <c r="A250" t="s">
        <v>162</v>
      </c>
      <c r="B250" t="s">
        <v>163</v>
      </c>
      <c r="C250">
        <v>11</v>
      </c>
      <c r="D250">
        <v>1190.25</v>
      </c>
    </row>
    <row r="251" spans="1:4" x14ac:dyDescent="0.25">
      <c r="A251" t="s">
        <v>222</v>
      </c>
      <c r="B251" t="s">
        <v>223</v>
      </c>
      <c r="C251">
        <v>12</v>
      </c>
      <c r="D251">
        <v>1164.5</v>
      </c>
    </row>
    <row r="252" spans="1:4" x14ac:dyDescent="0.25">
      <c r="A252" t="s">
        <v>146</v>
      </c>
      <c r="B252" t="s">
        <v>147</v>
      </c>
      <c r="C252">
        <v>20</v>
      </c>
      <c r="D252">
        <v>1474.56</v>
      </c>
    </row>
    <row r="253" spans="1:4" x14ac:dyDescent="0.25">
      <c r="A253" t="s">
        <v>242</v>
      </c>
      <c r="B253" t="s">
        <v>243</v>
      </c>
      <c r="C253">
        <v>7</v>
      </c>
      <c r="D253">
        <v>401.1</v>
      </c>
    </row>
    <row r="254" spans="1:4" x14ac:dyDescent="0.25">
      <c r="A254" t="s">
        <v>552</v>
      </c>
      <c r="B254" t="s">
        <v>553</v>
      </c>
      <c r="C254">
        <v>0</v>
      </c>
      <c r="D254">
        <v>0</v>
      </c>
    </row>
    <row r="255" spans="1:4" x14ac:dyDescent="0.25">
      <c r="A255" t="s">
        <v>124</v>
      </c>
      <c r="B255" t="s">
        <v>125</v>
      </c>
      <c r="C255">
        <v>211</v>
      </c>
      <c r="D255">
        <v>4333.54</v>
      </c>
    </row>
    <row r="256" spans="1:4" x14ac:dyDescent="0.25">
      <c r="A256" t="s">
        <v>154</v>
      </c>
      <c r="B256" t="s">
        <v>155</v>
      </c>
      <c r="C256">
        <v>54</v>
      </c>
      <c r="D256">
        <v>1323.3999999999999</v>
      </c>
    </row>
    <row r="257" spans="1:4" x14ac:dyDescent="0.25">
      <c r="A257" t="s">
        <v>140</v>
      </c>
      <c r="B257" t="s">
        <v>141</v>
      </c>
      <c r="C257">
        <v>179</v>
      </c>
      <c r="D257">
        <v>2927.3399999999997</v>
      </c>
    </row>
    <row r="258" spans="1:4" x14ac:dyDescent="0.25">
      <c r="A258" t="s">
        <v>170</v>
      </c>
      <c r="B258" t="s">
        <v>171</v>
      </c>
      <c r="C258">
        <v>10</v>
      </c>
      <c r="D258">
        <v>1189.24</v>
      </c>
    </row>
    <row r="259" spans="1:4" x14ac:dyDescent="0.25">
      <c r="A259" t="s">
        <v>538</v>
      </c>
      <c r="B259" t="s">
        <v>539</v>
      </c>
      <c r="C259">
        <v>0</v>
      </c>
      <c r="D259">
        <v>0</v>
      </c>
    </row>
    <row r="260" spans="1:4" x14ac:dyDescent="0.25">
      <c r="A260" t="s">
        <v>522</v>
      </c>
      <c r="B260" t="s">
        <v>523</v>
      </c>
      <c r="C260">
        <v>0</v>
      </c>
      <c r="D260">
        <v>0</v>
      </c>
    </row>
    <row r="261" spans="1:4" x14ac:dyDescent="0.25">
      <c r="A261" t="s">
        <v>166</v>
      </c>
      <c r="B261" t="s">
        <v>167</v>
      </c>
      <c r="C261">
        <v>55</v>
      </c>
      <c r="D261">
        <v>1090.33</v>
      </c>
    </row>
    <row r="262" spans="1:4" x14ac:dyDescent="0.25">
      <c r="A262" t="s">
        <v>508</v>
      </c>
      <c r="B262" t="s">
        <v>509</v>
      </c>
      <c r="C262">
        <v>1</v>
      </c>
      <c r="D262">
        <v>11.83</v>
      </c>
    </row>
    <row r="263" spans="1:4" x14ac:dyDescent="0.25">
      <c r="A263" t="s">
        <v>338</v>
      </c>
      <c r="B263" t="s">
        <v>339</v>
      </c>
      <c r="C263">
        <v>12</v>
      </c>
      <c r="D263">
        <v>173.94</v>
      </c>
    </row>
    <row r="264" spans="1:4" x14ac:dyDescent="0.25">
      <c r="A264" t="s">
        <v>400</v>
      </c>
      <c r="B264" t="s">
        <v>401</v>
      </c>
      <c r="C264">
        <v>1</v>
      </c>
      <c r="D264">
        <v>70.88</v>
      </c>
    </row>
    <row r="265" spans="1:4" x14ac:dyDescent="0.25">
      <c r="A265" t="s">
        <v>464</v>
      </c>
      <c r="B265" t="s">
        <v>465</v>
      </c>
      <c r="C265">
        <v>1</v>
      </c>
      <c r="D265">
        <v>30.37</v>
      </c>
    </row>
    <row r="266" spans="1:4" x14ac:dyDescent="0.25">
      <c r="A266" t="s">
        <v>192</v>
      </c>
      <c r="B266" t="s">
        <v>193</v>
      </c>
      <c r="C266">
        <v>16</v>
      </c>
      <c r="D266">
        <v>1195.8599999999999</v>
      </c>
    </row>
    <row r="267" spans="1:4" x14ac:dyDescent="0.25">
      <c r="A267" t="s">
        <v>96</v>
      </c>
      <c r="B267" t="s">
        <v>97</v>
      </c>
      <c r="C267">
        <v>354</v>
      </c>
      <c r="D267">
        <v>5782.91</v>
      </c>
    </row>
    <row r="268" spans="1:4" x14ac:dyDescent="0.25">
      <c r="A268" t="s">
        <v>500</v>
      </c>
      <c r="B268" t="s">
        <v>501</v>
      </c>
      <c r="C268">
        <v>3</v>
      </c>
      <c r="D268">
        <v>37.090000000000003</v>
      </c>
    </row>
    <row r="269" spans="1:4" x14ac:dyDescent="0.25">
      <c r="A269" t="s">
        <v>194</v>
      </c>
      <c r="B269" t="s">
        <v>195</v>
      </c>
      <c r="C269">
        <v>69</v>
      </c>
      <c r="D269">
        <v>2737.92</v>
      </c>
    </row>
    <row r="270" spans="1:4" x14ac:dyDescent="0.25">
      <c r="A270" t="s">
        <v>248</v>
      </c>
      <c r="B270" t="s">
        <v>249</v>
      </c>
      <c r="C270">
        <v>23</v>
      </c>
      <c r="D270">
        <v>567.01</v>
      </c>
    </row>
    <row r="271" spans="1:4" x14ac:dyDescent="0.25">
      <c r="A271" t="s">
        <v>39</v>
      </c>
      <c r="B271" t="s">
        <v>40</v>
      </c>
      <c r="C271">
        <v>2093</v>
      </c>
      <c r="D271">
        <v>17037.66</v>
      </c>
    </row>
    <row r="272" spans="1:4" x14ac:dyDescent="0.25">
      <c r="A272" t="s">
        <v>148</v>
      </c>
      <c r="B272" t="s">
        <v>149</v>
      </c>
      <c r="C272">
        <v>81</v>
      </c>
      <c r="D272">
        <v>2664.8700000000003</v>
      </c>
    </row>
    <row r="273" spans="1:4" x14ac:dyDescent="0.25">
      <c r="A273" t="s">
        <v>416</v>
      </c>
      <c r="B273" t="s">
        <v>417</v>
      </c>
      <c r="C273">
        <v>2</v>
      </c>
      <c r="D273">
        <v>97.539999999999992</v>
      </c>
    </row>
    <row r="274" spans="1:4" x14ac:dyDescent="0.25">
      <c r="A274" t="s">
        <v>480</v>
      </c>
      <c r="B274" t="s">
        <v>481</v>
      </c>
      <c r="C274">
        <v>1</v>
      </c>
      <c r="D274">
        <v>24.92</v>
      </c>
    </row>
    <row r="275" spans="1:4" x14ac:dyDescent="0.25">
      <c r="A275" t="s">
        <v>184</v>
      </c>
      <c r="B275" t="s">
        <v>185</v>
      </c>
      <c r="C275">
        <v>61</v>
      </c>
      <c r="D275">
        <v>1012.73</v>
      </c>
    </row>
    <row r="276" spans="1:4" x14ac:dyDescent="0.25">
      <c r="A276" t="s">
        <v>252</v>
      </c>
      <c r="B276" t="s">
        <v>253</v>
      </c>
      <c r="C276">
        <v>58</v>
      </c>
      <c r="D276">
        <v>961.99</v>
      </c>
    </row>
    <row r="277" spans="1:4" x14ac:dyDescent="0.25">
      <c r="A277" t="s">
        <v>152</v>
      </c>
      <c r="B277" t="s">
        <v>153</v>
      </c>
      <c r="C277">
        <v>232</v>
      </c>
      <c r="D277">
        <v>3824.8900000000003</v>
      </c>
    </row>
    <row r="278" spans="1:4" x14ac:dyDescent="0.25">
      <c r="A278" t="s">
        <v>236</v>
      </c>
      <c r="B278" t="s">
        <v>237</v>
      </c>
      <c r="C278">
        <v>17</v>
      </c>
      <c r="D278">
        <v>692.5</v>
      </c>
    </row>
    <row r="279" spans="1:4" x14ac:dyDescent="0.25">
      <c r="A279" t="s">
        <v>406</v>
      </c>
      <c r="B279" t="s">
        <v>407</v>
      </c>
      <c r="C279">
        <v>5</v>
      </c>
      <c r="D279">
        <v>86.449999999999989</v>
      </c>
    </row>
    <row r="280" spans="1:4" x14ac:dyDescent="0.25">
      <c r="A280" t="s">
        <v>35</v>
      </c>
      <c r="B280" t="s">
        <v>36</v>
      </c>
      <c r="C280">
        <v>1061</v>
      </c>
      <c r="D280">
        <v>17733.79</v>
      </c>
    </row>
    <row r="281" spans="1:4" x14ac:dyDescent="0.25">
      <c r="A281" t="s">
        <v>346</v>
      </c>
      <c r="B281" t="s">
        <v>347</v>
      </c>
      <c r="C281">
        <v>3</v>
      </c>
      <c r="D281">
        <v>122.7</v>
      </c>
    </row>
    <row r="282" spans="1:4" x14ac:dyDescent="0.25">
      <c r="A282" t="s">
        <v>291</v>
      </c>
      <c r="B282" t="s">
        <v>292</v>
      </c>
      <c r="C282">
        <v>32</v>
      </c>
      <c r="D282">
        <v>261.95999999999998</v>
      </c>
    </row>
    <row r="283" spans="1:4" x14ac:dyDescent="0.25">
      <c r="A283" t="s">
        <v>158</v>
      </c>
      <c r="B283" t="s">
        <v>159</v>
      </c>
      <c r="C283">
        <v>13</v>
      </c>
      <c r="D283">
        <v>1278.33</v>
      </c>
    </row>
    <row r="284" spans="1:4" x14ac:dyDescent="0.25">
      <c r="A284" t="s">
        <v>82</v>
      </c>
      <c r="B284" t="s">
        <v>83</v>
      </c>
      <c r="C284">
        <v>55</v>
      </c>
      <c r="D284">
        <v>4532.2699999999995</v>
      </c>
    </row>
    <row r="285" spans="1:4" x14ac:dyDescent="0.25">
      <c r="A285" t="s">
        <v>112</v>
      </c>
      <c r="B285" t="s">
        <v>113</v>
      </c>
      <c r="C285">
        <v>654</v>
      </c>
      <c r="D285">
        <v>6992</v>
      </c>
    </row>
    <row r="286" spans="1:4" x14ac:dyDescent="0.25">
      <c r="A286" t="s">
        <v>546</v>
      </c>
      <c r="B286" t="s">
        <v>547</v>
      </c>
      <c r="C286">
        <v>0</v>
      </c>
      <c r="D286">
        <v>0</v>
      </c>
    </row>
    <row r="287" spans="1:4" x14ac:dyDescent="0.25">
      <c r="A287" t="s">
        <v>287</v>
      </c>
      <c r="B287" t="s">
        <v>288</v>
      </c>
      <c r="C287">
        <v>9</v>
      </c>
      <c r="D287">
        <v>345.89000000000004</v>
      </c>
    </row>
    <row r="288" spans="1:4" x14ac:dyDescent="0.25">
      <c r="A288" t="s">
        <v>29</v>
      </c>
      <c r="B288" t="s">
        <v>30</v>
      </c>
      <c r="C288">
        <v>1718</v>
      </c>
      <c r="D288">
        <v>28242.18</v>
      </c>
    </row>
    <row r="289" spans="1:4" x14ac:dyDescent="0.25">
      <c r="A289" t="s">
        <v>460</v>
      </c>
      <c r="B289" t="s">
        <v>461</v>
      </c>
      <c r="C289">
        <v>1</v>
      </c>
      <c r="D289">
        <v>31.75</v>
      </c>
    </row>
    <row r="290" spans="1:4" x14ac:dyDescent="0.25">
      <c r="A290" t="s">
        <v>126</v>
      </c>
      <c r="B290" t="s">
        <v>127</v>
      </c>
      <c r="C290">
        <v>686</v>
      </c>
      <c r="D290">
        <v>2945.08</v>
      </c>
    </row>
    <row r="291" spans="1:4" x14ac:dyDescent="0.25">
      <c r="A291" t="s">
        <v>43</v>
      </c>
      <c r="B291" t="s">
        <v>44</v>
      </c>
      <c r="C291">
        <v>2465</v>
      </c>
      <c r="D291">
        <v>9950.2499999999982</v>
      </c>
    </row>
    <row r="292" spans="1:4" x14ac:dyDescent="0.25">
      <c r="A292" t="s">
        <v>380</v>
      </c>
      <c r="B292" t="s">
        <v>381</v>
      </c>
      <c r="C292">
        <v>14</v>
      </c>
      <c r="D292">
        <v>94.96</v>
      </c>
    </row>
    <row r="293" spans="1:4" x14ac:dyDescent="0.25">
      <c r="A293" t="s">
        <v>506</v>
      </c>
      <c r="B293" t="s">
        <v>507</v>
      </c>
      <c r="C293">
        <v>1</v>
      </c>
      <c r="D293">
        <v>12.4</v>
      </c>
    </row>
    <row r="294" spans="1:4" x14ac:dyDescent="0.25">
      <c r="A294" t="s">
        <v>364</v>
      </c>
      <c r="B294" t="s">
        <v>365</v>
      </c>
      <c r="C294">
        <v>5</v>
      </c>
      <c r="D294">
        <v>242.62</v>
      </c>
    </row>
    <row r="295" spans="1:4" x14ac:dyDescent="0.25">
      <c r="A295" t="s">
        <v>448</v>
      </c>
      <c r="B295" t="s">
        <v>449</v>
      </c>
      <c r="C295">
        <v>13</v>
      </c>
      <c r="D295">
        <v>52.36</v>
      </c>
    </row>
    <row r="296" spans="1:4" x14ac:dyDescent="0.25">
      <c r="A296" t="s">
        <v>10440</v>
      </c>
      <c r="C296">
        <v>51985</v>
      </c>
      <c r="D296">
        <v>814456.15999999992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0D0D-7074-494D-8ED5-663FF1EDAB66}">
  <dimension ref="A1:I285"/>
  <sheetViews>
    <sheetView workbookViewId="0">
      <selection activeCell="I16" sqref="I16"/>
    </sheetView>
  </sheetViews>
  <sheetFormatPr defaultRowHeight="15" x14ac:dyDescent="0.25"/>
  <cols>
    <col min="1" max="1" width="19.7109375" bestFit="1" customWidth="1"/>
    <col min="2" max="2" width="22" bestFit="1" customWidth="1"/>
    <col min="3" max="3" width="23.42578125" bestFit="1" customWidth="1"/>
    <col min="4" max="5" width="21.42578125" bestFit="1" customWidth="1"/>
    <col min="6" max="6" width="18.7109375" bestFit="1" customWidth="1"/>
    <col min="7" max="7" width="19.7109375" bestFit="1" customWidth="1"/>
    <col min="8" max="8" width="23.28515625" bestFit="1" customWidth="1"/>
    <col min="9" max="9" width="21.42578125" bestFit="1" customWidth="1"/>
  </cols>
  <sheetData>
    <row r="1" spans="1:9" x14ac:dyDescent="0.25">
      <c r="A1" s="3" t="s">
        <v>2</v>
      </c>
      <c r="B1" t="s">
        <v>10466</v>
      </c>
      <c r="F1" t="s">
        <v>2</v>
      </c>
      <c r="G1" t="s">
        <v>11</v>
      </c>
    </row>
    <row r="3" spans="1:9" x14ac:dyDescent="0.25">
      <c r="A3" s="3" t="s">
        <v>0</v>
      </c>
      <c r="B3" s="3" t="s">
        <v>1</v>
      </c>
      <c r="C3" t="s">
        <v>10442</v>
      </c>
      <c r="D3" t="s">
        <v>10441</v>
      </c>
      <c r="F3" t="s">
        <v>0</v>
      </c>
      <c r="G3" t="s">
        <v>1</v>
      </c>
      <c r="H3" t="s">
        <v>10442</v>
      </c>
      <c r="I3" t="s">
        <v>10441</v>
      </c>
    </row>
    <row r="4" spans="1:9" x14ac:dyDescent="0.25">
      <c r="A4" t="s">
        <v>310</v>
      </c>
      <c r="B4" t="s">
        <v>311</v>
      </c>
      <c r="C4">
        <v>1183</v>
      </c>
      <c r="D4">
        <v>16822.21</v>
      </c>
      <c r="F4" t="s">
        <v>310</v>
      </c>
      <c r="G4" t="s">
        <v>311</v>
      </c>
      <c r="H4">
        <v>486</v>
      </c>
      <c r="I4">
        <v>6983.03</v>
      </c>
    </row>
    <row r="5" spans="1:9" x14ac:dyDescent="0.25">
      <c r="A5" t="s">
        <v>710</v>
      </c>
      <c r="B5" t="s">
        <v>711</v>
      </c>
      <c r="C5">
        <v>1</v>
      </c>
      <c r="D5">
        <v>5.03</v>
      </c>
      <c r="F5" t="s">
        <v>490</v>
      </c>
      <c r="G5" t="s">
        <v>491</v>
      </c>
      <c r="H5">
        <v>6</v>
      </c>
      <c r="I5">
        <v>83.1</v>
      </c>
    </row>
    <row r="6" spans="1:9" x14ac:dyDescent="0.25">
      <c r="A6" t="s">
        <v>490</v>
      </c>
      <c r="B6" t="s">
        <v>491</v>
      </c>
      <c r="C6">
        <v>10</v>
      </c>
      <c r="D6">
        <v>127.35</v>
      </c>
      <c r="F6" t="s">
        <v>203</v>
      </c>
      <c r="G6" t="s">
        <v>204</v>
      </c>
      <c r="H6">
        <v>36</v>
      </c>
      <c r="I6">
        <v>211.74</v>
      </c>
    </row>
    <row r="7" spans="1:9" x14ac:dyDescent="0.25">
      <c r="A7" t="s">
        <v>494</v>
      </c>
      <c r="B7" t="s">
        <v>495</v>
      </c>
      <c r="C7">
        <v>1</v>
      </c>
      <c r="D7">
        <v>15.18</v>
      </c>
      <c r="F7" t="s">
        <v>394</v>
      </c>
      <c r="G7" t="s">
        <v>395</v>
      </c>
      <c r="H7">
        <v>0</v>
      </c>
      <c r="I7">
        <v>0</v>
      </c>
    </row>
    <row r="8" spans="1:9" x14ac:dyDescent="0.25">
      <c r="A8" t="s">
        <v>203</v>
      </c>
      <c r="B8" t="s">
        <v>204</v>
      </c>
      <c r="C8">
        <v>48</v>
      </c>
      <c r="D8">
        <v>271.81</v>
      </c>
      <c r="F8" t="s">
        <v>262</v>
      </c>
      <c r="G8" t="s">
        <v>263</v>
      </c>
      <c r="H8">
        <v>6</v>
      </c>
      <c r="I8">
        <v>147.9</v>
      </c>
    </row>
    <row r="9" spans="1:9" x14ac:dyDescent="0.25">
      <c r="A9" t="s">
        <v>394</v>
      </c>
      <c r="B9" t="s">
        <v>395</v>
      </c>
      <c r="C9">
        <v>0</v>
      </c>
      <c r="D9">
        <v>0</v>
      </c>
      <c r="F9" t="s">
        <v>79</v>
      </c>
      <c r="G9" t="s">
        <v>80</v>
      </c>
      <c r="H9">
        <v>275</v>
      </c>
      <c r="I9">
        <v>5023.29</v>
      </c>
    </row>
    <row r="10" spans="1:9" x14ac:dyDescent="0.25">
      <c r="A10" t="s">
        <v>714</v>
      </c>
      <c r="B10" t="s">
        <v>715</v>
      </c>
      <c r="C10">
        <v>0</v>
      </c>
      <c r="D10">
        <v>0</v>
      </c>
      <c r="F10" t="s">
        <v>59</v>
      </c>
      <c r="G10" t="s">
        <v>60</v>
      </c>
      <c r="H10">
        <v>1</v>
      </c>
      <c r="I10">
        <v>20.41</v>
      </c>
    </row>
    <row r="11" spans="1:9" x14ac:dyDescent="0.25">
      <c r="A11" t="s">
        <v>262</v>
      </c>
      <c r="B11" t="s">
        <v>263</v>
      </c>
      <c r="C11">
        <v>6</v>
      </c>
      <c r="D11">
        <v>147.9</v>
      </c>
      <c r="F11" t="s">
        <v>250</v>
      </c>
      <c r="G11" t="s">
        <v>251</v>
      </c>
      <c r="H11">
        <v>2</v>
      </c>
      <c r="I11">
        <v>98.08</v>
      </c>
    </row>
    <row r="12" spans="1:9" x14ac:dyDescent="0.25">
      <c r="A12" t="s">
        <v>79</v>
      </c>
      <c r="B12" t="s">
        <v>80</v>
      </c>
      <c r="C12">
        <v>275</v>
      </c>
      <c r="D12">
        <v>5023.29</v>
      </c>
      <c r="F12" t="s">
        <v>704</v>
      </c>
      <c r="G12" t="s">
        <v>705</v>
      </c>
      <c r="H12">
        <v>1</v>
      </c>
      <c r="I12">
        <v>7.43</v>
      </c>
    </row>
    <row r="13" spans="1:9" x14ac:dyDescent="0.25">
      <c r="A13" t="s">
        <v>59</v>
      </c>
      <c r="B13" t="s">
        <v>60</v>
      </c>
      <c r="C13">
        <v>1</v>
      </c>
      <c r="D13">
        <v>20.41</v>
      </c>
      <c r="F13" t="s">
        <v>702</v>
      </c>
      <c r="G13" t="s">
        <v>703</v>
      </c>
      <c r="H13">
        <v>2</v>
      </c>
      <c r="I13">
        <v>12.96</v>
      </c>
    </row>
    <row r="14" spans="1:9" x14ac:dyDescent="0.25">
      <c r="A14" t="s">
        <v>250</v>
      </c>
      <c r="B14" t="s">
        <v>251</v>
      </c>
      <c r="C14">
        <v>2</v>
      </c>
      <c r="D14">
        <v>98.08</v>
      </c>
      <c r="F14" t="s">
        <v>102</v>
      </c>
      <c r="G14" t="s">
        <v>103</v>
      </c>
      <c r="H14">
        <v>19</v>
      </c>
      <c r="I14">
        <v>686.19</v>
      </c>
    </row>
    <row r="15" spans="1:9" x14ac:dyDescent="0.25">
      <c r="A15" t="s">
        <v>704</v>
      </c>
      <c r="B15" t="s">
        <v>705</v>
      </c>
      <c r="C15">
        <v>1</v>
      </c>
      <c r="D15">
        <v>7.43</v>
      </c>
      <c r="F15" t="s">
        <v>19</v>
      </c>
      <c r="G15" t="s">
        <v>20</v>
      </c>
      <c r="H15">
        <v>15</v>
      </c>
      <c r="I15">
        <v>209.45</v>
      </c>
    </row>
    <row r="16" spans="1:9" x14ac:dyDescent="0.25">
      <c r="A16" t="s">
        <v>702</v>
      </c>
      <c r="B16" t="s">
        <v>703</v>
      </c>
      <c r="C16">
        <v>2</v>
      </c>
      <c r="D16">
        <v>12.96</v>
      </c>
      <c r="F16" t="s">
        <v>700</v>
      </c>
      <c r="G16" t="s">
        <v>701</v>
      </c>
      <c r="H16">
        <v>1</v>
      </c>
      <c r="I16">
        <v>15.05</v>
      </c>
    </row>
    <row r="17" spans="1:9" x14ac:dyDescent="0.25">
      <c r="A17" t="s">
        <v>102</v>
      </c>
      <c r="B17" t="s">
        <v>103</v>
      </c>
      <c r="C17">
        <v>19</v>
      </c>
      <c r="D17">
        <v>686.19</v>
      </c>
      <c r="F17" t="s">
        <v>694</v>
      </c>
      <c r="G17" t="s">
        <v>695</v>
      </c>
      <c r="H17">
        <v>0</v>
      </c>
      <c r="I17">
        <v>0</v>
      </c>
    </row>
    <row r="18" spans="1:9" x14ac:dyDescent="0.25">
      <c r="A18" t="s">
        <v>19</v>
      </c>
      <c r="B18" t="s">
        <v>20</v>
      </c>
      <c r="C18">
        <v>15</v>
      </c>
      <c r="D18">
        <v>209.45</v>
      </c>
      <c r="F18" t="s">
        <v>205</v>
      </c>
      <c r="G18" t="s">
        <v>206</v>
      </c>
      <c r="H18">
        <v>1</v>
      </c>
      <c r="I18">
        <v>86.86</v>
      </c>
    </row>
    <row r="19" spans="1:9" x14ac:dyDescent="0.25">
      <c r="A19" t="s">
        <v>700</v>
      </c>
      <c r="B19" t="s">
        <v>701</v>
      </c>
      <c r="C19">
        <v>1</v>
      </c>
      <c r="D19">
        <v>15.05</v>
      </c>
      <c r="F19" t="s">
        <v>432</v>
      </c>
      <c r="G19" t="s">
        <v>433</v>
      </c>
      <c r="H19">
        <v>2</v>
      </c>
      <c r="I19">
        <v>7.25</v>
      </c>
    </row>
    <row r="20" spans="1:9" x14ac:dyDescent="0.25">
      <c r="A20" t="s">
        <v>692</v>
      </c>
      <c r="B20" t="s">
        <v>693</v>
      </c>
      <c r="C20">
        <v>1</v>
      </c>
      <c r="D20">
        <v>18.03</v>
      </c>
      <c r="F20" t="s">
        <v>12</v>
      </c>
      <c r="G20" t="s">
        <v>13</v>
      </c>
      <c r="H20">
        <v>14</v>
      </c>
      <c r="I20">
        <v>260.2</v>
      </c>
    </row>
    <row r="21" spans="1:9" x14ac:dyDescent="0.25">
      <c r="A21" t="s">
        <v>694</v>
      </c>
      <c r="B21" t="s">
        <v>695</v>
      </c>
      <c r="C21">
        <v>3</v>
      </c>
      <c r="D21">
        <v>17.190000000000001</v>
      </c>
      <c r="F21" t="s">
        <v>446</v>
      </c>
      <c r="G21" t="s">
        <v>447</v>
      </c>
      <c r="H21">
        <v>14</v>
      </c>
      <c r="I21">
        <v>58.41</v>
      </c>
    </row>
    <row r="22" spans="1:9" x14ac:dyDescent="0.25">
      <c r="A22" t="s">
        <v>142</v>
      </c>
      <c r="B22" t="s">
        <v>143</v>
      </c>
      <c r="C22">
        <v>9</v>
      </c>
      <c r="D22">
        <v>199.98</v>
      </c>
      <c r="F22" t="s">
        <v>26</v>
      </c>
      <c r="G22" t="s">
        <v>27</v>
      </c>
      <c r="H22">
        <v>1</v>
      </c>
      <c r="I22">
        <v>35.32</v>
      </c>
    </row>
    <row r="23" spans="1:9" x14ac:dyDescent="0.25">
      <c r="A23" t="s">
        <v>320</v>
      </c>
      <c r="B23" t="s">
        <v>321</v>
      </c>
      <c r="C23">
        <v>1</v>
      </c>
      <c r="D23">
        <v>22.97</v>
      </c>
      <c r="F23" t="s">
        <v>156</v>
      </c>
      <c r="G23" t="s">
        <v>157</v>
      </c>
      <c r="H23">
        <v>37</v>
      </c>
      <c r="I23">
        <v>755.17</v>
      </c>
    </row>
    <row r="24" spans="1:9" x14ac:dyDescent="0.25">
      <c r="A24" t="s">
        <v>205</v>
      </c>
      <c r="B24" t="s">
        <v>206</v>
      </c>
      <c r="C24">
        <v>12</v>
      </c>
      <c r="D24">
        <v>1075.69</v>
      </c>
      <c r="F24" t="s">
        <v>61</v>
      </c>
      <c r="G24" t="s">
        <v>62</v>
      </c>
      <c r="H24">
        <v>0</v>
      </c>
      <c r="I24">
        <v>0</v>
      </c>
    </row>
    <row r="25" spans="1:9" x14ac:dyDescent="0.25">
      <c r="A25" t="s">
        <v>432</v>
      </c>
      <c r="B25" t="s">
        <v>433</v>
      </c>
      <c r="C25">
        <v>3</v>
      </c>
      <c r="D25">
        <v>10.49</v>
      </c>
      <c r="F25" t="s">
        <v>360</v>
      </c>
      <c r="G25" t="s">
        <v>361</v>
      </c>
      <c r="H25">
        <v>2</v>
      </c>
      <c r="I25">
        <v>27.28</v>
      </c>
    </row>
    <row r="26" spans="1:9" x14ac:dyDescent="0.25">
      <c r="A26" t="s">
        <v>12</v>
      </c>
      <c r="B26" t="s">
        <v>13</v>
      </c>
      <c r="C26">
        <v>23</v>
      </c>
      <c r="D26">
        <v>410.8</v>
      </c>
      <c r="F26" t="s">
        <v>424</v>
      </c>
      <c r="G26" t="s">
        <v>425</v>
      </c>
      <c r="H26">
        <v>2</v>
      </c>
      <c r="I26">
        <v>31.65</v>
      </c>
    </row>
    <row r="27" spans="1:9" x14ac:dyDescent="0.25">
      <c r="A27" t="s">
        <v>446</v>
      </c>
      <c r="B27" t="s">
        <v>447</v>
      </c>
      <c r="C27">
        <v>14</v>
      </c>
      <c r="D27">
        <v>58.41</v>
      </c>
      <c r="F27" t="s">
        <v>434</v>
      </c>
      <c r="G27" t="s">
        <v>435</v>
      </c>
      <c r="H27">
        <v>0</v>
      </c>
      <c r="I27">
        <v>0</v>
      </c>
    </row>
    <row r="28" spans="1:9" x14ac:dyDescent="0.25">
      <c r="A28" t="s">
        <v>436</v>
      </c>
      <c r="B28" t="s">
        <v>437</v>
      </c>
      <c r="C28">
        <v>6</v>
      </c>
      <c r="D28">
        <v>36.93</v>
      </c>
      <c r="F28" t="s">
        <v>728</v>
      </c>
      <c r="G28" t="s">
        <v>729</v>
      </c>
      <c r="H28">
        <v>0</v>
      </c>
      <c r="I28">
        <v>0</v>
      </c>
    </row>
    <row r="29" spans="1:9" x14ac:dyDescent="0.25">
      <c r="A29" t="s">
        <v>26</v>
      </c>
      <c r="B29" t="s">
        <v>27</v>
      </c>
      <c r="C29">
        <v>9</v>
      </c>
      <c r="D29">
        <v>267.95999999999998</v>
      </c>
      <c r="F29" t="s">
        <v>724</v>
      </c>
      <c r="G29" t="s">
        <v>725</v>
      </c>
      <c r="H29">
        <v>0</v>
      </c>
      <c r="I29">
        <v>0</v>
      </c>
    </row>
    <row r="30" spans="1:9" x14ac:dyDescent="0.25">
      <c r="A30" t="s">
        <v>156</v>
      </c>
      <c r="B30" t="s">
        <v>157</v>
      </c>
      <c r="C30">
        <v>66</v>
      </c>
      <c r="D30">
        <v>1357.8700000000001</v>
      </c>
      <c r="F30" t="s">
        <v>33</v>
      </c>
      <c r="G30" t="s">
        <v>34</v>
      </c>
      <c r="H30">
        <v>49</v>
      </c>
      <c r="I30">
        <v>1395.95</v>
      </c>
    </row>
    <row r="31" spans="1:9" x14ac:dyDescent="0.25">
      <c r="A31" t="s">
        <v>61</v>
      </c>
      <c r="B31" t="s">
        <v>62</v>
      </c>
      <c r="C31">
        <v>0</v>
      </c>
      <c r="D31">
        <v>0</v>
      </c>
      <c r="F31" t="s">
        <v>90</v>
      </c>
      <c r="G31" t="s">
        <v>91</v>
      </c>
      <c r="H31">
        <v>11</v>
      </c>
      <c r="I31">
        <v>685.1</v>
      </c>
    </row>
    <row r="32" spans="1:9" x14ac:dyDescent="0.25">
      <c r="A32" t="s">
        <v>684</v>
      </c>
      <c r="B32" t="s">
        <v>685</v>
      </c>
      <c r="C32">
        <v>11</v>
      </c>
      <c r="D32">
        <v>45.739999999999995</v>
      </c>
      <c r="F32" t="s">
        <v>104</v>
      </c>
      <c r="G32" t="s">
        <v>105</v>
      </c>
      <c r="H32">
        <v>14</v>
      </c>
      <c r="I32">
        <v>1136.27</v>
      </c>
    </row>
    <row r="33" spans="1:9" x14ac:dyDescent="0.25">
      <c r="A33" t="s">
        <v>360</v>
      </c>
      <c r="B33" t="s">
        <v>361</v>
      </c>
      <c r="C33">
        <v>2</v>
      </c>
      <c r="D33">
        <v>27.28</v>
      </c>
      <c r="F33" t="s">
        <v>53</v>
      </c>
      <c r="G33" t="s">
        <v>54</v>
      </c>
      <c r="H33">
        <v>1</v>
      </c>
      <c r="I33">
        <v>26.97</v>
      </c>
    </row>
    <row r="34" spans="1:9" x14ac:dyDescent="0.25">
      <c r="A34" t="s">
        <v>424</v>
      </c>
      <c r="B34" t="s">
        <v>425</v>
      </c>
      <c r="C34">
        <v>4</v>
      </c>
      <c r="D34">
        <v>51.29</v>
      </c>
      <c r="F34" t="s">
        <v>590</v>
      </c>
      <c r="G34" t="s">
        <v>591</v>
      </c>
      <c r="H34">
        <v>2</v>
      </c>
      <c r="I34">
        <v>40.82</v>
      </c>
    </row>
    <row r="35" spans="1:9" x14ac:dyDescent="0.25">
      <c r="A35" t="s">
        <v>434</v>
      </c>
      <c r="B35" t="s">
        <v>435</v>
      </c>
      <c r="C35">
        <v>36</v>
      </c>
      <c r="D35">
        <v>3.64</v>
      </c>
      <c r="F35" t="s">
        <v>230</v>
      </c>
      <c r="G35" t="s">
        <v>231</v>
      </c>
      <c r="H35">
        <v>5</v>
      </c>
      <c r="I35">
        <v>129.21</v>
      </c>
    </row>
    <row r="36" spans="1:9" x14ac:dyDescent="0.25">
      <c r="A36" t="s">
        <v>564</v>
      </c>
      <c r="B36" t="s">
        <v>565</v>
      </c>
      <c r="C36">
        <v>0</v>
      </c>
      <c r="D36">
        <v>0</v>
      </c>
      <c r="F36" t="s">
        <v>422</v>
      </c>
      <c r="G36" t="s">
        <v>423</v>
      </c>
      <c r="H36">
        <v>0</v>
      </c>
      <c r="I36">
        <v>0</v>
      </c>
    </row>
    <row r="37" spans="1:9" x14ac:dyDescent="0.25">
      <c r="A37" t="s">
        <v>728</v>
      </c>
      <c r="B37" t="s">
        <v>729</v>
      </c>
      <c r="C37">
        <v>0</v>
      </c>
      <c r="D37">
        <v>0</v>
      </c>
      <c r="F37" t="s">
        <v>386</v>
      </c>
      <c r="G37" t="s">
        <v>387</v>
      </c>
      <c r="H37">
        <v>0</v>
      </c>
      <c r="I37">
        <v>0</v>
      </c>
    </row>
    <row r="38" spans="1:9" x14ac:dyDescent="0.25">
      <c r="A38" t="s">
        <v>724</v>
      </c>
      <c r="B38" t="s">
        <v>725</v>
      </c>
      <c r="C38">
        <v>0</v>
      </c>
      <c r="D38">
        <v>0</v>
      </c>
      <c r="F38" t="s">
        <v>51</v>
      </c>
      <c r="G38" t="s">
        <v>52</v>
      </c>
      <c r="H38">
        <v>3</v>
      </c>
      <c r="I38">
        <v>62.39</v>
      </c>
    </row>
    <row r="39" spans="1:9" x14ac:dyDescent="0.25">
      <c r="A39" t="s">
        <v>33</v>
      </c>
      <c r="B39" t="s">
        <v>34</v>
      </c>
      <c r="C39">
        <v>49</v>
      </c>
      <c r="D39">
        <v>1395.95</v>
      </c>
      <c r="F39" t="s">
        <v>176</v>
      </c>
      <c r="G39" t="s">
        <v>177</v>
      </c>
      <c r="H39">
        <v>17</v>
      </c>
      <c r="I39">
        <v>814.3</v>
      </c>
    </row>
    <row r="40" spans="1:9" x14ac:dyDescent="0.25">
      <c r="A40" t="s">
        <v>232</v>
      </c>
      <c r="B40" t="s">
        <v>233</v>
      </c>
      <c r="C40">
        <v>1</v>
      </c>
      <c r="D40">
        <v>31.06</v>
      </c>
      <c r="F40" t="s">
        <v>730</v>
      </c>
      <c r="G40" t="s">
        <v>731</v>
      </c>
      <c r="H40">
        <v>-1</v>
      </c>
      <c r="I40">
        <v>-5.12</v>
      </c>
    </row>
    <row r="41" spans="1:9" x14ac:dyDescent="0.25">
      <c r="A41" t="s">
        <v>90</v>
      </c>
      <c r="B41" t="s">
        <v>91</v>
      </c>
      <c r="C41">
        <v>15</v>
      </c>
      <c r="D41">
        <v>942.38</v>
      </c>
      <c r="F41" t="s">
        <v>49</v>
      </c>
      <c r="G41" t="s">
        <v>50</v>
      </c>
      <c r="H41">
        <v>34</v>
      </c>
      <c r="I41">
        <v>1525.2</v>
      </c>
    </row>
    <row r="42" spans="1:9" x14ac:dyDescent="0.25">
      <c r="A42" t="s">
        <v>666</v>
      </c>
      <c r="B42" t="s">
        <v>667</v>
      </c>
      <c r="C42">
        <v>1</v>
      </c>
      <c r="D42">
        <v>66.58</v>
      </c>
      <c r="F42" t="s">
        <v>452</v>
      </c>
      <c r="G42" t="s">
        <v>453</v>
      </c>
      <c r="H42">
        <v>162</v>
      </c>
      <c r="I42">
        <v>1977.32</v>
      </c>
    </row>
    <row r="43" spans="1:9" x14ac:dyDescent="0.25">
      <c r="A43" t="s">
        <v>104</v>
      </c>
      <c r="B43" t="s">
        <v>105</v>
      </c>
      <c r="C43">
        <v>25</v>
      </c>
      <c r="D43">
        <v>1858.24</v>
      </c>
      <c r="F43" t="s">
        <v>106</v>
      </c>
      <c r="G43" t="s">
        <v>107</v>
      </c>
      <c r="H43">
        <v>40</v>
      </c>
      <c r="I43">
        <v>573.30999999999995</v>
      </c>
    </row>
    <row r="44" spans="1:9" x14ac:dyDescent="0.25">
      <c r="A44" t="s">
        <v>53</v>
      </c>
      <c r="B44" t="s">
        <v>54</v>
      </c>
      <c r="C44">
        <v>1</v>
      </c>
      <c r="D44">
        <v>26.97</v>
      </c>
      <c r="F44" t="s">
        <v>37</v>
      </c>
      <c r="G44" t="s">
        <v>38</v>
      </c>
      <c r="H44">
        <v>2</v>
      </c>
      <c r="I44">
        <v>91.63</v>
      </c>
    </row>
    <row r="45" spans="1:9" x14ac:dyDescent="0.25">
      <c r="A45" t="s">
        <v>340</v>
      </c>
      <c r="B45" t="s">
        <v>341</v>
      </c>
      <c r="C45">
        <v>3</v>
      </c>
      <c r="D45">
        <v>101.14</v>
      </c>
      <c r="F45" t="s">
        <v>164</v>
      </c>
      <c r="G45" t="s">
        <v>165</v>
      </c>
      <c r="H45">
        <v>6</v>
      </c>
      <c r="I45">
        <v>294.60000000000002</v>
      </c>
    </row>
    <row r="46" spans="1:9" x14ac:dyDescent="0.25">
      <c r="A46" t="s">
        <v>590</v>
      </c>
      <c r="B46" t="s">
        <v>591</v>
      </c>
      <c r="C46">
        <v>2</v>
      </c>
      <c r="D46">
        <v>40.82</v>
      </c>
      <c r="F46" t="s">
        <v>186</v>
      </c>
      <c r="G46" t="s">
        <v>187</v>
      </c>
      <c r="H46">
        <v>1</v>
      </c>
      <c r="I46">
        <v>33.14</v>
      </c>
    </row>
    <row r="47" spans="1:9" x14ac:dyDescent="0.25">
      <c r="A47" t="s">
        <v>230</v>
      </c>
      <c r="B47" t="s">
        <v>231</v>
      </c>
      <c r="C47">
        <v>5</v>
      </c>
      <c r="D47">
        <v>129.21</v>
      </c>
      <c r="F47" t="s">
        <v>293</v>
      </c>
      <c r="G47" t="s">
        <v>294</v>
      </c>
      <c r="H47">
        <v>22</v>
      </c>
      <c r="I47">
        <v>266.22000000000003</v>
      </c>
    </row>
    <row r="48" spans="1:9" x14ac:dyDescent="0.25">
      <c r="A48" t="s">
        <v>422</v>
      </c>
      <c r="B48" t="s">
        <v>423</v>
      </c>
      <c r="C48">
        <v>0</v>
      </c>
      <c r="D48">
        <v>0</v>
      </c>
      <c r="F48" t="s">
        <v>706</v>
      </c>
      <c r="G48" t="s">
        <v>707</v>
      </c>
      <c r="H48">
        <v>1</v>
      </c>
      <c r="I48">
        <v>3.77</v>
      </c>
    </row>
    <row r="49" spans="1:9" x14ac:dyDescent="0.25">
      <c r="A49" t="s">
        <v>302</v>
      </c>
      <c r="B49" t="s">
        <v>303</v>
      </c>
      <c r="C49">
        <v>7</v>
      </c>
      <c r="D49">
        <v>257.01</v>
      </c>
      <c r="F49" t="s">
        <v>122</v>
      </c>
      <c r="G49" t="s">
        <v>123</v>
      </c>
      <c r="H49">
        <v>10</v>
      </c>
      <c r="I49">
        <v>253.92</v>
      </c>
    </row>
    <row r="50" spans="1:9" x14ac:dyDescent="0.25">
      <c r="A50" t="s">
        <v>190</v>
      </c>
      <c r="B50" t="s">
        <v>191</v>
      </c>
      <c r="C50">
        <v>4</v>
      </c>
      <c r="D50">
        <v>156.28</v>
      </c>
      <c r="F50" t="s">
        <v>300</v>
      </c>
      <c r="G50" t="s">
        <v>301</v>
      </c>
      <c r="H50">
        <v>2</v>
      </c>
      <c r="I50">
        <v>34.380000000000003</v>
      </c>
    </row>
    <row r="51" spans="1:9" x14ac:dyDescent="0.25">
      <c r="A51" t="s">
        <v>386</v>
      </c>
      <c r="B51" t="s">
        <v>387</v>
      </c>
      <c r="C51">
        <v>6</v>
      </c>
      <c r="D51">
        <v>150.78</v>
      </c>
      <c r="F51" t="s">
        <v>196</v>
      </c>
      <c r="G51" t="s">
        <v>197</v>
      </c>
      <c r="H51">
        <v>25</v>
      </c>
      <c r="I51">
        <v>540.71</v>
      </c>
    </row>
    <row r="52" spans="1:9" x14ac:dyDescent="0.25">
      <c r="A52" t="s">
        <v>51</v>
      </c>
      <c r="B52" t="s">
        <v>52</v>
      </c>
      <c r="C52">
        <v>5</v>
      </c>
      <c r="D52">
        <v>103.55</v>
      </c>
      <c r="F52" t="s">
        <v>202</v>
      </c>
      <c r="G52" t="s">
        <v>197</v>
      </c>
      <c r="H52">
        <v>2</v>
      </c>
      <c r="I52">
        <v>22.14</v>
      </c>
    </row>
    <row r="53" spans="1:9" x14ac:dyDescent="0.25">
      <c r="A53" t="s">
        <v>176</v>
      </c>
      <c r="B53" t="s">
        <v>177</v>
      </c>
      <c r="C53">
        <v>19</v>
      </c>
      <c r="D53">
        <v>922.48</v>
      </c>
      <c r="F53" t="s">
        <v>682</v>
      </c>
      <c r="G53" t="s">
        <v>683</v>
      </c>
      <c r="H53">
        <v>1</v>
      </c>
      <c r="I53">
        <v>19.72</v>
      </c>
    </row>
    <row r="54" spans="1:9" x14ac:dyDescent="0.25">
      <c r="A54" t="s">
        <v>418</v>
      </c>
      <c r="B54" t="s">
        <v>419</v>
      </c>
      <c r="C54">
        <v>1</v>
      </c>
      <c r="D54">
        <v>19.59</v>
      </c>
      <c r="F54" t="s">
        <v>128</v>
      </c>
      <c r="G54" t="s">
        <v>129</v>
      </c>
      <c r="H54">
        <v>13</v>
      </c>
      <c r="I54">
        <v>182.92</v>
      </c>
    </row>
    <row r="55" spans="1:9" x14ac:dyDescent="0.25">
      <c r="A55" t="s">
        <v>730</v>
      </c>
      <c r="B55" t="s">
        <v>731</v>
      </c>
      <c r="C55">
        <v>-1</v>
      </c>
      <c r="D55">
        <v>-5.12</v>
      </c>
      <c r="F55" t="s">
        <v>75</v>
      </c>
      <c r="G55" t="s">
        <v>76</v>
      </c>
      <c r="H55">
        <v>1</v>
      </c>
      <c r="I55">
        <v>36.799999999999997</v>
      </c>
    </row>
    <row r="56" spans="1:9" x14ac:dyDescent="0.25">
      <c r="A56" t="s">
        <v>372</v>
      </c>
      <c r="B56" t="s">
        <v>373</v>
      </c>
      <c r="C56">
        <v>3</v>
      </c>
      <c r="D56">
        <v>130.44</v>
      </c>
      <c r="F56" t="s">
        <v>496</v>
      </c>
      <c r="G56" t="s">
        <v>497</v>
      </c>
      <c r="H56">
        <v>1</v>
      </c>
      <c r="I56">
        <v>13.81</v>
      </c>
    </row>
    <row r="57" spans="1:9" x14ac:dyDescent="0.25">
      <c r="A57" t="s">
        <v>49</v>
      </c>
      <c r="B57" t="s">
        <v>50</v>
      </c>
      <c r="C57">
        <v>43</v>
      </c>
      <c r="D57">
        <v>1896.1</v>
      </c>
      <c r="F57" t="s">
        <v>47</v>
      </c>
      <c r="G57" t="s">
        <v>48</v>
      </c>
      <c r="H57">
        <v>168</v>
      </c>
      <c r="I57">
        <v>3399.3</v>
      </c>
    </row>
    <row r="58" spans="1:9" x14ac:dyDescent="0.25">
      <c r="A58" t="s">
        <v>452</v>
      </c>
      <c r="B58" t="s">
        <v>453</v>
      </c>
      <c r="C58">
        <v>170</v>
      </c>
      <c r="D58">
        <v>2082.7000000000003</v>
      </c>
      <c r="F58" t="s">
        <v>358</v>
      </c>
      <c r="G58" t="s">
        <v>359</v>
      </c>
      <c r="H58">
        <v>2</v>
      </c>
      <c r="I58">
        <v>48.17</v>
      </c>
    </row>
    <row r="59" spans="1:9" x14ac:dyDescent="0.25">
      <c r="A59" t="s">
        <v>106</v>
      </c>
      <c r="B59" t="s">
        <v>107</v>
      </c>
      <c r="C59">
        <v>52</v>
      </c>
      <c r="D59">
        <v>763.70999999999992</v>
      </c>
      <c r="F59" t="s">
        <v>318</v>
      </c>
      <c r="G59" t="s">
        <v>319</v>
      </c>
      <c r="H59">
        <v>0</v>
      </c>
      <c r="I59">
        <v>0</v>
      </c>
    </row>
    <row r="60" spans="1:9" x14ac:dyDescent="0.25">
      <c r="A60" t="s">
        <v>37</v>
      </c>
      <c r="B60" t="s">
        <v>38</v>
      </c>
      <c r="C60">
        <v>7</v>
      </c>
      <c r="D60">
        <v>325.84000000000003</v>
      </c>
      <c r="F60" t="s">
        <v>132</v>
      </c>
      <c r="G60" t="s">
        <v>133</v>
      </c>
      <c r="H60">
        <v>99</v>
      </c>
      <c r="I60">
        <v>1371.15</v>
      </c>
    </row>
    <row r="61" spans="1:9" x14ac:dyDescent="0.25">
      <c r="A61" t="s">
        <v>648</v>
      </c>
      <c r="B61" t="s">
        <v>649</v>
      </c>
      <c r="C61">
        <v>1</v>
      </c>
      <c r="D61">
        <v>117.41</v>
      </c>
      <c r="F61" t="s">
        <v>244</v>
      </c>
      <c r="G61" t="s">
        <v>245</v>
      </c>
      <c r="H61">
        <v>6</v>
      </c>
      <c r="I61">
        <v>147.06</v>
      </c>
    </row>
    <row r="62" spans="1:9" x14ac:dyDescent="0.25">
      <c r="A62" t="s">
        <v>164</v>
      </c>
      <c r="B62" t="s">
        <v>165</v>
      </c>
      <c r="C62">
        <v>46</v>
      </c>
      <c r="D62">
        <v>2537.23</v>
      </c>
      <c r="F62" t="s">
        <v>45</v>
      </c>
      <c r="G62" t="s">
        <v>46</v>
      </c>
      <c r="H62">
        <v>0</v>
      </c>
      <c r="I62">
        <v>0</v>
      </c>
    </row>
    <row r="63" spans="1:9" x14ac:dyDescent="0.25">
      <c r="A63" t="s">
        <v>186</v>
      </c>
      <c r="B63" t="s">
        <v>187</v>
      </c>
      <c r="C63">
        <v>47</v>
      </c>
      <c r="D63">
        <v>1409.6499999999999</v>
      </c>
      <c r="F63" t="s">
        <v>216</v>
      </c>
      <c r="G63" t="s">
        <v>217</v>
      </c>
      <c r="H63">
        <v>16</v>
      </c>
      <c r="I63">
        <v>167.52</v>
      </c>
    </row>
    <row r="64" spans="1:9" x14ac:dyDescent="0.25">
      <c r="A64" t="s">
        <v>293</v>
      </c>
      <c r="B64" t="s">
        <v>294</v>
      </c>
      <c r="C64">
        <v>32</v>
      </c>
      <c r="D64">
        <v>372.1</v>
      </c>
      <c r="F64" t="s">
        <v>71</v>
      </c>
      <c r="G64" t="s">
        <v>72</v>
      </c>
      <c r="H64">
        <v>105</v>
      </c>
      <c r="I64">
        <v>2591.61</v>
      </c>
    </row>
    <row r="65" spans="1:9" x14ac:dyDescent="0.25">
      <c r="A65" t="s">
        <v>722</v>
      </c>
      <c r="B65" t="s">
        <v>723</v>
      </c>
      <c r="C65">
        <v>0</v>
      </c>
      <c r="D65">
        <v>0</v>
      </c>
      <c r="F65" t="s">
        <v>180</v>
      </c>
      <c r="G65" t="s">
        <v>181</v>
      </c>
      <c r="H65">
        <v>25</v>
      </c>
      <c r="I65">
        <v>993.72</v>
      </c>
    </row>
    <row r="66" spans="1:9" x14ac:dyDescent="0.25">
      <c r="A66" t="s">
        <v>658</v>
      </c>
      <c r="B66" t="s">
        <v>659</v>
      </c>
      <c r="C66">
        <v>9</v>
      </c>
      <c r="D66">
        <v>206.62</v>
      </c>
      <c r="F66" t="s">
        <v>285</v>
      </c>
      <c r="G66" t="s">
        <v>286</v>
      </c>
      <c r="H66">
        <v>4</v>
      </c>
      <c r="I66">
        <v>80.010000000000005</v>
      </c>
    </row>
    <row r="67" spans="1:9" x14ac:dyDescent="0.25">
      <c r="A67" t="s">
        <v>706</v>
      </c>
      <c r="B67" t="s">
        <v>707</v>
      </c>
      <c r="C67">
        <v>3</v>
      </c>
      <c r="D67">
        <v>14.35</v>
      </c>
      <c r="F67" t="s">
        <v>542</v>
      </c>
      <c r="G67" t="s">
        <v>543</v>
      </c>
      <c r="H67">
        <v>0</v>
      </c>
      <c r="I67">
        <v>0</v>
      </c>
    </row>
    <row r="68" spans="1:9" x14ac:dyDescent="0.25">
      <c r="A68" t="s">
        <v>554</v>
      </c>
      <c r="B68" t="s">
        <v>555</v>
      </c>
      <c r="C68">
        <v>1</v>
      </c>
      <c r="D68">
        <v>29.03</v>
      </c>
      <c r="F68" t="s">
        <v>188</v>
      </c>
      <c r="G68" t="s">
        <v>189</v>
      </c>
      <c r="H68">
        <v>3</v>
      </c>
      <c r="I68">
        <v>92.19</v>
      </c>
    </row>
    <row r="69" spans="1:9" x14ac:dyDescent="0.25">
      <c r="A69" t="s">
        <v>676</v>
      </c>
      <c r="B69" t="s">
        <v>677</v>
      </c>
      <c r="C69">
        <v>1</v>
      </c>
      <c r="D69">
        <v>55.62</v>
      </c>
      <c r="F69" t="s">
        <v>77</v>
      </c>
      <c r="G69" t="s">
        <v>78</v>
      </c>
      <c r="H69">
        <v>-4</v>
      </c>
      <c r="I69">
        <v>-230.16</v>
      </c>
    </row>
    <row r="70" spans="1:9" x14ac:dyDescent="0.25">
      <c r="A70" t="s">
        <v>214</v>
      </c>
      <c r="B70" t="s">
        <v>215</v>
      </c>
      <c r="C70">
        <v>1</v>
      </c>
      <c r="D70">
        <v>41.58</v>
      </c>
      <c r="F70" t="s">
        <v>130</v>
      </c>
      <c r="G70" t="s">
        <v>131</v>
      </c>
      <c r="H70">
        <v>12</v>
      </c>
      <c r="I70">
        <v>709.12</v>
      </c>
    </row>
    <row r="71" spans="1:9" x14ac:dyDescent="0.25">
      <c r="A71" t="s">
        <v>718</v>
      </c>
      <c r="B71" t="s">
        <v>719</v>
      </c>
      <c r="C71">
        <v>0</v>
      </c>
      <c r="D71">
        <v>0</v>
      </c>
      <c r="F71" t="s">
        <v>9</v>
      </c>
      <c r="G71" t="s">
        <v>10</v>
      </c>
      <c r="H71">
        <v>107</v>
      </c>
      <c r="I71">
        <v>1345.75</v>
      </c>
    </row>
    <row r="72" spans="1:9" x14ac:dyDescent="0.25">
      <c r="A72" t="s">
        <v>122</v>
      </c>
      <c r="B72" t="s">
        <v>123</v>
      </c>
      <c r="C72">
        <v>10</v>
      </c>
      <c r="D72">
        <v>253.92</v>
      </c>
      <c r="F72" t="s">
        <v>374</v>
      </c>
      <c r="G72" t="s">
        <v>375</v>
      </c>
      <c r="H72">
        <v>3</v>
      </c>
      <c r="I72">
        <v>66.150000000000006</v>
      </c>
    </row>
    <row r="73" spans="1:9" x14ac:dyDescent="0.25">
      <c r="A73" t="s">
        <v>300</v>
      </c>
      <c r="B73" t="s">
        <v>301</v>
      </c>
      <c r="C73">
        <v>199</v>
      </c>
      <c r="D73">
        <v>2973.83</v>
      </c>
      <c r="F73" t="s">
        <v>21</v>
      </c>
      <c r="G73" t="s">
        <v>22</v>
      </c>
      <c r="H73">
        <v>1</v>
      </c>
      <c r="I73">
        <v>24.88</v>
      </c>
    </row>
    <row r="74" spans="1:9" x14ac:dyDescent="0.25">
      <c r="A74" t="s">
        <v>196</v>
      </c>
      <c r="B74" t="s">
        <v>197</v>
      </c>
      <c r="C74">
        <v>30</v>
      </c>
      <c r="D74">
        <v>665.80000000000007</v>
      </c>
      <c r="F74" t="s">
        <v>69</v>
      </c>
      <c r="G74" t="s">
        <v>70</v>
      </c>
      <c r="H74">
        <v>28</v>
      </c>
      <c r="I74">
        <v>676.38</v>
      </c>
    </row>
    <row r="75" spans="1:9" x14ac:dyDescent="0.25">
      <c r="A75" t="s">
        <v>634</v>
      </c>
      <c r="B75" t="s">
        <v>635</v>
      </c>
      <c r="C75">
        <v>8</v>
      </c>
      <c r="D75">
        <v>196.7</v>
      </c>
      <c r="F75" t="s">
        <v>438</v>
      </c>
      <c r="G75" t="s">
        <v>439</v>
      </c>
      <c r="H75">
        <v>5</v>
      </c>
      <c r="I75">
        <v>24.55</v>
      </c>
    </row>
    <row r="76" spans="1:9" x14ac:dyDescent="0.25">
      <c r="A76" t="s">
        <v>202</v>
      </c>
      <c r="B76" t="s">
        <v>197</v>
      </c>
      <c r="C76">
        <v>2</v>
      </c>
      <c r="D76">
        <v>22.14</v>
      </c>
      <c r="F76" t="s">
        <v>226</v>
      </c>
      <c r="G76" t="s">
        <v>227</v>
      </c>
      <c r="H76">
        <v>1</v>
      </c>
      <c r="I76">
        <v>7.62</v>
      </c>
    </row>
    <row r="77" spans="1:9" x14ac:dyDescent="0.25">
      <c r="A77" t="s">
        <v>682</v>
      </c>
      <c r="B77" t="s">
        <v>683</v>
      </c>
      <c r="C77">
        <v>4</v>
      </c>
      <c r="D77">
        <v>64.509999999999991</v>
      </c>
      <c r="F77" t="s">
        <v>376</v>
      </c>
      <c r="G77" t="s">
        <v>377</v>
      </c>
      <c r="H77">
        <v>45</v>
      </c>
      <c r="I77">
        <v>281</v>
      </c>
    </row>
    <row r="78" spans="1:9" x14ac:dyDescent="0.25">
      <c r="A78" t="s">
        <v>562</v>
      </c>
      <c r="B78" t="s">
        <v>563</v>
      </c>
      <c r="C78">
        <v>1</v>
      </c>
      <c r="D78">
        <v>91.6</v>
      </c>
      <c r="F78" t="s">
        <v>218</v>
      </c>
      <c r="G78" t="s">
        <v>219</v>
      </c>
      <c r="H78">
        <v>29</v>
      </c>
      <c r="I78">
        <v>189.95</v>
      </c>
    </row>
    <row r="79" spans="1:9" x14ac:dyDescent="0.25">
      <c r="A79" t="s">
        <v>128</v>
      </c>
      <c r="B79" t="s">
        <v>129</v>
      </c>
      <c r="C79">
        <v>203</v>
      </c>
      <c r="D79">
        <v>2645.87</v>
      </c>
      <c r="F79" t="s">
        <v>254</v>
      </c>
      <c r="G79" t="s">
        <v>255</v>
      </c>
      <c r="H79">
        <v>57</v>
      </c>
      <c r="I79">
        <v>357.47</v>
      </c>
    </row>
    <row r="80" spans="1:9" x14ac:dyDescent="0.25">
      <c r="A80" t="s">
        <v>65</v>
      </c>
      <c r="B80" t="s">
        <v>66</v>
      </c>
      <c r="C80">
        <v>72</v>
      </c>
      <c r="D80">
        <v>2028.94</v>
      </c>
      <c r="F80" t="s">
        <v>712</v>
      </c>
      <c r="G80" t="s">
        <v>713</v>
      </c>
      <c r="H80">
        <v>0</v>
      </c>
      <c r="I80">
        <v>0</v>
      </c>
    </row>
    <row r="81" spans="1:9" x14ac:dyDescent="0.25">
      <c r="A81" t="s">
        <v>75</v>
      </c>
      <c r="B81" t="s">
        <v>76</v>
      </c>
      <c r="C81">
        <v>5</v>
      </c>
      <c r="D81">
        <v>186.48000000000002</v>
      </c>
      <c r="F81" t="s">
        <v>200</v>
      </c>
      <c r="G81" t="s">
        <v>201</v>
      </c>
      <c r="H81">
        <v>51</v>
      </c>
      <c r="I81">
        <v>665.8</v>
      </c>
    </row>
    <row r="82" spans="1:9" x14ac:dyDescent="0.25">
      <c r="A82" t="s">
        <v>134</v>
      </c>
      <c r="B82" t="s">
        <v>135</v>
      </c>
      <c r="C82">
        <v>62</v>
      </c>
      <c r="D82">
        <v>2621.2599999999998</v>
      </c>
      <c r="F82" t="s">
        <v>708</v>
      </c>
      <c r="G82" t="s">
        <v>709</v>
      </c>
      <c r="H82">
        <v>1</v>
      </c>
      <c r="I82">
        <v>5.98</v>
      </c>
    </row>
    <row r="83" spans="1:9" x14ac:dyDescent="0.25">
      <c r="A83" t="s">
        <v>496</v>
      </c>
      <c r="B83" t="s">
        <v>497</v>
      </c>
      <c r="C83">
        <v>1</v>
      </c>
      <c r="D83">
        <v>13.81</v>
      </c>
      <c r="F83" t="s">
        <v>136</v>
      </c>
      <c r="G83" t="s">
        <v>137</v>
      </c>
      <c r="H83">
        <v>25</v>
      </c>
      <c r="I83">
        <v>612.75</v>
      </c>
    </row>
    <row r="84" spans="1:9" x14ac:dyDescent="0.25">
      <c r="A84" t="s">
        <v>398</v>
      </c>
      <c r="B84" t="s">
        <v>399</v>
      </c>
      <c r="C84">
        <v>1</v>
      </c>
      <c r="D84">
        <v>33.25</v>
      </c>
      <c r="F84" t="s">
        <v>660</v>
      </c>
      <c r="G84" t="s">
        <v>661</v>
      </c>
      <c r="H84">
        <v>5</v>
      </c>
      <c r="I84">
        <v>81.55</v>
      </c>
    </row>
    <row r="85" spans="1:9" x14ac:dyDescent="0.25">
      <c r="A85" t="s">
        <v>678</v>
      </c>
      <c r="B85" t="s">
        <v>679</v>
      </c>
      <c r="C85">
        <v>1</v>
      </c>
      <c r="D85">
        <v>54.9</v>
      </c>
      <c r="F85" t="s">
        <v>138</v>
      </c>
      <c r="G85" t="s">
        <v>139</v>
      </c>
      <c r="H85">
        <v>43</v>
      </c>
      <c r="I85">
        <v>278.64</v>
      </c>
    </row>
    <row r="86" spans="1:9" x14ac:dyDescent="0.25">
      <c r="A86" t="s">
        <v>47</v>
      </c>
      <c r="B86" t="s">
        <v>48</v>
      </c>
      <c r="C86">
        <v>178</v>
      </c>
      <c r="D86">
        <v>3604.5600000000004</v>
      </c>
      <c r="F86" t="s">
        <v>41</v>
      </c>
      <c r="G86" t="s">
        <v>42</v>
      </c>
      <c r="H86">
        <v>16</v>
      </c>
      <c r="I86">
        <v>206.03</v>
      </c>
    </row>
    <row r="87" spans="1:9" x14ac:dyDescent="0.25">
      <c r="A87" t="s">
        <v>358</v>
      </c>
      <c r="B87" t="s">
        <v>359</v>
      </c>
      <c r="C87">
        <v>3</v>
      </c>
      <c r="D87">
        <v>72.88</v>
      </c>
      <c r="F87" t="s">
        <v>630</v>
      </c>
      <c r="G87" t="s">
        <v>631</v>
      </c>
      <c r="H87">
        <v>10</v>
      </c>
      <c r="I87">
        <v>204.1</v>
      </c>
    </row>
    <row r="88" spans="1:9" x14ac:dyDescent="0.25">
      <c r="A88" t="s">
        <v>696</v>
      </c>
      <c r="B88" t="s">
        <v>697</v>
      </c>
      <c r="C88">
        <v>1</v>
      </c>
      <c r="D88">
        <v>17.07</v>
      </c>
      <c r="F88" t="s">
        <v>168</v>
      </c>
      <c r="G88" t="s">
        <v>169</v>
      </c>
      <c r="H88">
        <v>54</v>
      </c>
      <c r="I88">
        <v>261.66000000000003</v>
      </c>
    </row>
    <row r="89" spans="1:9" x14ac:dyDescent="0.25">
      <c r="A89" t="s">
        <v>324</v>
      </c>
      <c r="B89" t="s">
        <v>325</v>
      </c>
      <c r="C89">
        <v>93</v>
      </c>
      <c r="D89">
        <v>687.96</v>
      </c>
      <c r="F89" t="s">
        <v>378</v>
      </c>
      <c r="G89" t="s">
        <v>379</v>
      </c>
      <c r="H89">
        <v>2</v>
      </c>
      <c r="I89">
        <v>28.91</v>
      </c>
    </row>
    <row r="90" spans="1:9" x14ac:dyDescent="0.25">
      <c r="A90" t="s">
        <v>370</v>
      </c>
      <c r="B90" t="s">
        <v>371</v>
      </c>
      <c r="C90">
        <v>24</v>
      </c>
      <c r="D90">
        <v>339.75</v>
      </c>
      <c r="F90" t="s">
        <v>92</v>
      </c>
      <c r="G90" t="s">
        <v>93</v>
      </c>
      <c r="H90">
        <v>43</v>
      </c>
      <c r="I90">
        <v>712.92</v>
      </c>
    </row>
    <row r="91" spans="1:9" x14ac:dyDescent="0.25">
      <c r="A91" t="s">
        <v>318</v>
      </c>
      <c r="B91" t="s">
        <v>319</v>
      </c>
      <c r="C91">
        <v>2</v>
      </c>
      <c r="D91">
        <v>151.86000000000001</v>
      </c>
      <c r="F91" t="s">
        <v>618</v>
      </c>
      <c r="G91" t="s">
        <v>619</v>
      </c>
      <c r="H91">
        <v>12</v>
      </c>
      <c r="I91">
        <v>631.29999999999995</v>
      </c>
    </row>
    <row r="92" spans="1:9" x14ac:dyDescent="0.25">
      <c r="A92" t="s">
        <v>240</v>
      </c>
      <c r="B92" t="s">
        <v>241</v>
      </c>
      <c r="C92">
        <v>7</v>
      </c>
      <c r="D92">
        <v>332.73</v>
      </c>
      <c r="F92" t="s">
        <v>306</v>
      </c>
      <c r="G92" t="s">
        <v>307</v>
      </c>
      <c r="H92">
        <v>33</v>
      </c>
      <c r="I92">
        <v>402.93</v>
      </c>
    </row>
    <row r="93" spans="1:9" x14ac:dyDescent="0.25">
      <c r="A93" t="s">
        <v>132</v>
      </c>
      <c r="B93" t="s">
        <v>133</v>
      </c>
      <c r="C93">
        <v>361</v>
      </c>
      <c r="D93">
        <v>5152.8799999999992</v>
      </c>
      <c r="F93" t="s">
        <v>84</v>
      </c>
      <c r="G93" t="s">
        <v>85</v>
      </c>
      <c r="H93">
        <v>0</v>
      </c>
      <c r="I93">
        <v>0</v>
      </c>
    </row>
    <row r="94" spans="1:9" x14ac:dyDescent="0.25">
      <c r="A94" t="s">
        <v>456</v>
      </c>
      <c r="B94" t="s">
        <v>457</v>
      </c>
      <c r="C94">
        <v>5</v>
      </c>
      <c r="D94">
        <v>97.62</v>
      </c>
      <c r="F94" t="s">
        <v>234</v>
      </c>
      <c r="G94" t="s">
        <v>235</v>
      </c>
      <c r="H94">
        <v>8</v>
      </c>
      <c r="I94">
        <v>261.60000000000002</v>
      </c>
    </row>
    <row r="95" spans="1:9" x14ac:dyDescent="0.25">
      <c r="A95" t="s">
        <v>244</v>
      </c>
      <c r="B95" t="s">
        <v>245</v>
      </c>
      <c r="C95">
        <v>8</v>
      </c>
      <c r="D95">
        <v>198.65</v>
      </c>
      <c r="F95" t="s">
        <v>210</v>
      </c>
      <c r="G95" t="s">
        <v>211</v>
      </c>
      <c r="H95">
        <v>33</v>
      </c>
      <c r="I95">
        <v>432.96</v>
      </c>
    </row>
    <row r="96" spans="1:9" x14ac:dyDescent="0.25">
      <c r="A96" t="s">
        <v>45</v>
      </c>
      <c r="B96" t="s">
        <v>46</v>
      </c>
      <c r="C96">
        <v>0</v>
      </c>
      <c r="D96">
        <v>0</v>
      </c>
      <c r="F96" t="s">
        <v>328</v>
      </c>
      <c r="G96" t="s">
        <v>329</v>
      </c>
      <c r="H96">
        <v>4</v>
      </c>
      <c r="I96">
        <v>88.2</v>
      </c>
    </row>
    <row r="97" spans="1:9" x14ac:dyDescent="0.25">
      <c r="A97" t="s">
        <v>216</v>
      </c>
      <c r="B97" t="s">
        <v>217</v>
      </c>
      <c r="C97">
        <v>40</v>
      </c>
      <c r="D97">
        <v>465.02000000000004</v>
      </c>
      <c r="F97" t="s">
        <v>458</v>
      </c>
      <c r="G97" t="s">
        <v>459</v>
      </c>
      <c r="H97">
        <v>1</v>
      </c>
      <c r="I97">
        <v>9.75</v>
      </c>
    </row>
    <row r="98" spans="1:9" x14ac:dyDescent="0.25">
      <c r="A98" t="s">
        <v>308</v>
      </c>
      <c r="B98" t="s">
        <v>309</v>
      </c>
      <c r="C98">
        <v>8</v>
      </c>
      <c r="D98">
        <v>198.73000000000002</v>
      </c>
      <c r="F98" t="s">
        <v>94</v>
      </c>
      <c r="G98" t="s">
        <v>95</v>
      </c>
      <c r="H98">
        <v>6</v>
      </c>
      <c r="I98">
        <v>147.06</v>
      </c>
    </row>
    <row r="99" spans="1:9" x14ac:dyDescent="0.25">
      <c r="A99" t="s">
        <v>572</v>
      </c>
      <c r="B99" t="s">
        <v>573</v>
      </c>
      <c r="C99">
        <v>0</v>
      </c>
      <c r="D99">
        <v>0</v>
      </c>
      <c r="F99" t="s">
        <v>326</v>
      </c>
      <c r="G99" t="s">
        <v>327</v>
      </c>
      <c r="H99">
        <v>2</v>
      </c>
      <c r="I99">
        <v>54.55</v>
      </c>
    </row>
    <row r="100" spans="1:9" x14ac:dyDescent="0.25">
      <c r="A100" t="s">
        <v>314</v>
      </c>
      <c r="B100" t="s">
        <v>315</v>
      </c>
      <c r="C100">
        <v>0</v>
      </c>
      <c r="D100">
        <v>0</v>
      </c>
      <c r="F100" t="s">
        <v>110</v>
      </c>
      <c r="G100" t="s">
        <v>111</v>
      </c>
      <c r="H100">
        <v>9</v>
      </c>
      <c r="I100">
        <v>182.97</v>
      </c>
    </row>
    <row r="101" spans="1:9" x14ac:dyDescent="0.25">
      <c r="A101" t="s">
        <v>71</v>
      </c>
      <c r="B101" t="s">
        <v>72</v>
      </c>
      <c r="C101">
        <v>172</v>
      </c>
      <c r="D101">
        <v>4167.01</v>
      </c>
      <c r="F101" t="s">
        <v>118</v>
      </c>
      <c r="G101" t="s">
        <v>119</v>
      </c>
      <c r="H101">
        <v>30</v>
      </c>
      <c r="I101">
        <v>488.1</v>
      </c>
    </row>
    <row r="102" spans="1:9" x14ac:dyDescent="0.25">
      <c r="A102" t="s">
        <v>180</v>
      </c>
      <c r="B102" t="s">
        <v>181</v>
      </c>
      <c r="C102">
        <v>25</v>
      </c>
      <c r="D102">
        <v>993.72</v>
      </c>
      <c r="F102" t="s">
        <v>336</v>
      </c>
      <c r="G102" t="s">
        <v>337</v>
      </c>
      <c r="H102">
        <v>7</v>
      </c>
      <c r="I102">
        <v>121.73</v>
      </c>
    </row>
    <row r="103" spans="1:9" x14ac:dyDescent="0.25">
      <c r="A103" t="s">
        <v>638</v>
      </c>
      <c r="B103" t="s">
        <v>639</v>
      </c>
      <c r="C103">
        <v>1</v>
      </c>
      <c r="D103">
        <v>157.5</v>
      </c>
      <c r="F103" t="s">
        <v>17</v>
      </c>
      <c r="G103" t="s">
        <v>18</v>
      </c>
      <c r="H103">
        <v>191</v>
      </c>
      <c r="I103">
        <v>2651.93</v>
      </c>
    </row>
    <row r="104" spans="1:9" x14ac:dyDescent="0.25">
      <c r="A104" t="s">
        <v>285</v>
      </c>
      <c r="B104" t="s">
        <v>286</v>
      </c>
      <c r="C104">
        <v>16</v>
      </c>
      <c r="D104">
        <v>317.03000000000003</v>
      </c>
      <c r="F104" t="s">
        <v>144</v>
      </c>
      <c r="G104" t="s">
        <v>145</v>
      </c>
      <c r="H104">
        <v>17</v>
      </c>
      <c r="I104">
        <v>179.69</v>
      </c>
    </row>
    <row r="105" spans="1:9" x14ac:dyDescent="0.25">
      <c r="A105" t="s">
        <v>468</v>
      </c>
      <c r="B105" t="s">
        <v>469</v>
      </c>
      <c r="C105">
        <v>0</v>
      </c>
      <c r="D105">
        <v>0</v>
      </c>
      <c r="F105" t="s">
        <v>267</v>
      </c>
      <c r="G105" t="s">
        <v>268</v>
      </c>
      <c r="H105">
        <v>1</v>
      </c>
      <c r="I105">
        <v>12.48</v>
      </c>
    </row>
    <row r="106" spans="1:9" x14ac:dyDescent="0.25">
      <c r="A106" t="s">
        <v>542</v>
      </c>
      <c r="B106" t="s">
        <v>543</v>
      </c>
      <c r="C106">
        <v>0</v>
      </c>
      <c r="D106">
        <v>0</v>
      </c>
      <c r="F106" t="s">
        <v>73</v>
      </c>
      <c r="G106" t="s">
        <v>74</v>
      </c>
      <c r="H106">
        <v>2</v>
      </c>
      <c r="I106">
        <v>21.14</v>
      </c>
    </row>
    <row r="107" spans="1:9" x14ac:dyDescent="0.25">
      <c r="A107" t="s">
        <v>208</v>
      </c>
      <c r="B107" t="s">
        <v>209</v>
      </c>
      <c r="C107">
        <v>0</v>
      </c>
      <c r="D107">
        <v>0</v>
      </c>
      <c r="F107" t="s">
        <v>108</v>
      </c>
      <c r="G107" t="s">
        <v>109</v>
      </c>
      <c r="H107">
        <v>63</v>
      </c>
      <c r="I107">
        <v>567.63</v>
      </c>
    </row>
    <row r="108" spans="1:9" x14ac:dyDescent="0.25">
      <c r="A108" t="s">
        <v>114</v>
      </c>
      <c r="B108" t="s">
        <v>115</v>
      </c>
      <c r="C108">
        <v>9</v>
      </c>
      <c r="D108">
        <v>384.04</v>
      </c>
      <c r="F108" t="s">
        <v>67</v>
      </c>
      <c r="G108" t="s">
        <v>68</v>
      </c>
      <c r="H108">
        <v>4</v>
      </c>
      <c r="I108">
        <v>158.49</v>
      </c>
    </row>
    <row r="109" spans="1:9" x14ac:dyDescent="0.25">
      <c r="A109" t="s">
        <v>188</v>
      </c>
      <c r="B109" t="s">
        <v>189</v>
      </c>
      <c r="C109">
        <v>6</v>
      </c>
      <c r="D109">
        <v>165.58</v>
      </c>
      <c r="F109" t="s">
        <v>57</v>
      </c>
      <c r="G109" t="s">
        <v>58</v>
      </c>
      <c r="H109">
        <v>19</v>
      </c>
      <c r="I109">
        <v>1088.7</v>
      </c>
    </row>
    <row r="110" spans="1:9" x14ac:dyDescent="0.25">
      <c r="A110" t="s">
        <v>77</v>
      </c>
      <c r="B110" t="s">
        <v>78</v>
      </c>
      <c r="C110">
        <v>-4</v>
      </c>
      <c r="D110">
        <v>-230.16</v>
      </c>
      <c r="F110" t="s">
        <v>402</v>
      </c>
      <c r="G110" t="s">
        <v>403</v>
      </c>
      <c r="H110">
        <v>2</v>
      </c>
      <c r="I110">
        <v>9.82</v>
      </c>
    </row>
    <row r="111" spans="1:9" x14ac:dyDescent="0.25">
      <c r="A111" t="s">
        <v>444</v>
      </c>
      <c r="B111" t="s">
        <v>445</v>
      </c>
      <c r="C111">
        <v>1</v>
      </c>
      <c r="D111">
        <v>78.16</v>
      </c>
      <c r="F111" t="s">
        <v>442</v>
      </c>
      <c r="G111" t="s">
        <v>443</v>
      </c>
      <c r="H111">
        <v>4</v>
      </c>
      <c r="I111">
        <v>65.239999999999995</v>
      </c>
    </row>
    <row r="112" spans="1:9" x14ac:dyDescent="0.25">
      <c r="A112" t="s">
        <v>130</v>
      </c>
      <c r="B112" t="s">
        <v>131</v>
      </c>
      <c r="C112">
        <v>41</v>
      </c>
      <c r="D112">
        <v>2246.3200000000002</v>
      </c>
      <c r="F112" t="s">
        <v>271</v>
      </c>
      <c r="G112" t="s">
        <v>272</v>
      </c>
      <c r="H112">
        <v>0</v>
      </c>
      <c r="I112">
        <v>0</v>
      </c>
    </row>
    <row r="113" spans="1:9" x14ac:dyDescent="0.25">
      <c r="A113" t="s">
        <v>9</v>
      </c>
      <c r="B113" t="s">
        <v>10</v>
      </c>
      <c r="C113">
        <v>120</v>
      </c>
      <c r="D113">
        <v>1506.88</v>
      </c>
      <c r="F113" t="s">
        <v>160</v>
      </c>
      <c r="G113" t="s">
        <v>161</v>
      </c>
      <c r="H113">
        <v>4</v>
      </c>
      <c r="I113">
        <v>52.22</v>
      </c>
    </row>
    <row r="114" spans="1:9" x14ac:dyDescent="0.25">
      <c r="A114" t="s">
        <v>374</v>
      </c>
      <c r="B114" t="s">
        <v>375</v>
      </c>
      <c r="C114">
        <v>5</v>
      </c>
      <c r="D114">
        <v>100.64000000000001</v>
      </c>
      <c r="F114" t="s">
        <v>289</v>
      </c>
      <c r="G114" t="s">
        <v>290</v>
      </c>
      <c r="H114">
        <v>9</v>
      </c>
      <c r="I114">
        <v>203.19</v>
      </c>
    </row>
    <row r="115" spans="1:9" x14ac:dyDescent="0.25">
      <c r="A115" t="s">
        <v>88</v>
      </c>
      <c r="B115" t="s">
        <v>89</v>
      </c>
      <c r="C115">
        <v>0</v>
      </c>
      <c r="D115">
        <v>0</v>
      </c>
      <c r="F115" t="s">
        <v>356</v>
      </c>
      <c r="G115" t="s">
        <v>357</v>
      </c>
      <c r="H115">
        <v>0</v>
      </c>
      <c r="I115">
        <v>0</v>
      </c>
    </row>
    <row r="116" spans="1:9" x14ac:dyDescent="0.25">
      <c r="A116" t="s">
        <v>21</v>
      </c>
      <c r="B116" t="s">
        <v>22</v>
      </c>
      <c r="C116">
        <v>1</v>
      </c>
      <c r="D116">
        <v>24.88</v>
      </c>
      <c r="F116" t="s">
        <v>316</v>
      </c>
      <c r="G116" t="s">
        <v>317</v>
      </c>
      <c r="H116">
        <v>9</v>
      </c>
      <c r="I116">
        <v>45.88</v>
      </c>
    </row>
    <row r="117" spans="1:9" x14ac:dyDescent="0.25">
      <c r="A117" t="s">
        <v>69</v>
      </c>
      <c r="B117" t="s">
        <v>70</v>
      </c>
      <c r="C117">
        <v>30</v>
      </c>
      <c r="D117">
        <v>726.79</v>
      </c>
      <c r="F117" t="s">
        <v>514</v>
      </c>
      <c r="G117" t="s">
        <v>515</v>
      </c>
      <c r="H117">
        <v>0</v>
      </c>
      <c r="I117">
        <v>0</v>
      </c>
    </row>
    <row r="118" spans="1:9" x14ac:dyDescent="0.25">
      <c r="A118" t="s">
        <v>438</v>
      </c>
      <c r="B118" t="s">
        <v>439</v>
      </c>
      <c r="C118">
        <v>6</v>
      </c>
      <c r="D118">
        <v>31</v>
      </c>
      <c r="F118" t="s">
        <v>512</v>
      </c>
      <c r="G118" t="s">
        <v>513</v>
      </c>
      <c r="H118">
        <v>2</v>
      </c>
      <c r="I118">
        <v>30.66</v>
      </c>
    </row>
    <row r="119" spans="1:9" x14ac:dyDescent="0.25">
      <c r="A119" t="s">
        <v>226</v>
      </c>
      <c r="B119" t="s">
        <v>227</v>
      </c>
      <c r="C119">
        <v>1</v>
      </c>
      <c r="D119">
        <v>7.62</v>
      </c>
      <c r="F119" t="s">
        <v>720</v>
      </c>
      <c r="G119" t="s">
        <v>721</v>
      </c>
      <c r="H119">
        <v>0</v>
      </c>
      <c r="I119">
        <v>0</v>
      </c>
    </row>
    <row r="120" spans="1:9" x14ac:dyDescent="0.25">
      <c r="A120" t="s">
        <v>376</v>
      </c>
      <c r="B120" t="s">
        <v>377</v>
      </c>
      <c r="C120">
        <v>62</v>
      </c>
      <c r="D120">
        <v>393.92</v>
      </c>
      <c r="F120" t="s">
        <v>726</v>
      </c>
      <c r="G120" t="s">
        <v>727</v>
      </c>
      <c r="H120">
        <v>0</v>
      </c>
      <c r="I120">
        <v>0</v>
      </c>
    </row>
    <row r="121" spans="1:9" x14ac:dyDescent="0.25">
      <c r="A121" t="s">
        <v>218</v>
      </c>
      <c r="B121" t="s">
        <v>219</v>
      </c>
      <c r="C121">
        <v>82</v>
      </c>
      <c r="D121">
        <v>542.86000000000013</v>
      </c>
      <c r="F121" t="s">
        <v>31</v>
      </c>
      <c r="G121" t="s">
        <v>32</v>
      </c>
      <c r="H121">
        <v>544</v>
      </c>
      <c r="I121">
        <v>5723.45</v>
      </c>
    </row>
    <row r="122" spans="1:9" x14ac:dyDescent="0.25">
      <c r="A122" t="s">
        <v>254</v>
      </c>
      <c r="B122" t="s">
        <v>255</v>
      </c>
      <c r="C122">
        <v>110</v>
      </c>
      <c r="D122">
        <v>709.19</v>
      </c>
      <c r="F122" t="s">
        <v>100</v>
      </c>
      <c r="G122" t="s">
        <v>101</v>
      </c>
      <c r="H122">
        <v>7</v>
      </c>
      <c r="I122">
        <v>415.55</v>
      </c>
    </row>
    <row r="123" spans="1:9" x14ac:dyDescent="0.25">
      <c r="A123" t="s">
        <v>712</v>
      </c>
      <c r="B123" t="s">
        <v>713</v>
      </c>
      <c r="C123">
        <v>0</v>
      </c>
      <c r="D123">
        <v>0</v>
      </c>
      <c r="F123" t="s">
        <v>578</v>
      </c>
      <c r="G123" t="s">
        <v>579</v>
      </c>
      <c r="H123">
        <v>1</v>
      </c>
      <c r="I123">
        <v>18.18</v>
      </c>
    </row>
    <row r="124" spans="1:9" x14ac:dyDescent="0.25">
      <c r="A124" t="s">
        <v>200</v>
      </c>
      <c r="B124" t="s">
        <v>201</v>
      </c>
      <c r="C124">
        <v>95</v>
      </c>
      <c r="D124">
        <v>1248.69</v>
      </c>
      <c r="F124" t="s">
        <v>426</v>
      </c>
      <c r="G124" t="s">
        <v>427</v>
      </c>
      <c r="H124">
        <v>2</v>
      </c>
      <c r="I124">
        <v>32.01</v>
      </c>
    </row>
    <row r="125" spans="1:9" x14ac:dyDescent="0.25">
      <c r="A125" t="s">
        <v>708</v>
      </c>
      <c r="B125" t="s">
        <v>709</v>
      </c>
      <c r="C125">
        <v>1</v>
      </c>
      <c r="D125">
        <v>5.98</v>
      </c>
      <c r="F125" t="s">
        <v>532</v>
      </c>
      <c r="G125" t="s">
        <v>533</v>
      </c>
      <c r="H125">
        <v>6</v>
      </c>
      <c r="I125">
        <v>58.74</v>
      </c>
    </row>
    <row r="126" spans="1:9" x14ac:dyDescent="0.25">
      <c r="A126" t="s">
        <v>136</v>
      </c>
      <c r="B126" t="s">
        <v>137</v>
      </c>
      <c r="C126">
        <v>51</v>
      </c>
      <c r="D126">
        <v>1264.3</v>
      </c>
      <c r="F126" t="s">
        <v>662</v>
      </c>
      <c r="G126" t="s">
        <v>663</v>
      </c>
      <c r="H126">
        <v>4</v>
      </c>
      <c r="I126">
        <v>81.040000000000006</v>
      </c>
    </row>
    <row r="127" spans="1:9" x14ac:dyDescent="0.25">
      <c r="A127" t="s">
        <v>660</v>
      </c>
      <c r="B127" t="s">
        <v>661</v>
      </c>
      <c r="C127">
        <v>8</v>
      </c>
      <c r="D127">
        <v>131.02999999999997</v>
      </c>
      <c r="F127" t="s">
        <v>264</v>
      </c>
      <c r="G127" t="s">
        <v>265</v>
      </c>
      <c r="H127">
        <v>0</v>
      </c>
      <c r="I127">
        <v>0</v>
      </c>
    </row>
    <row r="128" spans="1:9" x14ac:dyDescent="0.25">
      <c r="A128" t="s">
        <v>716</v>
      </c>
      <c r="B128" t="s">
        <v>717</v>
      </c>
      <c r="C128">
        <v>0</v>
      </c>
      <c r="D128">
        <v>0</v>
      </c>
      <c r="F128" t="s">
        <v>224</v>
      </c>
      <c r="G128" t="s">
        <v>225</v>
      </c>
      <c r="H128">
        <v>6</v>
      </c>
      <c r="I128">
        <v>109.67</v>
      </c>
    </row>
    <row r="129" spans="1:9" x14ac:dyDescent="0.25">
      <c r="A129" t="s">
        <v>138</v>
      </c>
      <c r="B129" t="s">
        <v>139</v>
      </c>
      <c r="C129">
        <v>65</v>
      </c>
      <c r="D129">
        <v>429.35999999999996</v>
      </c>
      <c r="F129" t="s">
        <v>116</v>
      </c>
      <c r="G129" t="s">
        <v>117</v>
      </c>
      <c r="H129">
        <v>2</v>
      </c>
      <c r="I129">
        <v>32.619999999999997</v>
      </c>
    </row>
    <row r="130" spans="1:9" x14ac:dyDescent="0.25">
      <c r="A130" t="s">
        <v>41</v>
      </c>
      <c r="B130" t="s">
        <v>42</v>
      </c>
      <c r="C130">
        <v>99</v>
      </c>
      <c r="D130">
        <v>1328.46</v>
      </c>
      <c r="F130" t="s">
        <v>150</v>
      </c>
      <c r="G130" t="s">
        <v>151</v>
      </c>
      <c r="H130">
        <v>5</v>
      </c>
      <c r="I130">
        <v>93.23</v>
      </c>
    </row>
    <row r="131" spans="1:9" x14ac:dyDescent="0.25">
      <c r="A131" t="s">
        <v>630</v>
      </c>
      <c r="B131" t="s">
        <v>631</v>
      </c>
      <c r="C131">
        <v>18</v>
      </c>
      <c r="D131">
        <v>414.31</v>
      </c>
      <c r="F131" t="s">
        <v>23</v>
      </c>
      <c r="G131" t="s">
        <v>24</v>
      </c>
      <c r="H131">
        <v>81</v>
      </c>
      <c r="I131">
        <v>906.26</v>
      </c>
    </row>
    <row r="132" spans="1:9" x14ac:dyDescent="0.25">
      <c r="A132" t="s">
        <v>168</v>
      </c>
      <c r="B132" t="s">
        <v>169</v>
      </c>
      <c r="C132">
        <v>55</v>
      </c>
      <c r="D132">
        <v>269.98</v>
      </c>
      <c r="F132" t="s">
        <v>174</v>
      </c>
      <c r="G132" t="s">
        <v>175</v>
      </c>
      <c r="H132">
        <v>11</v>
      </c>
      <c r="I132">
        <v>84.03</v>
      </c>
    </row>
    <row r="133" spans="1:9" x14ac:dyDescent="0.25">
      <c r="A133" t="s">
        <v>378</v>
      </c>
      <c r="B133" t="s">
        <v>379</v>
      </c>
      <c r="C133">
        <v>4</v>
      </c>
      <c r="D133">
        <v>42.46</v>
      </c>
      <c r="F133" t="s">
        <v>55</v>
      </c>
      <c r="G133" t="s">
        <v>56</v>
      </c>
      <c r="H133">
        <v>1</v>
      </c>
      <c r="I133">
        <v>9.51</v>
      </c>
    </row>
    <row r="134" spans="1:9" x14ac:dyDescent="0.25">
      <c r="A134" t="s">
        <v>92</v>
      </c>
      <c r="B134" t="s">
        <v>93</v>
      </c>
      <c r="C134">
        <v>83</v>
      </c>
      <c r="D134">
        <v>1386.3000000000002</v>
      </c>
      <c r="F134" t="s">
        <v>14</v>
      </c>
      <c r="G134" t="s">
        <v>15</v>
      </c>
      <c r="H134">
        <v>84</v>
      </c>
      <c r="I134">
        <v>1179.03</v>
      </c>
    </row>
    <row r="135" spans="1:9" x14ac:dyDescent="0.25">
      <c r="A135" t="s">
        <v>412</v>
      </c>
      <c r="B135" t="s">
        <v>413</v>
      </c>
      <c r="C135">
        <v>17</v>
      </c>
      <c r="D135">
        <v>336.87</v>
      </c>
      <c r="F135" t="s">
        <v>344</v>
      </c>
      <c r="G135" t="s">
        <v>345</v>
      </c>
      <c r="H135">
        <v>12</v>
      </c>
      <c r="I135">
        <v>132.43</v>
      </c>
    </row>
    <row r="136" spans="1:9" x14ac:dyDescent="0.25">
      <c r="A136" t="s">
        <v>528</v>
      </c>
      <c r="B136" t="s">
        <v>529</v>
      </c>
      <c r="C136">
        <v>4</v>
      </c>
      <c r="D136">
        <v>103.27</v>
      </c>
      <c r="F136" t="s">
        <v>246</v>
      </c>
      <c r="G136" t="s">
        <v>247</v>
      </c>
      <c r="H136">
        <v>13</v>
      </c>
      <c r="I136">
        <v>158.72999999999999</v>
      </c>
    </row>
    <row r="137" spans="1:9" x14ac:dyDescent="0.25">
      <c r="A137" t="s">
        <v>618</v>
      </c>
      <c r="B137" t="s">
        <v>619</v>
      </c>
      <c r="C137">
        <v>13</v>
      </c>
      <c r="D137">
        <v>685.82999999999993</v>
      </c>
      <c r="F137" t="s">
        <v>670</v>
      </c>
      <c r="G137" t="s">
        <v>671</v>
      </c>
      <c r="H137">
        <v>2</v>
      </c>
      <c r="I137">
        <v>65.400000000000006</v>
      </c>
    </row>
    <row r="138" spans="1:9" x14ac:dyDescent="0.25">
      <c r="A138" t="s">
        <v>642</v>
      </c>
      <c r="B138" t="s">
        <v>643</v>
      </c>
      <c r="C138">
        <v>5</v>
      </c>
      <c r="D138">
        <v>165.45</v>
      </c>
      <c r="F138" t="s">
        <v>86</v>
      </c>
      <c r="G138" t="s">
        <v>87</v>
      </c>
      <c r="H138">
        <v>1</v>
      </c>
      <c r="I138">
        <v>28.61</v>
      </c>
    </row>
    <row r="139" spans="1:9" x14ac:dyDescent="0.25">
      <c r="A139" t="s">
        <v>306</v>
      </c>
      <c r="B139" t="s">
        <v>307</v>
      </c>
      <c r="C139">
        <v>37</v>
      </c>
      <c r="D139">
        <v>452.17</v>
      </c>
      <c r="F139" t="s">
        <v>304</v>
      </c>
      <c r="G139" t="s">
        <v>305</v>
      </c>
      <c r="H139">
        <v>7</v>
      </c>
      <c r="I139">
        <v>433.99</v>
      </c>
    </row>
    <row r="140" spans="1:9" x14ac:dyDescent="0.25">
      <c r="A140" t="s">
        <v>258</v>
      </c>
      <c r="B140" t="s">
        <v>259</v>
      </c>
      <c r="C140">
        <v>0</v>
      </c>
      <c r="D140">
        <v>0</v>
      </c>
      <c r="F140" t="s">
        <v>574</v>
      </c>
      <c r="G140" t="s">
        <v>575</v>
      </c>
      <c r="H140">
        <v>1</v>
      </c>
      <c r="I140">
        <v>2.93</v>
      </c>
    </row>
    <row r="141" spans="1:9" x14ac:dyDescent="0.25">
      <c r="A141" t="s">
        <v>84</v>
      </c>
      <c r="B141" t="s">
        <v>85</v>
      </c>
      <c r="C141">
        <v>0</v>
      </c>
      <c r="D141">
        <v>0</v>
      </c>
      <c r="F141" t="s">
        <v>277</v>
      </c>
      <c r="G141" t="s">
        <v>278</v>
      </c>
      <c r="H141">
        <v>13</v>
      </c>
      <c r="I141">
        <v>187.88</v>
      </c>
    </row>
    <row r="142" spans="1:9" x14ac:dyDescent="0.25">
      <c r="A142" t="s">
        <v>234</v>
      </c>
      <c r="B142" t="s">
        <v>235</v>
      </c>
      <c r="C142">
        <v>10</v>
      </c>
      <c r="D142">
        <v>327.83000000000004</v>
      </c>
      <c r="F142" t="s">
        <v>178</v>
      </c>
      <c r="G142" t="s">
        <v>179</v>
      </c>
      <c r="H142">
        <v>0</v>
      </c>
      <c r="I142">
        <v>0</v>
      </c>
    </row>
    <row r="143" spans="1:9" x14ac:dyDescent="0.25">
      <c r="A143" t="s">
        <v>210</v>
      </c>
      <c r="B143" t="s">
        <v>211</v>
      </c>
      <c r="C143">
        <v>35</v>
      </c>
      <c r="D143">
        <v>465.99</v>
      </c>
      <c r="F143" t="s">
        <v>120</v>
      </c>
      <c r="G143" t="s">
        <v>121</v>
      </c>
      <c r="H143">
        <v>4</v>
      </c>
      <c r="I143">
        <v>112.32</v>
      </c>
    </row>
    <row r="144" spans="1:9" x14ac:dyDescent="0.25">
      <c r="A144" t="s">
        <v>328</v>
      </c>
      <c r="B144" t="s">
        <v>329</v>
      </c>
      <c r="C144">
        <v>6</v>
      </c>
      <c r="D144">
        <v>133.04000000000002</v>
      </c>
      <c r="F144" t="s">
        <v>238</v>
      </c>
      <c r="G144" t="s">
        <v>239</v>
      </c>
      <c r="H144">
        <v>5</v>
      </c>
      <c r="I144">
        <v>79.12</v>
      </c>
    </row>
    <row r="145" spans="1:9" x14ac:dyDescent="0.25">
      <c r="A145" t="s">
        <v>458</v>
      </c>
      <c r="B145" t="s">
        <v>459</v>
      </c>
      <c r="C145">
        <v>2</v>
      </c>
      <c r="D145">
        <v>19.579999999999998</v>
      </c>
      <c r="F145" t="s">
        <v>414</v>
      </c>
      <c r="G145" t="s">
        <v>415</v>
      </c>
      <c r="H145">
        <v>0</v>
      </c>
      <c r="I145">
        <v>0</v>
      </c>
    </row>
    <row r="146" spans="1:9" x14ac:dyDescent="0.25">
      <c r="A146" t="s">
        <v>279</v>
      </c>
      <c r="B146" t="s">
        <v>280</v>
      </c>
      <c r="C146">
        <v>11</v>
      </c>
      <c r="D146">
        <v>229.16</v>
      </c>
      <c r="F146" t="s">
        <v>222</v>
      </c>
      <c r="G146" t="s">
        <v>223</v>
      </c>
      <c r="H146">
        <v>8</v>
      </c>
      <c r="I146">
        <v>842.72</v>
      </c>
    </row>
    <row r="147" spans="1:9" x14ac:dyDescent="0.25">
      <c r="A147" t="s">
        <v>384</v>
      </c>
      <c r="B147" t="s">
        <v>385</v>
      </c>
      <c r="C147">
        <v>1</v>
      </c>
      <c r="D147">
        <v>10.45</v>
      </c>
      <c r="F147" t="s">
        <v>146</v>
      </c>
      <c r="G147" t="s">
        <v>147</v>
      </c>
      <c r="H147">
        <v>4</v>
      </c>
      <c r="I147">
        <v>314.75</v>
      </c>
    </row>
    <row r="148" spans="1:9" x14ac:dyDescent="0.25">
      <c r="A148" t="s">
        <v>382</v>
      </c>
      <c r="B148" t="s">
        <v>383</v>
      </c>
      <c r="C148">
        <v>1</v>
      </c>
      <c r="D148">
        <v>74.430000000000007</v>
      </c>
      <c r="F148" t="s">
        <v>242</v>
      </c>
      <c r="G148" t="s">
        <v>243</v>
      </c>
      <c r="H148">
        <v>1</v>
      </c>
      <c r="I148">
        <v>58.2</v>
      </c>
    </row>
    <row r="149" spans="1:9" x14ac:dyDescent="0.25">
      <c r="A149" t="s">
        <v>94</v>
      </c>
      <c r="B149" t="s">
        <v>95</v>
      </c>
      <c r="C149">
        <v>65</v>
      </c>
      <c r="D149">
        <v>1892.39</v>
      </c>
      <c r="F149" t="s">
        <v>124</v>
      </c>
      <c r="G149" t="s">
        <v>125</v>
      </c>
      <c r="H149">
        <v>21</v>
      </c>
      <c r="I149">
        <v>549.39</v>
      </c>
    </row>
    <row r="150" spans="1:9" x14ac:dyDescent="0.25">
      <c r="A150" t="s">
        <v>326</v>
      </c>
      <c r="B150" t="s">
        <v>327</v>
      </c>
      <c r="C150">
        <v>2</v>
      </c>
      <c r="D150">
        <v>54.55</v>
      </c>
      <c r="F150" t="s">
        <v>154</v>
      </c>
      <c r="G150" t="s">
        <v>155</v>
      </c>
      <c r="H150">
        <v>20</v>
      </c>
      <c r="I150">
        <v>490.2</v>
      </c>
    </row>
    <row r="151" spans="1:9" x14ac:dyDescent="0.25">
      <c r="A151" t="s">
        <v>312</v>
      </c>
      <c r="B151" t="s">
        <v>313</v>
      </c>
      <c r="C151">
        <v>19</v>
      </c>
      <c r="D151">
        <v>152.1</v>
      </c>
      <c r="F151" t="s">
        <v>140</v>
      </c>
      <c r="G151" t="s">
        <v>141</v>
      </c>
      <c r="H151">
        <v>28</v>
      </c>
      <c r="I151">
        <v>516.37</v>
      </c>
    </row>
    <row r="152" spans="1:9" x14ac:dyDescent="0.25">
      <c r="A152" t="s">
        <v>110</v>
      </c>
      <c r="B152" t="s">
        <v>111</v>
      </c>
      <c r="C152">
        <v>80</v>
      </c>
      <c r="D152">
        <v>1377.6699999999998</v>
      </c>
      <c r="F152" t="s">
        <v>522</v>
      </c>
      <c r="G152" t="s">
        <v>523</v>
      </c>
      <c r="H152">
        <v>1</v>
      </c>
      <c r="I152">
        <v>49.1</v>
      </c>
    </row>
    <row r="153" spans="1:9" x14ac:dyDescent="0.25">
      <c r="A153" t="s">
        <v>598</v>
      </c>
      <c r="B153" t="s">
        <v>599</v>
      </c>
      <c r="C153">
        <v>0</v>
      </c>
      <c r="D153">
        <v>0</v>
      </c>
      <c r="F153" t="s">
        <v>166</v>
      </c>
      <c r="G153" t="s">
        <v>167</v>
      </c>
      <c r="H153">
        <v>0</v>
      </c>
      <c r="I153">
        <v>0</v>
      </c>
    </row>
    <row r="154" spans="1:9" x14ac:dyDescent="0.25">
      <c r="A154" t="s">
        <v>118</v>
      </c>
      <c r="B154" t="s">
        <v>119</v>
      </c>
      <c r="C154">
        <v>133</v>
      </c>
      <c r="D154">
        <v>2198.2800000000002</v>
      </c>
      <c r="F154" t="s">
        <v>508</v>
      </c>
      <c r="G154" t="s">
        <v>509</v>
      </c>
      <c r="H154">
        <v>2</v>
      </c>
      <c r="I154">
        <v>12.32</v>
      </c>
    </row>
    <row r="155" spans="1:9" x14ac:dyDescent="0.25">
      <c r="A155" t="s">
        <v>362</v>
      </c>
      <c r="B155" t="s">
        <v>363</v>
      </c>
      <c r="C155">
        <v>0</v>
      </c>
      <c r="D155">
        <v>0</v>
      </c>
      <c r="F155" t="s">
        <v>338</v>
      </c>
      <c r="G155" t="s">
        <v>339</v>
      </c>
      <c r="H155">
        <v>8</v>
      </c>
      <c r="I155">
        <v>115.44</v>
      </c>
    </row>
    <row r="156" spans="1:9" x14ac:dyDescent="0.25">
      <c r="A156" t="s">
        <v>336</v>
      </c>
      <c r="B156" t="s">
        <v>337</v>
      </c>
      <c r="C156">
        <v>45</v>
      </c>
      <c r="D156">
        <v>749.53</v>
      </c>
      <c r="F156" t="s">
        <v>464</v>
      </c>
      <c r="G156" t="s">
        <v>465</v>
      </c>
      <c r="H156">
        <v>0</v>
      </c>
      <c r="I156">
        <v>0</v>
      </c>
    </row>
    <row r="157" spans="1:9" x14ac:dyDescent="0.25">
      <c r="A157" t="s">
        <v>17</v>
      </c>
      <c r="B157" t="s">
        <v>18</v>
      </c>
      <c r="C157">
        <v>311</v>
      </c>
      <c r="D157">
        <v>4353.78</v>
      </c>
      <c r="F157" t="s">
        <v>192</v>
      </c>
      <c r="G157" t="s">
        <v>193</v>
      </c>
      <c r="H157">
        <v>1</v>
      </c>
      <c r="I157">
        <v>98.22</v>
      </c>
    </row>
    <row r="158" spans="1:9" x14ac:dyDescent="0.25">
      <c r="A158" t="s">
        <v>144</v>
      </c>
      <c r="B158" t="s">
        <v>145</v>
      </c>
      <c r="C158">
        <v>29</v>
      </c>
      <c r="D158">
        <v>308.87</v>
      </c>
      <c r="F158" t="s">
        <v>96</v>
      </c>
      <c r="G158" t="s">
        <v>97</v>
      </c>
      <c r="H158">
        <v>92</v>
      </c>
      <c r="I158">
        <v>1274.2</v>
      </c>
    </row>
    <row r="159" spans="1:9" x14ac:dyDescent="0.25">
      <c r="A159" t="s">
        <v>267</v>
      </c>
      <c r="B159" t="s">
        <v>268</v>
      </c>
      <c r="C159">
        <v>2</v>
      </c>
      <c r="D159">
        <v>24.9</v>
      </c>
      <c r="F159" t="s">
        <v>194</v>
      </c>
      <c r="G159" t="s">
        <v>195</v>
      </c>
      <c r="H159">
        <v>12</v>
      </c>
      <c r="I159">
        <v>451.55</v>
      </c>
    </row>
    <row r="160" spans="1:9" x14ac:dyDescent="0.25">
      <c r="A160" t="s">
        <v>73</v>
      </c>
      <c r="B160" t="s">
        <v>74</v>
      </c>
      <c r="C160">
        <v>2</v>
      </c>
      <c r="D160">
        <v>21.14</v>
      </c>
      <c r="F160" t="s">
        <v>248</v>
      </c>
      <c r="G160" t="s">
        <v>249</v>
      </c>
      <c r="H160">
        <v>6</v>
      </c>
      <c r="I160">
        <v>154.62</v>
      </c>
    </row>
    <row r="161" spans="1:9" x14ac:dyDescent="0.25">
      <c r="A161" t="s">
        <v>108</v>
      </c>
      <c r="B161" t="s">
        <v>109</v>
      </c>
      <c r="C161">
        <v>164</v>
      </c>
      <c r="D161">
        <v>1414.3200000000002</v>
      </c>
      <c r="F161" t="s">
        <v>39</v>
      </c>
      <c r="G161" t="s">
        <v>40</v>
      </c>
      <c r="H161">
        <v>222</v>
      </c>
      <c r="I161">
        <v>2397.59</v>
      </c>
    </row>
    <row r="162" spans="1:9" x14ac:dyDescent="0.25">
      <c r="A162" t="s">
        <v>281</v>
      </c>
      <c r="B162" t="s">
        <v>282</v>
      </c>
      <c r="C162">
        <v>0</v>
      </c>
      <c r="D162">
        <v>0</v>
      </c>
      <c r="F162" t="s">
        <v>148</v>
      </c>
      <c r="G162" t="s">
        <v>149</v>
      </c>
      <c r="H162">
        <v>6</v>
      </c>
      <c r="I162">
        <v>196.2</v>
      </c>
    </row>
    <row r="163" spans="1:9" x14ac:dyDescent="0.25">
      <c r="A163" t="s">
        <v>212</v>
      </c>
      <c r="B163" t="s">
        <v>213</v>
      </c>
      <c r="C163">
        <v>0</v>
      </c>
      <c r="D163">
        <v>0</v>
      </c>
      <c r="F163" t="s">
        <v>184</v>
      </c>
      <c r="G163" t="s">
        <v>185</v>
      </c>
      <c r="H163">
        <v>7</v>
      </c>
      <c r="I163">
        <v>131.65</v>
      </c>
    </row>
    <row r="164" spans="1:9" x14ac:dyDescent="0.25">
      <c r="A164" t="s">
        <v>67</v>
      </c>
      <c r="B164" t="s">
        <v>68</v>
      </c>
      <c r="C164">
        <v>12</v>
      </c>
      <c r="D164">
        <v>509.98</v>
      </c>
      <c r="F164" t="s">
        <v>252</v>
      </c>
      <c r="G164" t="s">
        <v>253</v>
      </c>
      <c r="H164">
        <v>5</v>
      </c>
      <c r="I164">
        <v>93.85</v>
      </c>
    </row>
    <row r="165" spans="1:9" x14ac:dyDescent="0.25">
      <c r="A165" t="s">
        <v>57</v>
      </c>
      <c r="B165" t="s">
        <v>58</v>
      </c>
      <c r="C165">
        <v>46</v>
      </c>
      <c r="D165">
        <v>2711.67</v>
      </c>
      <c r="F165" t="s">
        <v>152</v>
      </c>
      <c r="G165" t="s">
        <v>153</v>
      </c>
      <c r="H165">
        <v>11</v>
      </c>
      <c r="I165">
        <v>206.47</v>
      </c>
    </row>
    <row r="166" spans="1:9" x14ac:dyDescent="0.25">
      <c r="A166" t="s">
        <v>402</v>
      </c>
      <c r="B166" t="s">
        <v>403</v>
      </c>
      <c r="C166">
        <v>2</v>
      </c>
      <c r="D166">
        <v>9.82</v>
      </c>
      <c r="F166" t="s">
        <v>236</v>
      </c>
      <c r="G166" t="s">
        <v>237</v>
      </c>
      <c r="H166">
        <v>2</v>
      </c>
      <c r="I166">
        <v>87.72</v>
      </c>
    </row>
    <row r="167" spans="1:9" x14ac:dyDescent="0.25">
      <c r="A167" t="s">
        <v>442</v>
      </c>
      <c r="B167" t="s">
        <v>443</v>
      </c>
      <c r="C167">
        <v>7</v>
      </c>
      <c r="D167">
        <v>114.85</v>
      </c>
      <c r="F167" t="s">
        <v>406</v>
      </c>
      <c r="G167" t="s">
        <v>407</v>
      </c>
      <c r="H167">
        <v>4</v>
      </c>
      <c r="I167">
        <v>52.72</v>
      </c>
    </row>
    <row r="168" spans="1:9" x14ac:dyDescent="0.25">
      <c r="A168" t="s">
        <v>63</v>
      </c>
      <c r="B168" t="s">
        <v>64</v>
      </c>
      <c r="C168">
        <v>9</v>
      </c>
      <c r="D168">
        <v>527.06999999999994</v>
      </c>
      <c r="F168" t="s">
        <v>35</v>
      </c>
      <c r="G168" t="s">
        <v>36</v>
      </c>
      <c r="H168">
        <v>100</v>
      </c>
      <c r="I168">
        <v>1631</v>
      </c>
    </row>
    <row r="169" spans="1:9" x14ac:dyDescent="0.25">
      <c r="A169" t="s">
        <v>271</v>
      </c>
      <c r="B169" t="s">
        <v>272</v>
      </c>
      <c r="C169">
        <v>5</v>
      </c>
      <c r="D169">
        <v>103.59</v>
      </c>
      <c r="F169" t="s">
        <v>291</v>
      </c>
      <c r="G169" t="s">
        <v>292</v>
      </c>
      <c r="H169">
        <v>9</v>
      </c>
      <c r="I169">
        <v>72.989999999999995</v>
      </c>
    </row>
    <row r="170" spans="1:9" x14ac:dyDescent="0.25">
      <c r="A170" t="s">
        <v>160</v>
      </c>
      <c r="B170" t="s">
        <v>161</v>
      </c>
      <c r="C170">
        <v>34</v>
      </c>
      <c r="D170">
        <v>389.38999999999993</v>
      </c>
      <c r="F170" t="s">
        <v>158</v>
      </c>
      <c r="G170" t="s">
        <v>159</v>
      </c>
      <c r="H170">
        <v>57</v>
      </c>
      <c r="I170">
        <v>5001.34</v>
      </c>
    </row>
    <row r="171" spans="1:9" x14ac:dyDescent="0.25">
      <c r="A171" t="s">
        <v>182</v>
      </c>
      <c r="B171" t="s">
        <v>183</v>
      </c>
      <c r="C171">
        <v>1</v>
      </c>
      <c r="D171">
        <v>21.6</v>
      </c>
      <c r="F171" t="s">
        <v>82</v>
      </c>
      <c r="G171" t="s">
        <v>83</v>
      </c>
      <c r="H171">
        <v>4</v>
      </c>
      <c r="I171">
        <v>380.8</v>
      </c>
    </row>
    <row r="172" spans="1:9" x14ac:dyDescent="0.25">
      <c r="A172" t="s">
        <v>289</v>
      </c>
      <c r="B172" t="s">
        <v>290</v>
      </c>
      <c r="C172">
        <v>16</v>
      </c>
      <c r="D172">
        <v>360.32000000000005</v>
      </c>
      <c r="F172" t="s">
        <v>112</v>
      </c>
      <c r="G172" t="s">
        <v>113</v>
      </c>
      <c r="H172">
        <v>62</v>
      </c>
      <c r="I172">
        <v>690.53</v>
      </c>
    </row>
    <row r="173" spans="1:9" x14ac:dyDescent="0.25">
      <c r="A173" t="s">
        <v>356</v>
      </c>
      <c r="B173" t="s">
        <v>357</v>
      </c>
      <c r="C173">
        <v>0</v>
      </c>
      <c r="D173">
        <v>0</v>
      </c>
      <c r="F173" t="s">
        <v>287</v>
      </c>
      <c r="G173" t="s">
        <v>288</v>
      </c>
      <c r="H173">
        <v>2</v>
      </c>
      <c r="I173">
        <v>88.34</v>
      </c>
    </row>
    <row r="174" spans="1:9" x14ac:dyDescent="0.25">
      <c r="A174" t="s">
        <v>316</v>
      </c>
      <c r="B174" t="s">
        <v>317</v>
      </c>
      <c r="C174">
        <v>11</v>
      </c>
      <c r="D174">
        <v>55.180000000000007</v>
      </c>
      <c r="F174" t="s">
        <v>29</v>
      </c>
      <c r="G174" t="s">
        <v>30</v>
      </c>
      <c r="H174">
        <v>558</v>
      </c>
      <c r="I174">
        <v>9074.8700000000008</v>
      </c>
    </row>
    <row r="175" spans="1:9" x14ac:dyDescent="0.25">
      <c r="A175" t="s">
        <v>514</v>
      </c>
      <c r="B175" t="s">
        <v>515</v>
      </c>
      <c r="C175">
        <v>0</v>
      </c>
      <c r="D175">
        <v>0</v>
      </c>
      <c r="F175" t="s">
        <v>460</v>
      </c>
      <c r="G175" t="s">
        <v>461</v>
      </c>
      <c r="H175">
        <v>0</v>
      </c>
      <c r="I175">
        <v>0</v>
      </c>
    </row>
    <row r="176" spans="1:9" x14ac:dyDescent="0.25">
      <c r="A176" t="s">
        <v>354</v>
      </c>
      <c r="B176" t="s">
        <v>355</v>
      </c>
      <c r="C176">
        <v>3</v>
      </c>
      <c r="D176">
        <v>135.37</v>
      </c>
      <c r="F176" t="s">
        <v>636</v>
      </c>
      <c r="G176" t="s">
        <v>637</v>
      </c>
      <c r="H176">
        <v>1</v>
      </c>
      <c r="I176">
        <v>160.65</v>
      </c>
    </row>
    <row r="177" spans="1:9" x14ac:dyDescent="0.25">
      <c r="A177" t="s">
        <v>512</v>
      </c>
      <c r="B177" t="s">
        <v>513</v>
      </c>
      <c r="C177">
        <v>3</v>
      </c>
      <c r="D177">
        <v>47.239999999999995</v>
      </c>
      <c r="F177" t="s">
        <v>126</v>
      </c>
      <c r="G177" t="s">
        <v>127</v>
      </c>
      <c r="H177">
        <v>453</v>
      </c>
      <c r="I177">
        <v>2224.23</v>
      </c>
    </row>
    <row r="178" spans="1:9" x14ac:dyDescent="0.25">
      <c r="A178" t="s">
        <v>720</v>
      </c>
      <c r="B178" t="s">
        <v>721</v>
      </c>
      <c r="C178">
        <v>0</v>
      </c>
      <c r="D178">
        <v>0</v>
      </c>
      <c r="F178" t="s">
        <v>43</v>
      </c>
      <c r="G178" t="s">
        <v>44</v>
      </c>
      <c r="H178">
        <v>31</v>
      </c>
      <c r="I178">
        <v>172.86</v>
      </c>
    </row>
    <row r="179" spans="1:9" x14ac:dyDescent="0.25">
      <c r="A179" t="s">
        <v>626</v>
      </c>
      <c r="B179" t="s">
        <v>627</v>
      </c>
      <c r="C179">
        <v>8</v>
      </c>
      <c r="D179">
        <v>464.51</v>
      </c>
      <c r="F179" t="s">
        <v>380</v>
      </c>
      <c r="G179" t="s">
        <v>381</v>
      </c>
      <c r="H179">
        <v>9</v>
      </c>
      <c r="I179">
        <v>33.79</v>
      </c>
    </row>
    <row r="180" spans="1:9" x14ac:dyDescent="0.25">
      <c r="A180" t="s">
        <v>686</v>
      </c>
      <c r="B180" t="s">
        <v>687</v>
      </c>
      <c r="C180">
        <v>2</v>
      </c>
      <c r="D180">
        <v>35.200000000000003</v>
      </c>
      <c r="F180" t="s">
        <v>506</v>
      </c>
      <c r="G180" t="s">
        <v>507</v>
      </c>
      <c r="H180">
        <v>99</v>
      </c>
      <c r="I180">
        <v>1096.6500000000001</v>
      </c>
    </row>
    <row r="181" spans="1:9" x14ac:dyDescent="0.25">
      <c r="A181" t="s">
        <v>726</v>
      </c>
      <c r="B181" t="s">
        <v>727</v>
      </c>
      <c r="C181">
        <v>0</v>
      </c>
      <c r="D181">
        <v>0</v>
      </c>
      <c r="F181" t="s">
        <v>608</v>
      </c>
      <c r="G181" t="s">
        <v>609</v>
      </c>
      <c r="H181">
        <v>168</v>
      </c>
      <c r="I181">
        <v>1493.58</v>
      </c>
    </row>
    <row r="182" spans="1:9" x14ac:dyDescent="0.25">
      <c r="A182" t="s">
        <v>31</v>
      </c>
      <c r="B182" t="s">
        <v>32</v>
      </c>
      <c r="C182">
        <v>648</v>
      </c>
      <c r="D182">
        <v>6687.3600000000015</v>
      </c>
      <c r="F182" t="s">
        <v>620</v>
      </c>
      <c r="G182" t="s">
        <v>621</v>
      </c>
      <c r="H182">
        <v>3</v>
      </c>
      <c r="I182">
        <v>122.7</v>
      </c>
    </row>
    <row r="183" spans="1:9" x14ac:dyDescent="0.25">
      <c r="A183" t="s">
        <v>390</v>
      </c>
      <c r="B183" t="s">
        <v>391</v>
      </c>
      <c r="C183">
        <v>0</v>
      </c>
      <c r="D183">
        <v>0</v>
      </c>
      <c r="F183" t="s">
        <v>624</v>
      </c>
      <c r="G183" t="s">
        <v>625</v>
      </c>
      <c r="H183">
        <v>12</v>
      </c>
      <c r="I183">
        <v>464.74</v>
      </c>
    </row>
    <row r="184" spans="1:9" x14ac:dyDescent="0.25">
      <c r="A184" t="s">
        <v>100</v>
      </c>
      <c r="B184" t="s">
        <v>101</v>
      </c>
      <c r="C184">
        <v>9</v>
      </c>
      <c r="D184">
        <v>536.88</v>
      </c>
      <c r="F184" t="s">
        <v>680</v>
      </c>
      <c r="G184" t="s">
        <v>681</v>
      </c>
      <c r="H184">
        <v>2</v>
      </c>
      <c r="I184">
        <v>50.2</v>
      </c>
    </row>
    <row r="185" spans="1:9" x14ac:dyDescent="0.25">
      <c r="A185" t="s">
        <v>578</v>
      </c>
      <c r="B185" t="s">
        <v>579</v>
      </c>
      <c r="C185">
        <v>2</v>
      </c>
      <c r="D185">
        <v>28.38</v>
      </c>
      <c r="F185" t="s">
        <v>644</v>
      </c>
      <c r="G185" t="s">
        <v>645</v>
      </c>
      <c r="H185">
        <v>1</v>
      </c>
      <c r="I185">
        <v>39.58</v>
      </c>
    </row>
    <row r="186" spans="1:9" x14ac:dyDescent="0.25">
      <c r="A186" t="s">
        <v>426</v>
      </c>
      <c r="B186" t="s">
        <v>427</v>
      </c>
      <c r="C186">
        <v>3</v>
      </c>
      <c r="D186">
        <v>48.129999999999995</v>
      </c>
      <c r="F186" t="s">
        <v>640</v>
      </c>
      <c r="G186" t="s">
        <v>641</v>
      </c>
      <c r="H186">
        <v>5</v>
      </c>
      <c r="I186">
        <v>143.05000000000001</v>
      </c>
    </row>
    <row r="187" spans="1:9" x14ac:dyDescent="0.25">
      <c r="A187" t="s">
        <v>532</v>
      </c>
      <c r="B187" t="s">
        <v>533</v>
      </c>
      <c r="C187">
        <v>14</v>
      </c>
      <c r="D187">
        <v>154.4</v>
      </c>
      <c r="F187" t="s">
        <v>632</v>
      </c>
      <c r="G187" t="s">
        <v>633</v>
      </c>
      <c r="H187">
        <v>11</v>
      </c>
      <c r="I187">
        <v>188.32</v>
      </c>
    </row>
    <row r="188" spans="1:9" x14ac:dyDescent="0.25">
      <c r="A188" t="s">
        <v>662</v>
      </c>
      <c r="B188" t="s">
        <v>663</v>
      </c>
      <c r="C188">
        <v>9</v>
      </c>
      <c r="D188">
        <v>145.46</v>
      </c>
      <c r="F188" t="s">
        <v>690</v>
      </c>
      <c r="G188" t="s">
        <v>691</v>
      </c>
      <c r="H188">
        <v>1</v>
      </c>
      <c r="I188">
        <v>18.47</v>
      </c>
    </row>
    <row r="189" spans="1:9" x14ac:dyDescent="0.25">
      <c r="A189" t="s">
        <v>454</v>
      </c>
      <c r="B189" t="s">
        <v>455</v>
      </c>
      <c r="C189">
        <v>3</v>
      </c>
      <c r="D189">
        <v>18.72</v>
      </c>
      <c r="F189" t="s">
        <v>622</v>
      </c>
      <c r="G189" t="s">
        <v>623</v>
      </c>
      <c r="H189">
        <v>21</v>
      </c>
      <c r="I189">
        <v>489.7</v>
      </c>
    </row>
    <row r="190" spans="1:9" x14ac:dyDescent="0.25">
      <c r="A190" t="s">
        <v>264</v>
      </c>
      <c r="B190" t="s">
        <v>265</v>
      </c>
      <c r="C190">
        <v>0</v>
      </c>
      <c r="D190">
        <v>0</v>
      </c>
      <c r="F190" t="s">
        <v>646</v>
      </c>
      <c r="G190" t="s">
        <v>647</v>
      </c>
      <c r="H190">
        <v>24</v>
      </c>
      <c r="I190">
        <v>122.81</v>
      </c>
    </row>
    <row r="191" spans="1:9" x14ac:dyDescent="0.25">
      <c r="A191" t="s">
        <v>224</v>
      </c>
      <c r="B191" t="s">
        <v>225</v>
      </c>
      <c r="C191">
        <v>42</v>
      </c>
      <c r="D191">
        <v>608.13</v>
      </c>
      <c r="F191" t="s">
        <v>654</v>
      </c>
      <c r="G191" t="s">
        <v>655</v>
      </c>
      <c r="H191">
        <v>1</v>
      </c>
      <c r="I191">
        <v>6.55</v>
      </c>
    </row>
    <row r="192" spans="1:9" x14ac:dyDescent="0.25">
      <c r="A192" t="s">
        <v>116</v>
      </c>
      <c r="B192" t="s">
        <v>117</v>
      </c>
      <c r="C192">
        <v>4</v>
      </c>
      <c r="D192">
        <v>65.52</v>
      </c>
      <c r="F192" t="s">
        <v>612</v>
      </c>
      <c r="G192" t="s">
        <v>613</v>
      </c>
      <c r="H192">
        <v>199</v>
      </c>
      <c r="I192">
        <v>1134.1099999999999</v>
      </c>
    </row>
    <row r="193" spans="1:9" x14ac:dyDescent="0.25">
      <c r="A193" t="s">
        <v>150</v>
      </c>
      <c r="B193" t="s">
        <v>151</v>
      </c>
      <c r="C193">
        <v>30</v>
      </c>
      <c r="D193">
        <v>418.83</v>
      </c>
      <c r="F193" t="s">
        <v>604</v>
      </c>
      <c r="G193" t="s">
        <v>605</v>
      </c>
      <c r="H193">
        <v>51</v>
      </c>
      <c r="I193">
        <v>1652.69</v>
      </c>
    </row>
    <row r="194" spans="1:9" x14ac:dyDescent="0.25">
      <c r="A194" t="s">
        <v>332</v>
      </c>
      <c r="B194" t="s">
        <v>333</v>
      </c>
      <c r="C194">
        <v>5</v>
      </c>
      <c r="D194">
        <v>112.74000000000001</v>
      </c>
      <c r="F194" t="s">
        <v>610</v>
      </c>
      <c r="G194" t="s">
        <v>611</v>
      </c>
      <c r="H194">
        <v>85</v>
      </c>
      <c r="I194">
        <v>1342.61</v>
      </c>
    </row>
    <row r="195" spans="1:9" x14ac:dyDescent="0.25">
      <c r="A195" t="s">
        <v>23</v>
      </c>
      <c r="B195" t="s">
        <v>24</v>
      </c>
      <c r="C195">
        <v>343</v>
      </c>
      <c r="D195">
        <v>3486.6300000000006</v>
      </c>
      <c r="F195" t="s">
        <v>616</v>
      </c>
      <c r="G195" t="s">
        <v>617</v>
      </c>
      <c r="H195">
        <v>5</v>
      </c>
      <c r="I195">
        <v>204.5</v>
      </c>
    </row>
    <row r="196" spans="1:9" x14ac:dyDescent="0.25">
      <c r="A196" t="s">
        <v>174</v>
      </c>
      <c r="B196" t="s">
        <v>175</v>
      </c>
      <c r="C196">
        <v>29</v>
      </c>
      <c r="D196">
        <v>234.67000000000002</v>
      </c>
      <c r="F196" t="s">
        <v>606</v>
      </c>
      <c r="G196" t="s">
        <v>607</v>
      </c>
      <c r="H196">
        <v>95</v>
      </c>
      <c r="I196">
        <v>1549.45</v>
      </c>
    </row>
    <row r="197" spans="1:9" x14ac:dyDescent="0.25">
      <c r="A197" t="s">
        <v>55</v>
      </c>
      <c r="B197" t="s">
        <v>56</v>
      </c>
      <c r="C197">
        <v>1</v>
      </c>
      <c r="D197">
        <v>9.51</v>
      </c>
      <c r="F197" t="s">
        <v>600</v>
      </c>
      <c r="G197" t="s">
        <v>601</v>
      </c>
      <c r="H197">
        <v>324</v>
      </c>
      <c r="I197">
        <v>5284.44</v>
      </c>
    </row>
    <row r="198" spans="1:9" x14ac:dyDescent="0.25">
      <c r="A198" t="s">
        <v>275</v>
      </c>
      <c r="B198" t="s">
        <v>276</v>
      </c>
      <c r="C198">
        <v>1</v>
      </c>
      <c r="D198">
        <v>16.45</v>
      </c>
      <c r="F198" t="s">
        <v>602</v>
      </c>
      <c r="G198" t="s">
        <v>603</v>
      </c>
      <c r="H198">
        <v>137</v>
      </c>
      <c r="I198">
        <v>2234.4699999999998</v>
      </c>
    </row>
    <row r="199" spans="1:9" x14ac:dyDescent="0.25">
      <c r="A199" t="s">
        <v>14</v>
      </c>
      <c r="B199" t="s">
        <v>15</v>
      </c>
      <c r="C199">
        <v>678</v>
      </c>
      <c r="D199">
        <v>8596.59</v>
      </c>
      <c r="F199" t="s">
        <v>652</v>
      </c>
      <c r="G199" t="s">
        <v>653</v>
      </c>
      <c r="H199">
        <v>0</v>
      </c>
      <c r="I199">
        <v>0</v>
      </c>
    </row>
    <row r="200" spans="1:9" x14ac:dyDescent="0.25">
      <c r="A200" t="s">
        <v>344</v>
      </c>
      <c r="B200" t="s">
        <v>345</v>
      </c>
      <c r="C200">
        <v>24</v>
      </c>
      <c r="D200">
        <v>276.97000000000003</v>
      </c>
      <c r="F200" t="s">
        <v>614</v>
      </c>
      <c r="G200" t="s">
        <v>615</v>
      </c>
      <c r="H200">
        <v>40</v>
      </c>
      <c r="I200">
        <v>1210</v>
      </c>
    </row>
    <row r="201" spans="1:9" x14ac:dyDescent="0.25">
      <c r="A201" t="s">
        <v>504</v>
      </c>
      <c r="B201" t="s">
        <v>505</v>
      </c>
      <c r="C201">
        <v>1</v>
      </c>
      <c r="D201">
        <v>5.42</v>
      </c>
      <c r="F201" t="s">
        <v>650</v>
      </c>
      <c r="G201" t="s">
        <v>651</v>
      </c>
      <c r="H201">
        <v>8</v>
      </c>
      <c r="I201">
        <v>117.36</v>
      </c>
    </row>
    <row r="202" spans="1:9" x14ac:dyDescent="0.25">
      <c r="A202" t="s">
        <v>246</v>
      </c>
      <c r="B202" t="s">
        <v>247</v>
      </c>
      <c r="C202">
        <v>35</v>
      </c>
      <c r="D202">
        <v>428.14</v>
      </c>
      <c r="F202" t="s">
        <v>10440</v>
      </c>
      <c r="H202">
        <v>6632</v>
      </c>
      <c r="I202">
        <v>104761.64000000001</v>
      </c>
    </row>
    <row r="203" spans="1:9" x14ac:dyDescent="0.25">
      <c r="A203" t="s">
        <v>670</v>
      </c>
      <c r="B203" t="s">
        <v>671</v>
      </c>
      <c r="C203">
        <v>2</v>
      </c>
      <c r="D203">
        <v>65.400000000000006</v>
      </c>
    </row>
    <row r="204" spans="1:9" x14ac:dyDescent="0.25">
      <c r="A204" t="s">
        <v>86</v>
      </c>
      <c r="B204" t="s">
        <v>87</v>
      </c>
      <c r="C204">
        <v>5</v>
      </c>
      <c r="D204">
        <v>150.29</v>
      </c>
    </row>
    <row r="205" spans="1:9" x14ac:dyDescent="0.25">
      <c r="A205" t="s">
        <v>304</v>
      </c>
      <c r="B205" t="s">
        <v>305</v>
      </c>
      <c r="C205">
        <v>22</v>
      </c>
      <c r="D205">
        <v>1103.1299999999999</v>
      </c>
    </row>
    <row r="206" spans="1:9" x14ac:dyDescent="0.25">
      <c r="A206" t="s">
        <v>574</v>
      </c>
      <c r="B206" t="s">
        <v>575</v>
      </c>
      <c r="C206">
        <v>21</v>
      </c>
      <c r="D206">
        <v>2.93</v>
      </c>
    </row>
    <row r="207" spans="1:9" x14ac:dyDescent="0.25">
      <c r="A207" t="s">
        <v>256</v>
      </c>
      <c r="B207" t="s">
        <v>257</v>
      </c>
      <c r="C207">
        <v>5</v>
      </c>
      <c r="D207">
        <v>208.96</v>
      </c>
    </row>
    <row r="208" spans="1:9" x14ac:dyDescent="0.25">
      <c r="A208" t="s">
        <v>277</v>
      </c>
      <c r="B208" t="s">
        <v>278</v>
      </c>
      <c r="C208">
        <v>243</v>
      </c>
      <c r="D208">
        <v>3443.5699999999997</v>
      </c>
    </row>
    <row r="209" spans="1:4" x14ac:dyDescent="0.25">
      <c r="A209" t="s">
        <v>404</v>
      </c>
      <c r="B209" t="s">
        <v>405</v>
      </c>
      <c r="C209">
        <v>6</v>
      </c>
      <c r="D209">
        <v>91.74</v>
      </c>
    </row>
    <row r="210" spans="1:4" x14ac:dyDescent="0.25">
      <c r="A210" t="s">
        <v>178</v>
      </c>
      <c r="B210" t="s">
        <v>179</v>
      </c>
      <c r="C210">
        <v>9</v>
      </c>
      <c r="D210">
        <v>194.04</v>
      </c>
    </row>
    <row r="211" spans="1:4" x14ac:dyDescent="0.25">
      <c r="A211" t="s">
        <v>120</v>
      </c>
      <c r="B211" t="s">
        <v>121</v>
      </c>
      <c r="C211">
        <v>79</v>
      </c>
      <c r="D211">
        <v>2302.19</v>
      </c>
    </row>
    <row r="212" spans="1:4" x14ac:dyDescent="0.25">
      <c r="A212" t="s">
        <v>410</v>
      </c>
      <c r="B212" t="s">
        <v>411</v>
      </c>
      <c r="C212">
        <v>1</v>
      </c>
      <c r="D212">
        <v>61.57</v>
      </c>
    </row>
    <row r="213" spans="1:4" x14ac:dyDescent="0.25">
      <c r="A213" t="s">
        <v>238</v>
      </c>
      <c r="B213" t="s">
        <v>239</v>
      </c>
      <c r="C213">
        <v>188</v>
      </c>
      <c r="D213">
        <v>2349.3199999999997</v>
      </c>
    </row>
    <row r="214" spans="1:4" x14ac:dyDescent="0.25">
      <c r="A214" t="s">
        <v>414</v>
      </c>
      <c r="B214" t="s">
        <v>415</v>
      </c>
      <c r="C214">
        <v>0</v>
      </c>
      <c r="D214">
        <v>0</v>
      </c>
    </row>
    <row r="215" spans="1:4" x14ac:dyDescent="0.25">
      <c r="A215" t="s">
        <v>222</v>
      </c>
      <c r="B215" t="s">
        <v>223</v>
      </c>
      <c r="C215">
        <v>16</v>
      </c>
      <c r="D215">
        <v>1706.5</v>
      </c>
    </row>
    <row r="216" spans="1:4" x14ac:dyDescent="0.25">
      <c r="A216" t="s">
        <v>146</v>
      </c>
      <c r="B216" t="s">
        <v>147</v>
      </c>
      <c r="C216">
        <v>10</v>
      </c>
      <c r="D216">
        <v>852.7</v>
      </c>
    </row>
    <row r="217" spans="1:4" x14ac:dyDescent="0.25">
      <c r="A217" t="s">
        <v>242</v>
      </c>
      <c r="B217" t="s">
        <v>243</v>
      </c>
      <c r="C217">
        <v>1</v>
      </c>
      <c r="D217">
        <v>58.2</v>
      </c>
    </row>
    <row r="218" spans="1:4" x14ac:dyDescent="0.25">
      <c r="A218" t="s">
        <v>124</v>
      </c>
      <c r="B218" t="s">
        <v>125</v>
      </c>
      <c r="C218">
        <v>28</v>
      </c>
      <c r="D218">
        <v>720.15000000000009</v>
      </c>
    </row>
    <row r="219" spans="1:4" x14ac:dyDescent="0.25">
      <c r="A219" t="s">
        <v>154</v>
      </c>
      <c r="B219" t="s">
        <v>155</v>
      </c>
      <c r="C219">
        <v>20</v>
      </c>
      <c r="D219">
        <v>490.2</v>
      </c>
    </row>
    <row r="220" spans="1:4" x14ac:dyDescent="0.25">
      <c r="A220" t="s">
        <v>140</v>
      </c>
      <c r="B220" t="s">
        <v>141</v>
      </c>
      <c r="C220">
        <v>121</v>
      </c>
      <c r="D220">
        <v>2369.2999999999997</v>
      </c>
    </row>
    <row r="221" spans="1:4" x14ac:dyDescent="0.25">
      <c r="A221" t="s">
        <v>522</v>
      </c>
      <c r="B221" t="s">
        <v>523</v>
      </c>
      <c r="C221">
        <v>1</v>
      </c>
      <c r="D221">
        <v>49.1</v>
      </c>
    </row>
    <row r="222" spans="1:4" x14ac:dyDescent="0.25">
      <c r="A222" t="s">
        <v>166</v>
      </c>
      <c r="B222" t="s">
        <v>167</v>
      </c>
      <c r="C222">
        <v>0</v>
      </c>
      <c r="D222">
        <v>0</v>
      </c>
    </row>
    <row r="223" spans="1:4" x14ac:dyDescent="0.25">
      <c r="A223" t="s">
        <v>508</v>
      </c>
      <c r="B223" t="s">
        <v>509</v>
      </c>
      <c r="C223">
        <v>2</v>
      </c>
      <c r="D223">
        <v>12.32</v>
      </c>
    </row>
    <row r="224" spans="1:4" x14ac:dyDescent="0.25">
      <c r="A224" t="s">
        <v>338</v>
      </c>
      <c r="B224" t="s">
        <v>339</v>
      </c>
      <c r="C224">
        <v>8</v>
      </c>
      <c r="D224">
        <v>115.44</v>
      </c>
    </row>
    <row r="225" spans="1:4" x14ac:dyDescent="0.25">
      <c r="A225" t="s">
        <v>400</v>
      </c>
      <c r="B225" t="s">
        <v>401</v>
      </c>
      <c r="C225">
        <v>0</v>
      </c>
      <c r="D225">
        <v>0</v>
      </c>
    </row>
    <row r="226" spans="1:4" x14ac:dyDescent="0.25">
      <c r="A226" t="s">
        <v>464</v>
      </c>
      <c r="B226" t="s">
        <v>465</v>
      </c>
      <c r="C226">
        <v>0</v>
      </c>
      <c r="D226">
        <v>0</v>
      </c>
    </row>
    <row r="227" spans="1:4" x14ac:dyDescent="0.25">
      <c r="A227" t="s">
        <v>192</v>
      </c>
      <c r="B227" t="s">
        <v>193</v>
      </c>
      <c r="C227">
        <v>5</v>
      </c>
      <c r="D227">
        <v>425.66999999999996</v>
      </c>
    </row>
    <row r="228" spans="1:4" x14ac:dyDescent="0.25">
      <c r="A228" t="s">
        <v>656</v>
      </c>
      <c r="B228" t="s">
        <v>657</v>
      </c>
      <c r="C228">
        <v>3</v>
      </c>
      <c r="D228">
        <v>106.26</v>
      </c>
    </row>
    <row r="229" spans="1:4" x14ac:dyDescent="0.25">
      <c r="A229" t="s">
        <v>96</v>
      </c>
      <c r="B229" t="s">
        <v>97</v>
      </c>
      <c r="C229">
        <v>110</v>
      </c>
      <c r="D229">
        <v>1527.2000000000003</v>
      </c>
    </row>
    <row r="230" spans="1:4" x14ac:dyDescent="0.25">
      <c r="A230" t="s">
        <v>500</v>
      </c>
      <c r="B230" t="s">
        <v>501</v>
      </c>
      <c r="C230">
        <v>2</v>
      </c>
      <c r="D230">
        <v>21.41</v>
      </c>
    </row>
    <row r="231" spans="1:4" x14ac:dyDescent="0.25">
      <c r="A231" t="s">
        <v>194</v>
      </c>
      <c r="B231" t="s">
        <v>195</v>
      </c>
      <c r="C231">
        <v>44</v>
      </c>
      <c r="D231">
        <v>1593.6399999999999</v>
      </c>
    </row>
    <row r="232" spans="1:4" x14ac:dyDescent="0.25">
      <c r="A232" t="s">
        <v>248</v>
      </c>
      <c r="B232" t="s">
        <v>249</v>
      </c>
      <c r="C232">
        <v>15</v>
      </c>
      <c r="D232">
        <v>379.73999999999995</v>
      </c>
    </row>
    <row r="233" spans="1:4" x14ac:dyDescent="0.25">
      <c r="A233" t="s">
        <v>39</v>
      </c>
      <c r="B233" t="s">
        <v>40</v>
      </c>
      <c r="C233">
        <v>520</v>
      </c>
      <c r="D233">
        <v>5611.14</v>
      </c>
    </row>
    <row r="234" spans="1:4" x14ac:dyDescent="0.25">
      <c r="A234" t="s">
        <v>148</v>
      </c>
      <c r="B234" t="s">
        <v>149</v>
      </c>
      <c r="C234">
        <v>16</v>
      </c>
      <c r="D234">
        <v>526.41</v>
      </c>
    </row>
    <row r="235" spans="1:4" x14ac:dyDescent="0.25">
      <c r="A235" t="s">
        <v>416</v>
      </c>
      <c r="B235" t="s">
        <v>417</v>
      </c>
      <c r="C235">
        <v>4</v>
      </c>
      <c r="D235">
        <v>187.86</v>
      </c>
    </row>
    <row r="236" spans="1:4" x14ac:dyDescent="0.25">
      <c r="A236" t="s">
        <v>184</v>
      </c>
      <c r="B236" t="s">
        <v>185</v>
      </c>
      <c r="C236">
        <v>12</v>
      </c>
      <c r="D236">
        <v>236.48000000000002</v>
      </c>
    </row>
    <row r="237" spans="1:4" x14ac:dyDescent="0.25">
      <c r="A237" t="s">
        <v>252</v>
      </c>
      <c r="B237" t="s">
        <v>253</v>
      </c>
      <c r="C237">
        <v>20</v>
      </c>
      <c r="D237">
        <v>366.40999999999997</v>
      </c>
    </row>
    <row r="238" spans="1:4" x14ac:dyDescent="0.25">
      <c r="A238" t="s">
        <v>152</v>
      </c>
      <c r="B238" t="s">
        <v>153</v>
      </c>
      <c r="C238">
        <v>32</v>
      </c>
      <c r="D238">
        <v>608.34</v>
      </c>
    </row>
    <row r="239" spans="1:4" x14ac:dyDescent="0.25">
      <c r="A239" t="s">
        <v>236</v>
      </c>
      <c r="B239" t="s">
        <v>237</v>
      </c>
      <c r="C239">
        <v>3</v>
      </c>
      <c r="D239">
        <v>123.25999999999999</v>
      </c>
    </row>
    <row r="240" spans="1:4" x14ac:dyDescent="0.25">
      <c r="A240" t="s">
        <v>406</v>
      </c>
      <c r="B240" t="s">
        <v>407</v>
      </c>
      <c r="C240">
        <v>10</v>
      </c>
      <c r="D240">
        <v>136.38999999999999</v>
      </c>
    </row>
    <row r="241" spans="1:4" x14ac:dyDescent="0.25">
      <c r="A241" t="s">
        <v>35</v>
      </c>
      <c r="B241" t="s">
        <v>36</v>
      </c>
      <c r="C241">
        <v>114</v>
      </c>
      <c r="D241">
        <v>1866.3</v>
      </c>
    </row>
    <row r="242" spans="1:4" x14ac:dyDescent="0.25">
      <c r="A242" t="s">
        <v>346</v>
      </c>
      <c r="B242" t="s">
        <v>347</v>
      </c>
      <c r="C242">
        <v>88</v>
      </c>
      <c r="D242">
        <v>3901.1</v>
      </c>
    </row>
    <row r="243" spans="1:4" x14ac:dyDescent="0.25">
      <c r="A243" t="s">
        <v>291</v>
      </c>
      <c r="B243" t="s">
        <v>292</v>
      </c>
      <c r="C243">
        <v>9</v>
      </c>
      <c r="D243">
        <v>72.989999999999995</v>
      </c>
    </row>
    <row r="244" spans="1:4" x14ac:dyDescent="0.25">
      <c r="A244" t="s">
        <v>158</v>
      </c>
      <c r="B244" t="s">
        <v>159</v>
      </c>
      <c r="C244">
        <v>74</v>
      </c>
      <c r="D244">
        <v>6564.6100000000006</v>
      </c>
    </row>
    <row r="245" spans="1:4" x14ac:dyDescent="0.25">
      <c r="A245" t="s">
        <v>82</v>
      </c>
      <c r="B245" t="s">
        <v>83</v>
      </c>
      <c r="C245">
        <v>4</v>
      </c>
      <c r="D245">
        <v>380.8</v>
      </c>
    </row>
    <row r="246" spans="1:4" x14ac:dyDescent="0.25">
      <c r="A246" t="s">
        <v>112</v>
      </c>
      <c r="B246" t="s">
        <v>113</v>
      </c>
      <c r="C246">
        <v>148</v>
      </c>
      <c r="D246">
        <v>1752.33</v>
      </c>
    </row>
    <row r="247" spans="1:4" x14ac:dyDescent="0.25">
      <c r="A247" t="s">
        <v>546</v>
      </c>
      <c r="B247" t="s">
        <v>547</v>
      </c>
      <c r="C247">
        <v>1</v>
      </c>
      <c r="D247">
        <v>58.74</v>
      </c>
    </row>
    <row r="248" spans="1:4" x14ac:dyDescent="0.25">
      <c r="A248" t="s">
        <v>287</v>
      </c>
      <c r="B248" t="s">
        <v>288</v>
      </c>
      <c r="C248">
        <v>2</v>
      </c>
      <c r="D248">
        <v>88.34</v>
      </c>
    </row>
    <row r="249" spans="1:4" x14ac:dyDescent="0.25">
      <c r="A249" t="s">
        <v>29</v>
      </c>
      <c r="B249" t="s">
        <v>30</v>
      </c>
      <c r="C249">
        <v>623</v>
      </c>
      <c r="D249">
        <v>10619.670000000002</v>
      </c>
    </row>
    <row r="250" spans="1:4" x14ac:dyDescent="0.25">
      <c r="A250" t="s">
        <v>460</v>
      </c>
      <c r="B250" t="s">
        <v>461</v>
      </c>
      <c r="C250">
        <v>2</v>
      </c>
      <c r="D250">
        <v>96.87</v>
      </c>
    </row>
    <row r="251" spans="1:4" x14ac:dyDescent="0.25">
      <c r="A251" t="s">
        <v>636</v>
      </c>
      <c r="B251" t="s">
        <v>637</v>
      </c>
      <c r="C251">
        <v>1</v>
      </c>
      <c r="D251">
        <v>160.65</v>
      </c>
    </row>
    <row r="252" spans="1:4" x14ac:dyDescent="0.25">
      <c r="A252" t="s">
        <v>126</v>
      </c>
      <c r="B252" t="s">
        <v>127</v>
      </c>
      <c r="C252">
        <v>569</v>
      </c>
      <c r="D252">
        <v>2809.4100000000003</v>
      </c>
    </row>
    <row r="253" spans="1:4" x14ac:dyDescent="0.25">
      <c r="A253" t="s">
        <v>43</v>
      </c>
      <c r="B253" t="s">
        <v>44</v>
      </c>
      <c r="C253">
        <v>144</v>
      </c>
      <c r="D253">
        <v>920.59</v>
      </c>
    </row>
    <row r="254" spans="1:4" x14ac:dyDescent="0.25">
      <c r="A254" t="s">
        <v>380</v>
      </c>
      <c r="B254" t="s">
        <v>381</v>
      </c>
      <c r="C254">
        <v>9</v>
      </c>
      <c r="D254">
        <v>33.79</v>
      </c>
    </row>
    <row r="255" spans="1:4" x14ac:dyDescent="0.25">
      <c r="A255" t="s">
        <v>672</v>
      </c>
      <c r="B255" t="s">
        <v>673</v>
      </c>
      <c r="C255">
        <v>1</v>
      </c>
      <c r="D255">
        <v>62.18</v>
      </c>
    </row>
    <row r="256" spans="1:4" x14ac:dyDescent="0.25">
      <c r="A256" t="s">
        <v>506</v>
      </c>
      <c r="B256" t="s">
        <v>507</v>
      </c>
      <c r="C256">
        <v>306</v>
      </c>
      <c r="D256">
        <v>3686.1200000000003</v>
      </c>
    </row>
    <row r="257" spans="1:4" x14ac:dyDescent="0.25">
      <c r="A257" t="s">
        <v>364</v>
      </c>
      <c r="B257" t="s">
        <v>365</v>
      </c>
      <c r="C257">
        <v>13</v>
      </c>
      <c r="D257">
        <v>546.92000000000007</v>
      </c>
    </row>
    <row r="258" spans="1:4" x14ac:dyDescent="0.25">
      <c r="A258" t="s">
        <v>608</v>
      </c>
      <c r="B258" t="s">
        <v>609</v>
      </c>
      <c r="C258">
        <v>264</v>
      </c>
      <c r="D258">
        <v>2285.4</v>
      </c>
    </row>
    <row r="259" spans="1:4" x14ac:dyDescent="0.25">
      <c r="A259" t="s">
        <v>620</v>
      </c>
      <c r="B259" t="s">
        <v>621</v>
      </c>
      <c r="C259">
        <v>22</v>
      </c>
      <c r="D259">
        <v>908.24000000000012</v>
      </c>
    </row>
    <row r="260" spans="1:4" x14ac:dyDescent="0.25">
      <c r="A260" t="s">
        <v>624</v>
      </c>
      <c r="B260" t="s">
        <v>625</v>
      </c>
      <c r="C260">
        <v>35</v>
      </c>
      <c r="D260">
        <v>1273.7199999999998</v>
      </c>
    </row>
    <row r="261" spans="1:4" x14ac:dyDescent="0.25">
      <c r="A261" t="s">
        <v>680</v>
      </c>
      <c r="B261" t="s">
        <v>681</v>
      </c>
      <c r="C261">
        <v>3</v>
      </c>
      <c r="D261">
        <v>64.400000000000006</v>
      </c>
    </row>
    <row r="262" spans="1:4" x14ac:dyDescent="0.25">
      <c r="A262" t="s">
        <v>644</v>
      </c>
      <c r="B262" t="s">
        <v>645</v>
      </c>
      <c r="C262">
        <v>4</v>
      </c>
      <c r="D262">
        <v>170.14999999999998</v>
      </c>
    </row>
    <row r="263" spans="1:4" x14ac:dyDescent="0.25">
      <c r="A263" t="s">
        <v>688</v>
      </c>
      <c r="B263" t="s">
        <v>689</v>
      </c>
      <c r="C263">
        <v>1</v>
      </c>
      <c r="D263">
        <v>32.369999999999997</v>
      </c>
    </row>
    <row r="264" spans="1:4" x14ac:dyDescent="0.25">
      <c r="A264" t="s">
        <v>640</v>
      </c>
      <c r="B264" t="s">
        <v>641</v>
      </c>
      <c r="C264">
        <v>6</v>
      </c>
      <c r="D264">
        <v>176.59</v>
      </c>
    </row>
    <row r="265" spans="1:4" x14ac:dyDescent="0.25">
      <c r="A265" t="s">
        <v>668</v>
      </c>
      <c r="B265" t="s">
        <v>669</v>
      </c>
      <c r="C265">
        <v>2</v>
      </c>
      <c r="D265">
        <v>65.599999999999994</v>
      </c>
    </row>
    <row r="266" spans="1:4" x14ac:dyDescent="0.25">
      <c r="A266" t="s">
        <v>664</v>
      </c>
      <c r="B266" t="s">
        <v>665</v>
      </c>
      <c r="C266">
        <v>2</v>
      </c>
      <c r="D266">
        <v>67.09</v>
      </c>
    </row>
    <row r="267" spans="1:4" x14ac:dyDescent="0.25">
      <c r="A267" t="s">
        <v>632</v>
      </c>
      <c r="B267" t="s">
        <v>633</v>
      </c>
      <c r="C267">
        <v>17</v>
      </c>
      <c r="D267">
        <v>315.93</v>
      </c>
    </row>
    <row r="268" spans="1:4" x14ac:dyDescent="0.25">
      <c r="A268" t="s">
        <v>690</v>
      </c>
      <c r="B268" t="s">
        <v>691</v>
      </c>
      <c r="C268">
        <v>315</v>
      </c>
      <c r="D268">
        <v>30.99</v>
      </c>
    </row>
    <row r="269" spans="1:4" x14ac:dyDescent="0.25">
      <c r="A269" t="s">
        <v>698</v>
      </c>
      <c r="B269" t="s">
        <v>699</v>
      </c>
      <c r="C269">
        <v>4</v>
      </c>
      <c r="D269">
        <v>15.36</v>
      </c>
    </row>
    <row r="270" spans="1:4" x14ac:dyDescent="0.25">
      <c r="A270" t="s">
        <v>628</v>
      </c>
      <c r="B270" t="s">
        <v>629</v>
      </c>
      <c r="C270">
        <v>3</v>
      </c>
      <c r="D270">
        <v>400.21</v>
      </c>
    </row>
    <row r="271" spans="1:4" x14ac:dyDescent="0.25">
      <c r="A271" t="s">
        <v>622</v>
      </c>
      <c r="B271" t="s">
        <v>623</v>
      </c>
      <c r="C271">
        <v>39</v>
      </c>
      <c r="D271">
        <v>863.03000000000009</v>
      </c>
    </row>
    <row r="272" spans="1:4" x14ac:dyDescent="0.25">
      <c r="A272" t="s">
        <v>646</v>
      </c>
      <c r="B272" t="s">
        <v>647</v>
      </c>
      <c r="C272">
        <v>24</v>
      </c>
      <c r="D272">
        <v>122.81</v>
      </c>
    </row>
    <row r="273" spans="1:4" x14ac:dyDescent="0.25">
      <c r="A273" t="s">
        <v>654</v>
      </c>
      <c r="B273" t="s">
        <v>655</v>
      </c>
      <c r="C273">
        <v>18</v>
      </c>
      <c r="D273">
        <v>119.77</v>
      </c>
    </row>
    <row r="274" spans="1:4" x14ac:dyDescent="0.25">
      <c r="A274" t="s">
        <v>612</v>
      </c>
      <c r="B274" t="s">
        <v>613</v>
      </c>
      <c r="C274">
        <v>423</v>
      </c>
      <c r="D274">
        <v>2621.3000000000002</v>
      </c>
    </row>
    <row r="275" spans="1:4" x14ac:dyDescent="0.25">
      <c r="A275" t="s">
        <v>604</v>
      </c>
      <c r="B275" t="s">
        <v>605</v>
      </c>
      <c r="C275">
        <v>93</v>
      </c>
      <c r="D275">
        <v>2805.25</v>
      </c>
    </row>
    <row r="276" spans="1:4" x14ac:dyDescent="0.25">
      <c r="A276" t="s">
        <v>610</v>
      </c>
      <c r="B276" t="s">
        <v>611</v>
      </c>
      <c r="C276">
        <v>234</v>
      </c>
      <c r="D276">
        <v>3595.7999999999997</v>
      </c>
    </row>
    <row r="277" spans="1:4" x14ac:dyDescent="0.25">
      <c r="A277" t="s">
        <v>674</v>
      </c>
      <c r="B277" t="s">
        <v>675</v>
      </c>
      <c r="C277">
        <v>2</v>
      </c>
      <c r="D277">
        <v>102.32</v>
      </c>
    </row>
    <row r="278" spans="1:4" x14ac:dyDescent="0.25">
      <c r="A278" t="s">
        <v>616</v>
      </c>
      <c r="B278" t="s">
        <v>617</v>
      </c>
      <c r="C278">
        <v>21</v>
      </c>
      <c r="D278">
        <v>869.78</v>
      </c>
    </row>
    <row r="279" spans="1:4" x14ac:dyDescent="0.25">
      <c r="A279" t="s">
        <v>606</v>
      </c>
      <c r="B279" t="s">
        <v>607</v>
      </c>
      <c r="C279">
        <v>101</v>
      </c>
      <c r="D279">
        <v>1663.64</v>
      </c>
    </row>
    <row r="280" spans="1:4" x14ac:dyDescent="0.25">
      <c r="A280" t="s">
        <v>600</v>
      </c>
      <c r="B280" t="s">
        <v>601</v>
      </c>
      <c r="C280">
        <v>372</v>
      </c>
      <c r="D280">
        <v>6196.29</v>
      </c>
    </row>
    <row r="281" spans="1:4" x14ac:dyDescent="0.25">
      <c r="A281" t="s">
        <v>602</v>
      </c>
      <c r="B281" t="s">
        <v>603</v>
      </c>
      <c r="C281">
        <v>137</v>
      </c>
      <c r="D281">
        <v>2234.4699999999998</v>
      </c>
    </row>
    <row r="282" spans="1:4" x14ac:dyDescent="0.25">
      <c r="A282" t="s">
        <v>652</v>
      </c>
      <c r="B282" t="s">
        <v>653</v>
      </c>
      <c r="C282">
        <v>3</v>
      </c>
      <c r="D282">
        <v>115.5</v>
      </c>
    </row>
    <row r="283" spans="1:4" x14ac:dyDescent="0.25">
      <c r="A283" t="s">
        <v>614</v>
      </c>
      <c r="B283" t="s">
        <v>615</v>
      </c>
      <c r="C283">
        <v>74</v>
      </c>
      <c r="D283">
        <v>2091.16</v>
      </c>
    </row>
    <row r="284" spans="1:4" x14ac:dyDescent="0.25">
      <c r="A284" t="s">
        <v>650</v>
      </c>
      <c r="B284" t="s">
        <v>651</v>
      </c>
      <c r="C284">
        <v>13</v>
      </c>
      <c r="D284">
        <v>191.48999999999998</v>
      </c>
    </row>
    <row r="285" spans="1:4" x14ac:dyDescent="0.25">
      <c r="A285" t="s">
        <v>10440</v>
      </c>
      <c r="C285">
        <v>13774</v>
      </c>
      <c r="D285">
        <v>219396.13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6F72-A6C5-43C3-8173-653C59D856AE}">
  <dimension ref="A1:G41"/>
  <sheetViews>
    <sheetView workbookViewId="0">
      <selection activeCell="E1" sqref="E1:G1048576"/>
    </sheetView>
  </sheetViews>
  <sheetFormatPr defaultRowHeight="15" x14ac:dyDescent="0.25"/>
  <cols>
    <col min="1" max="1" width="18.28515625" bestFit="1" customWidth="1"/>
    <col min="2" max="2" width="17.85546875" bestFit="1" customWidth="1"/>
    <col min="3" max="3" width="19.7109375" bestFit="1" customWidth="1"/>
    <col min="5" max="5" width="18.28515625" bestFit="1" customWidth="1"/>
    <col min="6" max="6" width="17.85546875" bestFit="1" customWidth="1"/>
    <col min="7" max="7" width="19.7109375" bestFit="1" customWidth="1"/>
  </cols>
  <sheetData>
    <row r="1" spans="1:7" x14ac:dyDescent="0.25">
      <c r="A1" s="3" t="s">
        <v>738</v>
      </c>
      <c r="B1" t="s">
        <v>10466</v>
      </c>
      <c r="E1" t="s">
        <v>738</v>
      </c>
      <c r="F1" t="s">
        <v>1854</v>
      </c>
    </row>
    <row r="3" spans="1:7" x14ac:dyDescent="0.25">
      <c r="A3" s="3" t="s">
        <v>10439</v>
      </c>
      <c r="B3" t="s">
        <v>10443</v>
      </c>
      <c r="C3" t="s">
        <v>10444</v>
      </c>
      <c r="E3" t="s">
        <v>10439</v>
      </c>
      <c r="F3" t="s">
        <v>10443</v>
      </c>
      <c r="G3" t="s">
        <v>10444</v>
      </c>
    </row>
    <row r="4" spans="1:7" x14ac:dyDescent="0.25">
      <c r="A4" s="4" t="s">
        <v>310</v>
      </c>
      <c r="B4">
        <v>3</v>
      </c>
      <c r="C4">
        <v>60.699999999999996</v>
      </c>
      <c r="E4" t="s">
        <v>310</v>
      </c>
      <c r="F4">
        <v>3</v>
      </c>
      <c r="G4">
        <v>60.699999999999996</v>
      </c>
    </row>
    <row r="5" spans="1:7" x14ac:dyDescent="0.25">
      <c r="A5" s="4" t="s">
        <v>98</v>
      </c>
      <c r="B5">
        <v>27</v>
      </c>
      <c r="C5">
        <v>822.29999999999961</v>
      </c>
      <c r="E5" t="s">
        <v>98</v>
      </c>
      <c r="F5">
        <v>27</v>
      </c>
      <c r="G5">
        <v>822.29999999999961</v>
      </c>
    </row>
    <row r="6" spans="1:7" x14ac:dyDescent="0.25">
      <c r="A6" s="4" t="s">
        <v>59</v>
      </c>
      <c r="B6">
        <v>48</v>
      </c>
      <c r="C6">
        <v>1440.2000000000007</v>
      </c>
      <c r="E6" t="s">
        <v>59</v>
      </c>
      <c r="F6">
        <v>48</v>
      </c>
      <c r="G6">
        <v>1440.2000000000007</v>
      </c>
    </row>
    <row r="7" spans="1:7" x14ac:dyDescent="0.25">
      <c r="A7" s="4" t="s">
        <v>320</v>
      </c>
      <c r="B7">
        <v>6</v>
      </c>
      <c r="C7">
        <v>281.39999999999998</v>
      </c>
      <c r="E7" t="s">
        <v>320</v>
      </c>
      <c r="F7">
        <v>6</v>
      </c>
      <c r="G7">
        <v>281.39999999999998</v>
      </c>
    </row>
    <row r="8" spans="1:7" x14ac:dyDescent="0.25">
      <c r="A8" s="4" t="s">
        <v>12</v>
      </c>
      <c r="B8">
        <v>534</v>
      </c>
      <c r="C8">
        <v>10674.529999999895</v>
      </c>
      <c r="E8" t="s">
        <v>12</v>
      </c>
      <c r="F8">
        <v>534</v>
      </c>
      <c r="G8">
        <v>10674.529999999895</v>
      </c>
    </row>
    <row r="9" spans="1:7" x14ac:dyDescent="0.25">
      <c r="A9" s="4" t="s">
        <v>26</v>
      </c>
      <c r="B9">
        <v>394</v>
      </c>
      <c r="C9">
        <v>14503.529999999904</v>
      </c>
      <c r="E9" t="s">
        <v>26</v>
      </c>
      <c r="F9">
        <v>317</v>
      </c>
      <c r="G9">
        <v>11062.429999999938</v>
      </c>
    </row>
    <row r="10" spans="1:7" x14ac:dyDescent="0.25">
      <c r="A10" s="4" t="s">
        <v>61</v>
      </c>
      <c r="B10">
        <v>8</v>
      </c>
      <c r="C10">
        <v>432.79999999999995</v>
      </c>
      <c r="E10" t="s">
        <v>61</v>
      </c>
      <c r="F10">
        <v>8</v>
      </c>
      <c r="G10">
        <v>432.79999999999995</v>
      </c>
    </row>
    <row r="11" spans="1:7" x14ac:dyDescent="0.25">
      <c r="A11" s="4" t="s">
        <v>33</v>
      </c>
      <c r="B11">
        <v>1</v>
      </c>
      <c r="E11" t="s">
        <v>232</v>
      </c>
      <c r="F11">
        <v>18</v>
      </c>
      <c r="G11">
        <v>898.1999999999997</v>
      </c>
    </row>
    <row r="12" spans="1:7" x14ac:dyDescent="0.25">
      <c r="A12" s="4" t="s">
        <v>232</v>
      </c>
      <c r="B12">
        <v>18</v>
      </c>
      <c r="C12">
        <v>898.1999999999997</v>
      </c>
      <c r="E12" t="s">
        <v>53</v>
      </c>
      <c r="F12">
        <v>385</v>
      </c>
      <c r="G12">
        <v>12660.569999999912</v>
      </c>
    </row>
    <row r="13" spans="1:7" x14ac:dyDescent="0.25">
      <c r="A13" s="4" t="s">
        <v>53</v>
      </c>
      <c r="B13">
        <v>388</v>
      </c>
      <c r="C13">
        <v>12795.269999999911</v>
      </c>
      <c r="E13" t="s">
        <v>190</v>
      </c>
      <c r="F13">
        <v>1</v>
      </c>
      <c r="G13">
        <v>36.99</v>
      </c>
    </row>
    <row r="14" spans="1:7" x14ac:dyDescent="0.25">
      <c r="A14" s="4" t="s">
        <v>190</v>
      </c>
      <c r="B14">
        <v>1</v>
      </c>
      <c r="C14">
        <v>36.99</v>
      </c>
      <c r="E14" t="s">
        <v>51</v>
      </c>
      <c r="F14">
        <v>35</v>
      </c>
      <c r="G14">
        <v>871.49999999999955</v>
      </c>
    </row>
    <row r="15" spans="1:7" x14ac:dyDescent="0.25">
      <c r="A15" s="4" t="s">
        <v>51</v>
      </c>
      <c r="B15">
        <v>36</v>
      </c>
      <c r="C15">
        <v>906.39999999999952</v>
      </c>
      <c r="E15" t="s">
        <v>186</v>
      </c>
      <c r="F15">
        <v>8</v>
      </c>
      <c r="G15">
        <v>377.39999999999992</v>
      </c>
    </row>
    <row r="16" spans="1:7" x14ac:dyDescent="0.25">
      <c r="A16" s="4" t="s">
        <v>186</v>
      </c>
      <c r="B16">
        <v>13</v>
      </c>
      <c r="C16">
        <v>626.89999999999986</v>
      </c>
      <c r="E16" t="s">
        <v>122</v>
      </c>
      <c r="F16">
        <v>17</v>
      </c>
      <c r="G16">
        <v>542.9899999999999</v>
      </c>
    </row>
    <row r="17" spans="1:7" x14ac:dyDescent="0.25">
      <c r="A17" s="4" t="s">
        <v>122</v>
      </c>
      <c r="B17">
        <v>17</v>
      </c>
      <c r="C17">
        <v>542.9899999999999</v>
      </c>
      <c r="E17" t="s">
        <v>202</v>
      </c>
      <c r="F17">
        <v>44</v>
      </c>
      <c r="G17">
        <v>652.90999999999951</v>
      </c>
    </row>
    <row r="18" spans="1:7" x14ac:dyDescent="0.25">
      <c r="A18" s="4" t="s">
        <v>202</v>
      </c>
      <c r="B18">
        <v>45</v>
      </c>
      <c r="C18">
        <v>672.80999999999949</v>
      </c>
      <c r="E18" t="s">
        <v>65</v>
      </c>
      <c r="F18">
        <v>229</v>
      </c>
      <c r="G18">
        <v>6838.119999999979</v>
      </c>
    </row>
    <row r="19" spans="1:7" x14ac:dyDescent="0.25">
      <c r="A19" s="4" t="s">
        <v>65</v>
      </c>
      <c r="B19">
        <v>365</v>
      </c>
      <c r="C19">
        <v>12257.319999999916</v>
      </c>
      <c r="E19" t="s">
        <v>75</v>
      </c>
      <c r="F19">
        <v>16</v>
      </c>
      <c r="G19">
        <v>798.39999999999975</v>
      </c>
    </row>
    <row r="20" spans="1:7" x14ac:dyDescent="0.25">
      <c r="A20" s="4" t="s">
        <v>75</v>
      </c>
      <c r="B20">
        <v>20</v>
      </c>
      <c r="C20">
        <v>1037.9999999999998</v>
      </c>
      <c r="E20" t="s">
        <v>134</v>
      </c>
      <c r="F20">
        <v>19</v>
      </c>
      <c r="G20">
        <v>1138.0999999999999</v>
      </c>
    </row>
    <row r="21" spans="1:7" x14ac:dyDescent="0.25">
      <c r="A21" s="4" t="s">
        <v>134</v>
      </c>
      <c r="B21">
        <v>19</v>
      </c>
      <c r="C21">
        <v>1138.0999999999999</v>
      </c>
      <c r="E21" t="s">
        <v>572</v>
      </c>
      <c r="F21">
        <v>1</v>
      </c>
      <c r="G21">
        <v>15.9</v>
      </c>
    </row>
    <row r="22" spans="1:7" x14ac:dyDescent="0.25">
      <c r="A22" s="4" t="s">
        <v>572</v>
      </c>
      <c r="B22">
        <v>1</v>
      </c>
      <c r="C22">
        <v>15.9</v>
      </c>
      <c r="E22" t="s">
        <v>71</v>
      </c>
      <c r="F22">
        <v>104</v>
      </c>
      <c r="G22">
        <v>3109.6000000000017</v>
      </c>
    </row>
    <row r="23" spans="1:7" x14ac:dyDescent="0.25">
      <c r="A23" s="4" t="s">
        <v>71</v>
      </c>
      <c r="B23">
        <v>104</v>
      </c>
      <c r="C23">
        <v>3109.6000000000017</v>
      </c>
      <c r="E23" t="s">
        <v>208</v>
      </c>
      <c r="F23">
        <v>26</v>
      </c>
      <c r="G23">
        <v>2077.400000000001</v>
      </c>
    </row>
    <row r="24" spans="1:7" x14ac:dyDescent="0.25">
      <c r="A24" s="4" t="s">
        <v>208</v>
      </c>
      <c r="B24">
        <v>28</v>
      </c>
      <c r="C24">
        <v>2275.400000000001</v>
      </c>
      <c r="E24" t="s">
        <v>114</v>
      </c>
      <c r="F24">
        <v>3</v>
      </c>
      <c r="G24">
        <v>149.69999999999999</v>
      </c>
    </row>
    <row r="25" spans="1:7" x14ac:dyDescent="0.25">
      <c r="A25" s="4" t="s">
        <v>114</v>
      </c>
      <c r="B25">
        <v>3</v>
      </c>
      <c r="C25">
        <v>149.69999999999999</v>
      </c>
      <c r="E25" t="s">
        <v>88</v>
      </c>
      <c r="F25">
        <v>29</v>
      </c>
      <c r="G25">
        <v>1737.1000000000008</v>
      </c>
    </row>
    <row r="26" spans="1:7" x14ac:dyDescent="0.25">
      <c r="A26" s="4" t="s">
        <v>88</v>
      </c>
      <c r="B26">
        <v>31</v>
      </c>
      <c r="C26">
        <v>1866.900000000001</v>
      </c>
      <c r="E26" t="s">
        <v>21</v>
      </c>
      <c r="F26">
        <v>36</v>
      </c>
      <c r="G26">
        <v>1101.6199999999997</v>
      </c>
    </row>
    <row r="27" spans="1:7" x14ac:dyDescent="0.25">
      <c r="A27" s="4" t="s">
        <v>21</v>
      </c>
      <c r="B27">
        <v>42</v>
      </c>
      <c r="C27">
        <v>1333.8200000000004</v>
      </c>
      <c r="E27" t="s">
        <v>136</v>
      </c>
      <c r="F27">
        <v>1</v>
      </c>
      <c r="G27">
        <v>29.9</v>
      </c>
    </row>
    <row r="28" spans="1:7" x14ac:dyDescent="0.25">
      <c r="A28" s="4" t="s">
        <v>136</v>
      </c>
      <c r="B28">
        <v>1</v>
      </c>
      <c r="C28">
        <v>29.9</v>
      </c>
      <c r="E28" t="s">
        <v>94</v>
      </c>
      <c r="F28">
        <v>2</v>
      </c>
      <c r="G28">
        <v>74.8</v>
      </c>
    </row>
    <row r="29" spans="1:7" x14ac:dyDescent="0.25">
      <c r="A29" s="4" t="s">
        <v>94</v>
      </c>
      <c r="B29">
        <v>2</v>
      </c>
      <c r="C29">
        <v>74.8</v>
      </c>
      <c r="E29" t="s">
        <v>17</v>
      </c>
      <c r="F29">
        <v>94</v>
      </c>
      <c r="G29">
        <v>2171.3700000000031</v>
      </c>
    </row>
    <row r="30" spans="1:7" x14ac:dyDescent="0.25">
      <c r="A30" s="4" t="s">
        <v>17</v>
      </c>
      <c r="B30">
        <v>94</v>
      </c>
      <c r="C30">
        <v>2171.3700000000031</v>
      </c>
      <c r="E30" t="s">
        <v>172</v>
      </c>
      <c r="F30">
        <v>21</v>
      </c>
      <c r="G30">
        <v>842.89999999999975</v>
      </c>
    </row>
    <row r="31" spans="1:7" x14ac:dyDescent="0.25">
      <c r="A31" s="4" t="s">
        <v>172</v>
      </c>
      <c r="B31">
        <v>21</v>
      </c>
      <c r="C31">
        <v>842.89999999999975</v>
      </c>
      <c r="E31" t="s">
        <v>73</v>
      </c>
      <c r="F31">
        <v>66</v>
      </c>
      <c r="G31">
        <v>1051.3999999999994</v>
      </c>
    </row>
    <row r="32" spans="1:7" x14ac:dyDescent="0.25">
      <c r="A32" s="4" t="s">
        <v>73</v>
      </c>
      <c r="B32">
        <v>66</v>
      </c>
      <c r="C32">
        <v>1051.3999999999994</v>
      </c>
      <c r="E32" t="s">
        <v>212</v>
      </c>
      <c r="F32">
        <v>21</v>
      </c>
      <c r="G32">
        <v>837.89999999999975</v>
      </c>
    </row>
    <row r="33" spans="1:7" x14ac:dyDescent="0.25">
      <c r="A33" s="4" t="s">
        <v>212</v>
      </c>
      <c r="B33">
        <v>22</v>
      </c>
      <c r="C33">
        <v>887.79999999999973</v>
      </c>
      <c r="E33" t="s">
        <v>57</v>
      </c>
      <c r="F33">
        <v>5</v>
      </c>
      <c r="G33">
        <v>349.5</v>
      </c>
    </row>
    <row r="34" spans="1:7" x14ac:dyDescent="0.25">
      <c r="A34" s="4" t="s">
        <v>57</v>
      </c>
      <c r="B34">
        <v>5</v>
      </c>
      <c r="C34">
        <v>349.5</v>
      </c>
      <c r="E34" t="s">
        <v>63</v>
      </c>
      <c r="F34">
        <v>23</v>
      </c>
      <c r="G34">
        <v>1820.7000000000005</v>
      </c>
    </row>
    <row r="35" spans="1:7" x14ac:dyDescent="0.25">
      <c r="A35" s="4" t="s">
        <v>63</v>
      </c>
      <c r="B35">
        <v>23</v>
      </c>
      <c r="C35">
        <v>1820.7000000000005</v>
      </c>
      <c r="E35" t="s">
        <v>14</v>
      </c>
      <c r="F35">
        <v>70</v>
      </c>
      <c r="G35">
        <v>1052.9999999999991</v>
      </c>
    </row>
    <row r="36" spans="1:7" x14ac:dyDescent="0.25">
      <c r="A36" s="4" t="s">
        <v>14</v>
      </c>
      <c r="B36">
        <v>71</v>
      </c>
      <c r="C36">
        <v>1077.8999999999992</v>
      </c>
      <c r="E36" t="s">
        <v>86</v>
      </c>
      <c r="F36">
        <v>8</v>
      </c>
      <c r="G36">
        <v>291.2</v>
      </c>
    </row>
    <row r="37" spans="1:7" x14ac:dyDescent="0.25">
      <c r="A37" s="4" t="s">
        <v>86</v>
      </c>
      <c r="B37">
        <v>8</v>
      </c>
      <c r="C37">
        <v>291.2</v>
      </c>
      <c r="E37" t="s">
        <v>96</v>
      </c>
      <c r="F37">
        <v>1</v>
      </c>
      <c r="G37">
        <v>24.9</v>
      </c>
    </row>
    <row r="38" spans="1:7" x14ac:dyDescent="0.25">
      <c r="A38" s="4" t="s">
        <v>96</v>
      </c>
      <c r="B38">
        <v>1</v>
      </c>
      <c r="C38">
        <v>24.9</v>
      </c>
      <c r="E38" t="s">
        <v>152</v>
      </c>
      <c r="F38">
        <v>14</v>
      </c>
      <c r="G38">
        <v>348.6</v>
      </c>
    </row>
    <row r="39" spans="1:7" x14ac:dyDescent="0.25">
      <c r="A39" s="4" t="s">
        <v>152</v>
      </c>
      <c r="B39">
        <v>14</v>
      </c>
      <c r="C39">
        <v>348.6</v>
      </c>
      <c r="E39" t="s">
        <v>35</v>
      </c>
      <c r="F39">
        <v>17</v>
      </c>
      <c r="G39">
        <v>418.80999999999989</v>
      </c>
    </row>
    <row r="40" spans="1:7" x14ac:dyDescent="0.25">
      <c r="A40" s="4" t="s">
        <v>35</v>
      </c>
      <c r="B40">
        <v>17</v>
      </c>
      <c r="C40">
        <v>418.80999999999989</v>
      </c>
      <c r="E40" t="s">
        <v>10440</v>
      </c>
      <c r="F40">
        <v>2257</v>
      </c>
      <c r="G40">
        <v>67095.83999999972</v>
      </c>
    </row>
    <row r="41" spans="1:7" x14ac:dyDescent="0.25">
      <c r="A41" s="4" t="s">
        <v>10440</v>
      </c>
      <c r="B41">
        <v>2497</v>
      </c>
      <c r="C41">
        <v>77269.539999999601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C58C-C42F-414E-A557-841B914191AC}">
  <dimension ref="A3:J363"/>
  <sheetViews>
    <sheetView topLeftCell="A47" workbookViewId="0">
      <selection activeCell="J362" sqref="A4:J362"/>
    </sheetView>
  </sheetViews>
  <sheetFormatPr defaultRowHeight="15" x14ac:dyDescent="0.25"/>
  <cols>
    <col min="1" max="1" width="22" bestFit="1" customWidth="1"/>
    <col min="2" max="2" width="18.28515625" bestFit="1" customWidth="1"/>
    <col min="3" max="3" width="25.7109375" bestFit="1" customWidth="1"/>
    <col min="4" max="4" width="31.28515625" bestFit="1" customWidth="1"/>
    <col min="5" max="5" width="24.140625" bestFit="1" customWidth="1"/>
    <col min="6" max="6" width="29.85546875" bestFit="1" customWidth="1"/>
    <col min="7" max="7" width="30" bestFit="1" customWidth="1"/>
    <col min="8" max="8" width="35.5703125" bestFit="1" customWidth="1"/>
    <col min="9" max="9" width="25.7109375" bestFit="1" customWidth="1"/>
    <col min="10" max="10" width="31.28515625" bestFit="1" customWidth="1"/>
  </cols>
  <sheetData>
    <row r="3" spans="1:10" x14ac:dyDescent="0.25">
      <c r="A3" s="3" t="s">
        <v>0</v>
      </c>
      <c r="B3" s="3" t="s">
        <v>10445</v>
      </c>
      <c r="C3" t="s">
        <v>10458</v>
      </c>
      <c r="D3" t="s">
        <v>10459</v>
      </c>
      <c r="E3" t="s">
        <v>10460</v>
      </c>
      <c r="F3" t="s">
        <v>10461</v>
      </c>
      <c r="G3" t="s">
        <v>10462</v>
      </c>
      <c r="H3" t="s">
        <v>10463</v>
      </c>
      <c r="I3" t="s">
        <v>10464</v>
      </c>
      <c r="J3" t="s">
        <v>10465</v>
      </c>
    </row>
    <row r="4" spans="1:10" x14ac:dyDescent="0.25">
      <c r="A4" t="s">
        <v>310</v>
      </c>
      <c r="B4" t="s">
        <v>311</v>
      </c>
      <c r="C4">
        <v>1183</v>
      </c>
      <c r="D4">
        <v>16822.21</v>
      </c>
      <c r="E4">
        <v>3</v>
      </c>
      <c r="F4">
        <v>60.699999999999996</v>
      </c>
      <c r="G4">
        <v>1186</v>
      </c>
      <c r="H4">
        <v>16882.91</v>
      </c>
      <c r="I4">
        <v>14</v>
      </c>
      <c r="J4">
        <v>182.42</v>
      </c>
    </row>
    <row r="5" spans="1:10" x14ac:dyDescent="0.25">
      <c r="A5" t="s">
        <v>710</v>
      </c>
      <c r="B5" t="s">
        <v>711</v>
      </c>
      <c r="C5">
        <v>1</v>
      </c>
      <c r="D5">
        <v>5.03</v>
      </c>
      <c r="E5">
        <v>0</v>
      </c>
      <c r="F5">
        <v>0</v>
      </c>
      <c r="G5">
        <v>1</v>
      </c>
      <c r="H5">
        <v>5.03</v>
      </c>
      <c r="I5">
        <v>0</v>
      </c>
      <c r="J5">
        <v>0</v>
      </c>
    </row>
    <row r="6" spans="1:10" x14ac:dyDescent="0.25">
      <c r="A6" t="s">
        <v>490</v>
      </c>
      <c r="B6" t="s">
        <v>491</v>
      </c>
      <c r="C6">
        <v>10</v>
      </c>
      <c r="D6">
        <v>127.35</v>
      </c>
      <c r="E6">
        <v>0</v>
      </c>
      <c r="F6">
        <v>0</v>
      </c>
      <c r="G6">
        <v>10</v>
      </c>
      <c r="H6">
        <v>127.35</v>
      </c>
      <c r="I6">
        <v>1</v>
      </c>
      <c r="J6">
        <v>20.59</v>
      </c>
    </row>
    <row r="7" spans="1:10" x14ac:dyDescent="0.25">
      <c r="A7" t="s">
        <v>366</v>
      </c>
      <c r="B7" t="s">
        <v>367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</v>
      </c>
      <c r="J7">
        <v>121.8</v>
      </c>
    </row>
    <row r="8" spans="1:10" x14ac:dyDescent="0.25">
      <c r="A8" t="s">
        <v>494</v>
      </c>
      <c r="B8" t="s">
        <v>495</v>
      </c>
      <c r="C8">
        <v>1</v>
      </c>
      <c r="D8">
        <v>15.18</v>
      </c>
      <c r="E8">
        <v>0</v>
      </c>
      <c r="F8">
        <v>0</v>
      </c>
      <c r="G8">
        <v>1</v>
      </c>
      <c r="H8">
        <v>15.18</v>
      </c>
      <c r="I8">
        <v>2</v>
      </c>
      <c r="J8">
        <v>34.18</v>
      </c>
    </row>
    <row r="9" spans="1:10" x14ac:dyDescent="0.25">
      <c r="A9" t="s">
        <v>203</v>
      </c>
      <c r="B9" t="s">
        <v>204</v>
      </c>
      <c r="C9">
        <v>48</v>
      </c>
      <c r="D9">
        <v>271.81</v>
      </c>
      <c r="E9">
        <v>0</v>
      </c>
      <c r="F9">
        <v>0</v>
      </c>
      <c r="G9">
        <v>48</v>
      </c>
      <c r="H9">
        <v>271.81</v>
      </c>
      <c r="I9">
        <v>119</v>
      </c>
      <c r="J9">
        <v>828.55000000000007</v>
      </c>
    </row>
    <row r="10" spans="1:10" x14ac:dyDescent="0.25">
      <c r="A10" t="s">
        <v>536</v>
      </c>
      <c r="B10" t="s">
        <v>537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348</v>
      </c>
      <c r="B11" t="s">
        <v>349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119.51</v>
      </c>
    </row>
    <row r="12" spans="1:10" x14ac:dyDescent="0.25">
      <c r="A12" t="s">
        <v>98</v>
      </c>
      <c r="B12" t="s">
        <v>99</v>
      </c>
      <c r="C12">
        <v>0</v>
      </c>
      <c r="D12">
        <v>0</v>
      </c>
      <c r="E12">
        <v>27</v>
      </c>
      <c r="F12">
        <v>822.29999999999961</v>
      </c>
      <c r="G12">
        <v>27</v>
      </c>
      <c r="H12">
        <v>822.29999999999961</v>
      </c>
      <c r="I12">
        <v>302</v>
      </c>
      <c r="J12">
        <v>6543.9599999999991</v>
      </c>
    </row>
    <row r="13" spans="1:10" x14ac:dyDescent="0.25">
      <c r="A13" t="s">
        <v>470</v>
      </c>
      <c r="B13" t="s">
        <v>471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28.03</v>
      </c>
    </row>
    <row r="14" spans="1:10" x14ac:dyDescent="0.25">
      <c r="A14" t="s">
        <v>394</v>
      </c>
      <c r="B14" t="s">
        <v>395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</v>
      </c>
      <c r="J14">
        <v>104.24</v>
      </c>
    </row>
    <row r="15" spans="1:10" x14ac:dyDescent="0.25">
      <c r="A15" t="s">
        <v>714</v>
      </c>
      <c r="B15" t="s">
        <v>715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580</v>
      </c>
      <c r="B16" t="s">
        <v>581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262</v>
      </c>
      <c r="B17" t="s">
        <v>263</v>
      </c>
      <c r="C17">
        <v>6</v>
      </c>
      <c r="D17">
        <v>147.9</v>
      </c>
      <c r="E17">
        <v>0</v>
      </c>
      <c r="F17">
        <v>0</v>
      </c>
      <c r="G17">
        <v>6</v>
      </c>
      <c r="H17">
        <v>147.9</v>
      </c>
      <c r="I17">
        <v>20</v>
      </c>
      <c r="J17">
        <v>325.83999999999997</v>
      </c>
    </row>
    <row r="18" spans="1:10" x14ac:dyDescent="0.25">
      <c r="A18" t="s">
        <v>79</v>
      </c>
      <c r="B18" t="s">
        <v>80</v>
      </c>
      <c r="C18">
        <v>275</v>
      </c>
      <c r="D18">
        <v>5023.29</v>
      </c>
      <c r="E18">
        <v>0</v>
      </c>
      <c r="F18">
        <v>0</v>
      </c>
      <c r="G18">
        <v>275</v>
      </c>
      <c r="H18">
        <v>5023.29</v>
      </c>
      <c r="I18">
        <v>573</v>
      </c>
      <c r="J18">
        <v>9291.39</v>
      </c>
    </row>
    <row r="19" spans="1:10" x14ac:dyDescent="0.25">
      <c r="A19" t="s">
        <v>59</v>
      </c>
      <c r="B19" t="s">
        <v>60</v>
      </c>
      <c r="C19">
        <v>1</v>
      </c>
      <c r="D19">
        <v>20.41</v>
      </c>
      <c r="E19">
        <v>48</v>
      </c>
      <c r="F19">
        <v>1440.2000000000007</v>
      </c>
      <c r="G19">
        <v>49</v>
      </c>
      <c r="H19">
        <v>1460.6100000000008</v>
      </c>
      <c r="I19">
        <v>400</v>
      </c>
      <c r="J19">
        <v>8213.58</v>
      </c>
    </row>
    <row r="20" spans="1:10" x14ac:dyDescent="0.25">
      <c r="A20" t="s">
        <v>250</v>
      </c>
      <c r="B20" t="s">
        <v>251</v>
      </c>
      <c r="C20">
        <v>2</v>
      </c>
      <c r="D20">
        <v>98.08</v>
      </c>
      <c r="E20">
        <v>0</v>
      </c>
      <c r="F20">
        <v>0</v>
      </c>
      <c r="G20">
        <v>2</v>
      </c>
      <c r="H20">
        <v>98.08</v>
      </c>
      <c r="I20">
        <v>8</v>
      </c>
      <c r="J20">
        <v>425.01</v>
      </c>
    </row>
    <row r="21" spans="1:10" x14ac:dyDescent="0.25">
      <c r="A21" t="s">
        <v>396</v>
      </c>
      <c r="B21" t="s">
        <v>397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</v>
      </c>
      <c r="J21">
        <v>71.13</v>
      </c>
    </row>
    <row r="22" spans="1:10" x14ac:dyDescent="0.25">
      <c r="A22" t="s">
        <v>540</v>
      </c>
      <c r="B22" t="s">
        <v>541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474</v>
      </c>
      <c r="B23" t="s">
        <v>475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55.14</v>
      </c>
    </row>
    <row r="24" spans="1:10" x14ac:dyDescent="0.25">
      <c r="A24" t="s">
        <v>476</v>
      </c>
      <c r="B24" t="s">
        <v>477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</v>
      </c>
      <c r="J24">
        <v>27.55</v>
      </c>
    </row>
    <row r="25" spans="1:10" x14ac:dyDescent="0.25">
      <c r="A25" t="s">
        <v>704</v>
      </c>
      <c r="B25" t="s">
        <v>705</v>
      </c>
      <c r="C25">
        <v>1</v>
      </c>
      <c r="D25">
        <v>7.43</v>
      </c>
      <c r="E25">
        <v>0</v>
      </c>
      <c r="F25">
        <v>0</v>
      </c>
      <c r="G25">
        <v>1</v>
      </c>
      <c r="H25">
        <v>7.43</v>
      </c>
      <c r="I25">
        <v>0</v>
      </c>
      <c r="J25">
        <v>0</v>
      </c>
    </row>
    <row r="26" spans="1:10" x14ac:dyDescent="0.25">
      <c r="A26" t="s">
        <v>596</v>
      </c>
      <c r="B26" t="s">
        <v>597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  <c r="J26">
        <v>-16.97</v>
      </c>
    </row>
    <row r="27" spans="1:10" x14ac:dyDescent="0.25">
      <c r="A27" t="s">
        <v>702</v>
      </c>
      <c r="B27" t="s">
        <v>703</v>
      </c>
      <c r="C27">
        <v>2</v>
      </c>
      <c r="D27">
        <v>12.96</v>
      </c>
      <c r="E27">
        <v>0</v>
      </c>
      <c r="F27">
        <v>0</v>
      </c>
      <c r="G27">
        <v>2</v>
      </c>
      <c r="H27">
        <v>12.96</v>
      </c>
      <c r="I27">
        <v>0</v>
      </c>
      <c r="J27">
        <v>0</v>
      </c>
    </row>
    <row r="28" spans="1:10" x14ac:dyDescent="0.25">
      <c r="A28" t="s">
        <v>102</v>
      </c>
      <c r="B28" t="s">
        <v>103</v>
      </c>
      <c r="C28">
        <v>19</v>
      </c>
      <c r="D28">
        <v>686.19</v>
      </c>
      <c r="E28">
        <v>0</v>
      </c>
      <c r="F28">
        <v>0</v>
      </c>
      <c r="G28">
        <v>19</v>
      </c>
      <c r="H28">
        <v>686.19</v>
      </c>
      <c r="I28">
        <v>99</v>
      </c>
      <c r="J28">
        <v>2832.39</v>
      </c>
    </row>
    <row r="29" spans="1:10" x14ac:dyDescent="0.25">
      <c r="A29" t="s">
        <v>462</v>
      </c>
      <c r="B29" t="s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31.23</v>
      </c>
    </row>
    <row r="30" spans="1:10" x14ac:dyDescent="0.25">
      <c r="A30" t="s">
        <v>510</v>
      </c>
      <c r="B30" t="s">
        <v>511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11.82</v>
      </c>
    </row>
    <row r="31" spans="1:10" x14ac:dyDescent="0.25">
      <c r="A31" t="s">
        <v>19</v>
      </c>
      <c r="B31" t="s">
        <v>20</v>
      </c>
      <c r="C31">
        <v>15</v>
      </c>
      <c r="D31">
        <v>209.45</v>
      </c>
      <c r="E31">
        <v>0</v>
      </c>
      <c r="F31">
        <v>0</v>
      </c>
      <c r="G31">
        <v>15</v>
      </c>
      <c r="H31">
        <v>209.45</v>
      </c>
      <c r="I31">
        <v>1584</v>
      </c>
      <c r="J31">
        <v>20644.509999999998</v>
      </c>
    </row>
    <row r="32" spans="1:10" x14ac:dyDescent="0.25">
      <c r="A32" t="s">
        <v>472</v>
      </c>
      <c r="B32" t="s">
        <v>473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27.93</v>
      </c>
    </row>
    <row r="33" spans="1:10" x14ac:dyDescent="0.25">
      <c r="A33" t="s">
        <v>700</v>
      </c>
      <c r="B33" t="s">
        <v>701</v>
      </c>
      <c r="C33">
        <v>1</v>
      </c>
      <c r="D33">
        <v>15.05</v>
      </c>
      <c r="E33">
        <v>0</v>
      </c>
      <c r="F33">
        <v>0</v>
      </c>
      <c r="G33">
        <v>1</v>
      </c>
      <c r="H33">
        <v>15.05</v>
      </c>
      <c r="I33">
        <v>0</v>
      </c>
      <c r="J33">
        <v>0</v>
      </c>
    </row>
    <row r="34" spans="1:10" x14ac:dyDescent="0.25">
      <c r="A34" t="s">
        <v>692</v>
      </c>
      <c r="B34" t="s">
        <v>693</v>
      </c>
      <c r="C34">
        <v>1</v>
      </c>
      <c r="D34">
        <v>18.03</v>
      </c>
      <c r="E34">
        <v>0</v>
      </c>
      <c r="F34">
        <v>0</v>
      </c>
      <c r="G34">
        <v>1</v>
      </c>
      <c r="H34">
        <v>18.03</v>
      </c>
      <c r="I34">
        <v>0</v>
      </c>
      <c r="J34">
        <v>0</v>
      </c>
    </row>
    <row r="35" spans="1:10" x14ac:dyDescent="0.25">
      <c r="A35" t="s">
        <v>694</v>
      </c>
      <c r="B35" t="s">
        <v>695</v>
      </c>
      <c r="C35">
        <v>3</v>
      </c>
      <c r="D35">
        <v>17.190000000000001</v>
      </c>
      <c r="E35">
        <v>0</v>
      </c>
      <c r="F35">
        <v>0</v>
      </c>
      <c r="G35">
        <v>3</v>
      </c>
      <c r="H35">
        <v>17.190000000000001</v>
      </c>
      <c r="I35">
        <v>0</v>
      </c>
      <c r="J35">
        <v>0</v>
      </c>
    </row>
    <row r="36" spans="1:10" x14ac:dyDescent="0.25">
      <c r="A36" t="s">
        <v>142</v>
      </c>
      <c r="B36" t="s">
        <v>143</v>
      </c>
      <c r="C36">
        <v>9</v>
      </c>
      <c r="D36">
        <v>199.98</v>
      </c>
      <c r="E36">
        <v>0</v>
      </c>
      <c r="F36">
        <v>0</v>
      </c>
      <c r="G36">
        <v>9</v>
      </c>
      <c r="H36">
        <v>199.98</v>
      </c>
      <c r="I36">
        <v>75</v>
      </c>
      <c r="J36">
        <v>1575.73</v>
      </c>
    </row>
    <row r="37" spans="1:10" x14ac:dyDescent="0.25">
      <c r="A37" t="s">
        <v>320</v>
      </c>
      <c r="B37" t="s">
        <v>321</v>
      </c>
      <c r="C37">
        <v>1</v>
      </c>
      <c r="D37">
        <v>22.97</v>
      </c>
      <c r="E37">
        <v>6</v>
      </c>
      <c r="F37">
        <v>281.39999999999998</v>
      </c>
      <c r="G37">
        <v>7</v>
      </c>
      <c r="H37">
        <v>304.37</v>
      </c>
      <c r="I37">
        <v>8</v>
      </c>
      <c r="J37">
        <v>319.21999999999997</v>
      </c>
    </row>
    <row r="38" spans="1:10" x14ac:dyDescent="0.25">
      <c r="A38" t="s">
        <v>205</v>
      </c>
      <c r="B38" t="s">
        <v>206</v>
      </c>
      <c r="C38">
        <v>12</v>
      </c>
      <c r="D38">
        <v>1075.69</v>
      </c>
      <c r="E38">
        <v>0</v>
      </c>
      <c r="F38">
        <v>0</v>
      </c>
      <c r="G38">
        <v>12</v>
      </c>
      <c r="H38">
        <v>1075.69</v>
      </c>
      <c r="I38">
        <v>13</v>
      </c>
      <c r="J38">
        <v>973.92</v>
      </c>
    </row>
    <row r="39" spans="1:10" x14ac:dyDescent="0.25">
      <c r="A39" t="s">
        <v>568</v>
      </c>
      <c r="B39" t="s">
        <v>569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432</v>
      </c>
      <c r="B40" t="s">
        <v>433</v>
      </c>
      <c r="C40">
        <v>3</v>
      </c>
      <c r="D40">
        <v>10.49</v>
      </c>
      <c r="E40">
        <v>0</v>
      </c>
      <c r="F40">
        <v>0</v>
      </c>
      <c r="G40">
        <v>3</v>
      </c>
      <c r="H40">
        <v>10.49</v>
      </c>
      <c r="I40">
        <v>13</v>
      </c>
      <c r="J40">
        <v>44.07</v>
      </c>
    </row>
    <row r="41" spans="1:10" x14ac:dyDescent="0.25">
      <c r="A41" t="s">
        <v>520</v>
      </c>
      <c r="B41" t="s">
        <v>521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5.54</v>
      </c>
    </row>
    <row r="42" spans="1:10" x14ac:dyDescent="0.25">
      <c r="A42" t="s">
        <v>12</v>
      </c>
      <c r="B42" t="s">
        <v>13</v>
      </c>
      <c r="C42">
        <v>23</v>
      </c>
      <c r="D42">
        <v>410.8</v>
      </c>
      <c r="E42">
        <v>534</v>
      </c>
      <c r="F42">
        <v>10674.529999999895</v>
      </c>
      <c r="G42">
        <v>557</v>
      </c>
      <c r="H42">
        <v>11085.329999999894</v>
      </c>
      <c r="I42">
        <v>3002</v>
      </c>
      <c r="J42">
        <v>35627.11</v>
      </c>
    </row>
    <row r="43" spans="1:10" x14ac:dyDescent="0.25">
      <c r="A43" t="s">
        <v>446</v>
      </c>
      <c r="B43" t="s">
        <v>447</v>
      </c>
      <c r="C43">
        <v>14</v>
      </c>
      <c r="D43">
        <v>58.41</v>
      </c>
      <c r="E43">
        <v>0</v>
      </c>
      <c r="F43">
        <v>0</v>
      </c>
      <c r="G43">
        <v>14</v>
      </c>
      <c r="H43">
        <v>58.41</v>
      </c>
      <c r="I43">
        <v>9</v>
      </c>
      <c r="J43">
        <v>37.22</v>
      </c>
    </row>
    <row r="44" spans="1:10" x14ac:dyDescent="0.25">
      <c r="A44" t="s">
        <v>350</v>
      </c>
      <c r="B44" t="s">
        <v>351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43</v>
      </c>
      <c r="J44">
        <v>284.53999999999996</v>
      </c>
    </row>
    <row r="45" spans="1:10" x14ac:dyDescent="0.25">
      <c r="A45" t="s">
        <v>436</v>
      </c>
      <c r="B45" t="s">
        <v>437</v>
      </c>
      <c r="C45">
        <v>6</v>
      </c>
      <c r="D45">
        <v>36.93</v>
      </c>
      <c r="E45">
        <v>0</v>
      </c>
      <c r="F45">
        <v>0</v>
      </c>
      <c r="G45">
        <v>6</v>
      </c>
      <c r="H45">
        <v>36.93</v>
      </c>
      <c r="I45">
        <v>9</v>
      </c>
      <c r="J45">
        <v>54.099999999999994</v>
      </c>
    </row>
    <row r="46" spans="1:10" x14ac:dyDescent="0.25">
      <c r="A46" t="s">
        <v>478</v>
      </c>
      <c r="B46" t="s">
        <v>479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24.92</v>
      </c>
    </row>
    <row r="47" spans="1:10" x14ac:dyDescent="0.25">
      <c r="A47" t="s">
        <v>26</v>
      </c>
      <c r="B47" t="s">
        <v>27</v>
      </c>
      <c r="C47">
        <v>9</v>
      </c>
      <c r="D47">
        <v>267.95999999999998</v>
      </c>
      <c r="E47">
        <v>394</v>
      </c>
      <c r="F47">
        <v>14503.529999999904</v>
      </c>
      <c r="G47">
        <v>403</v>
      </c>
      <c r="H47">
        <v>14771.489999999903</v>
      </c>
      <c r="I47">
        <v>1143</v>
      </c>
      <c r="J47">
        <v>33655.870000000003</v>
      </c>
    </row>
    <row r="48" spans="1:10" x14ac:dyDescent="0.25">
      <c r="A48" t="s">
        <v>156</v>
      </c>
      <c r="B48" t="s">
        <v>157</v>
      </c>
      <c r="C48">
        <v>66</v>
      </c>
      <c r="D48">
        <v>1357.8700000000001</v>
      </c>
      <c r="E48">
        <v>0</v>
      </c>
      <c r="F48">
        <v>0</v>
      </c>
      <c r="G48">
        <v>66</v>
      </c>
      <c r="H48">
        <v>1357.8700000000001</v>
      </c>
      <c r="I48">
        <v>72</v>
      </c>
      <c r="J48">
        <v>1646.1000000000001</v>
      </c>
    </row>
    <row r="49" spans="1:10" x14ac:dyDescent="0.25">
      <c r="A49" t="s">
        <v>273</v>
      </c>
      <c r="B49" t="s">
        <v>274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10</v>
      </c>
      <c r="J49">
        <v>315.68</v>
      </c>
    </row>
    <row r="50" spans="1:10" x14ac:dyDescent="0.25">
      <c r="A50" t="s">
        <v>594</v>
      </c>
      <c r="B50" t="s">
        <v>595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-2</v>
      </c>
      <c r="J50">
        <v>-16.5</v>
      </c>
    </row>
    <row r="51" spans="1:10" x14ac:dyDescent="0.25">
      <c r="A51" t="s">
        <v>61</v>
      </c>
      <c r="B51" t="s">
        <v>62</v>
      </c>
      <c r="C51">
        <v>0</v>
      </c>
      <c r="D51">
        <v>0</v>
      </c>
      <c r="E51">
        <v>8</v>
      </c>
      <c r="F51">
        <v>432.79999999999995</v>
      </c>
      <c r="G51">
        <v>8</v>
      </c>
      <c r="H51">
        <v>432.79999999999995</v>
      </c>
      <c r="I51">
        <v>266</v>
      </c>
      <c r="J51">
        <v>7610.26</v>
      </c>
    </row>
    <row r="52" spans="1:10" x14ac:dyDescent="0.25">
      <c r="A52" t="s">
        <v>684</v>
      </c>
      <c r="B52" t="s">
        <v>685</v>
      </c>
      <c r="C52">
        <v>11</v>
      </c>
      <c r="D52">
        <v>45.739999999999995</v>
      </c>
      <c r="E52">
        <v>0</v>
      </c>
      <c r="F52">
        <v>0</v>
      </c>
      <c r="G52">
        <v>11</v>
      </c>
      <c r="H52">
        <v>45.739999999999995</v>
      </c>
      <c r="I52">
        <v>0</v>
      </c>
      <c r="J52">
        <v>0</v>
      </c>
    </row>
    <row r="53" spans="1:10" x14ac:dyDescent="0.25">
      <c r="A53" t="s">
        <v>342</v>
      </c>
      <c r="B53" t="s">
        <v>343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8</v>
      </c>
      <c r="J53">
        <v>137.27000000000001</v>
      </c>
    </row>
    <row r="54" spans="1:10" x14ac:dyDescent="0.25">
      <c r="A54" t="s">
        <v>283</v>
      </c>
      <c r="B54" t="s">
        <v>284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38</v>
      </c>
      <c r="J54">
        <v>329.21000000000004</v>
      </c>
    </row>
    <row r="55" spans="1:10" x14ac:dyDescent="0.25">
      <c r="A55" t="s">
        <v>330</v>
      </c>
      <c r="B55" t="s">
        <v>331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46</v>
      </c>
      <c r="J55">
        <v>405.53999999999996</v>
      </c>
    </row>
    <row r="56" spans="1:10" x14ac:dyDescent="0.25">
      <c r="A56" t="s">
        <v>502</v>
      </c>
      <c r="B56" t="s">
        <v>503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13.06</v>
      </c>
    </row>
    <row r="57" spans="1:10" x14ac:dyDescent="0.25">
      <c r="A57" t="s">
        <v>570</v>
      </c>
      <c r="B57" t="s">
        <v>571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360</v>
      </c>
      <c r="B58" t="s">
        <v>361</v>
      </c>
      <c r="C58">
        <v>2</v>
      </c>
      <c r="D58">
        <v>27.28</v>
      </c>
      <c r="E58">
        <v>0</v>
      </c>
      <c r="F58">
        <v>0</v>
      </c>
      <c r="G58">
        <v>2</v>
      </c>
      <c r="H58">
        <v>27.28</v>
      </c>
      <c r="I58">
        <v>8</v>
      </c>
      <c r="J58">
        <v>100.16</v>
      </c>
    </row>
    <row r="59" spans="1:10" x14ac:dyDescent="0.25">
      <c r="A59" t="s">
        <v>424</v>
      </c>
      <c r="B59" t="s">
        <v>425</v>
      </c>
      <c r="C59">
        <v>4</v>
      </c>
      <c r="D59">
        <v>51.29</v>
      </c>
      <c r="E59">
        <v>0</v>
      </c>
      <c r="F59">
        <v>0</v>
      </c>
      <c r="G59">
        <v>4</v>
      </c>
      <c r="H59">
        <v>51.29</v>
      </c>
      <c r="I59">
        <v>6</v>
      </c>
      <c r="J59">
        <v>98.39</v>
      </c>
    </row>
    <row r="60" spans="1:10" x14ac:dyDescent="0.25">
      <c r="A60" t="s">
        <v>434</v>
      </c>
      <c r="B60" t="s">
        <v>435</v>
      </c>
      <c r="C60">
        <v>36</v>
      </c>
      <c r="D60">
        <v>3.64</v>
      </c>
      <c r="E60">
        <v>0</v>
      </c>
      <c r="F60">
        <v>0</v>
      </c>
      <c r="G60">
        <v>36</v>
      </c>
      <c r="H60">
        <v>3.64</v>
      </c>
      <c r="I60">
        <v>17</v>
      </c>
      <c r="J60">
        <v>72.960000000000008</v>
      </c>
    </row>
    <row r="61" spans="1:10" x14ac:dyDescent="0.25">
      <c r="A61" t="s">
        <v>564</v>
      </c>
      <c r="B61" t="s">
        <v>565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728</v>
      </c>
      <c r="B62" t="s">
        <v>729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588</v>
      </c>
      <c r="B63" t="s">
        <v>589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-1</v>
      </c>
      <c r="J63">
        <v>-11.39</v>
      </c>
    </row>
    <row r="64" spans="1:10" x14ac:dyDescent="0.25">
      <c r="A64" t="s">
        <v>724</v>
      </c>
      <c r="B64" t="s">
        <v>725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33</v>
      </c>
      <c r="B65" t="s">
        <v>34</v>
      </c>
      <c r="C65">
        <v>49</v>
      </c>
      <c r="D65">
        <v>1395.95</v>
      </c>
      <c r="E65">
        <v>1</v>
      </c>
      <c r="F65">
        <v>0</v>
      </c>
      <c r="G65">
        <v>50</v>
      </c>
      <c r="H65">
        <v>1395.95</v>
      </c>
      <c r="I65">
        <v>633</v>
      </c>
      <c r="J65">
        <v>15925.61</v>
      </c>
    </row>
    <row r="66" spans="1:10" x14ac:dyDescent="0.25">
      <c r="A66" t="s">
        <v>232</v>
      </c>
      <c r="B66" t="s">
        <v>233</v>
      </c>
      <c r="C66">
        <v>1</v>
      </c>
      <c r="D66">
        <v>31.06</v>
      </c>
      <c r="E66">
        <v>18</v>
      </c>
      <c r="F66">
        <v>898.1999999999997</v>
      </c>
      <c r="G66">
        <v>19</v>
      </c>
      <c r="H66">
        <v>929.25999999999965</v>
      </c>
      <c r="I66">
        <v>17</v>
      </c>
      <c r="J66">
        <v>651.91000000000008</v>
      </c>
    </row>
    <row r="67" spans="1:10" x14ac:dyDescent="0.25">
      <c r="A67" t="s">
        <v>90</v>
      </c>
      <c r="B67" t="s">
        <v>91</v>
      </c>
      <c r="C67">
        <v>15</v>
      </c>
      <c r="D67">
        <v>942.38</v>
      </c>
      <c r="E67">
        <v>0</v>
      </c>
      <c r="F67">
        <v>0</v>
      </c>
      <c r="G67">
        <v>15</v>
      </c>
      <c r="H67">
        <v>942.38</v>
      </c>
      <c r="I67">
        <v>68</v>
      </c>
      <c r="J67">
        <v>3790.13</v>
      </c>
    </row>
    <row r="68" spans="1:10" x14ac:dyDescent="0.25">
      <c r="A68" t="s">
        <v>666</v>
      </c>
      <c r="B68" t="s">
        <v>667</v>
      </c>
      <c r="C68">
        <v>1</v>
      </c>
      <c r="D68">
        <v>66.58</v>
      </c>
      <c r="E68">
        <v>0</v>
      </c>
      <c r="F68">
        <v>0</v>
      </c>
      <c r="G68">
        <v>1</v>
      </c>
      <c r="H68">
        <v>66.58</v>
      </c>
      <c r="I68">
        <v>0</v>
      </c>
      <c r="J68">
        <v>0</v>
      </c>
    </row>
    <row r="69" spans="1:10" x14ac:dyDescent="0.25">
      <c r="A69" t="s">
        <v>576</v>
      </c>
      <c r="B69" t="s">
        <v>577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558</v>
      </c>
      <c r="B70" t="s">
        <v>559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486</v>
      </c>
      <c r="B71" t="s">
        <v>487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23.6</v>
      </c>
    </row>
    <row r="72" spans="1:10" x14ac:dyDescent="0.25">
      <c r="A72" t="s">
        <v>297</v>
      </c>
      <c r="B72" t="s">
        <v>298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325.48</v>
      </c>
    </row>
    <row r="73" spans="1:10" x14ac:dyDescent="0.25">
      <c r="A73" t="s">
        <v>104</v>
      </c>
      <c r="B73" t="s">
        <v>105</v>
      </c>
      <c r="C73">
        <v>25</v>
      </c>
      <c r="D73">
        <v>1858.24</v>
      </c>
      <c r="E73">
        <v>0</v>
      </c>
      <c r="F73">
        <v>0</v>
      </c>
      <c r="G73">
        <v>25</v>
      </c>
      <c r="H73">
        <v>1858.24</v>
      </c>
      <c r="I73">
        <v>43</v>
      </c>
      <c r="J73">
        <v>3112.52</v>
      </c>
    </row>
    <row r="74" spans="1:10" x14ac:dyDescent="0.25">
      <c r="A74" t="s">
        <v>53</v>
      </c>
      <c r="B74" t="s">
        <v>54</v>
      </c>
      <c r="C74">
        <v>1</v>
      </c>
      <c r="D74">
        <v>26.97</v>
      </c>
      <c r="E74">
        <v>388</v>
      </c>
      <c r="F74">
        <v>12795.269999999911</v>
      </c>
      <c r="G74">
        <v>389</v>
      </c>
      <c r="H74">
        <v>12822.239999999911</v>
      </c>
      <c r="I74">
        <v>803</v>
      </c>
      <c r="J74">
        <v>20999.620000000003</v>
      </c>
    </row>
    <row r="75" spans="1:10" x14ac:dyDescent="0.25">
      <c r="A75" t="s">
        <v>340</v>
      </c>
      <c r="B75" t="s">
        <v>341</v>
      </c>
      <c r="C75">
        <v>3</v>
      </c>
      <c r="D75">
        <v>101.14</v>
      </c>
      <c r="E75">
        <v>0</v>
      </c>
      <c r="F75">
        <v>0</v>
      </c>
      <c r="G75">
        <v>3</v>
      </c>
      <c r="H75">
        <v>101.14</v>
      </c>
      <c r="I75">
        <v>4</v>
      </c>
      <c r="J75">
        <v>139.68</v>
      </c>
    </row>
    <row r="76" spans="1:10" x14ac:dyDescent="0.25">
      <c r="A76" t="s">
        <v>590</v>
      </c>
      <c r="B76" t="s">
        <v>591</v>
      </c>
      <c r="C76">
        <v>2</v>
      </c>
      <c r="D76">
        <v>40.82</v>
      </c>
      <c r="E76">
        <v>0</v>
      </c>
      <c r="F76">
        <v>0</v>
      </c>
      <c r="G76">
        <v>2</v>
      </c>
      <c r="H76">
        <v>40.82</v>
      </c>
      <c r="I76">
        <v>-1</v>
      </c>
      <c r="J76">
        <v>-14.75</v>
      </c>
    </row>
    <row r="77" spans="1:10" x14ac:dyDescent="0.25">
      <c r="A77" t="s">
        <v>230</v>
      </c>
      <c r="B77" t="s">
        <v>231</v>
      </c>
      <c r="C77">
        <v>5</v>
      </c>
      <c r="D77">
        <v>129.21</v>
      </c>
      <c r="E77">
        <v>0</v>
      </c>
      <c r="F77">
        <v>0</v>
      </c>
      <c r="G77">
        <v>5</v>
      </c>
      <c r="H77">
        <v>129.21</v>
      </c>
      <c r="I77">
        <v>19</v>
      </c>
      <c r="J77">
        <v>465.69</v>
      </c>
    </row>
    <row r="78" spans="1:10" x14ac:dyDescent="0.25">
      <c r="A78" t="s">
        <v>422</v>
      </c>
      <c r="B78" t="s">
        <v>423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49.02</v>
      </c>
    </row>
    <row r="79" spans="1:10" x14ac:dyDescent="0.25">
      <c r="A79" t="s">
        <v>302</v>
      </c>
      <c r="B79" t="s">
        <v>303</v>
      </c>
      <c r="C79">
        <v>7</v>
      </c>
      <c r="D79">
        <v>257.01</v>
      </c>
      <c r="E79">
        <v>0</v>
      </c>
      <c r="F79">
        <v>0</v>
      </c>
      <c r="G79">
        <v>7</v>
      </c>
      <c r="H79">
        <v>257.01</v>
      </c>
      <c r="I79">
        <v>11</v>
      </c>
      <c r="J79">
        <v>311.01</v>
      </c>
    </row>
    <row r="80" spans="1:10" x14ac:dyDescent="0.25">
      <c r="A80" t="s">
        <v>488</v>
      </c>
      <c r="B80" t="s">
        <v>489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21.51</v>
      </c>
    </row>
    <row r="81" spans="1:10" x14ac:dyDescent="0.25">
      <c r="A81" t="s">
        <v>190</v>
      </c>
      <c r="B81" t="s">
        <v>191</v>
      </c>
      <c r="C81">
        <v>4</v>
      </c>
      <c r="D81">
        <v>156.28</v>
      </c>
      <c r="E81">
        <v>1</v>
      </c>
      <c r="F81">
        <v>36.99</v>
      </c>
      <c r="G81">
        <v>5</v>
      </c>
      <c r="H81">
        <v>193.27</v>
      </c>
      <c r="I81">
        <v>43</v>
      </c>
      <c r="J81">
        <v>1264.96</v>
      </c>
    </row>
    <row r="82" spans="1:10" x14ac:dyDescent="0.25">
      <c r="A82" t="s">
        <v>386</v>
      </c>
      <c r="B82" t="s">
        <v>387</v>
      </c>
      <c r="C82">
        <v>6</v>
      </c>
      <c r="D82">
        <v>150.78</v>
      </c>
      <c r="E82">
        <v>0</v>
      </c>
      <c r="F82">
        <v>0</v>
      </c>
      <c r="G82">
        <v>6</v>
      </c>
      <c r="H82">
        <v>150.78</v>
      </c>
      <c r="I82">
        <v>7</v>
      </c>
      <c r="J82">
        <v>169.26</v>
      </c>
    </row>
    <row r="83" spans="1:10" x14ac:dyDescent="0.25">
      <c r="A83" t="s">
        <v>51</v>
      </c>
      <c r="B83" t="s">
        <v>52</v>
      </c>
      <c r="C83">
        <v>5</v>
      </c>
      <c r="D83">
        <v>103.55</v>
      </c>
      <c r="E83">
        <v>36</v>
      </c>
      <c r="F83">
        <v>906.39999999999952</v>
      </c>
      <c r="G83">
        <v>41</v>
      </c>
      <c r="H83">
        <v>1009.9499999999995</v>
      </c>
      <c r="I83">
        <v>573</v>
      </c>
      <c r="J83">
        <v>11649.880000000001</v>
      </c>
    </row>
    <row r="84" spans="1:10" x14ac:dyDescent="0.25">
      <c r="A84" t="s">
        <v>176</v>
      </c>
      <c r="B84" t="s">
        <v>177</v>
      </c>
      <c r="C84">
        <v>19</v>
      </c>
      <c r="D84">
        <v>922.48</v>
      </c>
      <c r="E84">
        <v>0</v>
      </c>
      <c r="F84">
        <v>0</v>
      </c>
      <c r="G84">
        <v>19</v>
      </c>
      <c r="H84">
        <v>922.48</v>
      </c>
      <c r="I84">
        <v>23</v>
      </c>
      <c r="J84">
        <v>1319.95</v>
      </c>
    </row>
    <row r="85" spans="1:10" x14ac:dyDescent="0.25">
      <c r="A85" t="s">
        <v>418</v>
      </c>
      <c r="B85" t="s">
        <v>419</v>
      </c>
      <c r="C85">
        <v>1</v>
      </c>
      <c r="D85">
        <v>19.59</v>
      </c>
      <c r="E85">
        <v>0</v>
      </c>
      <c r="F85">
        <v>0</v>
      </c>
      <c r="G85">
        <v>1</v>
      </c>
      <c r="H85">
        <v>19.59</v>
      </c>
      <c r="I85">
        <v>2</v>
      </c>
      <c r="J85">
        <v>49.42</v>
      </c>
    </row>
    <row r="86" spans="1:10" x14ac:dyDescent="0.25">
      <c r="A86" t="s">
        <v>730</v>
      </c>
      <c r="B86" t="s">
        <v>731</v>
      </c>
      <c r="C86">
        <v>-1</v>
      </c>
      <c r="D86">
        <v>-5.12</v>
      </c>
      <c r="E86">
        <v>0</v>
      </c>
      <c r="F86">
        <v>0</v>
      </c>
      <c r="G86">
        <v>-1</v>
      </c>
      <c r="H86">
        <v>-5.12</v>
      </c>
      <c r="I86">
        <v>0</v>
      </c>
      <c r="J86">
        <v>0</v>
      </c>
    </row>
    <row r="87" spans="1:10" x14ac:dyDescent="0.25">
      <c r="A87" t="s">
        <v>372</v>
      </c>
      <c r="B87" t="s">
        <v>373</v>
      </c>
      <c r="C87">
        <v>3</v>
      </c>
      <c r="D87">
        <v>130.44</v>
      </c>
      <c r="E87">
        <v>0</v>
      </c>
      <c r="F87">
        <v>0</v>
      </c>
      <c r="G87">
        <v>3</v>
      </c>
      <c r="H87">
        <v>130.44</v>
      </c>
      <c r="I87">
        <v>4</v>
      </c>
      <c r="J87">
        <v>167.39</v>
      </c>
    </row>
    <row r="88" spans="1:10" x14ac:dyDescent="0.25">
      <c r="A88" t="s">
        <v>586</v>
      </c>
      <c r="B88" t="s">
        <v>587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-1</v>
      </c>
      <c r="J88">
        <v>-10.75</v>
      </c>
    </row>
    <row r="89" spans="1:10" x14ac:dyDescent="0.25">
      <c r="A89" t="s">
        <v>49</v>
      </c>
      <c r="B89" t="s">
        <v>50</v>
      </c>
      <c r="C89">
        <v>43</v>
      </c>
      <c r="D89">
        <v>1896.1</v>
      </c>
      <c r="E89">
        <v>0</v>
      </c>
      <c r="F89">
        <v>0</v>
      </c>
      <c r="G89">
        <v>43</v>
      </c>
      <c r="H89">
        <v>1896.1</v>
      </c>
      <c r="I89">
        <v>244</v>
      </c>
      <c r="J89">
        <v>9958.3100000000013</v>
      </c>
    </row>
    <row r="90" spans="1:10" x14ac:dyDescent="0.25">
      <c r="A90" t="s">
        <v>452</v>
      </c>
      <c r="B90" t="s">
        <v>453</v>
      </c>
      <c r="C90">
        <v>170</v>
      </c>
      <c r="D90">
        <v>2082.7000000000003</v>
      </c>
      <c r="E90">
        <v>0</v>
      </c>
      <c r="F90">
        <v>0</v>
      </c>
      <c r="G90">
        <v>170</v>
      </c>
      <c r="H90">
        <v>2082.7000000000003</v>
      </c>
      <c r="I90">
        <v>4</v>
      </c>
      <c r="J90">
        <v>67.509999999999991</v>
      </c>
    </row>
    <row r="91" spans="1:10" x14ac:dyDescent="0.25">
      <c r="A91" t="s">
        <v>392</v>
      </c>
      <c r="B91" t="s">
        <v>393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14</v>
      </c>
      <c r="J91">
        <v>71.680000000000007</v>
      </c>
    </row>
    <row r="92" spans="1:10" x14ac:dyDescent="0.25">
      <c r="A92" t="s">
        <v>106</v>
      </c>
      <c r="B92" t="s">
        <v>107</v>
      </c>
      <c r="C92">
        <v>52</v>
      </c>
      <c r="D92">
        <v>763.70999999999992</v>
      </c>
      <c r="E92">
        <v>0</v>
      </c>
      <c r="F92">
        <v>0</v>
      </c>
      <c r="G92">
        <v>52</v>
      </c>
      <c r="H92">
        <v>763.70999999999992</v>
      </c>
      <c r="I92">
        <v>212</v>
      </c>
      <c r="J92">
        <v>3204.1000000000004</v>
      </c>
    </row>
    <row r="93" spans="1:10" x14ac:dyDescent="0.25">
      <c r="A93" t="s">
        <v>37</v>
      </c>
      <c r="B93" t="s">
        <v>38</v>
      </c>
      <c r="C93">
        <v>7</v>
      </c>
      <c r="D93">
        <v>325.84000000000003</v>
      </c>
      <c r="E93">
        <v>0</v>
      </c>
      <c r="F93">
        <v>0</v>
      </c>
      <c r="G93">
        <v>7</v>
      </c>
      <c r="H93">
        <v>325.84000000000003</v>
      </c>
      <c r="I93">
        <v>401</v>
      </c>
      <c r="J93">
        <v>13128.1</v>
      </c>
    </row>
    <row r="94" spans="1:10" x14ac:dyDescent="0.25">
      <c r="A94" t="s">
        <v>408</v>
      </c>
      <c r="B94" t="s">
        <v>409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64.61</v>
      </c>
    </row>
    <row r="95" spans="1:10" x14ac:dyDescent="0.25">
      <c r="A95" t="s">
        <v>648</v>
      </c>
      <c r="B95" t="s">
        <v>649</v>
      </c>
      <c r="C95">
        <v>1</v>
      </c>
      <c r="D95">
        <v>117.41</v>
      </c>
      <c r="E95">
        <v>0</v>
      </c>
      <c r="F95">
        <v>0</v>
      </c>
      <c r="G95">
        <v>1</v>
      </c>
      <c r="H95">
        <v>117.41</v>
      </c>
      <c r="I95">
        <v>0</v>
      </c>
      <c r="J95">
        <v>0</v>
      </c>
    </row>
    <row r="96" spans="1:10" x14ac:dyDescent="0.25">
      <c r="A96" t="s">
        <v>164</v>
      </c>
      <c r="B96" t="s">
        <v>165</v>
      </c>
      <c r="C96">
        <v>46</v>
      </c>
      <c r="D96">
        <v>2537.23</v>
      </c>
      <c r="E96">
        <v>0</v>
      </c>
      <c r="F96">
        <v>0</v>
      </c>
      <c r="G96">
        <v>46</v>
      </c>
      <c r="H96">
        <v>2537.23</v>
      </c>
      <c r="I96">
        <v>30</v>
      </c>
      <c r="J96">
        <v>1541.3400000000001</v>
      </c>
    </row>
    <row r="97" spans="1:10" x14ac:dyDescent="0.25">
      <c r="A97" t="s">
        <v>186</v>
      </c>
      <c r="B97" t="s">
        <v>187</v>
      </c>
      <c r="C97">
        <v>47</v>
      </c>
      <c r="D97">
        <v>1409.6499999999999</v>
      </c>
      <c r="E97">
        <v>13</v>
      </c>
      <c r="F97">
        <v>626.89999999999986</v>
      </c>
      <c r="G97">
        <v>60</v>
      </c>
      <c r="H97">
        <v>2036.5499999999997</v>
      </c>
      <c r="I97">
        <v>67</v>
      </c>
      <c r="J97">
        <v>1995.43</v>
      </c>
    </row>
    <row r="98" spans="1:10" x14ac:dyDescent="0.25">
      <c r="A98" t="s">
        <v>293</v>
      </c>
      <c r="B98" t="s">
        <v>294</v>
      </c>
      <c r="C98">
        <v>32</v>
      </c>
      <c r="D98">
        <v>372.1</v>
      </c>
      <c r="E98">
        <v>0</v>
      </c>
      <c r="F98">
        <v>0</v>
      </c>
      <c r="G98">
        <v>32</v>
      </c>
      <c r="H98">
        <v>372.1</v>
      </c>
      <c r="I98">
        <v>32</v>
      </c>
      <c r="J98">
        <v>241.24</v>
      </c>
    </row>
    <row r="99" spans="1:10" x14ac:dyDescent="0.25">
      <c r="A99" t="s">
        <v>722</v>
      </c>
      <c r="B99" t="s">
        <v>723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534</v>
      </c>
      <c r="B100" t="s">
        <v>535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334</v>
      </c>
      <c r="B101" t="s">
        <v>335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143.11000000000001</v>
      </c>
    </row>
    <row r="102" spans="1:10" x14ac:dyDescent="0.25">
      <c r="A102" t="s">
        <v>658</v>
      </c>
      <c r="B102" t="s">
        <v>659</v>
      </c>
      <c r="C102">
        <v>9</v>
      </c>
      <c r="D102">
        <v>206.62</v>
      </c>
      <c r="E102">
        <v>0</v>
      </c>
      <c r="F102">
        <v>0</v>
      </c>
      <c r="G102">
        <v>9</v>
      </c>
      <c r="H102">
        <v>206.62</v>
      </c>
      <c r="I102">
        <v>0</v>
      </c>
      <c r="J102">
        <v>0</v>
      </c>
    </row>
    <row r="103" spans="1:10" x14ac:dyDescent="0.25">
      <c r="A103" t="s">
        <v>706</v>
      </c>
      <c r="B103" t="s">
        <v>707</v>
      </c>
      <c r="C103">
        <v>3</v>
      </c>
      <c r="D103">
        <v>14.35</v>
      </c>
      <c r="E103">
        <v>0</v>
      </c>
      <c r="F103">
        <v>0</v>
      </c>
      <c r="G103">
        <v>3</v>
      </c>
      <c r="H103">
        <v>14.35</v>
      </c>
      <c r="I103">
        <v>0</v>
      </c>
      <c r="J103">
        <v>0</v>
      </c>
    </row>
    <row r="104" spans="1:10" x14ac:dyDescent="0.25">
      <c r="A104" t="s">
        <v>554</v>
      </c>
      <c r="B104" t="s">
        <v>555</v>
      </c>
      <c r="C104">
        <v>1</v>
      </c>
      <c r="D104">
        <v>29.03</v>
      </c>
      <c r="E104">
        <v>0</v>
      </c>
      <c r="F104">
        <v>0</v>
      </c>
      <c r="G104">
        <v>1</v>
      </c>
      <c r="H104">
        <v>29.03</v>
      </c>
      <c r="I104">
        <v>0</v>
      </c>
      <c r="J104">
        <v>0</v>
      </c>
    </row>
    <row r="105" spans="1:10" x14ac:dyDescent="0.25">
      <c r="A105" t="s">
        <v>676</v>
      </c>
      <c r="B105" t="s">
        <v>677</v>
      </c>
      <c r="C105">
        <v>1</v>
      </c>
      <c r="D105">
        <v>55.62</v>
      </c>
      <c r="E105">
        <v>0</v>
      </c>
      <c r="F105">
        <v>0</v>
      </c>
      <c r="G105">
        <v>1</v>
      </c>
      <c r="H105">
        <v>55.62</v>
      </c>
      <c r="I105">
        <v>0</v>
      </c>
      <c r="J105">
        <v>0</v>
      </c>
    </row>
    <row r="106" spans="1:10" x14ac:dyDescent="0.25">
      <c r="A106" t="s">
        <v>214</v>
      </c>
      <c r="B106" t="s">
        <v>215</v>
      </c>
      <c r="C106">
        <v>1</v>
      </c>
      <c r="D106">
        <v>41.58</v>
      </c>
      <c r="E106">
        <v>0</v>
      </c>
      <c r="F106">
        <v>0</v>
      </c>
      <c r="G106">
        <v>1</v>
      </c>
      <c r="H106">
        <v>41.58</v>
      </c>
      <c r="I106">
        <v>15</v>
      </c>
      <c r="J106">
        <v>623.70000000000005</v>
      </c>
    </row>
    <row r="107" spans="1:10" x14ac:dyDescent="0.25">
      <c r="A107" t="s">
        <v>718</v>
      </c>
      <c r="B107" t="s">
        <v>719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420</v>
      </c>
      <c r="B108" t="s">
        <v>421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49.02</v>
      </c>
    </row>
    <row r="109" spans="1:10" x14ac:dyDescent="0.25">
      <c r="A109" t="s">
        <v>122</v>
      </c>
      <c r="B109" t="s">
        <v>123</v>
      </c>
      <c r="C109">
        <v>10</v>
      </c>
      <c r="D109">
        <v>253.92</v>
      </c>
      <c r="E109">
        <v>17</v>
      </c>
      <c r="F109">
        <v>542.9899999999999</v>
      </c>
      <c r="G109">
        <v>27</v>
      </c>
      <c r="H109">
        <v>796.90999999999985</v>
      </c>
      <c r="I109">
        <v>100</v>
      </c>
      <c r="J109">
        <v>2466.4</v>
      </c>
    </row>
    <row r="110" spans="1:10" x14ac:dyDescent="0.25">
      <c r="A110" t="s">
        <v>492</v>
      </c>
      <c r="B110" t="s">
        <v>493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20.41</v>
      </c>
    </row>
    <row r="111" spans="1:10" x14ac:dyDescent="0.25">
      <c r="A111" t="s">
        <v>300</v>
      </c>
      <c r="B111" t="s">
        <v>301</v>
      </c>
      <c r="C111">
        <v>199</v>
      </c>
      <c r="D111">
        <v>2973.83</v>
      </c>
      <c r="E111">
        <v>0</v>
      </c>
      <c r="F111">
        <v>0</v>
      </c>
      <c r="G111">
        <v>199</v>
      </c>
      <c r="H111">
        <v>2973.83</v>
      </c>
      <c r="I111">
        <v>17</v>
      </c>
      <c r="J111">
        <v>261.64999999999998</v>
      </c>
    </row>
    <row r="112" spans="1:10" x14ac:dyDescent="0.25">
      <c r="A112" t="s">
        <v>550</v>
      </c>
      <c r="B112" t="s">
        <v>551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388</v>
      </c>
      <c r="B113" t="s">
        <v>389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139.94999999999999</v>
      </c>
    </row>
    <row r="114" spans="1:10" x14ac:dyDescent="0.25">
      <c r="A114" t="s">
        <v>196</v>
      </c>
      <c r="B114" t="s">
        <v>197</v>
      </c>
      <c r="C114">
        <v>30</v>
      </c>
      <c r="D114">
        <v>665.80000000000007</v>
      </c>
      <c r="E114">
        <v>0</v>
      </c>
      <c r="F114">
        <v>0</v>
      </c>
      <c r="G114">
        <v>30</v>
      </c>
      <c r="H114">
        <v>665.80000000000007</v>
      </c>
      <c r="I114">
        <v>37</v>
      </c>
      <c r="J114">
        <v>878.32</v>
      </c>
    </row>
    <row r="115" spans="1:10" x14ac:dyDescent="0.25">
      <c r="A115" t="s">
        <v>634</v>
      </c>
      <c r="B115" t="s">
        <v>635</v>
      </c>
      <c r="C115">
        <v>8</v>
      </c>
      <c r="D115">
        <v>196.7</v>
      </c>
      <c r="E115">
        <v>0</v>
      </c>
      <c r="F115">
        <v>0</v>
      </c>
      <c r="G115">
        <v>8</v>
      </c>
      <c r="H115">
        <v>196.7</v>
      </c>
      <c r="I115">
        <v>0</v>
      </c>
      <c r="J115">
        <v>0</v>
      </c>
    </row>
    <row r="116" spans="1:10" x14ac:dyDescent="0.25">
      <c r="A116" t="s">
        <v>202</v>
      </c>
      <c r="B116" t="s">
        <v>197</v>
      </c>
      <c r="C116">
        <v>2</v>
      </c>
      <c r="D116">
        <v>22.14</v>
      </c>
      <c r="E116">
        <v>45</v>
      </c>
      <c r="F116">
        <v>672.80999999999949</v>
      </c>
      <c r="G116">
        <v>47</v>
      </c>
      <c r="H116">
        <v>694.94999999999948</v>
      </c>
      <c r="I116">
        <v>85</v>
      </c>
      <c r="J116">
        <v>1021.69</v>
      </c>
    </row>
    <row r="117" spans="1:10" x14ac:dyDescent="0.25">
      <c r="A117" t="s">
        <v>682</v>
      </c>
      <c r="B117" t="s">
        <v>683</v>
      </c>
      <c r="C117">
        <v>4</v>
      </c>
      <c r="D117">
        <v>64.509999999999991</v>
      </c>
      <c r="E117">
        <v>0</v>
      </c>
      <c r="F117">
        <v>0</v>
      </c>
      <c r="G117">
        <v>4</v>
      </c>
      <c r="H117">
        <v>64.509999999999991</v>
      </c>
      <c r="I117">
        <v>0</v>
      </c>
      <c r="J117">
        <v>0</v>
      </c>
    </row>
    <row r="118" spans="1:10" x14ac:dyDescent="0.25">
      <c r="A118" t="s">
        <v>562</v>
      </c>
      <c r="B118" t="s">
        <v>563</v>
      </c>
      <c r="C118">
        <v>1</v>
      </c>
      <c r="D118">
        <v>91.6</v>
      </c>
      <c r="E118">
        <v>0</v>
      </c>
      <c r="F118">
        <v>0</v>
      </c>
      <c r="G118">
        <v>1</v>
      </c>
      <c r="H118">
        <v>91.6</v>
      </c>
      <c r="I118">
        <v>0</v>
      </c>
      <c r="J118">
        <v>0</v>
      </c>
    </row>
    <row r="119" spans="1:10" x14ac:dyDescent="0.25">
      <c r="A119" t="s">
        <v>128</v>
      </c>
      <c r="B119" t="s">
        <v>129</v>
      </c>
      <c r="C119">
        <v>203</v>
      </c>
      <c r="D119">
        <v>2645.87</v>
      </c>
      <c r="E119">
        <v>0</v>
      </c>
      <c r="F119">
        <v>0</v>
      </c>
      <c r="G119">
        <v>203</v>
      </c>
      <c r="H119">
        <v>2645.87</v>
      </c>
      <c r="I119">
        <v>164</v>
      </c>
      <c r="J119">
        <v>2010.57</v>
      </c>
    </row>
    <row r="120" spans="1:10" x14ac:dyDescent="0.25">
      <c r="A120" t="s">
        <v>65</v>
      </c>
      <c r="B120" t="s">
        <v>66</v>
      </c>
      <c r="C120">
        <v>72</v>
      </c>
      <c r="D120">
        <v>2028.94</v>
      </c>
      <c r="E120">
        <v>365</v>
      </c>
      <c r="F120">
        <v>12257.319999999916</v>
      </c>
      <c r="G120">
        <v>437</v>
      </c>
      <c r="H120">
        <v>14286.259999999917</v>
      </c>
      <c r="I120">
        <v>375</v>
      </c>
      <c r="J120">
        <v>11812.32</v>
      </c>
    </row>
    <row r="121" spans="1:10" x14ac:dyDescent="0.25">
      <c r="A121" t="s">
        <v>584</v>
      </c>
      <c r="B121" t="s">
        <v>585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260</v>
      </c>
      <c r="B122" t="s">
        <v>261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</v>
      </c>
      <c r="J122">
        <v>394.15999999999997</v>
      </c>
    </row>
    <row r="123" spans="1:10" x14ac:dyDescent="0.25">
      <c r="A123" t="s">
        <v>466</v>
      </c>
      <c r="B123" t="s">
        <v>467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28.84</v>
      </c>
    </row>
    <row r="124" spans="1:10" x14ac:dyDescent="0.25">
      <c r="A124" t="s">
        <v>75</v>
      </c>
      <c r="B124" t="s">
        <v>76</v>
      </c>
      <c r="C124">
        <v>5</v>
      </c>
      <c r="D124">
        <v>186.48000000000002</v>
      </c>
      <c r="E124">
        <v>20</v>
      </c>
      <c r="F124">
        <v>1037.9999999999998</v>
      </c>
      <c r="G124">
        <v>25</v>
      </c>
      <c r="H124">
        <v>1224.4799999999998</v>
      </c>
      <c r="I124">
        <v>287</v>
      </c>
      <c r="J124">
        <v>10625.77</v>
      </c>
    </row>
    <row r="125" spans="1:10" x14ac:dyDescent="0.25">
      <c r="A125" t="s">
        <v>134</v>
      </c>
      <c r="B125" t="s">
        <v>135</v>
      </c>
      <c r="C125">
        <v>62</v>
      </c>
      <c r="D125">
        <v>2621.2599999999998</v>
      </c>
      <c r="E125">
        <v>19</v>
      </c>
      <c r="F125">
        <v>1138.0999999999999</v>
      </c>
      <c r="G125">
        <v>81</v>
      </c>
      <c r="H125">
        <v>3759.3599999999997</v>
      </c>
      <c r="I125">
        <v>62</v>
      </c>
      <c r="J125">
        <v>2954.2999999999997</v>
      </c>
    </row>
    <row r="126" spans="1:10" x14ac:dyDescent="0.25">
      <c r="A126" t="s">
        <v>430</v>
      </c>
      <c r="B126" t="s">
        <v>431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44.57</v>
      </c>
    </row>
    <row r="127" spans="1:10" x14ac:dyDescent="0.25">
      <c r="A127" t="s">
        <v>496</v>
      </c>
      <c r="B127" t="s">
        <v>497</v>
      </c>
      <c r="C127">
        <v>1</v>
      </c>
      <c r="D127">
        <v>13.81</v>
      </c>
      <c r="E127">
        <v>0</v>
      </c>
      <c r="F127">
        <v>0</v>
      </c>
      <c r="G127">
        <v>1</v>
      </c>
      <c r="H127">
        <v>13.81</v>
      </c>
      <c r="I127">
        <v>1</v>
      </c>
      <c r="J127">
        <v>18.239999999999998</v>
      </c>
    </row>
    <row r="128" spans="1:10" x14ac:dyDescent="0.25">
      <c r="A128" t="s">
        <v>398</v>
      </c>
      <c r="B128" t="s">
        <v>399</v>
      </c>
      <c r="C128">
        <v>1</v>
      </c>
      <c r="D128">
        <v>33.25</v>
      </c>
      <c r="E128">
        <v>0</v>
      </c>
      <c r="F128">
        <v>0</v>
      </c>
      <c r="G128">
        <v>1</v>
      </c>
      <c r="H128">
        <v>33.25</v>
      </c>
      <c r="I128">
        <v>2</v>
      </c>
      <c r="J128">
        <v>71.099999999999994</v>
      </c>
    </row>
    <row r="129" spans="1:10" x14ac:dyDescent="0.25">
      <c r="A129" t="s">
        <v>678</v>
      </c>
      <c r="B129" t="s">
        <v>679</v>
      </c>
      <c r="C129">
        <v>1</v>
      </c>
      <c r="D129">
        <v>54.9</v>
      </c>
      <c r="E129">
        <v>0</v>
      </c>
      <c r="F129">
        <v>0</v>
      </c>
      <c r="G129">
        <v>1</v>
      </c>
      <c r="H129">
        <v>54.9</v>
      </c>
      <c r="I129">
        <v>0</v>
      </c>
      <c r="J129">
        <v>0</v>
      </c>
    </row>
    <row r="130" spans="1:10" x14ac:dyDescent="0.25">
      <c r="A130" t="s">
        <v>47</v>
      </c>
      <c r="B130" t="s">
        <v>48</v>
      </c>
      <c r="C130">
        <v>178</v>
      </c>
      <c r="D130">
        <v>3604.5600000000004</v>
      </c>
      <c r="E130">
        <v>0</v>
      </c>
      <c r="F130">
        <v>0</v>
      </c>
      <c r="G130">
        <v>178</v>
      </c>
      <c r="H130">
        <v>3604.5600000000004</v>
      </c>
      <c r="I130">
        <v>491</v>
      </c>
      <c r="J130">
        <v>10102.950000000001</v>
      </c>
    </row>
    <row r="131" spans="1:10" x14ac:dyDescent="0.25">
      <c r="A131" t="s">
        <v>548</v>
      </c>
      <c r="B131" t="s">
        <v>549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358</v>
      </c>
      <c r="B132" t="s">
        <v>359</v>
      </c>
      <c r="C132">
        <v>3</v>
      </c>
      <c r="D132">
        <v>72.88</v>
      </c>
      <c r="E132">
        <v>0</v>
      </c>
      <c r="F132">
        <v>0</v>
      </c>
      <c r="G132">
        <v>3</v>
      </c>
      <c r="H132">
        <v>72.88</v>
      </c>
      <c r="I132">
        <v>6</v>
      </c>
      <c r="J132">
        <v>134.09</v>
      </c>
    </row>
    <row r="133" spans="1:10" x14ac:dyDescent="0.25">
      <c r="A133" t="s">
        <v>322</v>
      </c>
      <c r="B133" t="s">
        <v>323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8</v>
      </c>
      <c r="J133">
        <v>156.72</v>
      </c>
    </row>
    <row r="134" spans="1:10" x14ac:dyDescent="0.25">
      <c r="A134" t="s">
        <v>696</v>
      </c>
      <c r="B134" t="s">
        <v>697</v>
      </c>
      <c r="C134">
        <v>1</v>
      </c>
      <c r="D134">
        <v>17.07</v>
      </c>
      <c r="E134">
        <v>0</v>
      </c>
      <c r="F134">
        <v>0</v>
      </c>
      <c r="G134">
        <v>1</v>
      </c>
      <c r="H134">
        <v>17.07</v>
      </c>
      <c r="I134">
        <v>0</v>
      </c>
      <c r="J134">
        <v>0</v>
      </c>
    </row>
    <row r="135" spans="1:10" x14ac:dyDescent="0.25">
      <c r="A135" t="s">
        <v>324</v>
      </c>
      <c r="B135" t="s">
        <v>325</v>
      </c>
      <c r="C135">
        <v>93</v>
      </c>
      <c r="D135">
        <v>687.96</v>
      </c>
      <c r="E135">
        <v>0</v>
      </c>
      <c r="F135">
        <v>0</v>
      </c>
      <c r="G135">
        <v>93</v>
      </c>
      <c r="H135">
        <v>687.96</v>
      </c>
      <c r="I135">
        <v>31</v>
      </c>
      <c r="J135">
        <v>255.23999999999998</v>
      </c>
    </row>
    <row r="136" spans="1:10" x14ac:dyDescent="0.25">
      <c r="A136" t="s">
        <v>516</v>
      </c>
      <c r="B136" t="s">
        <v>517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8.32</v>
      </c>
    </row>
    <row r="137" spans="1:10" x14ac:dyDescent="0.25">
      <c r="A137" t="s">
        <v>370</v>
      </c>
      <c r="B137" t="s">
        <v>371</v>
      </c>
      <c r="C137">
        <v>24</v>
      </c>
      <c r="D137">
        <v>339.75</v>
      </c>
      <c r="E137">
        <v>0</v>
      </c>
      <c r="F137">
        <v>0</v>
      </c>
      <c r="G137">
        <v>24</v>
      </c>
      <c r="H137">
        <v>339.75</v>
      </c>
      <c r="I137">
        <v>3</v>
      </c>
      <c r="J137">
        <v>86.73</v>
      </c>
    </row>
    <row r="138" spans="1:10" x14ac:dyDescent="0.25">
      <c r="A138" t="s">
        <v>484</v>
      </c>
      <c r="B138" t="s">
        <v>485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24.51</v>
      </c>
    </row>
    <row r="139" spans="1:10" x14ac:dyDescent="0.25">
      <c r="A139" t="s">
        <v>318</v>
      </c>
      <c r="B139" t="s">
        <v>319</v>
      </c>
      <c r="C139">
        <v>2</v>
      </c>
      <c r="D139">
        <v>151.86000000000001</v>
      </c>
      <c r="E139">
        <v>0</v>
      </c>
      <c r="F139">
        <v>0</v>
      </c>
      <c r="G139">
        <v>2</v>
      </c>
      <c r="H139">
        <v>151.86000000000001</v>
      </c>
      <c r="I139">
        <v>2</v>
      </c>
      <c r="J139">
        <v>162.30000000000001</v>
      </c>
    </row>
    <row r="140" spans="1:10" x14ac:dyDescent="0.25">
      <c r="A140" t="s">
        <v>240</v>
      </c>
      <c r="B140" t="s">
        <v>241</v>
      </c>
      <c r="C140">
        <v>7</v>
      </c>
      <c r="D140">
        <v>332.73</v>
      </c>
      <c r="E140">
        <v>0</v>
      </c>
      <c r="F140">
        <v>0</v>
      </c>
      <c r="G140">
        <v>7</v>
      </c>
      <c r="H140">
        <v>332.73</v>
      </c>
      <c r="I140">
        <v>11</v>
      </c>
      <c r="J140">
        <v>525.08000000000004</v>
      </c>
    </row>
    <row r="141" spans="1:10" x14ac:dyDescent="0.25">
      <c r="A141" t="s">
        <v>582</v>
      </c>
      <c r="B141" t="s">
        <v>583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560</v>
      </c>
      <c r="B142" t="s">
        <v>561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</v>
      </c>
      <c r="J142">
        <v>-10.84</v>
      </c>
    </row>
    <row r="143" spans="1:10" x14ac:dyDescent="0.25">
      <c r="A143" t="s">
        <v>368</v>
      </c>
      <c r="B143" t="s">
        <v>369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98.2</v>
      </c>
    </row>
    <row r="144" spans="1:10" x14ac:dyDescent="0.25">
      <c r="A144" t="s">
        <v>132</v>
      </c>
      <c r="B144" t="s">
        <v>133</v>
      </c>
      <c r="C144">
        <v>361</v>
      </c>
      <c r="D144">
        <v>5152.8799999999992</v>
      </c>
      <c r="E144">
        <v>0</v>
      </c>
      <c r="F144">
        <v>0</v>
      </c>
      <c r="G144">
        <v>361</v>
      </c>
      <c r="H144">
        <v>5152.8799999999992</v>
      </c>
      <c r="I144">
        <v>187</v>
      </c>
      <c r="J144">
        <v>2564.1999999999998</v>
      </c>
    </row>
    <row r="145" spans="1:10" x14ac:dyDescent="0.25">
      <c r="A145" t="s">
        <v>456</v>
      </c>
      <c r="B145" t="s">
        <v>457</v>
      </c>
      <c r="C145">
        <v>5</v>
      </c>
      <c r="D145">
        <v>97.62</v>
      </c>
      <c r="E145">
        <v>0</v>
      </c>
      <c r="F145">
        <v>0</v>
      </c>
      <c r="G145">
        <v>5</v>
      </c>
      <c r="H145">
        <v>97.62</v>
      </c>
      <c r="I145">
        <v>2</v>
      </c>
      <c r="J145">
        <v>32.659999999999997</v>
      </c>
    </row>
    <row r="146" spans="1:10" x14ac:dyDescent="0.25">
      <c r="A146" t="s">
        <v>244</v>
      </c>
      <c r="B146" t="s">
        <v>245</v>
      </c>
      <c r="C146">
        <v>8</v>
      </c>
      <c r="D146">
        <v>198.65</v>
      </c>
      <c r="E146">
        <v>0</v>
      </c>
      <c r="F146">
        <v>0</v>
      </c>
      <c r="G146">
        <v>8</v>
      </c>
      <c r="H146">
        <v>198.65</v>
      </c>
      <c r="I146">
        <v>22</v>
      </c>
      <c r="J146">
        <v>544.95000000000005</v>
      </c>
    </row>
    <row r="147" spans="1:10" x14ac:dyDescent="0.25">
      <c r="A147" t="s">
        <v>45</v>
      </c>
      <c r="B147" t="s">
        <v>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835</v>
      </c>
      <c r="J147">
        <v>10271.709999999999</v>
      </c>
    </row>
    <row r="148" spans="1:10" x14ac:dyDescent="0.25">
      <c r="A148" t="s">
        <v>216</v>
      </c>
      <c r="B148" t="s">
        <v>217</v>
      </c>
      <c r="C148">
        <v>40</v>
      </c>
      <c r="D148">
        <v>465.02000000000004</v>
      </c>
      <c r="E148">
        <v>0</v>
      </c>
      <c r="F148">
        <v>0</v>
      </c>
      <c r="G148">
        <v>40</v>
      </c>
      <c r="H148">
        <v>465.02000000000004</v>
      </c>
      <c r="I148">
        <v>54</v>
      </c>
      <c r="J148">
        <v>620.82000000000005</v>
      </c>
    </row>
    <row r="149" spans="1:10" x14ac:dyDescent="0.25">
      <c r="A149" t="s">
        <v>308</v>
      </c>
      <c r="B149" t="s">
        <v>309</v>
      </c>
      <c r="C149">
        <v>8</v>
      </c>
      <c r="D149">
        <v>198.73000000000002</v>
      </c>
      <c r="E149">
        <v>0</v>
      </c>
      <c r="F149">
        <v>0</v>
      </c>
      <c r="G149">
        <v>8</v>
      </c>
      <c r="H149">
        <v>198.73000000000002</v>
      </c>
      <c r="I149">
        <v>10</v>
      </c>
      <c r="J149">
        <v>245.4</v>
      </c>
    </row>
    <row r="150" spans="1:10" x14ac:dyDescent="0.25">
      <c r="A150" t="s">
        <v>572</v>
      </c>
      <c r="B150" t="s">
        <v>573</v>
      </c>
      <c r="C150">
        <v>0</v>
      </c>
      <c r="D150">
        <v>0</v>
      </c>
      <c r="E150">
        <v>1</v>
      </c>
      <c r="F150">
        <v>15.9</v>
      </c>
      <c r="G150">
        <v>1</v>
      </c>
      <c r="H150">
        <v>15.9</v>
      </c>
      <c r="I150">
        <v>0</v>
      </c>
      <c r="J150">
        <v>0</v>
      </c>
    </row>
    <row r="151" spans="1:10" x14ac:dyDescent="0.25">
      <c r="A151" t="s">
        <v>450</v>
      </c>
      <c r="B151" t="s">
        <v>451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5</v>
      </c>
      <c r="J151">
        <v>57.47</v>
      </c>
    </row>
    <row r="152" spans="1:10" x14ac:dyDescent="0.25">
      <c r="A152" t="s">
        <v>526</v>
      </c>
      <c r="B152" t="s">
        <v>527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314</v>
      </c>
      <c r="B153" t="s">
        <v>315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24</v>
      </c>
      <c r="J153">
        <v>184.5</v>
      </c>
    </row>
    <row r="154" spans="1:10" x14ac:dyDescent="0.25">
      <c r="A154" t="s">
        <v>71</v>
      </c>
      <c r="B154" t="s">
        <v>72</v>
      </c>
      <c r="C154">
        <v>172</v>
      </c>
      <c r="D154">
        <v>4167.01</v>
      </c>
      <c r="E154">
        <v>104</v>
      </c>
      <c r="F154">
        <v>3109.6000000000017</v>
      </c>
      <c r="G154">
        <v>276</v>
      </c>
      <c r="H154">
        <v>7276.6100000000024</v>
      </c>
      <c r="I154">
        <v>352</v>
      </c>
      <c r="J154">
        <v>8344.1</v>
      </c>
    </row>
    <row r="155" spans="1:10" x14ac:dyDescent="0.25">
      <c r="A155" t="s">
        <v>524</v>
      </c>
      <c r="B155" t="s">
        <v>525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180</v>
      </c>
      <c r="B156" t="s">
        <v>181</v>
      </c>
      <c r="C156">
        <v>25</v>
      </c>
      <c r="D156">
        <v>993.72</v>
      </c>
      <c r="E156">
        <v>0</v>
      </c>
      <c r="F156">
        <v>0</v>
      </c>
      <c r="G156">
        <v>25</v>
      </c>
      <c r="H156">
        <v>993.72</v>
      </c>
      <c r="I156">
        <v>21</v>
      </c>
      <c r="J156">
        <v>998.34</v>
      </c>
    </row>
    <row r="157" spans="1:10" x14ac:dyDescent="0.25">
      <c r="A157" t="s">
        <v>352</v>
      </c>
      <c r="B157" t="s">
        <v>353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221.75</v>
      </c>
    </row>
    <row r="158" spans="1:10" x14ac:dyDescent="0.25">
      <c r="A158" t="s">
        <v>638</v>
      </c>
      <c r="B158" t="s">
        <v>639</v>
      </c>
      <c r="C158">
        <v>1</v>
      </c>
      <c r="D158">
        <v>157.5</v>
      </c>
      <c r="E158">
        <v>0</v>
      </c>
      <c r="F158">
        <v>0</v>
      </c>
      <c r="G158">
        <v>1</v>
      </c>
      <c r="H158">
        <v>157.5</v>
      </c>
      <c r="I158">
        <v>0</v>
      </c>
      <c r="J158">
        <v>0</v>
      </c>
    </row>
    <row r="159" spans="1:10" x14ac:dyDescent="0.25">
      <c r="A159" t="s">
        <v>428</v>
      </c>
      <c r="B159" t="s">
        <v>429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47.98</v>
      </c>
    </row>
    <row r="160" spans="1:10" x14ac:dyDescent="0.25">
      <c r="A160" t="s">
        <v>285</v>
      </c>
      <c r="B160" t="s">
        <v>286</v>
      </c>
      <c r="C160">
        <v>16</v>
      </c>
      <c r="D160">
        <v>317.03000000000003</v>
      </c>
      <c r="E160">
        <v>0</v>
      </c>
      <c r="F160">
        <v>0</v>
      </c>
      <c r="G160">
        <v>16</v>
      </c>
      <c r="H160">
        <v>317.03000000000003</v>
      </c>
      <c r="I160">
        <v>20</v>
      </c>
      <c r="J160">
        <v>398.11</v>
      </c>
    </row>
    <row r="161" spans="1:10" x14ac:dyDescent="0.25">
      <c r="A161" t="s">
        <v>468</v>
      </c>
      <c r="B161" t="s">
        <v>469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54.879999999999995</v>
      </c>
    </row>
    <row r="162" spans="1:10" x14ac:dyDescent="0.25">
      <c r="A162" t="s">
        <v>542</v>
      </c>
      <c r="B162" t="s">
        <v>543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208</v>
      </c>
      <c r="B163" t="s">
        <v>209</v>
      </c>
      <c r="C163">
        <v>0</v>
      </c>
      <c r="D163">
        <v>0</v>
      </c>
      <c r="E163">
        <v>28</v>
      </c>
      <c r="F163">
        <v>2275.400000000001</v>
      </c>
      <c r="G163">
        <v>28</v>
      </c>
      <c r="H163">
        <v>2275.400000000001</v>
      </c>
      <c r="I163">
        <v>10</v>
      </c>
      <c r="J163">
        <v>710.11</v>
      </c>
    </row>
    <row r="164" spans="1:10" x14ac:dyDescent="0.25">
      <c r="A164" t="s">
        <v>114</v>
      </c>
      <c r="B164" t="s">
        <v>115</v>
      </c>
      <c r="C164">
        <v>9</v>
      </c>
      <c r="D164">
        <v>384.04</v>
      </c>
      <c r="E164">
        <v>3</v>
      </c>
      <c r="F164">
        <v>149.69999999999999</v>
      </c>
      <c r="G164">
        <v>12</v>
      </c>
      <c r="H164">
        <v>533.74</v>
      </c>
      <c r="I164">
        <v>69</v>
      </c>
      <c r="J164">
        <v>3127.7400000000002</v>
      </c>
    </row>
    <row r="165" spans="1:10" x14ac:dyDescent="0.25">
      <c r="A165" t="s">
        <v>188</v>
      </c>
      <c r="B165" t="s">
        <v>189</v>
      </c>
      <c r="C165">
        <v>6</v>
      </c>
      <c r="D165">
        <v>165.58</v>
      </c>
      <c r="E165">
        <v>0</v>
      </c>
      <c r="F165">
        <v>0</v>
      </c>
      <c r="G165">
        <v>6</v>
      </c>
      <c r="H165">
        <v>165.58</v>
      </c>
      <c r="I165">
        <v>48</v>
      </c>
      <c r="J165">
        <v>1180.17</v>
      </c>
    </row>
    <row r="166" spans="1:10" x14ac:dyDescent="0.25">
      <c r="A166" t="s">
        <v>77</v>
      </c>
      <c r="B166" t="s">
        <v>78</v>
      </c>
      <c r="C166">
        <v>-4</v>
      </c>
      <c r="D166">
        <v>-230.16</v>
      </c>
      <c r="E166">
        <v>0</v>
      </c>
      <c r="F166">
        <v>0</v>
      </c>
      <c r="G166">
        <v>-4</v>
      </c>
      <c r="H166">
        <v>-230.16</v>
      </c>
      <c r="I166">
        <v>180</v>
      </c>
      <c r="J166">
        <v>10892.220000000001</v>
      </c>
    </row>
    <row r="167" spans="1:10" x14ac:dyDescent="0.25">
      <c r="A167" t="s">
        <v>444</v>
      </c>
      <c r="B167" t="s">
        <v>445</v>
      </c>
      <c r="C167">
        <v>1</v>
      </c>
      <c r="D167">
        <v>78.16</v>
      </c>
      <c r="E167">
        <v>0</v>
      </c>
      <c r="F167">
        <v>0</v>
      </c>
      <c r="G167">
        <v>1</v>
      </c>
      <c r="H167">
        <v>78.16</v>
      </c>
      <c r="I167">
        <v>1</v>
      </c>
      <c r="J167">
        <v>37.97</v>
      </c>
    </row>
    <row r="168" spans="1:10" x14ac:dyDescent="0.25">
      <c r="A168" t="s">
        <v>130</v>
      </c>
      <c r="B168" t="s">
        <v>131</v>
      </c>
      <c r="C168">
        <v>41</v>
      </c>
      <c r="D168">
        <v>2246.3200000000002</v>
      </c>
      <c r="E168">
        <v>0</v>
      </c>
      <c r="F168">
        <v>0</v>
      </c>
      <c r="G168">
        <v>41</v>
      </c>
      <c r="H168">
        <v>2246.3200000000002</v>
      </c>
      <c r="I168">
        <v>45</v>
      </c>
      <c r="J168">
        <v>2654.8399999999997</v>
      </c>
    </row>
    <row r="169" spans="1:10" x14ac:dyDescent="0.25">
      <c r="A169" t="s">
        <v>9</v>
      </c>
      <c r="B169" t="s">
        <v>10</v>
      </c>
      <c r="C169">
        <v>120</v>
      </c>
      <c r="D169">
        <v>1506.88</v>
      </c>
      <c r="E169">
        <v>0</v>
      </c>
      <c r="F169">
        <v>0</v>
      </c>
      <c r="G169">
        <v>120</v>
      </c>
      <c r="H169">
        <v>1506.88</v>
      </c>
      <c r="I169">
        <v>3622</v>
      </c>
      <c r="J169">
        <v>44366.180000000008</v>
      </c>
    </row>
    <row r="170" spans="1:10" x14ac:dyDescent="0.25">
      <c r="A170" t="s">
        <v>556</v>
      </c>
      <c r="B170" t="s">
        <v>557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374</v>
      </c>
      <c r="B171" t="s">
        <v>375</v>
      </c>
      <c r="C171">
        <v>5</v>
      </c>
      <c r="D171">
        <v>100.64000000000001</v>
      </c>
      <c r="E171">
        <v>0</v>
      </c>
      <c r="F171">
        <v>0</v>
      </c>
      <c r="G171">
        <v>5</v>
      </c>
      <c r="H171">
        <v>100.64000000000001</v>
      </c>
      <c r="I171">
        <v>5</v>
      </c>
      <c r="J171">
        <v>102.22</v>
      </c>
    </row>
    <row r="172" spans="1:10" x14ac:dyDescent="0.25">
      <c r="A172" t="s">
        <v>220</v>
      </c>
      <c r="B172" t="s">
        <v>221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60</v>
      </c>
      <c r="J172">
        <v>1001.77</v>
      </c>
    </row>
    <row r="173" spans="1:10" x14ac:dyDescent="0.25">
      <c r="A173" t="s">
        <v>88</v>
      </c>
      <c r="B173" t="s">
        <v>89</v>
      </c>
      <c r="C173">
        <v>0</v>
      </c>
      <c r="D173">
        <v>0</v>
      </c>
      <c r="E173">
        <v>31</v>
      </c>
      <c r="F173">
        <v>1866.900000000001</v>
      </c>
      <c r="G173">
        <v>31</v>
      </c>
      <c r="H173">
        <v>1866.900000000001</v>
      </c>
      <c r="I173">
        <v>98</v>
      </c>
      <c r="J173">
        <v>5258.27</v>
      </c>
    </row>
    <row r="174" spans="1:10" x14ac:dyDescent="0.25">
      <c r="A174" t="s">
        <v>21</v>
      </c>
      <c r="B174" t="s">
        <v>22</v>
      </c>
      <c r="C174">
        <v>1</v>
      </c>
      <c r="D174">
        <v>24.88</v>
      </c>
      <c r="E174">
        <v>42</v>
      </c>
      <c r="F174">
        <v>1333.8200000000004</v>
      </c>
      <c r="G174">
        <v>43</v>
      </c>
      <c r="H174">
        <v>1358.7000000000005</v>
      </c>
      <c r="I174">
        <v>955</v>
      </c>
      <c r="J174">
        <v>20195.070000000003</v>
      </c>
    </row>
    <row r="175" spans="1:10" x14ac:dyDescent="0.25">
      <c r="A175" t="s">
        <v>69</v>
      </c>
      <c r="B175" t="s">
        <v>70</v>
      </c>
      <c r="C175">
        <v>30</v>
      </c>
      <c r="D175">
        <v>726.79</v>
      </c>
      <c r="E175">
        <v>0</v>
      </c>
      <c r="F175">
        <v>0</v>
      </c>
      <c r="G175">
        <v>30</v>
      </c>
      <c r="H175">
        <v>726.79</v>
      </c>
      <c r="I175">
        <v>427</v>
      </c>
      <c r="J175">
        <v>10551.099999999999</v>
      </c>
    </row>
    <row r="176" spans="1:10" x14ac:dyDescent="0.25">
      <c r="A176" t="s">
        <v>592</v>
      </c>
      <c r="B176" t="s">
        <v>593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</v>
      </c>
      <c r="J176">
        <v>-16.309999999999999</v>
      </c>
    </row>
    <row r="177" spans="1:10" x14ac:dyDescent="0.25">
      <c r="A177" t="s">
        <v>438</v>
      </c>
      <c r="B177" t="s">
        <v>439</v>
      </c>
      <c r="C177">
        <v>6</v>
      </c>
      <c r="D177">
        <v>31</v>
      </c>
      <c r="E177">
        <v>0</v>
      </c>
      <c r="F177">
        <v>0</v>
      </c>
      <c r="G177">
        <v>6</v>
      </c>
      <c r="H177">
        <v>31</v>
      </c>
      <c r="I177">
        <v>7</v>
      </c>
      <c r="J177">
        <v>41.82</v>
      </c>
    </row>
    <row r="178" spans="1:10" x14ac:dyDescent="0.25">
      <c r="A178" t="s">
        <v>226</v>
      </c>
      <c r="B178" t="s">
        <v>227</v>
      </c>
      <c r="C178">
        <v>1</v>
      </c>
      <c r="D178">
        <v>7.62</v>
      </c>
      <c r="E178">
        <v>0</v>
      </c>
      <c r="F178">
        <v>0</v>
      </c>
      <c r="G178">
        <v>1</v>
      </c>
      <c r="H178">
        <v>7.62</v>
      </c>
      <c r="I178">
        <v>94</v>
      </c>
      <c r="J178">
        <v>642.25000000000011</v>
      </c>
    </row>
    <row r="179" spans="1:10" x14ac:dyDescent="0.25">
      <c r="A179" t="s">
        <v>376</v>
      </c>
      <c r="B179" t="s">
        <v>377</v>
      </c>
      <c r="C179">
        <v>62</v>
      </c>
      <c r="D179">
        <v>393.92</v>
      </c>
      <c r="E179">
        <v>0</v>
      </c>
      <c r="F179">
        <v>0</v>
      </c>
      <c r="G179">
        <v>62</v>
      </c>
      <c r="H179">
        <v>393.92</v>
      </c>
      <c r="I179">
        <v>17</v>
      </c>
      <c r="J179">
        <v>112.24</v>
      </c>
    </row>
    <row r="180" spans="1:10" x14ac:dyDescent="0.25">
      <c r="A180" t="s">
        <v>218</v>
      </c>
      <c r="B180" t="s">
        <v>219</v>
      </c>
      <c r="C180">
        <v>82</v>
      </c>
      <c r="D180">
        <v>542.86000000000013</v>
      </c>
      <c r="E180">
        <v>0</v>
      </c>
      <c r="F180">
        <v>0</v>
      </c>
      <c r="G180">
        <v>82</v>
      </c>
      <c r="H180">
        <v>542.86000000000013</v>
      </c>
      <c r="I180">
        <v>126</v>
      </c>
      <c r="J180">
        <v>754.6</v>
      </c>
    </row>
    <row r="181" spans="1:10" x14ac:dyDescent="0.25">
      <c r="A181" t="s">
        <v>254</v>
      </c>
      <c r="B181" t="s">
        <v>255</v>
      </c>
      <c r="C181">
        <v>110</v>
      </c>
      <c r="D181">
        <v>709.19</v>
      </c>
      <c r="E181">
        <v>0</v>
      </c>
      <c r="F181">
        <v>0</v>
      </c>
      <c r="G181">
        <v>110</v>
      </c>
      <c r="H181">
        <v>709.19</v>
      </c>
      <c r="I181">
        <v>73</v>
      </c>
      <c r="J181">
        <v>467.90000000000003</v>
      </c>
    </row>
    <row r="182" spans="1:10" x14ac:dyDescent="0.25">
      <c r="A182" t="s">
        <v>712</v>
      </c>
      <c r="B182" t="s">
        <v>713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t="s">
        <v>200</v>
      </c>
      <c r="B183" t="s">
        <v>201</v>
      </c>
      <c r="C183">
        <v>95</v>
      </c>
      <c r="D183">
        <v>1248.69</v>
      </c>
      <c r="E183">
        <v>0</v>
      </c>
      <c r="F183">
        <v>0</v>
      </c>
      <c r="G183">
        <v>95</v>
      </c>
      <c r="H183">
        <v>1248.69</v>
      </c>
      <c r="I183">
        <v>52</v>
      </c>
      <c r="J183">
        <v>818.72</v>
      </c>
    </row>
    <row r="184" spans="1:10" x14ac:dyDescent="0.25">
      <c r="A184" t="s">
        <v>708</v>
      </c>
      <c r="B184" t="s">
        <v>709</v>
      </c>
      <c r="C184">
        <v>1</v>
      </c>
      <c r="D184">
        <v>5.98</v>
      </c>
      <c r="E184">
        <v>0</v>
      </c>
      <c r="F184">
        <v>0</v>
      </c>
      <c r="G184">
        <v>1</v>
      </c>
      <c r="H184">
        <v>5.98</v>
      </c>
      <c r="I184">
        <v>0</v>
      </c>
      <c r="J184">
        <v>0</v>
      </c>
    </row>
    <row r="185" spans="1:10" x14ac:dyDescent="0.25">
      <c r="A185" t="s">
        <v>198</v>
      </c>
      <c r="B185" t="s">
        <v>199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83</v>
      </c>
      <c r="J185">
        <v>1356.2</v>
      </c>
    </row>
    <row r="186" spans="1:10" x14ac:dyDescent="0.25">
      <c r="A186" t="s">
        <v>136</v>
      </c>
      <c r="B186" t="s">
        <v>137</v>
      </c>
      <c r="C186">
        <v>51</v>
      </c>
      <c r="D186">
        <v>1264.3</v>
      </c>
      <c r="E186">
        <v>1</v>
      </c>
      <c r="F186">
        <v>29.9</v>
      </c>
      <c r="G186">
        <v>52</v>
      </c>
      <c r="H186">
        <v>1294.2</v>
      </c>
      <c r="I186">
        <v>110</v>
      </c>
      <c r="J186">
        <v>2772.9399999999996</v>
      </c>
    </row>
    <row r="187" spans="1:10" x14ac:dyDescent="0.25">
      <c r="A187" t="s">
        <v>660</v>
      </c>
      <c r="B187" t="s">
        <v>661</v>
      </c>
      <c r="C187">
        <v>8</v>
      </c>
      <c r="D187">
        <v>131.02999999999997</v>
      </c>
      <c r="E187">
        <v>0</v>
      </c>
      <c r="F187">
        <v>0</v>
      </c>
      <c r="G187">
        <v>8</v>
      </c>
      <c r="H187">
        <v>131.02999999999997</v>
      </c>
      <c r="I187">
        <v>0</v>
      </c>
      <c r="J187">
        <v>0</v>
      </c>
    </row>
    <row r="188" spans="1:10" x14ac:dyDescent="0.25">
      <c r="A188" t="s">
        <v>716</v>
      </c>
      <c r="B188" t="s">
        <v>717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138</v>
      </c>
      <c r="B189" t="s">
        <v>139</v>
      </c>
      <c r="C189">
        <v>65</v>
      </c>
      <c r="D189">
        <v>429.35999999999996</v>
      </c>
      <c r="E189">
        <v>0</v>
      </c>
      <c r="F189">
        <v>0</v>
      </c>
      <c r="G189">
        <v>65</v>
      </c>
      <c r="H189">
        <v>429.35999999999996</v>
      </c>
      <c r="I189">
        <v>240</v>
      </c>
      <c r="J189">
        <v>1751.42</v>
      </c>
    </row>
    <row r="190" spans="1:10" x14ac:dyDescent="0.25">
      <c r="A190" t="s">
        <v>41</v>
      </c>
      <c r="B190" t="s">
        <v>42</v>
      </c>
      <c r="C190">
        <v>99</v>
      </c>
      <c r="D190">
        <v>1328.46</v>
      </c>
      <c r="E190">
        <v>0</v>
      </c>
      <c r="F190">
        <v>0</v>
      </c>
      <c r="G190">
        <v>99</v>
      </c>
      <c r="H190">
        <v>1328.46</v>
      </c>
      <c r="I190">
        <v>1211</v>
      </c>
      <c r="J190">
        <v>15347.37</v>
      </c>
    </row>
    <row r="191" spans="1:10" x14ac:dyDescent="0.25">
      <c r="A191" t="s">
        <v>630</v>
      </c>
      <c r="B191" t="s">
        <v>631</v>
      </c>
      <c r="C191">
        <v>18</v>
      </c>
      <c r="D191">
        <v>414.31</v>
      </c>
      <c r="E191">
        <v>0</v>
      </c>
      <c r="F191">
        <v>0</v>
      </c>
      <c r="G191">
        <v>18</v>
      </c>
      <c r="H191">
        <v>414.31</v>
      </c>
      <c r="I191">
        <v>0</v>
      </c>
      <c r="J191">
        <v>0</v>
      </c>
    </row>
    <row r="192" spans="1:10" x14ac:dyDescent="0.25">
      <c r="A192" t="s">
        <v>168</v>
      </c>
      <c r="B192" t="s">
        <v>169</v>
      </c>
      <c r="C192">
        <v>55</v>
      </c>
      <c r="D192">
        <v>269.98</v>
      </c>
      <c r="E192">
        <v>0</v>
      </c>
      <c r="F192">
        <v>0</v>
      </c>
      <c r="G192">
        <v>55</v>
      </c>
      <c r="H192">
        <v>269.98</v>
      </c>
      <c r="I192">
        <v>223</v>
      </c>
      <c r="J192">
        <v>1083.48</v>
      </c>
    </row>
    <row r="193" spans="1:10" x14ac:dyDescent="0.25">
      <c r="A193" t="s">
        <v>295</v>
      </c>
      <c r="B193" t="s">
        <v>296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14</v>
      </c>
      <c r="J193">
        <v>451.56999999999994</v>
      </c>
    </row>
    <row r="194" spans="1:10" x14ac:dyDescent="0.25">
      <c r="A194" t="s">
        <v>378</v>
      </c>
      <c r="B194" t="s">
        <v>379</v>
      </c>
      <c r="C194">
        <v>4</v>
      </c>
      <c r="D194">
        <v>42.46</v>
      </c>
      <c r="E194">
        <v>0</v>
      </c>
      <c r="F194">
        <v>0</v>
      </c>
      <c r="G194">
        <v>4</v>
      </c>
      <c r="H194">
        <v>42.46</v>
      </c>
      <c r="I194">
        <v>9</v>
      </c>
      <c r="J194">
        <v>107.09</v>
      </c>
    </row>
    <row r="195" spans="1:10" x14ac:dyDescent="0.25">
      <c r="A195" t="s">
        <v>92</v>
      </c>
      <c r="B195" t="s">
        <v>93</v>
      </c>
      <c r="C195">
        <v>83</v>
      </c>
      <c r="D195">
        <v>1386.3000000000002</v>
      </c>
      <c r="E195">
        <v>0</v>
      </c>
      <c r="F195">
        <v>0</v>
      </c>
      <c r="G195">
        <v>83</v>
      </c>
      <c r="H195">
        <v>1386.3000000000002</v>
      </c>
      <c r="I195">
        <v>497</v>
      </c>
      <c r="J195">
        <v>7835.1800000000012</v>
      </c>
    </row>
    <row r="196" spans="1:10" x14ac:dyDescent="0.25">
      <c r="A196" t="s">
        <v>412</v>
      </c>
      <c r="B196" t="s">
        <v>413</v>
      </c>
      <c r="C196">
        <v>17</v>
      </c>
      <c r="D196">
        <v>336.87</v>
      </c>
      <c r="E196">
        <v>0</v>
      </c>
      <c r="F196">
        <v>0</v>
      </c>
      <c r="G196">
        <v>17</v>
      </c>
      <c r="H196">
        <v>336.87</v>
      </c>
      <c r="I196">
        <v>4</v>
      </c>
      <c r="J196">
        <v>71.260000000000005</v>
      </c>
    </row>
    <row r="197" spans="1:10" x14ac:dyDescent="0.25">
      <c r="A197" t="s">
        <v>528</v>
      </c>
      <c r="B197" t="s">
        <v>529</v>
      </c>
      <c r="C197">
        <v>4</v>
      </c>
      <c r="D197">
        <v>103.27</v>
      </c>
      <c r="E197">
        <v>0</v>
      </c>
      <c r="F197">
        <v>0</v>
      </c>
      <c r="G197">
        <v>4</v>
      </c>
      <c r="H197">
        <v>103.27</v>
      </c>
      <c r="I197">
        <v>0</v>
      </c>
      <c r="J197">
        <v>0</v>
      </c>
    </row>
    <row r="198" spans="1:10" x14ac:dyDescent="0.25">
      <c r="A198" t="s">
        <v>440</v>
      </c>
      <c r="B198" t="s">
        <v>441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40.85</v>
      </c>
    </row>
    <row r="199" spans="1:10" x14ac:dyDescent="0.25">
      <c r="A199" t="s">
        <v>618</v>
      </c>
      <c r="B199" t="s">
        <v>619</v>
      </c>
      <c r="C199">
        <v>13</v>
      </c>
      <c r="D199">
        <v>685.82999999999993</v>
      </c>
      <c r="E199">
        <v>0</v>
      </c>
      <c r="F199">
        <v>0</v>
      </c>
      <c r="G199">
        <v>13</v>
      </c>
      <c r="H199">
        <v>685.82999999999993</v>
      </c>
      <c r="I199">
        <v>0</v>
      </c>
      <c r="J199">
        <v>0</v>
      </c>
    </row>
    <row r="200" spans="1:10" x14ac:dyDescent="0.25">
      <c r="A200" t="s">
        <v>642</v>
      </c>
      <c r="B200" t="s">
        <v>643</v>
      </c>
      <c r="C200">
        <v>5</v>
      </c>
      <c r="D200">
        <v>165.45</v>
      </c>
      <c r="E200">
        <v>0</v>
      </c>
      <c r="F200">
        <v>0</v>
      </c>
      <c r="G200">
        <v>5</v>
      </c>
      <c r="H200">
        <v>165.45</v>
      </c>
      <c r="I200">
        <v>0</v>
      </c>
      <c r="J200">
        <v>0</v>
      </c>
    </row>
    <row r="201" spans="1:10" x14ac:dyDescent="0.25">
      <c r="A201" t="s">
        <v>482</v>
      </c>
      <c r="B201" t="s">
        <v>483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24.92</v>
      </c>
    </row>
    <row r="202" spans="1:10" x14ac:dyDescent="0.25">
      <c r="A202" t="s">
        <v>306</v>
      </c>
      <c r="B202" t="s">
        <v>307</v>
      </c>
      <c r="C202">
        <v>37</v>
      </c>
      <c r="D202">
        <v>452.17</v>
      </c>
      <c r="E202">
        <v>0</v>
      </c>
      <c r="F202">
        <v>0</v>
      </c>
      <c r="G202">
        <v>37</v>
      </c>
      <c r="H202">
        <v>452.17</v>
      </c>
      <c r="I202">
        <v>20</v>
      </c>
      <c r="J202">
        <v>300.42</v>
      </c>
    </row>
    <row r="203" spans="1:10" x14ac:dyDescent="0.25">
      <c r="A203" t="s">
        <v>258</v>
      </c>
      <c r="B203" t="s">
        <v>259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27</v>
      </c>
      <c r="J203">
        <v>637.74000000000012</v>
      </c>
    </row>
    <row r="204" spans="1:10" x14ac:dyDescent="0.25">
      <c r="A204" t="s">
        <v>228</v>
      </c>
      <c r="B204" t="s">
        <v>229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28</v>
      </c>
      <c r="J204">
        <v>595.24</v>
      </c>
    </row>
    <row r="205" spans="1:10" x14ac:dyDescent="0.25">
      <c r="A205" t="s">
        <v>498</v>
      </c>
      <c r="B205" t="s">
        <v>499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</v>
      </c>
      <c r="J205">
        <v>16.48</v>
      </c>
    </row>
    <row r="206" spans="1:10" x14ac:dyDescent="0.25">
      <c r="A206" t="s">
        <v>84</v>
      </c>
      <c r="B206" t="s">
        <v>85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454</v>
      </c>
      <c r="J206">
        <v>5565.4</v>
      </c>
    </row>
    <row r="207" spans="1:10" x14ac:dyDescent="0.25">
      <c r="A207" t="s">
        <v>234</v>
      </c>
      <c r="B207" t="s">
        <v>235</v>
      </c>
      <c r="C207">
        <v>10</v>
      </c>
      <c r="D207">
        <v>327.83000000000004</v>
      </c>
      <c r="E207">
        <v>0</v>
      </c>
      <c r="F207">
        <v>0</v>
      </c>
      <c r="G207">
        <v>10</v>
      </c>
      <c r="H207">
        <v>327.83000000000004</v>
      </c>
      <c r="I207">
        <v>19</v>
      </c>
      <c r="J207">
        <v>624.26</v>
      </c>
    </row>
    <row r="208" spans="1:10" x14ac:dyDescent="0.25">
      <c r="A208" t="s">
        <v>544</v>
      </c>
      <c r="B208" t="s">
        <v>545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210</v>
      </c>
      <c r="B209" t="s">
        <v>211</v>
      </c>
      <c r="C209">
        <v>35</v>
      </c>
      <c r="D209">
        <v>465.99</v>
      </c>
      <c r="E209">
        <v>0</v>
      </c>
      <c r="F209">
        <v>0</v>
      </c>
      <c r="G209">
        <v>35</v>
      </c>
      <c r="H209">
        <v>465.99</v>
      </c>
      <c r="I209">
        <v>58</v>
      </c>
      <c r="J209">
        <v>708.18</v>
      </c>
    </row>
    <row r="210" spans="1:10" x14ac:dyDescent="0.25">
      <c r="A210" t="s">
        <v>328</v>
      </c>
      <c r="B210" t="s">
        <v>329</v>
      </c>
      <c r="C210">
        <v>6</v>
      </c>
      <c r="D210">
        <v>133.04000000000002</v>
      </c>
      <c r="E210">
        <v>0</v>
      </c>
      <c r="F210">
        <v>0</v>
      </c>
      <c r="G210">
        <v>6</v>
      </c>
      <c r="H210">
        <v>133.04000000000002</v>
      </c>
      <c r="I210">
        <v>23</v>
      </c>
      <c r="J210">
        <v>292.07</v>
      </c>
    </row>
    <row r="211" spans="1:10" x14ac:dyDescent="0.25">
      <c r="A211" t="s">
        <v>458</v>
      </c>
      <c r="B211" t="s">
        <v>459</v>
      </c>
      <c r="C211">
        <v>2</v>
      </c>
      <c r="D211">
        <v>19.579999999999998</v>
      </c>
      <c r="E211">
        <v>0</v>
      </c>
      <c r="F211">
        <v>0</v>
      </c>
      <c r="G211">
        <v>2</v>
      </c>
      <c r="H211">
        <v>19.579999999999998</v>
      </c>
      <c r="I211">
        <v>3</v>
      </c>
      <c r="J211">
        <v>32.47</v>
      </c>
    </row>
    <row r="212" spans="1:10" x14ac:dyDescent="0.25">
      <c r="A212" t="s">
        <v>279</v>
      </c>
      <c r="B212" t="s">
        <v>280</v>
      </c>
      <c r="C212">
        <v>11</v>
      </c>
      <c r="D212">
        <v>229.16</v>
      </c>
      <c r="E212">
        <v>0</v>
      </c>
      <c r="F212">
        <v>0</v>
      </c>
      <c r="G212">
        <v>11</v>
      </c>
      <c r="H212">
        <v>229.16</v>
      </c>
      <c r="I212">
        <v>11</v>
      </c>
      <c r="J212">
        <v>250.83999999999997</v>
      </c>
    </row>
    <row r="213" spans="1:10" x14ac:dyDescent="0.25">
      <c r="A213" t="s">
        <v>384</v>
      </c>
      <c r="B213" t="s">
        <v>385</v>
      </c>
      <c r="C213">
        <v>1</v>
      </c>
      <c r="D213">
        <v>10.45</v>
      </c>
      <c r="E213">
        <v>0</v>
      </c>
      <c r="F213">
        <v>0</v>
      </c>
      <c r="G213">
        <v>1</v>
      </c>
      <c r="H213">
        <v>10.45</v>
      </c>
      <c r="I213">
        <v>9</v>
      </c>
      <c r="J213">
        <v>111.46</v>
      </c>
    </row>
    <row r="214" spans="1:10" x14ac:dyDescent="0.25">
      <c r="A214" t="s">
        <v>382</v>
      </c>
      <c r="B214" t="s">
        <v>383</v>
      </c>
      <c r="C214">
        <v>1</v>
      </c>
      <c r="D214">
        <v>74.430000000000007</v>
      </c>
      <c r="E214">
        <v>0</v>
      </c>
      <c r="F214">
        <v>0</v>
      </c>
      <c r="G214">
        <v>1</v>
      </c>
      <c r="H214">
        <v>74.430000000000007</v>
      </c>
      <c r="I214">
        <v>1</v>
      </c>
      <c r="J214">
        <v>75.790000000000006</v>
      </c>
    </row>
    <row r="215" spans="1:10" x14ac:dyDescent="0.25">
      <c r="A215" t="s">
        <v>94</v>
      </c>
      <c r="B215" t="s">
        <v>95</v>
      </c>
      <c r="C215">
        <v>65</v>
      </c>
      <c r="D215">
        <v>1892.39</v>
      </c>
      <c r="E215">
        <v>2</v>
      </c>
      <c r="F215">
        <v>74.8</v>
      </c>
      <c r="G215">
        <v>67</v>
      </c>
      <c r="H215">
        <v>1967.19</v>
      </c>
      <c r="I215">
        <v>160</v>
      </c>
      <c r="J215">
        <v>4868.08</v>
      </c>
    </row>
    <row r="216" spans="1:10" x14ac:dyDescent="0.25">
      <c r="A216" t="s">
        <v>326</v>
      </c>
      <c r="B216" t="s">
        <v>327</v>
      </c>
      <c r="C216">
        <v>2</v>
      </c>
      <c r="D216">
        <v>54.55</v>
      </c>
      <c r="E216">
        <v>0</v>
      </c>
      <c r="F216">
        <v>0</v>
      </c>
      <c r="G216">
        <v>2</v>
      </c>
      <c r="H216">
        <v>54.55</v>
      </c>
      <c r="I216">
        <v>6</v>
      </c>
      <c r="J216">
        <v>154.09</v>
      </c>
    </row>
    <row r="217" spans="1:10" x14ac:dyDescent="0.25">
      <c r="A217" t="s">
        <v>312</v>
      </c>
      <c r="B217" t="s">
        <v>313</v>
      </c>
      <c r="C217">
        <v>19</v>
      </c>
      <c r="D217">
        <v>152.1</v>
      </c>
      <c r="E217">
        <v>0</v>
      </c>
      <c r="F217">
        <v>0</v>
      </c>
      <c r="G217">
        <v>19</v>
      </c>
      <c r="H217">
        <v>152.1</v>
      </c>
      <c r="I217">
        <v>13</v>
      </c>
      <c r="J217">
        <v>190.86</v>
      </c>
    </row>
    <row r="218" spans="1:10" x14ac:dyDescent="0.25">
      <c r="A218" t="s">
        <v>110</v>
      </c>
      <c r="B218" t="s">
        <v>111</v>
      </c>
      <c r="C218">
        <v>80</v>
      </c>
      <c r="D218">
        <v>1377.6699999999998</v>
      </c>
      <c r="E218">
        <v>0</v>
      </c>
      <c r="F218">
        <v>0</v>
      </c>
      <c r="G218">
        <v>80</v>
      </c>
      <c r="H218">
        <v>1377.6699999999998</v>
      </c>
      <c r="I218">
        <v>210</v>
      </c>
      <c r="J218">
        <v>4153.5599999999995</v>
      </c>
    </row>
    <row r="219" spans="1:10" x14ac:dyDescent="0.25">
      <c r="A219" t="s">
        <v>598</v>
      </c>
      <c r="B219" t="s">
        <v>599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-3</v>
      </c>
      <c r="J219">
        <v>-55.37</v>
      </c>
    </row>
    <row r="220" spans="1:10" x14ac:dyDescent="0.25">
      <c r="A220" t="s">
        <v>118</v>
      </c>
      <c r="B220" t="s">
        <v>119</v>
      </c>
      <c r="C220">
        <v>133</v>
      </c>
      <c r="D220">
        <v>2198.2800000000002</v>
      </c>
      <c r="E220">
        <v>0</v>
      </c>
      <c r="F220">
        <v>0</v>
      </c>
      <c r="G220">
        <v>133</v>
      </c>
      <c r="H220">
        <v>2198.2800000000002</v>
      </c>
      <c r="I220">
        <v>317</v>
      </c>
      <c r="J220">
        <v>5750.16</v>
      </c>
    </row>
    <row r="221" spans="1:10" x14ac:dyDescent="0.25">
      <c r="A221" t="s">
        <v>362</v>
      </c>
      <c r="B221" t="s">
        <v>363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10</v>
      </c>
      <c r="J221">
        <v>166.36</v>
      </c>
    </row>
    <row r="222" spans="1:10" x14ac:dyDescent="0.25">
      <c r="A222" t="s">
        <v>336</v>
      </c>
      <c r="B222" t="s">
        <v>337</v>
      </c>
      <c r="C222">
        <v>45</v>
      </c>
      <c r="D222">
        <v>749.53</v>
      </c>
      <c r="E222">
        <v>0</v>
      </c>
      <c r="F222">
        <v>0</v>
      </c>
      <c r="G222">
        <v>45</v>
      </c>
      <c r="H222">
        <v>749.53</v>
      </c>
      <c r="I222">
        <v>14</v>
      </c>
      <c r="J222">
        <v>292.45999999999998</v>
      </c>
    </row>
    <row r="223" spans="1:10" x14ac:dyDescent="0.25">
      <c r="A223" t="s">
        <v>17</v>
      </c>
      <c r="B223" t="s">
        <v>18</v>
      </c>
      <c r="C223">
        <v>311</v>
      </c>
      <c r="D223">
        <v>4353.78</v>
      </c>
      <c r="E223">
        <v>94</v>
      </c>
      <c r="F223">
        <v>2171.3700000000031</v>
      </c>
      <c r="G223">
        <v>405</v>
      </c>
      <c r="H223">
        <v>6525.1500000000033</v>
      </c>
      <c r="I223">
        <v>1816</v>
      </c>
      <c r="J223">
        <v>34974.229999999996</v>
      </c>
    </row>
    <row r="224" spans="1:10" x14ac:dyDescent="0.25">
      <c r="A224" t="s">
        <v>144</v>
      </c>
      <c r="B224" t="s">
        <v>145</v>
      </c>
      <c r="C224">
        <v>29</v>
      </c>
      <c r="D224">
        <v>308.87</v>
      </c>
      <c r="E224">
        <v>0</v>
      </c>
      <c r="F224">
        <v>0</v>
      </c>
      <c r="G224">
        <v>29</v>
      </c>
      <c r="H224">
        <v>308.87</v>
      </c>
      <c r="I224">
        <v>152</v>
      </c>
      <c r="J224">
        <v>2186.64</v>
      </c>
    </row>
    <row r="225" spans="1:10" x14ac:dyDescent="0.25">
      <c r="A225" t="s">
        <v>267</v>
      </c>
      <c r="B225" t="s">
        <v>268</v>
      </c>
      <c r="C225">
        <v>2</v>
      </c>
      <c r="D225">
        <v>24.9</v>
      </c>
      <c r="E225">
        <v>0</v>
      </c>
      <c r="F225">
        <v>0</v>
      </c>
      <c r="G225">
        <v>2</v>
      </c>
      <c r="H225">
        <v>24.9</v>
      </c>
      <c r="I225">
        <v>34</v>
      </c>
      <c r="J225">
        <v>451.27000000000004</v>
      </c>
    </row>
    <row r="226" spans="1:10" x14ac:dyDescent="0.25">
      <c r="A226" t="s">
        <v>269</v>
      </c>
      <c r="B226" t="s">
        <v>270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29</v>
      </c>
      <c r="J226">
        <v>371.13</v>
      </c>
    </row>
    <row r="227" spans="1:10" x14ac:dyDescent="0.25">
      <c r="A227" t="s">
        <v>172</v>
      </c>
      <c r="B227" t="s">
        <v>173</v>
      </c>
      <c r="C227">
        <v>0</v>
      </c>
      <c r="D227">
        <v>0</v>
      </c>
      <c r="E227">
        <v>21</v>
      </c>
      <c r="F227">
        <v>842.89999999999975</v>
      </c>
      <c r="G227">
        <v>21</v>
      </c>
      <c r="H227">
        <v>842.89999999999975</v>
      </c>
      <c r="I227">
        <v>98</v>
      </c>
      <c r="J227">
        <v>2821.82</v>
      </c>
    </row>
    <row r="228" spans="1:10" x14ac:dyDescent="0.25">
      <c r="A228" t="s">
        <v>73</v>
      </c>
      <c r="B228" t="s">
        <v>74</v>
      </c>
      <c r="C228">
        <v>2</v>
      </c>
      <c r="D228">
        <v>21.14</v>
      </c>
      <c r="E228">
        <v>66</v>
      </c>
      <c r="F228">
        <v>1051.3999999999994</v>
      </c>
      <c r="G228">
        <v>68</v>
      </c>
      <c r="H228">
        <v>1072.5399999999995</v>
      </c>
      <c r="I228">
        <v>536</v>
      </c>
      <c r="J228">
        <v>6360.58</v>
      </c>
    </row>
    <row r="229" spans="1:10" x14ac:dyDescent="0.25">
      <c r="A229" t="s">
        <v>108</v>
      </c>
      <c r="B229" t="s">
        <v>109</v>
      </c>
      <c r="C229">
        <v>164</v>
      </c>
      <c r="D229">
        <v>1414.3200000000002</v>
      </c>
      <c r="E229">
        <v>0</v>
      </c>
      <c r="F229">
        <v>0</v>
      </c>
      <c r="G229">
        <v>164</v>
      </c>
      <c r="H229">
        <v>1414.3200000000002</v>
      </c>
      <c r="I229">
        <v>459</v>
      </c>
      <c r="J229">
        <v>4360.58</v>
      </c>
    </row>
    <row r="230" spans="1:10" x14ac:dyDescent="0.25">
      <c r="A230" t="s">
        <v>281</v>
      </c>
      <c r="B230" t="s">
        <v>282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18</v>
      </c>
      <c r="J230">
        <v>239.75</v>
      </c>
    </row>
    <row r="231" spans="1:10" x14ac:dyDescent="0.25">
      <c r="A231" t="s">
        <v>212</v>
      </c>
      <c r="B231" t="s">
        <v>213</v>
      </c>
      <c r="C231">
        <v>0</v>
      </c>
      <c r="D231">
        <v>0</v>
      </c>
      <c r="E231">
        <v>22</v>
      </c>
      <c r="F231">
        <v>887.79999999999973</v>
      </c>
      <c r="G231">
        <v>22</v>
      </c>
      <c r="H231">
        <v>887.79999999999973</v>
      </c>
      <c r="I231">
        <v>44</v>
      </c>
      <c r="J231">
        <v>1196.7399999999998</v>
      </c>
    </row>
    <row r="232" spans="1:10" x14ac:dyDescent="0.25">
      <c r="A232" t="s">
        <v>67</v>
      </c>
      <c r="B232" t="s">
        <v>68</v>
      </c>
      <c r="C232">
        <v>12</v>
      </c>
      <c r="D232">
        <v>509.98</v>
      </c>
      <c r="E232">
        <v>0</v>
      </c>
      <c r="F232">
        <v>0</v>
      </c>
      <c r="G232">
        <v>12</v>
      </c>
      <c r="H232">
        <v>509.98</v>
      </c>
      <c r="I232">
        <v>236</v>
      </c>
      <c r="J232">
        <v>10072.67</v>
      </c>
    </row>
    <row r="233" spans="1:10" x14ac:dyDescent="0.25">
      <c r="A233" t="s">
        <v>57</v>
      </c>
      <c r="B233" t="s">
        <v>58</v>
      </c>
      <c r="C233">
        <v>46</v>
      </c>
      <c r="D233">
        <v>2711.67</v>
      </c>
      <c r="E233">
        <v>5</v>
      </c>
      <c r="F233">
        <v>349.5</v>
      </c>
      <c r="G233">
        <v>51</v>
      </c>
      <c r="H233">
        <v>3061.17</v>
      </c>
      <c r="I233">
        <v>154</v>
      </c>
      <c r="J233">
        <v>8345.619999999999</v>
      </c>
    </row>
    <row r="234" spans="1:10" x14ac:dyDescent="0.25">
      <c r="A234" t="s">
        <v>402</v>
      </c>
      <c r="B234" t="s">
        <v>403</v>
      </c>
      <c r="C234">
        <v>2</v>
      </c>
      <c r="D234">
        <v>9.82</v>
      </c>
      <c r="E234">
        <v>0</v>
      </c>
      <c r="F234">
        <v>0</v>
      </c>
      <c r="G234">
        <v>2</v>
      </c>
      <c r="H234">
        <v>9.82</v>
      </c>
      <c r="I234">
        <v>17</v>
      </c>
      <c r="J234">
        <v>68.34</v>
      </c>
    </row>
    <row r="235" spans="1:10" x14ac:dyDescent="0.25">
      <c r="A235" t="s">
        <v>442</v>
      </c>
      <c r="B235" t="s">
        <v>443</v>
      </c>
      <c r="C235">
        <v>7</v>
      </c>
      <c r="D235">
        <v>114.85</v>
      </c>
      <c r="E235">
        <v>0</v>
      </c>
      <c r="F235">
        <v>0</v>
      </c>
      <c r="G235">
        <v>7</v>
      </c>
      <c r="H235">
        <v>114.85</v>
      </c>
      <c r="I235">
        <v>4</v>
      </c>
      <c r="J235">
        <v>73</v>
      </c>
    </row>
    <row r="236" spans="1:10" x14ac:dyDescent="0.25">
      <c r="A236" t="s">
        <v>63</v>
      </c>
      <c r="B236" t="s">
        <v>64</v>
      </c>
      <c r="C236">
        <v>9</v>
      </c>
      <c r="D236">
        <v>527.06999999999994</v>
      </c>
      <c r="E236">
        <v>23</v>
      </c>
      <c r="F236">
        <v>1820.7000000000005</v>
      </c>
      <c r="G236">
        <v>32</v>
      </c>
      <c r="H236">
        <v>2347.7700000000004</v>
      </c>
      <c r="I236">
        <v>189</v>
      </c>
      <c r="J236">
        <v>12965.4</v>
      </c>
    </row>
    <row r="237" spans="1:10" x14ac:dyDescent="0.25">
      <c r="A237" t="s">
        <v>271</v>
      </c>
      <c r="B237" t="s">
        <v>272</v>
      </c>
      <c r="C237">
        <v>5</v>
      </c>
      <c r="D237">
        <v>103.59</v>
      </c>
      <c r="E237">
        <v>0</v>
      </c>
      <c r="F237">
        <v>0</v>
      </c>
      <c r="G237">
        <v>5</v>
      </c>
      <c r="H237">
        <v>103.59</v>
      </c>
      <c r="I237">
        <v>13</v>
      </c>
      <c r="J237">
        <v>376.60999999999996</v>
      </c>
    </row>
    <row r="238" spans="1:10" x14ac:dyDescent="0.25">
      <c r="A238" t="s">
        <v>160</v>
      </c>
      <c r="B238" t="s">
        <v>161</v>
      </c>
      <c r="C238">
        <v>34</v>
      </c>
      <c r="D238">
        <v>389.38999999999993</v>
      </c>
      <c r="E238">
        <v>0</v>
      </c>
      <c r="F238">
        <v>0</v>
      </c>
      <c r="G238">
        <v>34</v>
      </c>
      <c r="H238">
        <v>389.38999999999993</v>
      </c>
      <c r="I238">
        <v>154</v>
      </c>
      <c r="J238">
        <v>1887.5</v>
      </c>
    </row>
    <row r="239" spans="1:10" x14ac:dyDescent="0.25">
      <c r="A239" t="s">
        <v>182</v>
      </c>
      <c r="B239" t="s">
        <v>183</v>
      </c>
      <c r="C239">
        <v>1</v>
      </c>
      <c r="D239">
        <v>21.6</v>
      </c>
      <c r="E239">
        <v>0</v>
      </c>
      <c r="F239">
        <v>0</v>
      </c>
      <c r="G239">
        <v>1</v>
      </c>
      <c r="H239">
        <v>21.6</v>
      </c>
      <c r="I239">
        <v>35</v>
      </c>
      <c r="J239">
        <v>1010.8199999999999</v>
      </c>
    </row>
    <row r="240" spans="1:10" x14ac:dyDescent="0.25">
      <c r="A240" t="s">
        <v>289</v>
      </c>
      <c r="B240" t="s">
        <v>290</v>
      </c>
      <c r="C240">
        <v>16</v>
      </c>
      <c r="D240">
        <v>360.32000000000005</v>
      </c>
      <c r="E240">
        <v>0</v>
      </c>
      <c r="F240">
        <v>0</v>
      </c>
      <c r="G240">
        <v>16</v>
      </c>
      <c r="H240">
        <v>360.32000000000005</v>
      </c>
      <c r="I240">
        <v>9</v>
      </c>
      <c r="J240">
        <v>220.59</v>
      </c>
    </row>
    <row r="241" spans="1:10" x14ac:dyDescent="0.25">
      <c r="A241" t="s">
        <v>356</v>
      </c>
      <c r="B241" t="s">
        <v>357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21</v>
      </c>
      <c r="J241">
        <v>172.9</v>
      </c>
    </row>
    <row r="242" spans="1:10" x14ac:dyDescent="0.25">
      <c r="A242" t="s">
        <v>316</v>
      </c>
      <c r="B242" t="s">
        <v>317</v>
      </c>
      <c r="C242">
        <v>11</v>
      </c>
      <c r="D242">
        <v>55.180000000000007</v>
      </c>
      <c r="E242">
        <v>0</v>
      </c>
      <c r="F242">
        <v>0</v>
      </c>
      <c r="G242">
        <v>11</v>
      </c>
      <c r="H242">
        <v>55.180000000000007</v>
      </c>
      <c r="I242">
        <v>27</v>
      </c>
      <c r="J242">
        <v>191.08</v>
      </c>
    </row>
    <row r="243" spans="1:10" x14ac:dyDescent="0.25">
      <c r="A243" t="s">
        <v>514</v>
      </c>
      <c r="B243" t="s">
        <v>515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10.57</v>
      </c>
    </row>
    <row r="244" spans="1:10" x14ac:dyDescent="0.25">
      <c r="A244" t="s">
        <v>354</v>
      </c>
      <c r="B244" t="s">
        <v>355</v>
      </c>
      <c r="C244">
        <v>3</v>
      </c>
      <c r="D244">
        <v>135.37</v>
      </c>
      <c r="E244">
        <v>0</v>
      </c>
      <c r="F244">
        <v>0</v>
      </c>
      <c r="G244">
        <v>3</v>
      </c>
      <c r="H244">
        <v>135.37</v>
      </c>
      <c r="I244">
        <v>5</v>
      </c>
      <c r="J244">
        <v>194.29</v>
      </c>
    </row>
    <row r="245" spans="1:10" x14ac:dyDescent="0.25">
      <c r="A245" t="s">
        <v>512</v>
      </c>
      <c r="B245" t="s">
        <v>513</v>
      </c>
      <c r="C245">
        <v>3</v>
      </c>
      <c r="D245">
        <v>47.239999999999995</v>
      </c>
      <c r="E245">
        <v>0</v>
      </c>
      <c r="F245">
        <v>0</v>
      </c>
      <c r="G245">
        <v>3</v>
      </c>
      <c r="H245">
        <v>47.239999999999995</v>
      </c>
      <c r="I245">
        <v>4</v>
      </c>
      <c r="J245">
        <v>45</v>
      </c>
    </row>
    <row r="246" spans="1:10" x14ac:dyDescent="0.25">
      <c r="A246" t="s">
        <v>720</v>
      </c>
      <c r="B246" t="s">
        <v>721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t="s">
        <v>626</v>
      </c>
      <c r="B247" t="s">
        <v>627</v>
      </c>
      <c r="C247">
        <v>8</v>
      </c>
      <c r="D247">
        <v>464.51</v>
      </c>
      <c r="E247">
        <v>0</v>
      </c>
      <c r="F247">
        <v>0</v>
      </c>
      <c r="G247">
        <v>8</v>
      </c>
      <c r="H247">
        <v>464.51</v>
      </c>
      <c r="I247">
        <v>0</v>
      </c>
      <c r="J247">
        <v>0</v>
      </c>
    </row>
    <row r="248" spans="1:10" x14ac:dyDescent="0.25">
      <c r="A248" t="s">
        <v>686</v>
      </c>
      <c r="B248" t="s">
        <v>687</v>
      </c>
      <c r="C248">
        <v>2</v>
      </c>
      <c r="D248">
        <v>35.200000000000003</v>
      </c>
      <c r="E248">
        <v>0</v>
      </c>
      <c r="F248">
        <v>0</v>
      </c>
      <c r="G248">
        <v>2</v>
      </c>
      <c r="H248">
        <v>35.200000000000003</v>
      </c>
      <c r="I248">
        <v>0</v>
      </c>
      <c r="J248">
        <v>0</v>
      </c>
    </row>
    <row r="249" spans="1:10" x14ac:dyDescent="0.25">
      <c r="A249" t="s">
        <v>726</v>
      </c>
      <c r="B249" t="s">
        <v>727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31</v>
      </c>
      <c r="B250" t="s">
        <v>32</v>
      </c>
      <c r="C250">
        <v>648</v>
      </c>
      <c r="D250">
        <v>6687.3600000000015</v>
      </c>
      <c r="E250">
        <v>0</v>
      </c>
      <c r="F250">
        <v>0</v>
      </c>
      <c r="G250">
        <v>648</v>
      </c>
      <c r="H250">
        <v>6687.3600000000015</v>
      </c>
      <c r="I250">
        <v>4056</v>
      </c>
      <c r="J250">
        <v>33322.03</v>
      </c>
    </row>
    <row r="251" spans="1:10" x14ac:dyDescent="0.25">
      <c r="A251" t="s">
        <v>390</v>
      </c>
      <c r="B251" t="s">
        <v>391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168.63</v>
      </c>
    </row>
    <row r="252" spans="1:10" x14ac:dyDescent="0.25">
      <c r="A252" t="s">
        <v>100</v>
      </c>
      <c r="B252" t="s">
        <v>101</v>
      </c>
      <c r="C252">
        <v>9</v>
      </c>
      <c r="D252">
        <v>536.88</v>
      </c>
      <c r="E252">
        <v>0</v>
      </c>
      <c r="F252">
        <v>0</v>
      </c>
      <c r="G252">
        <v>9</v>
      </c>
      <c r="H252">
        <v>536.88</v>
      </c>
      <c r="I252">
        <v>66</v>
      </c>
      <c r="J252">
        <v>4251.6399999999994</v>
      </c>
    </row>
    <row r="253" spans="1:10" x14ac:dyDescent="0.25">
      <c r="A253" t="s">
        <v>578</v>
      </c>
      <c r="B253" t="s">
        <v>579</v>
      </c>
      <c r="C253">
        <v>2</v>
      </c>
      <c r="D253">
        <v>28.38</v>
      </c>
      <c r="E253">
        <v>0</v>
      </c>
      <c r="F253">
        <v>0</v>
      </c>
      <c r="G253">
        <v>2</v>
      </c>
      <c r="H253">
        <v>28.38</v>
      </c>
      <c r="I253">
        <v>0</v>
      </c>
      <c r="J253">
        <v>0</v>
      </c>
    </row>
    <row r="254" spans="1:10" x14ac:dyDescent="0.25">
      <c r="A254" t="s">
        <v>426</v>
      </c>
      <c r="B254" t="s">
        <v>427</v>
      </c>
      <c r="C254">
        <v>3</v>
      </c>
      <c r="D254">
        <v>48.129999999999995</v>
      </c>
      <c r="E254">
        <v>0</v>
      </c>
      <c r="F254">
        <v>0</v>
      </c>
      <c r="G254">
        <v>3</v>
      </c>
      <c r="H254">
        <v>48.129999999999995</v>
      </c>
      <c r="I254">
        <v>5</v>
      </c>
      <c r="J254">
        <v>81.96</v>
      </c>
    </row>
    <row r="255" spans="1:10" x14ac:dyDescent="0.25">
      <c r="A255" t="s">
        <v>532</v>
      </c>
      <c r="B255" t="s">
        <v>533</v>
      </c>
      <c r="C255">
        <v>14</v>
      </c>
      <c r="D255">
        <v>154.4</v>
      </c>
      <c r="E255">
        <v>0</v>
      </c>
      <c r="F255">
        <v>0</v>
      </c>
      <c r="G255">
        <v>14</v>
      </c>
      <c r="H255">
        <v>154.4</v>
      </c>
      <c r="I255">
        <v>0</v>
      </c>
      <c r="J255">
        <v>0</v>
      </c>
    </row>
    <row r="256" spans="1:10" x14ac:dyDescent="0.25">
      <c r="A256" t="s">
        <v>662</v>
      </c>
      <c r="B256" t="s">
        <v>663</v>
      </c>
      <c r="C256">
        <v>9</v>
      </c>
      <c r="D256">
        <v>145.46</v>
      </c>
      <c r="E256">
        <v>0</v>
      </c>
      <c r="F256">
        <v>0</v>
      </c>
      <c r="G256">
        <v>9</v>
      </c>
      <c r="H256">
        <v>145.46</v>
      </c>
      <c r="I256">
        <v>0</v>
      </c>
      <c r="J256">
        <v>0</v>
      </c>
    </row>
    <row r="257" spans="1:10" x14ac:dyDescent="0.25">
      <c r="A257" t="s">
        <v>454</v>
      </c>
      <c r="B257" t="s">
        <v>455</v>
      </c>
      <c r="C257">
        <v>3</v>
      </c>
      <c r="D257">
        <v>18.72</v>
      </c>
      <c r="E257">
        <v>0</v>
      </c>
      <c r="F257">
        <v>0</v>
      </c>
      <c r="G257">
        <v>3</v>
      </c>
      <c r="H257">
        <v>18.72</v>
      </c>
      <c r="I257">
        <v>4</v>
      </c>
      <c r="J257">
        <v>33</v>
      </c>
    </row>
    <row r="258" spans="1:10" x14ac:dyDescent="0.25">
      <c r="A258" t="s">
        <v>264</v>
      </c>
      <c r="B258" t="s">
        <v>265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40</v>
      </c>
      <c r="J258">
        <v>324.39999999999998</v>
      </c>
    </row>
    <row r="259" spans="1:10" x14ac:dyDescent="0.25">
      <c r="A259" t="s">
        <v>530</v>
      </c>
      <c r="B259" t="s">
        <v>531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t="s">
        <v>224</v>
      </c>
      <c r="B260" t="s">
        <v>225</v>
      </c>
      <c r="C260">
        <v>42</v>
      </c>
      <c r="D260">
        <v>608.13</v>
      </c>
      <c r="E260">
        <v>0</v>
      </c>
      <c r="F260">
        <v>0</v>
      </c>
      <c r="G260">
        <v>42</v>
      </c>
      <c r="H260">
        <v>608.13</v>
      </c>
      <c r="I260">
        <v>71</v>
      </c>
      <c r="J260">
        <v>1141.3999999999999</v>
      </c>
    </row>
    <row r="261" spans="1:10" x14ac:dyDescent="0.25">
      <c r="A261" t="s">
        <v>116</v>
      </c>
      <c r="B261" t="s">
        <v>117</v>
      </c>
      <c r="C261">
        <v>4</v>
      </c>
      <c r="D261">
        <v>65.52</v>
      </c>
      <c r="E261">
        <v>0</v>
      </c>
      <c r="F261">
        <v>0</v>
      </c>
      <c r="G261">
        <v>4</v>
      </c>
      <c r="H261">
        <v>65.52</v>
      </c>
      <c r="I261">
        <v>204</v>
      </c>
      <c r="J261">
        <v>3245.7499999999995</v>
      </c>
    </row>
    <row r="262" spans="1:10" x14ac:dyDescent="0.25">
      <c r="A262" t="s">
        <v>150</v>
      </c>
      <c r="B262" t="s">
        <v>151</v>
      </c>
      <c r="C262">
        <v>30</v>
      </c>
      <c r="D262">
        <v>418.83</v>
      </c>
      <c r="E262">
        <v>0</v>
      </c>
      <c r="F262">
        <v>0</v>
      </c>
      <c r="G262">
        <v>30</v>
      </c>
      <c r="H262">
        <v>418.83</v>
      </c>
      <c r="I262">
        <v>183</v>
      </c>
      <c r="J262">
        <v>2226.5799999999995</v>
      </c>
    </row>
    <row r="263" spans="1:10" x14ac:dyDescent="0.25">
      <c r="A263" t="s">
        <v>332</v>
      </c>
      <c r="B263" t="s">
        <v>333</v>
      </c>
      <c r="C263">
        <v>5</v>
      </c>
      <c r="D263">
        <v>112.74000000000001</v>
      </c>
      <c r="E263">
        <v>0</v>
      </c>
      <c r="F263">
        <v>0</v>
      </c>
      <c r="G263">
        <v>5</v>
      </c>
      <c r="H263">
        <v>112.74000000000001</v>
      </c>
      <c r="I263">
        <v>6</v>
      </c>
      <c r="J263">
        <v>148.26</v>
      </c>
    </row>
    <row r="264" spans="1:10" x14ac:dyDescent="0.25">
      <c r="A264" t="s">
        <v>23</v>
      </c>
      <c r="B264" t="s">
        <v>24</v>
      </c>
      <c r="C264">
        <v>343</v>
      </c>
      <c r="D264">
        <v>3486.6300000000006</v>
      </c>
      <c r="E264">
        <v>0</v>
      </c>
      <c r="F264">
        <v>0</v>
      </c>
      <c r="G264">
        <v>343</v>
      </c>
      <c r="H264">
        <v>3486.6300000000006</v>
      </c>
      <c r="I264">
        <v>3244</v>
      </c>
      <c r="J264">
        <v>26543.63</v>
      </c>
    </row>
    <row r="265" spans="1:10" x14ac:dyDescent="0.25">
      <c r="A265" t="s">
        <v>566</v>
      </c>
      <c r="B265" t="s">
        <v>567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174</v>
      </c>
      <c r="B266" t="s">
        <v>175</v>
      </c>
      <c r="C266">
        <v>29</v>
      </c>
      <c r="D266">
        <v>234.67000000000002</v>
      </c>
      <c r="E266">
        <v>0</v>
      </c>
      <c r="F266">
        <v>0</v>
      </c>
      <c r="G266">
        <v>29</v>
      </c>
      <c r="H266">
        <v>234.67000000000002</v>
      </c>
      <c r="I266">
        <v>268</v>
      </c>
      <c r="J266">
        <v>2067.6999999999998</v>
      </c>
    </row>
    <row r="267" spans="1:10" x14ac:dyDescent="0.25">
      <c r="A267" t="s">
        <v>55</v>
      </c>
      <c r="B267" t="s">
        <v>56</v>
      </c>
      <c r="C267">
        <v>1</v>
      </c>
      <c r="D267">
        <v>9.51</v>
      </c>
      <c r="E267">
        <v>0</v>
      </c>
      <c r="F267">
        <v>0</v>
      </c>
      <c r="G267">
        <v>1</v>
      </c>
      <c r="H267">
        <v>9.51</v>
      </c>
      <c r="I267">
        <v>854</v>
      </c>
      <c r="J267">
        <v>11391.91</v>
      </c>
    </row>
    <row r="268" spans="1:10" x14ac:dyDescent="0.25">
      <c r="A268" t="s">
        <v>275</v>
      </c>
      <c r="B268" t="s">
        <v>276</v>
      </c>
      <c r="C268">
        <v>1</v>
      </c>
      <c r="D268">
        <v>16.45</v>
      </c>
      <c r="E268">
        <v>0</v>
      </c>
      <c r="F268">
        <v>0</v>
      </c>
      <c r="G268">
        <v>1</v>
      </c>
      <c r="H268">
        <v>16.45</v>
      </c>
      <c r="I268">
        <v>26</v>
      </c>
      <c r="J268">
        <v>259.92</v>
      </c>
    </row>
    <row r="269" spans="1:10" x14ac:dyDescent="0.25">
      <c r="A269" t="s">
        <v>14</v>
      </c>
      <c r="B269" t="s">
        <v>15</v>
      </c>
      <c r="C269">
        <v>678</v>
      </c>
      <c r="D269">
        <v>8596.59</v>
      </c>
      <c r="E269">
        <v>71</v>
      </c>
      <c r="F269">
        <v>1077.8999999999992</v>
      </c>
      <c r="G269">
        <v>749</v>
      </c>
      <c r="H269">
        <v>9674.49</v>
      </c>
      <c r="I269">
        <v>3859</v>
      </c>
      <c r="J269">
        <v>47676.079999999994</v>
      </c>
    </row>
    <row r="270" spans="1:10" x14ac:dyDescent="0.25">
      <c r="A270" t="s">
        <v>344</v>
      </c>
      <c r="B270" t="s">
        <v>345</v>
      </c>
      <c r="C270">
        <v>24</v>
      </c>
      <c r="D270">
        <v>276.97000000000003</v>
      </c>
      <c r="E270">
        <v>0</v>
      </c>
      <c r="F270">
        <v>0</v>
      </c>
      <c r="G270">
        <v>24</v>
      </c>
      <c r="H270">
        <v>276.97000000000003</v>
      </c>
      <c r="I270">
        <v>13</v>
      </c>
      <c r="J270">
        <v>146.68</v>
      </c>
    </row>
    <row r="271" spans="1:10" x14ac:dyDescent="0.25">
      <c r="A271" t="s">
        <v>504</v>
      </c>
      <c r="B271" t="s">
        <v>505</v>
      </c>
      <c r="C271">
        <v>1</v>
      </c>
      <c r="D271">
        <v>5.42</v>
      </c>
      <c r="E271">
        <v>0</v>
      </c>
      <c r="F271">
        <v>0</v>
      </c>
      <c r="G271">
        <v>1</v>
      </c>
      <c r="H271">
        <v>5.42</v>
      </c>
      <c r="I271">
        <v>1</v>
      </c>
      <c r="J271">
        <v>12.65</v>
      </c>
    </row>
    <row r="272" spans="1:10" x14ac:dyDescent="0.25">
      <c r="A272" t="s">
        <v>246</v>
      </c>
      <c r="B272" t="s">
        <v>247</v>
      </c>
      <c r="C272">
        <v>35</v>
      </c>
      <c r="D272">
        <v>428.14</v>
      </c>
      <c r="E272">
        <v>0</v>
      </c>
      <c r="F272">
        <v>0</v>
      </c>
      <c r="G272">
        <v>35</v>
      </c>
      <c r="H272">
        <v>428.14</v>
      </c>
      <c r="I272">
        <v>47</v>
      </c>
      <c r="J272">
        <v>561.33000000000004</v>
      </c>
    </row>
    <row r="273" spans="1:10" x14ac:dyDescent="0.25">
      <c r="A273" t="s">
        <v>670</v>
      </c>
      <c r="B273" t="s">
        <v>671</v>
      </c>
      <c r="C273">
        <v>2</v>
      </c>
      <c r="D273">
        <v>65.400000000000006</v>
      </c>
      <c r="E273">
        <v>0</v>
      </c>
      <c r="F273">
        <v>0</v>
      </c>
      <c r="G273">
        <v>2</v>
      </c>
      <c r="H273">
        <v>65.400000000000006</v>
      </c>
      <c r="I273">
        <v>0</v>
      </c>
      <c r="J273">
        <v>0</v>
      </c>
    </row>
    <row r="274" spans="1:10" x14ac:dyDescent="0.25">
      <c r="A274" t="s">
        <v>86</v>
      </c>
      <c r="B274" t="s">
        <v>87</v>
      </c>
      <c r="C274">
        <v>5</v>
      </c>
      <c r="D274">
        <v>150.29</v>
      </c>
      <c r="E274">
        <v>8</v>
      </c>
      <c r="F274">
        <v>291.2</v>
      </c>
      <c r="G274">
        <v>13</v>
      </c>
      <c r="H274">
        <v>441.49</v>
      </c>
      <c r="I274">
        <v>220</v>
      </c>
      <c r="J274">
        <v>6861.18</v>
      </c>
    </row>
    <row r="275" spans="1:10" x14ac:dyDescent="0.25">
      <c r="A275" t="s">
        <v>304</v>
      </c>
      <c r="B275" t="s">
        <v>305</v>
      </c>
      <c r="C275">
        <v>22</v>
      </c>
      <c r="D275">
        <v>1103.1299999999999</v>
      </c>
      <c r="E275">
        <v>0</v>
      </c>
      <c r="F275">
        <v>0</v>
      </c>
      <c r="G275">
        <v>22</v>
      </c>
      <c r="H275">
        <v>1103.1299999999999</v>
      </c>
      <c r="I275">
        <v>3</v>
      </c>
      <c r="J275">
        <v>196.47</v>
      </c>
    </row>
    <row r="276" spans="1:10" x14ac:dyDescent="0.25">
      <c r="A276" t="s">
        <v>574</v>
      </c>
      <c r="B276" t="s">
        <v>575</v>
      </c>
      <c r="C276">
        <v>21</v>
      </c>
      <c r="D276">
        <v>2.93</v>
      </c>
      <c r="E276">
        <v>0</v>
      </c>
      <c r="F276">
        <v>0</v>
      </c>
      <c r="G276">
        <v>21</v>
      </c>
      <c r="H276">
        <v>2.93</v>
      </c>
      <c r="I276">
        <v>0</v>
      </c>
      <c r="J276">
        <v>0</v>
      </c>
    </row>
    <row r="277" spans="1:10" x14ac:dyDescent="0.25">
      <c r="A277" t="s">
        <v>256</v>
      </c>
      <c r="B277" t="s">
        <v>257</v>
      </c>
      <c r="C277">
        <v>5</v>
      </c>
      <c r="D277">
        <v>208.96</v>
      </c>
      <c r="E277">
        <v>0</v>
      </c>
      <c r="F277">
        <v>0</v>
      </c>
      <c r="G277">
        <v>5</v>
      </c>
      <c r="H277">
        <v>208.96</v>
      </c>
      <c r="I277">
        <v>17</v>
      </c>
      <c r="J277">
        <v>535.31000000000006</v>
      </c>
    </row>
    <row r="278" spans="1:10" x14ac:dyDescent="0.25">
      <c r="A278" t="s">
        <v>518</v>
      </c>
      <c r="B278" t="s">
        <v>519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7.86</v>
      </c>
    </row>
    <row r="279" spans="1:10" x14ac:dyDescent="0.25">
      <c r="A279" t="s">
        <v>277</v>
      </c>
      <c r="B279" t="s">
        <v>278</v>
      </c>
      <c r="C279">
        <v>243</v>
      </c>
      <c r="D279">
        <v>3443.5699999999997</v>
      </c>
      <c r="E279">
        <v>0</v>
      </c>
      <c r="F279">
        <v>0</v>
      </c>
      <c r="G279">
        <v>243</v>
      </c>
      <c r="H279">
        <v>3443.5699999999997</v>
      </c>
      <c r="I279">
        <v>24</v>
      </c>
      <c r="J279">
        <v>369.42999999999995</v>
      </c>
    </row>
    <row r="280" spans="1:10" x14ac:dyDescent="0.25">
      <c r="A280" t="s">
        <v>404</v>
      </c>
      <c r="B280" t="s">
        <v>405</v>
      </c>
      <c r="C280">
        <v>6</v>
      </c>
      <c r="D280">
        <v>91.74</v>
      </c>
      <c r="E280">
        <v>0</v>
      </c>
      <c r="F280">
        <v>0</v>
      </c>
      <c r="G280">
        <v>6</v>
      </c>
      <c r="H280">
        <v>91.74</v>
      </c>
      <c r="I280">
        <v>5</v>
      </c>
      <c r="J280">
        <v>123.59</v>
      </c>
    </row>
    <row r="281" spans="1:10" x14ac:dyDescent="0.25">
      <c r="A281" t="s">
        <v>178</v>
      </c>
      <c r="B281" t="s">
        <v>179</v>
      </c>
      <c r="C281">
        <v>9</v>
      </c>
      <c r="D281">
        <v>194.04</v>
      </c>
      <c r="E281">
        <v>0</v>
      </c>
      <c r="F281">
        <v>0</v>
      </c>
      <c r="G281">
        <v>9</v>
      </c>
      <c r="H281">
        <v>194.04</v>
      </c>
      <c r="I281">
        <v>41</v>
      </c>
      <c r="J281">
        <v>1357.55</v>
      </c>
    </row>
    <row r="282" spans="1:10" x14ac:dyDescent="0.25">
      <c r="A282" t="s">
        <v>120</v>
      </c>
      <c r="B282" t="s">
        <v>121</v>
      </c>
      <c r="C282">
        <v>79</v>
      </c>
      <c r="D282">
        <v>2302.19</v>
      </c>
      <c r="E282">
        <v>0</v>
      </c>
      <c r="F282">
        <v>0</v>
      </c>
      <c r="G282">
        <v>79</v>
      </c>
      <c r="H282">
        <v>2302.19</v>
      </c>
      <c r="I282">
        <v>166</v>
      </c>
      <c r="J282">
        <v>4824.88</v>
      </c>
    </row>
    <row r="283" spans="1:10" x14ac:dyDescent="0.25">
      <c r="A283" t="s">
        <v>410</v>
      </c>
      <c r="B283" t="s">
        <v>411</v>
      </c>
      <c r="C283">
        <v>1</v>
      </c>
      <c r="D283">
        <v>61.57</v>
      </c>
      <c r="E283">
        <v>0</v>
      </c>
      <c r="F283">
        <v>0</v>
      </c>
      <c r="G283">
        <v>1</v>
      </c>
      <c r="H283">
        <v>61.57</v>
      </c>
      <c r="I283">
        <v>1</v>
      </c>
      <c r="J283">
        <v>56.23</v>
      </c>
    </row>
    <row r="284" spans="1:10" x14ac:dyDescent="0.25">
      <c r="A284" t="s">
        <v>238</v>
      </c>
      <c r="B284" t="s">
        <v>239</v>
      </c>
      <c r="C284">
        <v>188</v>
      </c>
      <c r="D284">
        <v>2349.3199999999997</v>
      </c>
      <c r="E284">
        <v>0</v>
      </c>
      <c r="F284">
        <v>0</v>
      </c>
      <c r="G284">
        <v>188</v>
      </c>
      <c r="H284">
        <v>2349.3199999999997</v>
      </c>
      <c r="I284">
        <v>57</v>
      </c>
      <c r="J284">
        <v>851.27</v>
      </c>
    </row>
    <row r="285" spans="1:10" x14ac:dyDescent="0.25">
      <c r="A285" t="s">
        <v>414</v>
      </c>
      <c r="B285" t="s">
        <v>415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51.28</v>
      </c>
    </row>
    <row r="286" spans="1:10" x14ac:dyDescent="0.25">
      <c r="A286" t="s">
        <v>162</v>
      </c>
      <c r="B286" t="s">
        <v>163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11</v>
      </c>
      <c r="J286">
        <v>1190.25</v>
      </c>
    </row>
    <row r="287" spans="1:10" x14ac:dyDescent="0.25">
      <c r="A287" t="s">
        <v>222</v>
      </c>
      <c r="B287" t="s">
        <v>223</v>
      </c>
      <c r="C287">
        <v>16</v>
      </c>
      <c r="D287">
        <v>1706.5</v>
      </c>
      <c r="E287">
        <v>0</v>
      </c>
      <c r="F287">
        <v>0</v>
      </c>
      <c r="G287">
        <v>16</v>
      </c>
      <c r="H287">
        <v>1706.5</v>
      </c>
      <c r="I287">
        <v>12</v>
      </c>
      <c r="J287">
        <v>1164.5</v>
      </c>
    </row>
    <row r="288" spans="1:10" x14ac:dyDescent="0.25">
      <c r="A288" t="s">
        <v>146</v>
      </c>
      <c r="B288" t="s">
        <v>147</v>
      </c>
      <c r="C288">
        <v>10</v>
      </c>
      <c r="D288">
        <v>852.7</v>
      </c>
      <c r="E288">
        <v>0</v>
      </c>
      <c r="F288">
        <v>0</v>
      </c>
      <c r="G288">
        <v>10</v>
      </c>
      <c r="H288">
        <v>852.7</v>
      </c>
      <c r="I288">
        <v>20</v>
      </c>
      <c r="J288">
        <v>1474.56</v>
      </c>
    </row>
    <row r="289" spans="1:10" x14ac:dyDescent="0.25">
      <c r="A289" t="s">
        <v>242</v>
      </c>
      <c r="B289" t="s">
        <v>243</v>
      </c>
      <c r="C289">
        <v>1</v>
      </c>
      <c r="D289">
        <v>58.2</v>
      </c>
      <c r="E289">
        <v>0</v>
      </c>
      <c r="F289">
        <v>0</v>
      </c>
      <c r="G289">
        <v>1</v>
      </c>
      <c r="H289">
        <v>58.2</v>
      </c>
      <c r="I289">
        <v>7</v>
      </c>
      <c r="J289">
        <v>401.1</v>
      </c>
    </row>
    <row r="290" spans="1:10" x14ac:dyDescent="0.25">
      <c r="A290" t="s">
        <v>552</v>
      </c>
      <c r="B290" t="s">
        <v>553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t="s">
        <v>124</v>
      </c>
      <c r="B291" t="s">
        <v>125</v>
      </c>
      <c r="C291">
        <v>28</v>
      </c>
      <c r="D291">
        <v>720.15000000000009</v>
      </c>
      <c r="E291">
        <v>0</v>
      </c>
      <c r="F291">
        <v>0</v>
      </c>
      <c r="G291">
        <v>28</v>
      </c>
      <c r="H291">
        <v>720.15000000000009</v>
      </c>
      <c r="I291">
        <v>211</v>
      </c>
      <c r="J291">
        <v>4333.54</v>
      </c>
    </row>
    <row r="292" spans="1:10" x14ac:dyDescent="0.25">
      <c r="A292" t="s">
        <v>154</v>
      </c>
      <c r="B292" t="s">
        <v>155</v>
      </c>
      <c r="C292">
        <v>20</v>
      </c>
      <c r="D292">
        <v>490.2</v>
      </c>
      <c r="E292">
        <v>0</v>
      </c>
      <c r="F292">
        <v>0</v>
      </c>
      <c r="G292">
        <v>20</v>
      </c>
      <c r="H292">
        <v>490.2</v>
      </c>
      <c r="I292">
        <v>54</v>
      </c>
      <c r="J292">
        <v>1323.3999999999999</v>
      </c>
    </row>
    <row r="293" spans="1:10" x14ac:dyDescent="0.25">
      <c r="A293" t="s">
        <v>140</v>
      </c>
      <c r="B293" t="s">
        <v>141</v>
      </c>
      <c r="C293">
        <v>121</v>
      </c>
      <c r="D293">
        <v>2369.2999999999997</v>
      </c>
      <c r="E293">
        <v>0</v>
      </c>
      <c r="F293">
        <v>0</v>
      </c>
      <c r="G293">
        <v>121</v>
      </c>
      <c r="H293">
        <v>2369.2999999999997</v>
      </c>
      <c r="I293">
        <v>179</v>
      </c>
      <c r="J293">
        <v>2927.3399999999997</v>
      </c>
    </row>
    <row r="294" spans="1:10" x14ac:dyDescent="0.25">
      <c r="A294" t="s">
        <v>170</v>
      </c>
      <c r="B294" t="s">
        <v>171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10</v>
      </c>
      <c r="J294">
        <v>1189.24</v>
      </c>
    </row>
    <row r="295" spans="1:10" x14ac:dyDescent="0.25">
      <c r="A295" t="s">
        <v>538</v>
      </c>
      <c r="B295" t="s">
        <v>539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522</v>
      </c>
      <c r="B296" t="s">
        <v>523</v>
      </c>
      <c r="C296">
        <v>1</v>
      </c>
      <c r="D296">
        <v>49.1</v>
      </c>
      <c r="E296">
        <v>0</v>
      </c>
      <c r="F296">
        <v>0</v>
      </c>
      <c r="G296">
        <v>1</v>
      </c>
      <c r="H296">
        <v>49.1</v>
      </c>
      <c r="I296">
        <v>0</v>
      </c>
      <c r="J296">
        <v>0</v>
      </c>
    </row>
    <row r="297" spans="1:10" x14ac:dyDescent="0.25">
      <c r="A297" t="s">
        <v>166</v>
      </c>
      <c r="B297" t="s">
        <v>167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55</v>
      </c>
      <c r="J297">
        <v>1090.33</v>
      </c>
    </row>
    <row r="298" spans="1:10" x14ac:dyDescent="0.25">
      <c r="A298" t="s">
        <v>508</v>
      </c>
      <c r="B298" t="s">
        <v>509</v>
      </c>
      <c r="C298">
        <v>2</v>
      </c>
      <c r="D298">
        <v>12.32</v>
      </c>
      <c r="E298">
        <v>0</v>
      </c>
      <c r="F298">
        <v>0</v>
      </c>
      <c r="G298">
        <v>2</v>
      </c>
      <c r="H298">
        <v>12.32</v>
      </c>
      <c r="I298">
        <v>1</v>
      </c>
      <c r="J298">
        <v>11.83</v>
      </c>
    </row>
    <row r="299" spans="1:10" x14ac:dyDescent="0.25">
      <c r="A299" t="s">
        <v>338</v>
      </c>
      <c r="B299" t="s">
        <v>339</v>
      </c>
      <c r="C299">
        <v>8</v>
      </c>
      <c r="D299">
        <v>115.44</v>
      </c>
      <c r="E299">
        <v>0</v>
      </c>
      <c r="F299">
        <v>0</v>
      </c>
      <c r="G299">
        <v>8</v>
      </c>
      <c r="H299">
        <v>115.44</v>
      </c>
      <c r="I299">
        <v>12</v>
      </c>
      <c r="J299">
        <v>173.94</v>
      </c>
    </row>
    <row r="300" spans="1:10" x14ac:dyDescent="0.25">
      <c r="A300" t="s">
        <v>400</v>
      </c>
      <c r="B300" t="s">
        <v>401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70.88</v>
      </c>
    </row>
    <row r="301" spans="1:10" x14ac:dyDescent="0.25">
      <c r="A301" t="s">
        <v>464</v>
      </c>
      <c r="B301" t="s">
        <v>465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30.37</v>
      </c>
    </row>
    <row r="302" spans="1:10" x14ac:dyDescent="0.25">
      <c r="A302" t="s">
        <v>192</v>
      </c>
      <c r="B302" t="s">
        <v>193</v>
      </c>
      <c r="C302">
        <v>5</v>
      </c>
      <c r="D302">
        <v>425.66999999999996</v>
      </c>
      <c r="E302">
        <v>0</v>
      </c>
      <c r="F302">
        <v>0</v>
      </c>
      <c r="G302">
        <v>5</v>
      </c>
      <c r="H302">
        <v>425.66999999999996</v>
      </c>
      <c r="I302">
        <v>16</v>
      </c>
      <c r="J302">
        <v>1195.8599999999999</v>
      </c>
    </row>
    <row r="303" spans="1:10" x14ac:dyDescent="0.25">
      <c r="A303" t="s">
        <v>656</v>
      </c>
      <c r="B303" t="s">
        <v>657</v>
      </c>
      <c r="C303">
        <v>3</v>
      </c>
      <c r="D303">
        <v>106.26</v>
      </c>
      <c r="E303">
        <v>0</v>
      </c>
      <c r="F303">
        <v>0</v>
      </c>
      <c r="G303">
        <v>3</v>
      </c>
      <c r="H303">
        <v>106.26</v>
      </c>
      <c r="I303">
        <v>0</v>
      </c>
      <c r="J303">
        <v>0</v>
      </c>
    </row>
    <row r="304" spans="1:10" x14ac:dyDescent="0.25">
      <c r="A304" t="s">
        <v>96</v>
      </c>
      <c r="B304" t="s">
        <v>97</v>
      </c>
      <c r="C304">
        <v>110</v>
      </c>
      <c r="D304">
        <v>1527.2000000000003</v>
      </c>
      <c r="E304">
        <v>1</v>
      </c>
      <c r="F304">
        <v>24.9</v>
      </c>
      <c r="G304">
        <v>111</v>
      </c>
      <c r="H304">
        <v>1552.1000000000004</v>
      </c>
      <c r="I304">
        <v>354</v>
      </c>
      <c r="J304">
        <v>5782.91</v>
      </c>
    </row>
    <row r="305" spans="1:10" x14ac:dyDescent="0.25">
      <c r="A305" t="s">
        <v>500</v>
      </c>
      <c r="B305" t="s">
        <v>501</v>
      </c>
      <c r="C305">
        <v>2</v>
      </c>
      <c r="D305">
        <v>21.41</v>
      </c>
      <c r="E305">
        <v>0</v>
      </c>
      <c r="F305">
        <v>0</v>
      </c>
      <c r="G305">
        <v>2</v>
      </c>
      <c r="H305">
        <v>21.41</v>
      </c>
      <c r="I305">
        <v>3</v>
      </c>
      <c r="J305">
        <v>37.090000000000003</v>
      </c>
    </row>
    <row r="306" spans="1:10" x14ac:dyDescent="0.25">
      <c r="A306" t="s">
        <v>194</v>
      </c>
      <c r="B306" t="s">
        <v>195</v>
      </c>
      <c r="C306">
        <v>44</v>
      </c>
      <c r="D306">
        <v>1593.6399999999999</v>
      </c>
      <c r="E306">
        <v>0</v>
      </c>
      <c r="F306">
        <v>0</v>
      </c>
      <c r="G306">
        <v>44</v>
      </c>
      <c r="H306">
        <v>1593.6399999999999</v>
      </c>
      <c r="I306">
        <v>69</v>
      </c>
      <c r="J306">
        <v>2737.92</v>
      </c>
    </row>
    <row r="307" spans="1:10" x14ac:dyDescent="0.25">
      <c r="A307" t="s">
        <v>248</v>
      </c>
      <c r="B307" t="s">
        <v>249</v>
      </c>
      <c r="C307">
        <v>15</v>
      </c>
      <c r="D307">
        <v>379.73999999999995</v>
      </c>
      <c r="E307">
        <v>0</v>
      </c>
      <c r="F307">
        <v>0</v>
      </c>
      <c r="G307">
        <v>15</v>
      </c>
      <c r="H307">
        <v>379.73999999999995</v>
      </c>
      <c r="I307">
        <v>23</v>
      </c>
      <c r="J307">
        <v>567.01</v>
      </c>
    </row>
    <row r="308" spans="1:10" x14ac:dyDescent="0.25">
      <c r="A308" t="s">
        <v>39</v>
      </c>
      <c r="B308" t="s">
        <v>40</v>
      </c>
      <c r="C308">
        <v>520</v>
      </c>
      <c r="D308">
        <v>5611.14</v>
      </c>
      <c r="E308">
        <v>0</v>
      </c>
      <c r="F308">
        <v>0</v>
      </c>
      <c r="G308">
        <v>520</v>
      </c>
      <c r="H308">
        <v>5611.14</v>
      </c>
      <c r="I308">
        <v>2093</v>
      </c>
      <c r="J308">
        <v>17037.66</v>
      </c>
    </row>
    <row r="309" spans="1:10" x14ac:dyDescent="0.25">
      <c r="A309" t="s">
        <v>148</v>
      </c>
      <c r="B309" t="s">
        <v>149</v>
      </c>
      <c r="C309">
        <v>16</v>
      </c>
      <c r="D309">
        <v>526.41</v>
      </c>
      <c r="E309">
        <v>0</v>
      </c>
      <c r="F309">
        <v>0</v>
      </c>
      <c r="G309">
        <v>16</v>
      </c>
      <c r="H309">
        <v>526.41</v>
      </c>
      <c r="I309">
        <v>81</v>
      </c>
      <c r="J309">
        <v>2664.8700000000003</v>
      </c>
    </row>
    <row r="310" spans="1:10" x14ac:dyDescent="0.25">
      <c r="A310" t="s">
        <v>416</v>
      </c>
      <c r="B310" t="s">
        <v>417</v>
      </c>
      <c r="C310">
        <v>4</v>
      </c>
      <c r="D310">
        <v>187.86</v>
      </c>
      <c r="E310">
        <v>0</v>
      </c>
      <c r="F310">
        <v>0</v>
      </c>
      <c r="G310">
        <v>4</v>
      </c>
      <c r="H310">
        <v>187.86</v>
      </c>
      <c r="I310">
        <v>2</v>
      </c>
      <c r="J310">
        <v>97.539999999999992</v>
      </c>
    </row>
    <row r="311" spans="1:10" x14ac:dyDescent="0.25">
      <c r="A311" t="s">
        <v>480</v>
      </c>
      <c r="B311" t="s">
        <v>481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24.92</v>
      </c>
    </row>
    <row r="312" spans="1:10" x14ac:dyDescent="0.25">
      <c r="A312" t="s">
        <v>184</v>
      </c>
      <c r="B312" t="s">
        <v>185</v>
      </c>
      <c r="C312">
        <v>12</v>
      </c>
      <c r="D312">
        <v>236.48000000000002</v>
      </c>
      <c r="E312">
        <v>0</v>
      </c>
      <c r="F312">
        <v>0</v>
      </c>
      <c r="G312">
        <v>12</v>
      </c>
      <c r="H312">
        <v>236.48000000000002</v>
      </c>
      <c r="I312">
        <v>61</v>
      </c>
      <c r="J312">
        <v>1012.73</v>
      </c>
    </row>
    <row r="313" spans="1:10" x14ac:dyDescent="0.25">
      <c r="A313" t="s">
        <v>252</v>
      </c>
      <c r="B313" t="s">
        <v>253</v>
      </c>
      <c r="C313">
        <v>20</v>
      </c>
      <c r="D313">
        <v>366.40999999999997</v>
      </c>
      <c r="E313">
        <v>0</v>
      </c>
      <c r="F313">
        <v>0</v>
      </c>
      <c r="G313">
        <v>20</v>
      </c>
      <c r="H313">
        <v>366.40999999999997</v>
      </c>
      <c r="I313">
        <v>58</v>
      </c>
      <c r="J313">
        <v>961.99</v>
      </c>
    </row>
    <row r="314" spans="1:10" x14ac:dyDescent="0.25">
      <c r="A314" t="s">
        <v>152</v>
      </c>
      <c r="B314" t="s">
        <v>153</v>
      </c>
      <c r="C314">
        <v>32</v>
      </c>
      <c r="D314">
        <v>608.34</v>
      </c>
      <c r="E314">
        <v>14</v>
      </c>
      <c r="F314">
        <v>348.6</v>
      </c>
      <c r="G314">
        <v>46</v>
      </c>
      <c r="H314">
        <v>956.94</v>
      </c>
      <c r="I314">
        <v>232</v>
      </c>
      <c r="J314">
        <v>3824.8900000000003</v>
      </c>
    </row>
    <row r="315" spans="1:10" x14ac:dyDescent="0.25">
      <c r="A315" t="s">
        <v>236</v>
      </c>
      <c r="B315" t="s">
        <v>237</v>
      </c>
      <c r="C315">
        <v>3</v>
      </c>
      <c r="D315">
        <v>123.25999999999999</v>
      </c>
      <c r="E315">
        <v>0</v>
      </c>
      <c r="F315">
        <v>0</v>
      </c>
      <c r="G315">
        <v>3</v>
      </c>
      <c r="H315">
        <v>123.25999999999999</v>
      </c>
      <c r="I315">
        <v>17</v>
      </c>
      <c r="J315">
        <v>692.5</v>
      </c>
    </row>
    <row r="316" spans="1:10" x14ac:dyDescent="0.25">
      <c r="A316" t="s">
        <v>406</v>
      </c>
      <c r="B316" t="s">
        <v>407</v>
      </c>
      <c r="C316">
        <v>10</v>
      </c>
      <c r="D316">
        <v>136.38999999999999</v>
      </c>
      <c r="E316">
        <v>0</v>
      </c>
      <c r="F316">
        <v>0</v>
      </c>
      <c r="G316">
        <v>10</v>
      </c>
      <c r="H316">
        <v>136.38999999999999</v>
      </c>
      <c r="I316">
        <v>5</v>
      </c>
      <c r="J316">
        <v>86.449999999999989</v>
      </c>
    </row>
    <row r="317" spans="1:10" x14ac:dyDescent="0.25">
      <c r="A317" t="s">
        <v>35</v>
      </c>
      <c r="B317" t="s">
        <v>36</v>
      </c>
      <c r="C317">
        <v>114</v>
      </c>
      <c r="D317">
        <v>1866.3</v>
      </c>
      <c r="E317">
        <v>17</v>
      </c>
      <c r="F317">
        <v>418.80999999999989</v>
      </c>
      <c r="G317">
        <v>131</v>
      </c>
      <c r="H317">
        <v>2285.1099999999997</v>
      </c>
      <c r="I317">
        <v>1061</v>
      </c>
      <c r="J317">
        <v>17733.79</v>
      </c>
    </row>
    <row r="318" spans="1:10" x14ac:dyDescent="0.25">
      <c r="A318" t="s">
        <v>346</v>
      </c>
      <c r="B318" t="s">
        <v>347</v>
      </c>
      <c r="C318">
        <v>88</v>
      </c>
      <c r="D318">
        <v>3901.1</v>
      </c>
      <c r="E318">
        <v>0</v>
      </c>
      <c r="F318">
        <v>0</v>
      </c>
      <c r="G318">
        <v>88</v>
      </c>
      <c r="H318">
        <v>3901.1</v>
      </c>
      <c r="I318">
        <v>3</v>
      </c>
      <c r="J318">
        <v>122.7</v>
      </c>
    </row>
    <row r="319" spans="1:10" x14ac:dyDescent="0.25">
      <c r="A319" t="s">
        <v>291</v>
      </c>
      <c r="B319" t="s">
        <v>292</v>
      </c>
      <c r="C319">
        <v>9</v>
      </c>
      <c r="D319">
        <v>72.989999999999995</v>
      </c>
      <c r="E319">
        <v>0</v>
      </c>
      <c r="F319">
        <v>0</v>
      </c>
      <c r="G319">
        <v>9</v>
      </c>
      <c r="H319">
        <v>72.989999999999995</v>
      </c>
      <c r="I319">
        <v>32</v>
      </c>
      <c r="J319">
        <v>261.95999999999998</v>
      </c>
    </row>
    <row r="320" spans="1:10" x14ac:dyDescent="0.25">
      <c r="A320" t="s">
        <v>158</v>
      </c>
      <c r="B320" t="s">
        <v>159</v>
      </c>
      <c r="C320">
        <v>74</v>
      </c>
      <c r="D320">
        <v>6564.6100000000006</v>
      </c>
      <c r="E320">
        <v>0</v>
      </c>
      <c r="F320">
        <v>0</v>
      </c>
      <c r="G320">
        <v>74</v>
      </c>
      <c r="H320">
        <v>6564.6100000000006</v>
      </c>
      <c r="I320">
        <v>13</v>
      </c>
      <c r="J320">
        <v>1278.33</v>
      </c>
    </row>
    <row r="321" spans="1:10" x14ac:dyDescent="0.25">
      <c r="A321" t="s">
        <v>82</v>
      </c>
      <c r="B321" t="s">
        <v>83</v>
      </c>
      <c r="C321">
        <v>4</v>
      </c>
      <c r="D321">
        <v>380.8</v>
      </c>
      <c r="E321">
        <v>0</v>
      </c>
      <c r="F321">
        <v>0</v>
      </c>
      <c r="G321">
        <v>4</v>
      </c>
      <c r="H321">
        <v>380.8</v>
      </c>
      <c r="I321">
        <v>55</v>
      </c>
      <c r="J321">
        <v>4532.2699999999995</v>
      </c>
    </row>
    <row r="322" spans="1:10" x14ac:dyDescent="0.25">
      <c r="A322" t="s">
        <v>112</v>
      </c>
      <c r="B322" t="s">
        <v>113</v>
      </c>
      <c r="C322">
        <v>148</v>
      </c>
      <c r="D322">
        <v>1752.33</v>
      </c>
      <c r="E322">
        <v>0</v>
      </c>
      <c r="F322">
        <v>0</v>
      </c>
      <c r="G322">
        <v>148</v>
      </c>
      <c r="H322">
        <v>1752.33</v>
      </c>
      <c r="I322">
        <v>654</v>
      </c>
      <c r="J322">
        <v>6992</v>
      </c>
    </row>
    <row r="323" spans="1:10" x14ac:dyDescent="0.25">
      <c r="A323" t="s">
        <v>546</v>
      </c>
      <c r="B323" t="s">
        <v>547</v>
      </c>
      <c r="C323">
        <v>1</v>
      </c>
      <c r="D323">
        <v>58.74</v>
      </c>
      <c r="E323">
        <v>0</v>
      </c>
      <c r="F323">
        <v>0</v>
      </c>
      <c r="G323">
        <v>1</v>
      </c>
      <c r="H323">
        <v>58.74</v>
      </c>
      <c r="I323">
        <v>0</v>
      </c>
      <c r="J323">
        <v>0</v>
      </c>
    </row>
    <row r="324" spans="1:10" x14ac:dyDescent="0.25">
      <c r="A324" t="s">
        <v>287</v>
      </c>
      <c r="B324" t="s">
        <v>288</v>
      </c>
      <c r="C324">
        <v>2</v>
      </c>
      <c r="D324">
        <v>88.34</v>
      </c>
      <c r="E324">
        <v>0</v>
      </c>
      <c r="F324">
        <v>0</v>
      </c>
      <c r="G324">
        <v>2</v>
      </c>
      <c r="H324">
        <v>88.34</v>
      </c>
      <c r="I324">
        <v>9</v>
      </c>
      <c r="J324">
        <v>345.89000000000004</v>
      </c>
    </row>
    <row r="325" spans="1:10" x14ac:dyDescent="0.25">
      <c r="A325" t="s">
        <v>29</v>
      </c>
      <c r="B325" t="s">
        <v>30</v>
      </c>
      <c r="C325">
        <v>623</v>
      </c>
      <c r="D325">
        <v>10619.670000000002</v>
      </c>
      <c r="E325">
        <v>0</v>
      </c>
      <c r="F325">
        <v>0</v>
      </c>
      <c r="G325">
        <v>623</v>
      </c>
      <c r="H325">
        <v>10619.670000000002</v>
      </c>
      <c r="I325">
        <v>1718</v>
      </c>
      <c r="J325">
        <v>28242.18</v>
      </c>
    </row>
    <row r="326" spans="1:10" x14ac:dyDescent="0.25">
      <c r="A326" t="s">
        <v>460</v>
      </c>
      <c r="B326" t="s">
        <v>461</v>
      </c>
      <c r="C326">
        <v>2</v>
      </c>
      <c r="D326">
        <v>96.87</v>
      </c>
      <c r="E326">
        <v>0</v>
      </c>
      <c r="F326">
        <v>0</v>
      </c>
      <c r="G326">
        <v>2</v>
      </c>
      <c r="H326">
        <v>96.87</v>
      </c>
      <c r="I326">
        <v>1</v>
      </c>
      <c r="J326">
        <v>31.75</v>
      </c>
    </row>
    <row r="327" spans="1:10" x14ac:dyDescent="0.25">
      <c r="A327" t="s">
        <v>636</v>
      </c>
      <c r="B327" t="s">
        <v>637</v>
      </c>
      <c r="C327">
        <v>1</v>
      </c>
      <c r="D327">
        <v>160.65</v>
      </c>
      <c r="E327">
        <v>0</v>
      </c>
      <c r="F327">
        <v>0</v>
      </c>
      <c r="G327">
        <v>1</v>
      </c>
      <c r="H327">
        <v>160.65</v>
      </c>
      <c r="I327">
        <v>0</v>
      </c>
      <c r="J327">
        <v>0</v>
      </c>
    </row>
    <row r="328" spans="1:10" x14ac:dyDescent="0.25">
      <c r="A328" t="s">
        <v>126</v>
      </c>
      <c r="B328" t="s">
        <v>127</v>
      </c>
      <c r="C328">
        <v>569</v>
      </c>
      <c r="D328">
        <v>2809.4100000000003</v>
      </c>
      <c r="E328">
        <v>0</v>
      </c>
      <c r="F328">
        <v>0</v>
      </c>
      <c r="G328">
        <v>569</v>
      </c>
      <c r="H328">
        <v>2809.4100000000003</v>
      </c>
      <c r="I328">
        <v>686</v>
      </c>
      <c r="J328">
        <v>2945.08</v>
      </c>
    </row>
    <row r="329" spans="1:10" x14ac:dyDescent="0.25">
      <c r="A329" t="s">
        <v>43</v>
      </c>
      <c r="B329" t="s">
        <v>44</v>
      </c>
      <c r="C329">
        <v>144</v>
      </c>
      <c r="D329">
        <v>920.59</v>
      </c>
      <c r="E329">
        <v>0</v>
      </c>
      <c r="F329">
        <v>0</v>
      </c>
      <c r="G329">
        <v>144</v>
      </c>
      <c r="H329">
        <v>920.59</v>
      </c>
      <c r="I329">
        <v>2465</v>
      </c>
      <c r="J329">
        <v>9950.2499999999982</v>
      </c>
    </row>
    <row r="330" spans="1:10" x14ac:dyDescent="0.25">
      <c r="A330" t="s">
        <v>380</v>
      </c>
      <c r="B330" t="s">
        <v>381</v>
      </c>
      <c r="C330">
        <v>9</v>
      </c>
      <c r="D330">
        <v>33.79</v>
      </c>
      <c r="E330">
        <v>0</v>
      </c>
      <c r="F330">
        <v>0</v>
      </c>
      <c r="G330">
        <v>9</v>
      </c>
      <c r="H330">
        <v>33.79</v>
      </c>
      <c r="I330">
        <v>14</v>
      </c>
      <c r="J330">
        <v>94.96</v>
      </c>
    </row>
    <row r="331" spans="1:10" x14ac:dyDescent="0.25">
      <c r="A331" t="s">
        <v>672</v>
      </c>
      <c r="B331" t="s">
        <v>673</v>
      </c>
      <c r="C331">
        <v>1</v>
      </c>
      <c r="D331">
        <v>62.18</v>
      </c>
      <c r="E331">
        <v>0</v>
      </c>
      <c r="F331">
        <v>0</v>
      </c>
      <c r="G331">
        <v>1</v>
      </c>
      <c r="H331">
        <v>62.18</v>
      </c>
      <c r="I331">
        <v>0</v>
      </c>
      <c r="J331">
        <v>0</v>
      </c>
    </row>
    <row r="332" spans="1:10" x14ac:dyDescent="0.25">
      <c r="A332" t="s">
        <v>506</v>
      </c>
      <c r="B332" t="s">
        <v>507</v>
      </c>
      <c r="C332">
        <v>306</v>
      </c>
      <c r="D332">
        <v>3686.1200000000003</v>
      </c>
      <c r="E332">
        <v>0</v>
      </c>
      <c r="F332">
        <v>0</v>
      </c>
      <c r="G332">
        <v>306</v>
      </c>
      <c r="H332">
        <v>3686.1200000000003</v>
      </c>
      <c r="I332">
        <v>1</v>
      </c>
      <c r="J332">
        <v>12.4</v>
      </c>
    </row>
    <row r="333" spans="1:10" x14ac:dyDescent="0.25">
      <c r="A333" t="s">
        <v>364</v>
      </c>
      <c r="B333" t="s">
        <v>365</v>
      </c>
      <c r="C333">
        <v>13</v>
      </c>
      <c r="D333">
        <v>546.92000000000007</v>
      </c>
      <c r="E333">
        <v>0</v>
      </c>
      <c r="F333">
        <v>0</v>
      </c>
      <c r="G333">
        <v>13</v>
      </c>
      <c r="H333">
        <v>546.92000000000007</v>
      </c>
      <c r="I333">
        <v>5</v>
      </c>
      <c r="J333">
        <v>242.62</v>
      </c>
    </row>
    <row r="334" spans="1:10" x14ac:dyDescent="0.25">
      <c r="A334" t="s">
        <v>448</v>
      </c>
      <c r="B334" t="s">
        <v>449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13</v>
      </c>
      <c r="J334">
        <v>52.36</v>
      </c>
    </row>
    <row r="335" spans="1:10" x14ac:dyDescent="0.25">
      <c r="A335" t="s">
        <v>608</v>
      </c>
      <c r="B335" t="s">
        <v>609</v>
      </c>
      <c r="C335">
        <v>264</v>
      </c>
      <c r="D335">
        <v>2285.4</v>
      </c>
      <c r="E335">
        <v>0</v>
      </c>
      <c r="F335">
        <v>0</v>
      </c>
      <c r="G335">
        <v>264</v>
      </c>
      <c r="H335">
        <v>2285.4</v>
      </c>
      <c r="I335">
        <v>0</v>
      </c>
      <c r="J335">
        <v>0</v>
      </c>
    </row>
    <row r="336" spans="1:10" x14ac:dyDescent="0.25">
      <c r="A336" t="s">
        <v>620</v>
      </c>
      <c r="B336" t="s">
        <v>621</v>
      </c>
      <c r="C336">
        <v>22</v>
      </c>
      <c r="D336">
        <v>908.24000000000012</v>
      </c>
      <c r="E336">
        <v>0</v>
      </c>
      <c r="F336">
        <v>0</v>
      </c>
      <c r="G336">
        <v>22</v>
      </c>
      <c r="H336">
        <v>908.24000000000012</v>
      </c>
      <c r="I336">
        <v>0</v>
      </c>
      <c r="J336">
        <v>0</v>
      </c>
    </row>
    <row r="337" spans="1:10" x14ac:dyDescent="0.25">
      <c r="A337" t="s">
        <v>624</v>
      </c>
      <c r="B337" t="s">
        <v>625</v>
      </c>
      <c r="C337">
        <v>35</v>
      </c>
      <c r="D337">
        <v>1273.7199999999998</v>
      </c>
      <c r="E337">
        <v>0</v>
      </c>
      <c r="F337">
        <v>0</v>
      </c>
      <c r="G337">
        <v>35</v>
      </c>
      <c r="H337">
        <v>1273.7199999999998</v>
      </c>
      <c r="I337">
        <v>0</v>
      </c>
      <c r="J337">
        <v>0</v>
      </c>
    </row>
    <row r="338" spans="1:10" x14ac:dyDescent="0.25">
      <c r="A338" t="s">
        <v>680</v>
      </c>
      <c r="B338" t="s">
        <v>681</v>
      </c>
      <c r="C338">
        <v>3</v>
      </c>
      <c r="D338">
        <v>64.400000000000006</v>
      </c>
      <c r="E338">
        <v>0</v>
      </c>
      <c r="F338">
        <v>0</v>
      </c>
      <c r="G338">
        <v>3</v>
      </c>
      <c r="H338">
        <v>64.400000000000006</v>
      </c>
      <c r="I338">
        <v>0</v>
      </c>
      <c r="J338">
        <v>0</v>
      </c>
    </row>
    <row r="339" spans="1:10" x14ac:dyDescent="0.25">
      <c r="A339" t="s">
        <v>644</v>
      </c>
      <c r="B339" t="s">
        <v>645</v>
      </c>
      <c r="C339">
        <v>4</v>
      </c>
      <c r="D339">
        <v>170.14999999999998</v>
      </c>
      <c r="E339">
        <v>0</v>
      </c>
      <c r="F339">
        <v>0</v>
      </c>
      <c r="G339">
        <v>4</v>
      </c>
      <c r="H339">
        <v>170.14999999999998</v>
      </c>
      <c r="I339">
        <v>0</v>
      </c>
      <c r="J339">
        <v>0</v>
      </c>
    </row>
    <row r="340" spans="1:10" x14ac:dyDescent="0.25">
      <c r="A340" t="s">
        <v>688</v>
      </c>
      <c r="B340" t="s">
        <v>689</v>
      </c>
      <c r="C340">
        <v>1</v>
      </c>
      <c r="D340">
        <v>32.369999999999997</v>
      </c>
      <c r="E340">
        <v>0</v>
      </c>
      <c r="F340">
        <v>0</v>
      </c>
      <c r="G340">
        <v>1</v>
      </c>
      <c r="H340">
        <v>32.369999999999997</v>
      </c>
      <c r="I340">
        <v>0</v>
      </c>
      <c r="J340">
        <v>0</v>
      </c>
    </row>
    <row r="341" spans="1:10" x14ac:dyDescent="0.25">
      <c r="A341" t="s">
        <v>640</v>
      </c>
      <c r="B341" t="s">
        <v>641</v>
      </c>
      <c r="C341">
        <v>6</v>
      </c>
      <c r="D341">
        <v>176.59</v>
      </c>
      <c r="E341">
        <v>0</v>
      </c>
      <c r="F341">
        <v>0</v>
      </c>
      <c r="G341">
        <v>6</v>
      </c>
      <c r="H341">
        <v>176.59</v>
      </c>
      <c r="I341">
        <v>0</v>
      </c>
      <c r="J341">
        <v>0</v>
      </c>
    </row>
    <row r="342" spans="1:10" x14ac:dyDescent="0.25">
      <c r="A342" t="s">
        <v>668</v>
      </c>
      <c r="B342" t="s">
        <v>669</v>
      </c>
      <c r="C342">
        <v>2</v>
      </c>
      <c r="D342">
        <v>65.599999999999994</v>
      </c>
      <c r="E342">
        <v>0</v>
      </c>
      <c r="F342">
        <v>0</v>
      </c>
      <c r="G342">
        <v>2</v>
      </c>
      <c r="H342">
        <v>65.599999999999994</v>
      </c>
      <c r="I342">
        <v>0</v>
      </c>
      <c r="J342">
        <v>0</v>
      </c>
    </row>
    <row r="343" spans="1:10" x14ac:dyDescent="0.25">
      <c r="A343" t="s">
        <v>664</v>
      </c>
      <c r="B343" t="s">
        <v>665</v>
      </c>
      <c r="C343">
        <v>2</v>
      </c>
      <c r="D343">
        <v>67.09</v>
      </c>
      <c r="E343">
        <v>0</v>
      </c>
      <c r="F343">
        <v>0</v>
      </c>
      <c r="G343">
        <v>2</v>
      </c>
      <c r="H343">
        <v>67.09</v>
      </c>
      <c r="I343">
        <v>0</v>
      </c>
      <c r="J343">
        <v>0</v>
      </c>
    </row>
    <row r="344" spans="1:10" x14ac:dyDescent="0.25">
      <c r="A344" t="s">
        <v>632</v>
      </c>
      <c r="B344" t="s">
        <v>633</v>
      </c>
      <c r="C344">
        <v>17</v>
      </c>
      <c r="D344">
        <v>315.93</v>
      </c>
      <c r="E344">
        <v>0</v>
      </c>
      <c r="F344">
        <v>0</v>
      </c>
      <c r="G344">
        <v>17</v>
      </c>
      <c r="H344">
        <v>315.93</v>
      </c>
      <c r="I344">
        <v>0</v>
      </c>
      <c r="J344">
        <v>0</v>
      </c>
    </row>
    <row r="345" spans="1:10" x14ac:dyDescent="0.25">
      <c r="A345" t="s">
        <v>690</v>
      </c>
      <c r="B345" t="s">
        <v>691</v>
      </c>
      <c r="C345">
        <v>315</v>
      </c>
      <c r="D345">
        <v>30.99</v>
      </c>
      <c r="E345">
        <v>0</v>
      </c>
      <c r="F345">
        <v>0</v>
      </c>
      <c r="G345">
        <v>315</v>
      </c>
      <c r="H345">
        <v>30.99</v>
      </c>
      <c r="I345">
        <v>0</v>
      </c>
      <c r="J345">
        <v>0</v>
      </c>
    </row>
    <row r="346" spans="1:10" x14ac:dyDescent="0.25">
      <c r="A346" t="s">
        <v>698</v>
      </c>
      <c r="B346" t="s">
        <v>699</v>
      </c>
      <c r="C346">
        <v>4</v>
      </c>
      <c r="D346">
        <v>15.36</v>
      </c>
      <c r="E346">
        <v>0</v>
      </c>
      <c r="F346">
        <v>0</v>
      </c>
      <c r="G346">
        <v>4</v>
      </c>
      <c r="H346">
        <v>15.36</v>
      </c>
      <c r="I346">
        <v>0</v>
      </c>
      <c r="J346">
        <v>0</v>
      </c>
    </row>
    <row r="347" spans="1:10" x14ac:dyDescent="0.25">
      <c r="A347" t="s">
        <v>628</v>
      </c>
      <c r="B347" t="s">
        <v>629</v>
      </c>
      <c r="C347">
        <v>3</v>
      </c>
      <c r="D347">
        <v>400.21</v>
      </c>
      <c r="E347">
        <v>0</v>
      </c>
      <c r="F347">
        <v>0</v>
      </c>
      <c r="G347">
        <v>3</v>
      </c>
      <c r="H347">
        <v>400.21</v>
      </c>
      <c r="I347">
        <v>0</v>
      </c>
      <c r="J347">
        <v>0</v>
      </c>
    </row>
    <row r="348" spans="1:10" x14ac:dyDescent="0.25">
      <c r="A348" t="s">
        <v>622</v>
      </c>
      <c r="B348" t="s">
        <v>623</v>
      </c>
      <c r="C348">
        <v>39</v>
      </c>
      <c r="D348">
        <v>863.03000000000009</v>
      </c>
      <c r="E348">
        <v>0</v>
      </c>
      <c r="F348">
        <v>0</v>
      </c>
      <c r="G348">
        <v>39</v>
      </c>
      <c r="H348">
        <v>863.03000000000009</v>
      </c>
      <c r="I348">
        <v>0</v>
      </c>
      <c r="J348">
        <v>0</v>
      </c>
    </row>
    <row r="349" spans="1:10" x14ac:dyDescent="0.25">
      <c r="A349" t="s">
        <v>646</v>
      </c>
      <c r="B349" t="s">
        <v>647</v>
      </c>
      <c r="C349">
        <v>24</v>
      </c>
      <c r="D349">
        <v>122.81</v>
      </c>
      <c r="E349">
        <v>0</v>
      </c>
      <c r="F349">
        <v>0</v>
      </c>
      <c r="G349">
        <v>24</v>
      </c>
      <c r="H349">
        <v>122.81</v>
      </c>
      <c r="I349">
        <v>0</v>
      </c>
      <c r="J349">
        <v>0</v>
      </c>
    </row>
    <row r="350" spans="1:10" x14ac:dyDescent="0.25">
      <c r="A350" t="s">
        <v>654</v>
      </c>
      <c r="B350" t="s">
        <v>655</v>
      </c>
      <c r="C350">
        <v>18</v>
      </c>
      <c r="D350">
        <v>119.77</v>
      </c>
      <c r="E350">
        <v>0</v>
      </c>
      <c r="F350">
        <v>0</v>
      </c>
      <c r="G350">
        <v>18</v>
      </c>
      <c r="H350">
        <v>119.77</v>
      </c>
      <c r="I350">
        <v>0</v>
      </c>
      <c r="J350">
        <v>0</v>
      </c>
    </row>
    <row r="351" spans="1:10" x14ac:dyDescent="0.25">
      <c r="A351" t="s">
        <v>612</v>
      </c>
      <c r="B351" t="s">
        <v>613</v>
      </c>
      <c r="C351">
        <v>423</v>
      </c>
      <c r="D351">
        <v>2621.3000000000002</v>
      </c>
      <c r="E351">
        <v>0</v>
      </c>
      <c r="F351">
        <v>0</v>
      </c>
      <c r="G351">
        <v>423</v>
      </c>
      <c r="H351">
        <v>2621.3000000000002</v>
      </c>
      <c r="I351">
        <v>0</v>
      </c>
      <c r="J351">
        <v>0</v>
      </c>
    </row>
    <row r="352" spans="1:10" x14ac:dyDescent="0.25">
      <c r="A352" t="s">
        <v>604</v>
      </c>
      <c r="B352" t="s">
        <v>605</v>
      </c>
      <c r="C352">
        <v>93</v>
      </c>
      <c r="D352">
        <v>2805.25</v>
      </c>
      <c r="E352">
        <v>0</v>
      </c>
      <c r="F352">
        <v>0</v>
      </c>
      <c r="G352">
        <v>93</v>
      </c>
      <c r="H352">
        <v>2805.25</v>
      </c>
      <c r="I352">
        <v>0</v>
      </c>
      <c r="J352">
        <v>0</v>
      </c>
    </row>
    <row r="353" spans="1:10" x14ac:dyDescent="0.25">
      <c r="A353" t="s">
        <v>610</v>
      </c>
      <c r="B353" t="s">
        <v>611</v>
      </c>
      <c r="C353">
        <v>234</v>
      </c>
      <c r="D353">
        <v>3595.7999999999997</v>
      </c>
      <c r="E353">
        <v>0</v>
      </c>
      <c r="F353">
        <v>0</v>
      </c>
      <c r="G353">
        <v>234</v>
      </c>
      <c r="H353">
        <v>3595.7999999999997</v>
      </c>
      <c r="I353">
        <v>0</v>
      </c>
      <c r="J353">
        <v>0</v>
      </c>
    </row>
    <row r="354" spans="1:10" x14ac:dyDescent="0.25">
      <c r="A354" t="s">
        <v>674</v>
      </c>
      <c r="B354" t="s">
        <v>675</v>
      </c>
      <c r="C354">
        <v>2</v>
      </c>
      <c r="D354">
        <v>102.32</v>
      </c>
      <c r="E354">
        <v>0</v>
      </c>
      <c r="F354">
        <v>0</v>
      </c>
      <c r="G354">
        <v>2</v>
      </c>
      <c r="H354">
        <v>102.32</v>
      </c>
      <c r="I354">
        <v>0</v>
      </c>
      <c r="J354">
        <v>0</v>
      </c>
    </row>
    <row r="355" spans="1:10" x14ac:dyDescent="0.25">
      <c r="A355" t="s">
        <v>616</v>
      </c>
      <c r="B355" t="s">
        <v>617</v>
      </c>
      <c r="C355">
        <v>21</v>
      </c>
      <c r="D355">
        <v>869.78</v>
      </c>
      <c r="E355">
        <v>0</v>
      </c>
      <c r="F355">
        <v>0</v>
      </c>
      <c r="G355">
        <v>21</v>
      </c>
      <c r="H355">
        <v>869.78</v>
      </c>
      <c r="I355">
        <v>0</v>
      </c>
      <c r="J355">
        <v>0</v>
      </c>
    </row>
    <row r="356" spans="1:10" x14ac:dyDescent="0.25">
      <c r="A356" t="s">
        <v>606</v>
      </c>
      <c r="B356" t="s">
        <v>607</v>
      </c>
      <c r="C356">
        <v>101</v>
      </c>
      <c r="D356">
        <v>1663.64</v>
      </c>
      <c r="E356">
        <v>0</v>
      </c>
      <c r="F356">
        <v>0</v>
      </c>
      <c r="G356">
        <v>101</v>
      </c>
      <c r="H356">
        <v>1663.64</v>
      </c>
      <c r="I356">
        <v>0</v>
      </c>
      <c r="J356">
        <v>0</v>
      </c>
    </row>
    <row r="357" spans="1:10" x14ac:dyDescent="0.25">
      <c r="A357" t="s">
        <v>600</v>
      </c>
      <c r="B357" t="s">
        <v>601</v>
      </c>
      <c r="C357">
        <v>372</v>
      </c>
      <c r="D357">
        <v>6196.29</v>
      </c>
      <c r="E357">
        <v>0</v>
      </c>
      <c r="F357">
        <v>0</v>
      </c>
      <c r="G357">
        <v>372</v>
      </c>
      <c r="H357">
        <v>6196.29</v>
      </c>
      <c r="I357">
        <v>0</v>
      </c>
      <c r="J357">
        <v>0</v>
      </c>
    </row>
    <row r="358" spans="1:10" x14ac:dyDescent="0.25">
      <c r="A358" t="s">
        <v>602</v>
      </c>
      <c r="B358" t="s">
        <v>603</v>
      </c>
      <c r="C358">
        <v>137</v>
      </c>
      <c r="D358">
        <v>2234.4699999999998</v>
      </c>
      <c r="E358">
        <v>0</v>
      </c>
      <c r="F358">
        <v>0</v>
      </c>
      <c r="G358">
        <v>137</v>
      </c>
      <c r="H358">
        <v>2234.4699999999998</v>
      </c>
      <c r="I358">
        <v>0</v>
      </c>
      <c r="J358">
        <v>0</v>
      </c>
    </row>
    <row r="359" spans="1:10" x14ac:dyDescent="0.25">
      <c r="A359" t="s">
        <v>652</v>
      </c>
      <c r="B359" t="s">
        <v>653</v>
      </c>
      <c r="C359">
        <v>3</v>
      </c>
      <c r="D359">
        <v>115.5</v>
      </c>
      <c r="E359">
        <v>0</v>
      </c>
      <c r="F359">
        <v>0</v>
      </c>
      <c r="G359">
        <v>3</v>
      </c>
      <c r="H359">
        <v>115.5</v>
      </c>
      <c r="I359">
        <v>0</v>
      </c>
      <c r="J359">
        <v>0</v>
      </c>
    </row>
    <row r="360" spans="1:10" x14ac:dyDescent="0.25">
      <c r="A360" t="s">
        <v>614</v>
      </c>
      <c r="B360" t="s">
        <v>615</v>
      </c>
      <c r="C360">
        <v>74</v>
      </c>
      <c r="D360">
        <v>2091.16</v>
      </c>
      <c r="E360">
        <v>0</v>
      </c>
      <c r="F360">
        <v>0</v>
      </c>
      <c r="G360">
        <v>74</v>
      </c>
      <c r="H360">
        <v>2091.16</v>
      </c>
      <c r="I360">
        <v>0</v>
      </c>
      <c r="J360">
        <v>0</v>
      </c>
    </row>
    <row r="361" spans="1:10" x14ac:dyDescent="0.25">
      <c r="A361" t="s">
        <v>650</v>
      </c>
      <c r="B361" t="s">
        <v>651</v>
      </c>
      <c r="C361">
        <v>13</v>
      </c>
      <c r="D361">
        <v>191.48999999999998</v>
      </c>
      <c r="E361">
        <v>0</v>
      </c>
      <c r="F361">
        <v>0</v>
      </c>
      <c r="G361">
        <v>13</v>
      </c>
      <c r="H361">
        <v>191.48999999999998</v>
      </c>
      <c r="I361">
        <v>0</v>
      </c>
      <c r="J361">
        <v>0</v>
      </c>
    </row>
    <row r="362" spans="1:10" x14ac:dyDescent="0.25">
      <c r="A362" t="s">
        <v>10440</v>
      </c>
      <c r="B362" t="s">
        <v>10440</v>
      </c>
      <c r="C362">
        <v>13774</v>
      </c>
      <c r="D362">
        <v>219396.13</v>
      </c>
      <c r="E362">
        <v>2497</v>
      </c>
      <c r="F362">
        <v>77269.539999999601</v>
      </c>
      <c r="G362">
        <v>16271</v>
      </c>
      <c r="H362">
        <v>296665.66999999958</v>
      </c>
      <c r="I362">
        <v>51985</v>
      </c>
      <c r="J362">
        <v>814456.15999999992</v>
      </c>
    </row>
    <row r="363" spans="1:10" x14ac:dyDescent="0.25">
      <c r="A363" t="s">
        <v>10440</v>
      </c>
      <c r="C363">
        <v>27548</v>
      </c>
      <c r="D363">
        <v>438792.26</v>
      </c>
      <c r="E363">
        <v>4994</v>
      </c>
      <c r="F363">
        <v>154539.0799999992</v>
      </c>
      <c r="G363">
        <v>32542</v>
      </c>
      <c r="H363">
        <v>593331.33999999939</v>
      </c>
      <c r="I363">
        <v>103970</v>
      </c>
      <c r="J363">
        <v>1628912.3199999998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9C12-5C0E-4B93-BAD1-8DDBBDB55E55}">
  <dimension ref="A1:N574"/>
  <sheetViews>
    <sheetView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1" sqref="A1:XFD2"/>
    </sheetView>
  </sheetViews>
  <sheetFormatPr defaultRowHeight="15" x14ac:dyDescent="0.25"/>
  <cols>
    <col min="1" max="3" width="20.85546875" customWidth="1"/>
    <col min="4" max="4" width="20.85546875" style="14" customWidth="1"/>
    <col min="5" max="5" width="20.85546875" customWidth="1"/>
    <col min="6" max="6" width="20.85546875" style="14" customWidth="1"/>
    <col min="7" max="7" width="20.85546875" style="10" customWidth="1"/>
    <col min="8" max="8" width="20.85546875" customWidth="1"/>
    <col min="9" max="9" width="20.85546875" style="14" customWidth="1"/>
    <col min="10" max="10" width="20.85546875" customWidth="1"/>
    <col min="11" max="11" width="20.85546875" style="14" customWidth="1"/>
    <col min="12" max="12" width="20.85546875" customWidth="1"/>
    <col min="13" max="13" width="20.85546875" style="14" customWidth="1"/>
    <col min="14" max="14" width="20.85546875" style="10" customWidth="1"/>
    <col min="15" max="15" width="22.42578125" customWidth="1"/>
  </cols>
  <sheetData>
    <row r="1" spans="1:14" x14ac:dyDescent="0.25">
      <c r="A1" s="5" t="s">
        <v>0</v>
      </c>
      <c r="B1" s="5" t="s">
        <v>10445</v>
      </c>
      <c r="C1" s="7" t="s">
        <v>10446</v>
      </c>
      <c r="D1" s="6" t="s">
        <v>10447</v>
      </c>
      <c r="E1" s="7" t="s">
        <v>10448</v>
      </c>
      <c r="F1" s="6" t="s">
        <v>10449</v>
      </c>
      <c r="G1" s="8" t="s">
        <v>10450</v>
      </c>
      <c r="H1" s="7" t="s">
        <v>10451</v>
      </c>
      <c r="I1" s="6" t="s">
        <v>10452</v>
      </c>
      <c r="J1" s="7" t="s">
        <v>10453</v>
      </c>
      <c r="K1" s="6" t="s">
        <v>10454</v>
      </c>
      <c r="L1" s="9" t="s">
        <v>10455</v>
      </c>
      <c r="M1" s="13" t="s">
        <v>10456</v>
      </c>
      <c r="N1" s="8" t="s">
        <v>10457</v>
      </c>
    </row>
    <row r="2" spans="1:14" x14ac:dyDescent="0.25">
      <c r="A2" s="16" t="s">
        <v>310</v>
      </c>
      <c r="B2" s="17" t="s">
        <v>311</v>
      </c>
      <c r="C2" s="16">
        <f>VLOOKUP(A2,v_2024!F:I,3,FALSE)</f>
        <v>486</v>
      </c>
      <c r="D2" s="18">
        <f>VLOOKUP(A2,v_2024!F:I,4,FALSE)</f>
        <v>6983.03</v>
      </c>
      <c r="E2" s="16">
        <f>VLOOKUP(A2,s_2024!E:G,2,FALSE)</f>
        <v>3</v>
      </c>
      <c r="F2" s="18">
        <f>VLOOKUP(A2,s_2024!E:G,3,FALSE)</f>
        <v>60.699999999999996</v>
      </c>
      <c r="G2" s="19">
        <f>F2/I2</f>
        <v>8.6175932354022652E-3</v>
      </c>
      <c r="H2" s="16">
        <f t="shared" ref="H2:I65" si="0">E2+C2</f>
        <v>489</v>
      </c>
      <c r="I2" s="18">
        <f t="shared" si="0"/>
        <v>7043.73</v>
      </c>
      <c r="J2" s="16">
        <f>VLOOKUP(A2,v_2023!F:I,3,FALSE)</f>
        <v>14</v>
      </c>
      <c r="K2" s="18">
        <f>VLOOKUP(A2,v_2023!F:I,4,FALSE)</f>
        <v>182.42</v>
      </c>
      <c r="L2" s="16">
        <f t="shared" ref="L2:M65" si="1">H2-J2</f>
        <v>475</v>
      </c>
      <c r="M2" s="14">
        <f t="shared" si="1"/>
        <v>6861.3099999999995</v>
      </c>
      <c r="N2" s="20">
        <f>M2/K2</f>
        <v>37.612706940028502</v>
      </c>
    </row>
    <row r="3" spans="1:14" x14ac:dyDescent="0.25">
      <c r="A3" s="16" t="s">
        <v>710</v>
      </c>
      <c r="B3" s="17" t="s">
        <v>711</v>
      </c>
      <c r="C3" s="16">
        <v>0</v>
      </c>
      <c r="D3" s="18">
        <v>0</v>
      </c>
      <c r="E3" s="16">
        <v>0</v>
      </c>
      <c r="F3" s="18">
        <v>0</v>
      </c>
      <c r="G3" s="19"/>
      <c r="H3" s="16">
        <f t="shared" si="0"/>
        <v>0</v>
      </c>
      <c r="I3" s="18">
        <f t="shared" si="0"/>
        <v>0</v>
      </c>
      <c r="J3" s="16">
        <v>0</v>
      </c>
      <c r="K3" s="18">
        <v>0</v>
      </c>
      <c r="L3" s="16">
        <f t="shared" si="1"/>
        <v>0</v>
      </c>
      <c r="M3" s="14">
        <f t="shared" si="1"/>
        <v>0</v>
      </c>
      <c r="N3" s="20"/>
    </row>
    <row r="4" spans="1:14" x14ac:dyDescent="0.25">
      <c r="A4" s="16" t="s">
        <v>490</v>
      </c>
      <c r="B4" s="17" t="s">
        <v>491</v>
      </c>
      <c r="C4" s="16">
        <f>VLOOKUP(A4,v_2024!F:I,3,FALSE)</f>
        <v>6</v>
      </c>
      <c r="D4" s="18">
        <f>VLOOKUP(A4,v_2024!F:I,4,FALSE)</f>
        <v>83.1</v>
      </c>
      <c r="E4" s="16">
        <v>0</v>
      </c>
      <c r="F4" s="18">
        <v>0</v>
      </c>
      <c r="G4" s="19">
        <f>F4/I4</f>
        <v>0</v>
      </c>
      <c r="H4" s="16">
        <f t="shared" si="0"/>
        <v>6</v>
      </c>
      <c r="I4" s="18">
        <f t="shared" si="0"/>
        <v>83.1</v>
      </c>
      <c r="J4" s="16">
        <f>VLOOKUP(A4,v_2023!F:I,3,FALSE)</f>
        <v>1</v>
      </c>
      <c r="K4" s="18">
        <f>VLOOKUP(A4,v_2023!F:I,4,FALSE)</f>
        <v>20.59</v>
      </c>
      <c r="L4" s="16">
        <f t="shared" si="1"/>
        <v>5</v>
      </c>
      <c r="M4" s="14">
        <f t="shared" si="1"/>
        <v>62.509999999999991</v>
      </c>
      <c r="N4" s="20">
        <f>M4/K4</f>
        <v>3.0359397765905776</v>
      </c>
    </row>
    <row r="5" spans="1:14" x14ac:dyDescent="0.25">
      <c r="A5" s="16" t="s">
        <v>494</v>
      </c>
      <c r="B5" s="17" t="s">
        <v>495</v>
      </c>
      <c r="C5" s="16">
        <v>0</v>
      </c>
      <c r="D5" s="18">
        <v>0</v>
      </c>
      <c r="E5" s="16">
        <v>0</v>
      </c>
      <c r="F5" s="18">
        <v>0</v>
      </c>
      <c r="G5" s="19"/>
      <c r="H5" s="16">
        <f t="shared" si="0"/>
        <v>0</v>
      </c>
      <c r="I5" s="18">
        <f t="shared" si="0"/>
        <v>0</v>
      </c>
      <c r="J5" s="16">
        <f>VLOOKUP(A5,v_2023!F:I,3,FALSE)</f>
        <v>1</v>
      </c>
      <c r="K5" s="18">
        <f>VLOOKUP(A5,v_2023!F:I,4,FALSE)</f>
        <v>19.690000000000001</v>
      </c>
      <c r="L5" s="16">
        <f t="shared" si="1"/>
        <v>-1</v>
      </c>
      <c r="M5" s="14">
        <f t="shared" si="1"/>
        <v>-19.690000000000001</v>
      </c>
      <c r="N5" s="20">
        <f>M5/K5</f>
        <v>-1</v>
      </c>
    </row>
    <row r="6" spans="1:14" x14ac:dyDescent="0.25">
      <c r="A6" s="16" t="s">
        <v>203</v>
      </c>
      <c r="B6" s="17" t="s">
        <v>204</v>
      </c>
      <c r="C6" s="16">
        <f>VLOOKUP(A6,v_2024!F:I,3,FALSE)</f>
        <v>36</v>
      </c>
      <c r="D6" s="18">
        <f>VLOOKUP(A6,v_2024!F:I,4,FALSE)</f>
        <v>211.74</v>
      </c>
      <c r="E6" s="16">
        <v>0</v>
      </c>
      <c r="F6" s="18">
        <v>0</v>
      </c>
      <c r="G6" s="19">
        <f>F6/I6</f>
        <v>0</v>
      </c>
      <c r="H6" s="16">
        <f t="shared" si="0"/>
        <v>36</v>
      </c>
      <c r="I6" s="18">
        <f t="shared" si="0"/>
        <v>211.74</v>
      </c>
      <c r="J6" s="16">
        <f>VLOOKUP(A6,v_2023!F:I,3,FALSE)</f>
        <v>109</v>
      </c>
      <c r="K6" s="18">
        <f>VLOOKUP(A6,v_2023!F:I,4,FALSE)</f>
        <v>755.85</v>
      </c>
      <c r="L6" s="16">
        <f t="shared" si="1"/>
        <v>-73</v>
      </c>
      <c r="M6" s="14">
        <f t="shared" si="1"/>
        <v>-544.11</v>
      </c>
      <c r="N6" s="20">
        <f>M6/K6</f>
        <v>-0.7198650525897996</v>
      </c>
    </row>
    <row r="7" spans="1:14" x14ac:dyDescent="0.25">
      <c r="A7" s="16" t="s">
        <v>394</v>
      </c>
      <c r="B7" s="17" t="s">
        <v>395</v>
      </c>
      <c r="C7" s="16">
        <f>VLOOKUP(A7,v_2024!F:I,3,FALSE)</f>
        <v>0</v>
      </c>
      <c r="D7" s="18">
        <f>VLOOKUP(A7,v_2024!F:I,4,FALSE)</f>
        <v>0</v>
      </c>
      <c r="E7" s="16">
        <v>0</v>
      </c>
      <c r="F7" s="18">
        <v>0</v>
      </c>
      <c r="G7" s="19"/>
      <c r="H7" s="16">
        <f t="shared" si="0"/>
        <v>0</v>
      </c>
      <c r="I7" s="18">
        <f t="shared" si="0"/>
        <v>0</v>
      </c>
      <c r="J7" s="16">
        <f>VLOOKUP(A7,v_2023!F:I,3,FALSE)</f>
        <v>9</v>
      </c>
      <c r="K7" s="18">
        <f>VLOOKUP(A7,v_2023!F:I,4,FALSE)</f>
        <v>71.489999999999995</v>
      </c>
      <c r="L7" s="16">
        <f t="shared" si="1"/>
        <v>-9</v>
      </c>
      <c r="M7" s="14">
        <f t="shared" si="1"/>
        <v>-71.489999999999995</v>
      </c>
      <c r="N7" s="20">
        <f>M7/K7</f>
        <v>-1</v>
      </c>
    </row>
    <row r="8" spans="1:14" x14ac:dyDescent="0.25">
      <c r="A8" s="16" t="s">
        <v>714</v>
      </c>
      <c r="B8" s="17" t="s">
        <v>715</v>
      </c>
      <c r="C8" s="16">
        <v>0</v>
      </c>
      <c r="D8" s="18">
        <v>0</v>
      </c>
      <c r="E8" s="16">
        <v>0</v>
      </c>
      <c r="F8" s="18">
        <v>0</v>
      </c>
      <c r="G8" s="19"/>
      <c r="H8" s="16">
        <f t="shared" si="0"/>
        <v>0</v>
      </c>
      <c r="I8" s="18">
        <f t="shared" si="0"/>
        <v>0</v>
      </c>
      <c r="J8" s="16">
        <v>0</v>
      </c>
      <c r="K8" s="18">
        <v>0</v>
      </c>
      <c r="L8" s="16">
        <f t="shared" si="1"/>
        <v>0</v>
      </c>
      <c r="M8" s="14">
        <f t="shared" si="1"/>
        <v>0</v>
      </c>
      <c r="N8" s="20"/>
    </row>
    <row r="9" spans="1:14" x14ac:dyDescent="0.25">
      <c r="A9" s="16" t="s">
        <v>262</v>
      </c>
      <c r="B9" s="17" t="s">
        <v>263</v>
      </c>
      <c r="C9" s="16">
        <f>VLOOKUP(A9,v_2024!F:I,3,FALSE)</f>
        <v>6</v>
      </c>
      <c r="D9" s="18">
        <f>VLOOKUP(A9,v_2024!F:I,4,FALSE)</f>
        <v>147.9</v>
      </c>
      <c r="E9" s="16">
        <v>0</v>
      </c>
      <c r="F9" s="18">
        <v>0</v>
      </c>
      <c r="G9" s="19">
        <f t="shared" ref="G9:G32" si="2">F9/I9</f>
        <v>0</v>
      </c>
      <c r="H9" s="16">
        <f t="shared" si="0"/>
        <v>6</v>
      </c>
      <c r="I9" s="18">
        <f t="shared" si="0"/>
        <v>147.9</v>
      </c>
      <c r="J9" s="16">
        <f>VLOOKUP(A9,v_2023!F:I,3,FALSE)</f>
        <v>20</v>
      </c>
      <c r="K9" s="18">
        <f>VLOOKUP(A9,v_2023!F:I,4,FALSE)</f>
        <v>325.83999999999997</v>
      </c>
      <c r="L9" s="16">
        <f t="shared" si="1"/>
        <v>-14</v>
      </c>
      <c r="M9" s="14">
        <f t="shared" si="1"/>
        <v>-177.93999999999997</v>
      </c>
      <c r="N9" s="20">
        <f>M9/K9</f>
        <v>-0.54609624355511899</v>
      </c>
    </row>
    <row r="10" spans="1:14" x14ac:dyDescent="0.25">
      <c r="A10" s="16" t="s">
        <v>79</v>
      </c>
      <c r="B10" s="17" t="s">
        <v>80</v>
      </c>
      <c r="C10" s="16">
        <f>VLOOKUP(A10,v_2024!F:I,3,FALSE)</f>
        <v>275</v>
      </c>
      <c r="D10" s="18">
        <f>VLOOKUP(A10,v_2024!F:I,4,FALSE)</f>
        <v>5023.29</v>
      </c>
      <c r="E10" s="16">
        <v>0</v>
      </c>
      <c r="F10" s="18">
        <v>0</v>
      </c>
      <c r="G10" s="19">
        <f t="shared" si="2"/>
        <v>0</v>
      </c>
      <c r="H10" s="16">
        <f t="shared" si="0"/>
        <v>275</v>
      </c>
      <c r="I10" s="18">
        <f t="shared" si="0"/>
        <v>5023.29</v>
      </c>
      <c r="J10" s="16">
        <f>VLOOKUP(A10,v_2023!F:I,3,FALSE)</f>
        <v>258</v>
      </c>
      <c r="K10" s="18">
        <f>VLOOKUP(A10,v_2023!F:I,4,FALSE)</f>
        <v>4379.4399999999996</v>
      </c>
      <c r="L10" s="16">
        <f t="shared" si="1"/>
        <v>17</v>
      </c>
      <c r="M10" s="14">
        <f t="shared" si="1"/>
        <v>643.85000000000036</v>
      </c>
      <c r="N10" s="20">
        <f>M10/K10</f>
        <v>0.14701651352684372</v>
      </c>
    </row>
    <row r="11" spans="1:14" x14ac:dyDescent="0.25">
      <c r="A11" s="16" t="s">
        <v>59</v>
      </c>
      <c r="B11" s="17" t="s">
        <v>60</v>
      </c>
      <c r="C11" s="16">
        <f>VLOOKUP(A11,v_2024!F:I,3,FALSE)</f>
        <v>1</v>
      </c>
      <c r="D11" s="18">
        <f>VLOOKUP(A11,v_2024!F:I,4,FALSE)</f>
        <v>20.41</v>
      </c>
      <c r="E11" s="16">
        <f>VLOOKUP(A11,s_2024!E:G,2,FALSE)</f>
        <v>48</v>
      </c>
      <c r="F11" s="18">
        <f>VLOOKUP(A11,s_2024!E:G,3,FALSE)</f>
        <v>1440.2000000000007</v>
      </c>
      <c r="G11" s="19">
        <f t="shared" si="2"/>
        <v>0.98602638623588768</v>
      </c>
      <c r="H11" s="16">
        <f t="shared" si="0"/>
        <v>49</v>
      </c>
      <c r="I11" s="18">
        <f t="shared" si="0"/>
        <v>1460.6100000000008</v>
      </c>
      <c r="J11" s="16">
        <f>VLOOKUP(A11,v_2023!F:I,3,FALSE)</f>
        <v>388</v>
      </c>
      <c r="K11" s="18">
        <f>VLOOKUP(A11,v_2023!F:I,4,FALSE)</f>
        <v>7919.08</v>
      </c>
      <c r="L11" s="16">
        <f t="shared" si="1"/>
        <v>-339</v>
      </c>
      <c r="M11" s="14">
        <f t="shared" si="1"/>
        <v>-6458.4699999999993</v>
      </c>
      <c r="N11" s="20">
        <f>M11/K11</f>
        <v>-0.81555812038772169</v>
      </c>
    </row>
    <row r="12" spans="1:14" x14ac:dyDescent="0.25">
      <c r="A12" s="16" t="s">
        <v>250</v>
      </c>
      <c r="B12" s="17" t="s">
        <v>251</v>
      </c>
      <c r="C12" s="16">
        <f>VLOOKUP(A12,v_2024!F:I,3,FALSE)</f>
        <v>2</v>
      </c>
      <c r="D12" s="18">
        <f>VLOOKUP(A12,v_2024!F:I,4,FALSE)</f>
        <v>98.08</v>
      </c>
      <c r="E12" s="16">
        <v>0</v>
      </c>
      <c r="F12" s="18">
        <v>0</v>
      </c>
      <c r="G12" s="19">
        <f t="shared" si="2"/>
        <v>0</v>
      </c>
      <c r="H12" s="16">
        <f t="shared" si="0"/>
        <v>2</v>
      </c>
      <c r="I12" s="18">
        <f t="shared" si="0"/>
        <v>98.08</v>
      </c>
      <c r="J12" s="16">
        <f>VLOOKUP(A12,v_2023!F:I,3,FALSE)</f>
        <v>7</v>
      </c>
      <c r="K12" s="18">
        <f>VLOOKUP(A12,v_2023!F:I,4,FALSE)</f>
        <v>364.33</v>
      </c>
      <c r="L12" s="16">
        <f t="shared" si="1"/>
        <v>-5</v>
      </c>
      <c r="M12" s="14">
        <f t="shared" si="1"/>
        <v>-266.25</v>
      </c>
      <c r="N12" s="20">
        <f>M12/K12</f>
        <v>-0.73079351137704829</v>
      </c>
    </row>
    <row r="13" spans="1:14" x14ac:dyDescent="0.25">
      <c r="A13" s="16" t="s">
        <v>704</v>
      </c>
      <c r="B13" s="17" t="s">
        <v>705</v>
      </c>
      <c r="C13" s="16">
        <f>VLOOKUP(A13,v_2024!F:I,3,FALSE)</f>
        <v>1</v>
      </c>
      <c r="D13" s="18">
        <f>VLOOKUP(A13,v_2024!F:I,4,FALSE)</f>
        <v>7.43</v>
      </c>
      <c r="E13" s="16">
        <v>0</v>
      </c>
      <c r="F13" s="18">
        <v>0</v>
      </c>
      <c r="G13" s="19">
        <f t="shared" si="2"/>
        <v>0</v>
      </c>
      <c r="H13" s="16">
        <f t="shared" si="0"/>
        <v>1</v>
      </c>
      <c r="I13" s="18">
        <f t="shared" si="0"/>
        <v>7.43</v>
      </c>
      <c r="J13" s="16">
        <v>0</v>
      </c>
      <c r="K13" s="18">
        <v>0</v>
      </c>
      <c r="L13" s="16">
        <f t="shared" si="1"/>
        <v>1</v>
      </c>
      <c r="M13" s="14">
        <f t="shared" si="1"/>
        <v>7.43</v>
      </c>
      <c r="N13" s="20"/>
    </row>
    <row r="14" spans="1:14" x14ac:dyDescent="0.25">
      <c r="A14" s="16" t="s">
        <v>702</v>
      </c>
      <c r="B14" s="17" t="s">
        <v>703</v>
      </c>
      <c r="C14" s="16">
        <f>VLOOKUP(A14,v_2024!F:I,3,FALSE)</f>
        <v>2</v>
      </c>
      <c r="D14" s="18">
        <f>VLOOKUP(A14,v_2024!F:I,4,FALSE)</f>
        <v>12.96</v>
      </c>
      <c r="E14" s="16">
        <v>0</v>
      </c>
      <c r="F14" s="18">
        <v>0</v>
      </c>
      <c r="G14" s="19">
        <f t="shared" si="2"/>
        <v>0</v>
      </c>
      <c r="H14" s="16">
        <f t="shared" si="0"/>
        <v>2</v>
      </c>
      <c r="I14" s="18">
        <f t="shared" si="0"/>
        <v>12.96</v>
      </c>
      <c r="J14" s="16">
        <v>0</v>
      </c>
      <c r="K14" s="18">
        <v>0</v>
      </c>
      <c r="L14" s="16">
        <f t="shared" si="1"/>
        <v>2</v>
      </c>
      <c r="M14" s="14">
        <f t="shared" si="1"/>
        <v>12.96</v>
      </c>
      <c r="N14" s="20"/>
    </row>
    <row r="15" spans="1:14" x14ac:dyDescent="0.25">
      <c r="A15" s="16" t="s">
        <v>102</v>
      </c>
      <c r="B15" s="17" t="s">
        <v>103</v>
      </c>
      <c r="C15" s="16">
        <f>VLOOKUP(A15,v_2024!F:I,3,FALSE)</f>
        <v>19</v>
      </c>
      <c r="D15" s="18">
        <f>VLOOKUP(A15,v_2024!F:I,4,FALSE)</f>
        <v>686.19</v>
      </c>
      <c r="E15" s="16">
        <v>0</v>
      </c>
      <c r="F15" s="18">
        <v>0</v>
      </c>
      <c r="G15" s="19">
        <f t="shared" si="2"/>
        <v>0</v>
      </c>
      <c r="H15" s="16">
        <f t="shared" si="0"/>
        <v>19</v>
      </c>
      <c r="I15" s="18">
        <f t="shared" si="0"/>
        <v>686.19</v>
      </c>
      <c r="J15" s="16">
        <f>VLOOKUP(A15,v_2023!F:I,3,FALSE)</f>
        <v>99</v>
      </c>
      <c r="K15" s="18">
        <f>VLOOKUP(A15,v_2023!F:I,4,FALSE)</f>
        <v>2832.39</v>
      </c>
      <c r="L15" s="16">
        <f t="shared" si="1"/>
        <v>-80</v>
      </c>
      <c r="M15" s="14">
        <f t="shared" si="1"/>
        <v>-2146.1999999999998</v>
      </c>
      <c r="N15" s="20">
        <f>M15/K15</f>
        <v>-0.75773463400167351</v>
      </c>
    </row>
    <row r="16" spans="1:14" x14ac:dyDescent="0.25">
      <c r="A16" s="16" t="s">
        <v>19</v>
      </c>
      <c r="B16" s="17" t="s">
        <v>20</v>
      </c>
      <c r="C16" s="16">
        <f>VLOOKUP(A16,v_2024!F:I,3,FALSE)</f>
        <v>15</v>
      </c>
      <c r="D16" s="18">
        <f>VLOOKUP(A16,v_2024!F:I,4,FALSE)</f>
        <v>209.45</v>
      </c>
      <c r="E16" s="16">
        <v>0</v>
      </c>
      <c r="F16" s="18">
        <v>0</v>
      </c>
      <c r="G16" s="19">
        <f t="shared" si="2"/>
        <v>0</v>
      </c>
      <c r="H16" s="16">
        <f t="shared" si="0"/>
        <v>15</v>
      </c>
      <c r="I16" s="18">
        <f t="shared" si="0"/>
        <v>209.45</v>
      </c>
      <c r="J16" s="16">
        <f>VLOOKUP(A16,v_2023!F:I,3,FALSE)</f>
        <v>1487</v>
      </c>
      <c r="K16" s="18">
        <f>VLOOKUP(A16,v_2023!F:I,4,FALSE)</f>
        <v>19352.55</v>
      </c>
      <c r="L16" s="16">
        <f t="shared" si="1"/>
        <v>-1472</v>
      </c>
      <c r="M16" s="14">
        <f t="shared" si="1"/>
        <v>-19143.099999999999</v>
      </c>
      <c r="N16" s="20">
        <f>M16/K16</f>
        <v>-0.98917713686310071</v>
      </c>
    </row>
    <row r="17" spans="1:14" x14ac:dyDescent="0.25">
      <c r="A17" s="16" t="s">
        <v>700</v>
      </c>
      <c r="B17" s="17" t="s">
        <v>701</v>
      </c>
      <c r="C17" s="16">
        <f>VLOOKUP(A17,v_2024!F:I,3,FALSE)</f>
        <v>1</v>
      </c>
      <c r="D17" s="18">
        <f>VLOOKUP(A17,v_2024!F:I,4,FALSE)</f>
        <v>15.05</v>
      </c>
      <c r="E17" s="16">
        <v>0</v>
      </c>
      <c r="F17" s="18">
        <v>0</v>
      </c>
      <c r="G17" s="19">
        <f t="shared" si="2"/>
        <v>0</v>
      </c>
      <c r="H17" s="16">
        <f t="shared" si="0"/>
        <v>1</v>
      </c>
      <c r="I17" s="18">
        <f t="shared" si="0"/>
        <v>15.05</v>
      </c>
      <c r="J17" s="16">
        <v>0</v>
      </c>
      <c r="K17" s="18">
        <v>0</v>
      </c>
      <c r="L17" s="16">
        <f t="shared" si="1"/>
        <v>1</v>
      </c>
      <c r="M17" s="14">
        <f t="shared" si="1"/>
        <v>15.05</v>
      </c>
      <c r="N17" s="20"/>
    </row>
    <row r="18" spans="1:14" x14ac:dyDescent="0.25">
      <c r="A18" s="16" t="s">
        <v>692</v>
      </c>
      <c r="B18" s="17" t="s">
        <v>693</v>
      </c>
      <c r="C18" s="16">
        <v>0</v>
      </c>
      <c r="D18" s="18">
        <v>0</v>
      </c>
      <c r="E18" s="16">
        <v>0</v>
      </c>
      <c r="F18" s="18">
        <v>0</v>
      </c>
      <c r="G18" s="19"/>
      <c r="H18" s="16">
        <f t="shared" si="0"/>
        <v>0</v>
      </c>
      <c r="I18" s="18">
        <f t="shared" si="0"/>
        <v>0</v>
      </c>
      <c r="J18" s="16">
        <v>0</v>
      </c>
      <c r="K18" s="18">
        <v>0</v>
      </c>
      <c r="L18" s="16">
        <f t="shared" si="1"/>
        <v>0</v>
      </c>
      <c r="M18" s="14">
        <f t="shared" si="1"/>
        <v>0</v>
      </c>
      <c r="N18" s="20"/>
    </row>
    <row r="19" spans="1:14" x14ac:dyDescent="0.25">
      <c r="A19" s="16" t="s">
        <v>694</v>
      </c>
      <c r="B19" s="17" t="s">
        <v>695</v>
      </c>
      <c r="C19" s="16">
        <f>VLOOKUP(A19,v_2024!F:I,3,FALSE)</f>
        <v>0</v>
      </c>
      <c r="D19" s="18">
        <f>VLOOKUP(A19,v_2024!F:I,4,FALSE)</f>
        <v>0</v>
      </c>
      <c r="E19" s="16">
        <v>0</v>
      </c>
      <c r="F19" s="18">
        <v>0</v>
      </c>
      <c r="G19" s="19"/>
      <c r="H19" s="16">
        <f t="shared" si="0"/>
        <v>0</v>
      </c>
      <c r="I19" s="18">
        <f t="shared" si="0"/>
        <v>0</v>
      </c>
      <c r="J19" s="16">
        <v>0</v>
      </c>
      <c r="K19" s="18">
        <v>0</v>
      </c>
      <c r="L19" s="16">
        <f t="shared" si="1"/>
        <v>0</v>
      </c>
      <c r="M19" s="14">
        <f t="shared" si="1"/>
        <v>0</v>
      </c>
      <c r="N19" s="20"/>
    </row>
    <row r="20" spans="1:14" x14ac:dyDescent="0.25">
      <c r="A20" s="16" t="s">
        <v>142</v>
      </c>
      <c r="B20" s="17" t="s">
        <v>143</v>
      </c>
      <c r="C20" s="16">
        <v>0</v>
      </c>
      <c r="D20" s="18">
        <v>0</v>
      </c>
      <c r="E20" s="16">
        <v>0</v>
      </c>
      <c r="F20" s="18">
        <v>0</v>
      </c>
      <c r="G20" s="19"/>
      <c r="H20" s="16">
        <f t="shared" si="0"/>
        <v>0</v>
      </c>
      <c r="I20" s="18">
        <f t="shared" si="0"/>
        <v>0</v>
      </c>
      <c r="J20" s="16">
        <v>0</v>
      </c>
      <c r="K20" s="18">
        <v>0</v>
      </c>
      <c r="L20" s="16">
        <f t="shared" si="1"/>
        <v>0</v>
      </c>
      <c r="M20" s="14">
        <f t="shared" si="1"/>
        <v>0</v>
      </c>
      <c r="N20" s="20"/>
    </row>
    <row r="21" spans="1:14" x14ac:dyDescent="0.25">
      <c r="A21" s="16" t="s">
        <v>320</v>
      </c>
      <c r="B21" s="17" t="s">
        <v>321</v>
      </c>
      <c r="C21" s="16">
        <v>0</v>
      </c>
      <c r="D21" s="18">
        <v>0</v>
      </c>
      <c r="E21" s="16">
        <f>VLOOKUP(A21,s_2024!E:G,2,FALSE)</f>
        <v>6</v>
      </c>
      <c r="F21" s="18">
        <f>VLOOKUP(A21,s_2024!E:G,3,FALSE)</f>
        <v>281.39999999999998</v>
      </c>
      <c r="G21" s="19">
        <f t="shared" si="2"/>
        <v>1</v>
      </c>
      <c r="H21" s="16">
        <f t="shared" si="0"/>
        <v>6</v>
      </c>
      <c r="I21" s="18">
        <f t="shared" si="0"/>
        <v>281.39999999999998</v>
      </c>
      <c r="J21" s="16">
        <v>0</v>
      </c>
      <c r="K21" s="18">
        <v>0</v>
      </c>
      <c r="L21" s="16">
        <f t="shared" si="1"/>
        <v>6</v>
      </c>
      <c r="M21" s="14">
        <f t="shared" si="1"/>
        <v>281.39999999999998</v>
      </c>
      <c r="N21" s="20"/>
    </row>
    <row r="22" spans="1:14" x14ac:dyDescent="0.25">
      <c r="A22" s="16" t="s">
        <v>205</v>
      </c>
      <c r="B22" s="17" t="s">
        <v>206</v>
      </c>
      <c r="C22" s="16">
        <f>VLOOKUP(A22,v_2024!F:I,3,FALSE)</f>
        <v>1</v>
      </c>
      <c r="D22" s="18">
        <f>VLOOKUP(A22,v_2024!F:I,4,FALSE)</f>
        <v>86.86</v>
      </c>
      <c r="E22" s="16">
        <v>0</v>
      </c>
      <c r="F22" s="18">
        <v>0</v>
      </c>
      <c r="G22" s="19">
        <f t="shared" si="2"/>
        <v>0</v>
      </c>
      <c r="H22" s="16">
        <f t="shared" si="0"/>
        <v>1</v>
      </c>
      <c r="I22" s="18">
        <f t="shared" si="0"/>
        <v>86.86</v>
      </c>
      <c r="J22" s="16">
        <f>VLOOKUP(A22,v_2023!F:I,3,FALSE)</f>
        <v>3</v>
      </c>
      <c r="K22" s="18">
        <f>VLOOKUP(A22,v_2023!F:I,4,FALSE)</f>
        <v>238.42</v>
      </c>
      <c r="L22" s="16">
        <f t="shared" si="1"/>
        <v>-2</v>
      </c>
      <c r="M22" s="14">
        <f t="shared" si="1"/>
        <v>-151.56</v>
      </c>
      <c r="N22" s="20">
        <f t="shared" ref="N22:N29" si="3">M22/K22</f>
        <v>-0.63568492576126168</v>
      </c>
    </row>
    <row r="23" spans="1:14" x14ac:dyDescent="0.25">
      <c r="A23" s="16" t="s">
        <v>432</v>
      </c>
      <c r="B23" s="17" t="s">
        <v>433</v>
      </c>
      <c r="C23" s="16">
        <f>VLOOKUP(A23,v_2024!F:I,3,FALSE)</f>
        <v>2</v>
      </c>
      <c r="D23" s="18">
        <f>VLOOKUP(A23,v_2024!F:I,4,FALSE)</f>
        <v>7.25</v>
      </c>
      <c r="E23" s="16">
        <v>0</v>
      </c>
      <c r="F23" s="18">
        <v>0</v>
      </c>
      <c r="G23" s="19">
        <f t="shared" si="2"/>
        <v>0</v>
      </c>
      <c r="H23" s="16">
        <f t="shared" si="0"/>
        <v>2</v>
      </c>
      <c r="I23" s="18">
        <f t="shared" si="0"/>
        <v>7.25</v>
      </c>
      <c r="J23" s="16">
        <f>VLOOKUP(A23,v_2023!F:I,3,FALSE)</f>
        <v>13</v>
      </c>
      <c r="K23" s="18">
        <f>VLOOKUP(A23,v_2023!F:I,4,FALSE)</f>
        <v>44.07</v>
      </c>
      <c r="L23" s="16">
        <f t="shared" si="1"/>
        <v>-11</v>
      </c>
      <c r="M23" s="14">
        <f t="shared" si="1"/>
        <v>-36.82</v>
      </c>
      <c r="N23" s="20">
        <f t="shared" si="3"/>
        <v>-0.83548899478103023</v>
      </c>
    </row>
    <row r="24" spans="1:14" x14ac:dyDescent="0.25">
      <c r="A24" s="16" t="s">
        <v>12</v>
      </c>
      <c r="B24" s="17" t="s">
        <v>13</v>
      </c>
      <c r="C24" s="16">
        <f>VLOOKUP(A24,v_2024!F:I,3,FALSE)</f>
        <v>14</v>
      </c>
      <c r="D24" s="18">
        <f>VLOOKUP(A24,v_2024!F:I,4,FALSE)</f>
        <v>260.2</v>
      </c>
      <c r="E24" s="16">
        <f>VLOOKUP(A24,s_2024!E:G,2,FALSE)</f>
        <v>534</v>
      </c>
      <c r="F24" s="18">
        <f>VLOOKUP(A24,s_2024!E:G,3,FALSE)</f>
        <v>10674.529999999895</v>
      </c>
      <c r="G24" s="19">
        <f t="shared" si="2"/>
        <v>0.97620425927297672</v>
      </c>
      <c r="H24" s="16">
        <f t="shared" si="0"/>
        <v>548</v>
      </c>
      <c r="I24" s="18">
        <f t="shared" si="0"/>
        <v>10934.729999999896</v>
      </c>
      <c r="J24" s="16">
        <f>VLOOKUP(A24,v_2023!F:I,3,FALSE)</f>
        <v>2922</v>
      </c>
      <c r="K24" s="18">
        <f>VLOOKUP(A24,v_2023!F:I,4,FALSE)</f>
        <v>34319.58</v>
      </c>
      <c r="L24" s="16">
        <f t="shared" si="1"/>
        <v>-2374</v>
      </c>
      <c r="M24" s="14">
        <f t="shared" si="1"/>
        <v>-23384.850000000108</v>
      </c>
      <c r="N24" s="20">
        <f t="shared" si="3"/>
        <v>-0.68138508688043697</v>
      </c>
    </row>
    <row r="25" spans="1:14" x14ac:dyDescent="0.25">
      <c r="A25" s="16" t="s">
        <v>446</v>
      </c>
      <c r="B25" s="17" t="s">
        <v>447</v>
      </c>
      <c r="C25" s="16">
        <f>VLOOKUP(A25,v_2024!F:I,3,FALSE)</f>
        <v>14</v>
      </c>
      <c r="D25" s="18">
        <f>VLOOKUP(A25,v_2024!F:I,4,FALSE)</f>
        <v>58.41</v>
      </c>
      <c r="E25" s="16">
        <v>0</v>
      </c>
      <c r="F25" s="18">
        <v>0</v>
      </c>
      <c r="G25" s="19">
        <f t="shared" si="2"/>
        <v>0</v>
      </c>
      <c r="H25" s="16">
        <f t="shared" si="0"/>
        <v>14</v>
      </c>
      <c r="I25" s="18">
        <f t="shared" si="0"/>
        <v>58.41</v>
      </c>
      <c r="J25" s="16">
        <f>VLOOKUP(A25,v_2023!F:I,3,FALSE)</f>
        <v>9</v>
      </c>
      <c r="K25" s="18">
        <f>VLOOKUP(A25,v_2023!F:I,4,FALSE)</f>
        <v>37.22</v>
      </c>
      <c r="L25" s="16">
        <f t="shared" si="1"/>
        <v>5</v>
      </c>
      <c r="M25" s="14">
        <f t="shared" si="1"/>
        <v>21.189999999999998</v>
      </c>
      <c r="N25" s="20">
        <f t="shared" si="3"/>
        <v>0.56931757119828041</v>
      </c>
    </row>
    <row r="26" spans="1:14" x14ac:dyDescent="0.25">
      <c r="A26" s="16" t="s">
        <v>436</v>
      </c>
      <c r="B26" s="17" t="s">
        <v>437</v>
      </c>
      <c r="C26" s="16">
        <v>0</v>
      </c>
      <c r="D26" s="18">
        <v>0</v>
      </c>
      <c r="E26" s="16">
        <v>0</v>
      </c>
      <c r="F26" s="18">
        <v>0</v>
      </c>
      <c r="G26" s="19"/>
      <c r="H26" s="16">
        <f t="shared" si="0"/>
        <v>0</v>
      </c>
      <c r="I26" s="18">
        <f t="shared" si="0"/>
        <v>0</v>
      </c>
      <c r="J26" s="16">
        <f>VLOOKUP(A26,v_2023!F:I,3,FALSE)</f>
        <v>7</v>
      </c>
      <c r="K26" s="18">
        <f>VLOOKUP(A26,v_2023!F:I,4,FALSE)</f>
        <v>42.76</v>
      </c>
      <c r="L26" s="16">
        <f t="shared" si="1"/>
        <v>-7</v>
      </c>
      <c r="M26" s="14">
        <f t="shared" si="1"/>
        <v>-42.76</v>
      </c>
      <c r="N26" s="20">
        <f t="shared" si="3"/>
        <v>-1</v>
      </c>
    </row>
    <row r="27" spans="1:14" x14ac:dyDescent="0.25">
      <c r="A27" s="16" t="s">
        <v>26</v>
      </c>
      <c r="B27" s="17" t="s">
        <v>27</v>
      </c>
      <c r="C27" s="16">
        <f>VLOOKUP(A27,v_2024!F:I,3,FALSE)</f>
        <v>1</v>
      </c>
      <c r="D27" s="18">
        <f>VLOOKUP(A27,v_2024!F:I,4,FALSE)</f>
        <v>35.32</v>
      </c>
      <c r="E27" s="16">
        <f>VLOOKUP(A27,s_2024!E:G,2,FALSE)</f>
        <v>317</v>
      </c>
      <c r="F27" s="18">
        <f>VLOOKUP(A27,s_2024!E:G,3,FALSE)</f>
        <v>11062.429999999938</v>
      </c>
      <c r="G27" s="19">
        <f t="shared" si="2"/>
        <v>0.99681737289090133</v>
      </c>
      <c r="H27" s="16">
        <f t="shared" si="0"/>
        <v>318</v>
      </c>
      <c r="I27" s="18">
        <f t="shared" si="0"/>
        <v>11097.749999999938</v>
      </c>
      <c r="J27" s="16">
        <f>VLOOKUP(A27,v_2023!F:I,3,FALSE)</f>
        <v>597</v>
      </c>
      <c r="K27" s="18">
        <f>VLOOKUP(A27,v_2023!F:I,4,FALSE)</f>
        <v>17144.47</v>
      </c>
      <c r="L27" s="16">
        <f t="shared" si="1"/>
        <v>-279</v>
      </c>
      <c r="M27" s="14">
        <f t="shared" si="1"/>
        <v>-6046.720000000063</v>
      </c>
      <c r="N27" s="20">
        <f t="shared" si="3"/>
        <v>-0.35269215088014166</v>
      </c>
    </row>
    <row r="28" spans="1:14" x14ac:dyDescent="0.25">
      <c r="A28" s="16" t="s">
        <v>156</v>
      </c>
      <c r="B28" s="17" t="s">
        <v>157</v>
      </c>
      <c r="C28" s="16">
        <f>VLOOKUP(A28,v_2024!F:I,3,FALSE)</f>
        <v>37</v>
      </c>
      <c r="D28" s="18">
        <f>VLOOKUP(A28,v_2024!F:I,4,FALSE)</f>
        <v>755.17</v>
      </c>
      <c r="E28" s="16">
        <v>0</v>
      </c>
      <c r="F28" s="18">
        <v>0</v>
      </c>
      <c r="G28" s="19">
        <f t="shared" si="2"/>
        <v>0</v>
      </c>
      <c r="H28" s="16">
        <f t="shared" si="0"/>
        <v>37</v>
      </c>
      <c r="I28" s="18">
        <f t="shared" si="0"/>
        <v>755.17</v>
      </c>
      <c r="J28" s="16">
        <f>VLOOKUP(A28,v_2023!F:I,3,FALSE)</f>
        <v>60</v>
      </c>
      <c r="K28" s="18">
        <f>VLOOKUP(A28,v_2023!F:I,4,FALSE)</f>
        <v>1297.24</v>
      </c>
      <c r="L28" s="16">
        <f t="shared" si="1"/>
        <v>-23</v>
      </c>
      <c r="M28" s="14">
        <f t="shared" si="1"/>
        <v>-542.07000000000005</v>
      </c>
      <c r="N28" s="20">
        <f t="shared" si="3"/>
        <v>-0.41786408066356268</v>
      </c>
    </row>
    <row r="29" spans="1:14" x14ac:dyDescent="0.25">
      <c r="A29" s="16" t="s">
        <v>61</v>
      </c>
      <c r="B29" s="17" t="s">
        <v>62</v>
      </c>
      <c r="C29" s="16">
        <f>VLOOKUP(A29,v_2024!F:I,3,FALSE)</f>
        <v>0</v>
      </c>
      <c r="D29" s="18">
        <f>VLOOKUP(A29,v_2024!F:I,4,FALSE)</f>
        <v>0</v>
      </c>
      <c r="E29" s="16">
        <f>VLOOKUP(A29,s_2024!E:G,2,FALSE)</f>
        <v>8</v>
      </c>
      <c r="F29" s="18">
        <f>VLOOKUP(A29,s_2024!E:G,3,FALSE)</f>
        <v>432.79999999999995</v>
      </c>
      <c r="G29" s="19">
        <f t="shared" si="2"/>
        <v>1</v>
      </c>
      <c r="H29" s="16">
        <f t="shared" si="0"/>
        <v>8</v>
      </c>
      <c r="I29" s="18">
        <f t="shared" si="0"/>
        <v>432.79999999999995</v>
      </c>
      <c r="J29" s="16">
        <f>VLOOKUP(A29,v_2023!F:I,3,FALSE)</f>
        <v>266</v>
      </c>
      <c r="K29" s="18">
        <f>VLOOKUP(A29,v_2023!F:I,4,FALSE)</f>
        <v>7610.26</v>
      </c>
      <c r="L29" s="16">
        <f t="shared" si="1"/>
        <v>-258</v>
      </c>
      <c r="M29" s="14">
        <f t="shared" si="1"/>
        <v>-7177.46</v>
      </c>
      <c r="N29" s="20">
        <f t="shared" si="3"/>
        <v>-0.94312940687965985</v>
      </c>
    </row>
    <row r="30" spans="1:14" x14ac:dyDescent="0.25">
      <c r="A30" s="16" t="s">
        <v>684</v>
      </c>
      <c r="B30" s="17" t="s">
        <v>685</v>
      </c>
      <c r="C30" s="16">
        <v>0</v>
      </c>
      <c r="D30" s="18">
        <v>0</v>
      </c>
      <c r="E30" s="16">
        <v>0</v>
      </c>
      <c r="F30" s="18">
        <v>0</v>
      </c>
      <c r="G30" s="19"/>
      <c r="H30" s="16">
        <f t="shared" si="0"/>
        <v>0</v>
      </c>
      <c r="I30" s="18">
        <f t="shared" si="0"/>
        <v>0</v>
      </c>
      <c r="J30" s="16">
        <v>0</v>
      </c>
      <c r="K30" s="18">
        <v>0</v>
      </c>
      <c r="L30" s="16">
        <f t="shared" si="1"/>
        <v>0</v>
      </c>
      <c r="M30" s="14">
        <f t="shared" si="1"/>
        <v>0</v>
      </c>
      <c r="N30" s="20"/>
    </row>
    <row r="31" spans="1:14" x14ac:dyDescent="0.25">
      <c r="A31" s="16" t="s">
        <v>360</v>
      </c>
      <c r="B31" s="17" t="s">
        <v>361</v>
      </c>
      <c r="C31" s="16">
        <f>VLOOKUP(A31,v_2024!F:I,3,FALSE)</f>
        <v>2</v>
      </c>
      <c r="D31" s="18">
        <f>VLOOKUP(A31,v_2024!F:I,4,FALSE)</f>
        <v>27.28</v>
      </c>
      <c r="E31" s="16">
        <v>0</v>
      </c>
      <c r="F31" s="18">
        <v>0</v>
      </c>
      <c r="G31" s="19">
        <f t="shared" si="2"/>
        <v>0</v>
      </c>
      <c r="H31" s="16">
        <f t="shared" si="0"/>
        <v>2</v>
      </c>
      <c r="I31" s="18">
        <f t="shared" si="0"/>
        <v>27.28</v>
      </c>
      <c r="J31" s="16">
        <f>VLOOKUP(A31,v_2023!F:I,3,FALSE)</f>
        <v>8</v>
      </c>
      <c r="K31" s="18">
        <f>VLOOKUP(A31,v_2023!F:I,4,FALSE)</f>
        <v>100.16</v>
      </c>
      <c r="L31" s="16">
        <f t="shared" si="1"/>
        <v>-6</v>
      </c>
      <c r="M31" s="14">
        <f t="shared" si="1"/>
        <v>-72.88</v>
      </c>
      <c r="N31" s="20">
        <f>M31/K31</f>
        <v>-0.72763578274760377</v>
      </c>
    </row>
    <row r="32" spans="1:14" x14ac:dyDescent="0.25">
      <c r="A32" s="16" t="s">
        <v>424</v>
      </c>
      <c r="B32" s="17" t="s">
        <v>425</v>
      </c>
      <c r="C32" s="16">
        <f>VLOOKUP(A32,v_2024!F:I,3,FALSE)</f>
        <v>2</v>
      </c>
      <c r="D32" s="18">
        <f>VLOOKUP(A32,v_2024!F:I,4,FALSE)</f>
        <v>31.65</v>
      </c>
      <c r="E32" s="16">
        <v>0</v>
      </c>
      <c r="F32" s="18">
        <v>0</v>
      </c>
      <c r="G32" s="19">
        <f t="shared" si="2"/>
        <v>0</v>
      </c>
      <c r="H32" s="16">
        <f t="shared" si="0"/>
        <v>2</v>
      </c>
      <c r="I32" s="18">
        <f t="shared" si="0"/>
        <v>31.65</v>
      </c>
      <c r="J32" s="16">
        <f>VLOOKUP(A32,v_2023!F:I,3,FALSE)</f>
        <v>3</v>
      </c>
      <c r="K32" s="18">
        <f>VLOOKUP(A32,v_2023!F:I,4,FALSE)</f>
        <v>48.93</v>
      </c>
      <c r="L32" s="16">
        <f t="shared" si="1"/>
        <v>-1</v>
      </c>
      <c r="M32" s="14">
        <f t="shared" si="1"/>
        <v>-17.28</v>
      </c>
      <c r="N32" s="20">
        <f>M32/K32</f>
        <v>-0.35315757204169224</v>
      </c>
    </row>
    <row r="33" spans="1:14" x14ac:dyDescent="0.25">
      <c r="A33" s="16" t="s">
        <v>434</v>
      </c>
      <c r="B33" s="17" t="s">
        <v>435</v>
      </c>
      <c r="C33" s="16">
        <f>VLOOKUP(A33,v_2024!F:I,3,FALSE)</f>
        <v>0</v>
      </c>
      <c r="D33" s="18">
        <f>VLOOKUP(A33,v_2024!F:I,4,FALSE)</f>
        <v>0</v>
      </c>
      <c r="E33" s="16">
        <v>0</v>
      </c>
      <c r="F33" s="18">
        <v>0</v>
      </c>
      <c r="G33" s="19"/>
      <c r="H33" s="16">
        <f t="shared" si="0"/>
        <v>0</v>
      </c>
      <c r="I33" s="18">
        <f t="shared" si="0"/>
        <v>0</v>
      </c>
      <c r="J33" s="16">
        <f>VLOOKUP(A33,v_2023!F:I,3,FALSE)</f>
        <v>1</v>
      </c>
      <c r="K33" s="18">
        <f>VLOOKUP(A33,v_2023!F:I,4,FALSE)</f>
        <v>6.89</v>
      </c>
      <c r="L33" s="16">
        <f t="shared" si="1"/>
        <v>-1</v>
      </c>
      <c r="M33" s="14">
        <f t="shared" si="1"/>
        <v>-6.89</v>
      </c>
      <c r="N33" s="20">
        <f>M33/K33</f>
        <v>-1</v>
      </c>
    </row>
    <row r="34" spans="1:14" x14ac:dyDescent="0.25">
      <c r="A34" s="16" t="s">
        <v>564</v>
      </c>
      <c r="B34" s="17" t="s">
        <v>565</v>
      </c>
      <c r="C34" s="16">
        <v>0</v>
      </c>
      <c r="D34" s="18">
        <v>0</v>
      </c>
      <c r="E34" s="16">
        <v>0</v>
      </c>
      <c r="F34" s="18">
        <v>0</v>
      </c>
      <c r="G34" s="19"/>
      <c r="H34" s="16">
        <f t="shared" si="0"/>
        <v>0</v>
      </c>
      <c r="I34" s="18">
        <f t="shared" si="0"/>
        <v>0</v>
      </c>
      <c r="J34" s="16">
        <v>0</v>
      </c>
      <c r="K34" s="18">
        <v>0</v>
      </c>
      <c r="L34" s="16">
        <f t="shared" si="1"/>
        <v>0</v>
      </c>
      <c r="M34" s="14">
        <f t="shared" si="1"/>
        <v>0</v>
      </c>
      <c r="N34" s="20"/>
    </row>
    <row r="35" spans="1:14" x14ac:dyDescent="0.25">
      <c r="A35" s="16" t="s">
        <v>728</v>
      </c>
      <c r="B35" s="17" t="s">
        <v>729</v>
      </c>
      <c r="C35" s="16">
        <f>VLOOKUP(A35,v_2024!F:I,3,FALSE)</f>
        <v>0</v>
      </c>
      <c r="D35" s="18">
        <f>VLOOKUP(A35,v_2024!F:I,4,FALSE)</f>
        <v>0</v>
      </c>
      <c r="E35" s="16">
        <v>0</v>
      </c>
      <c r="F35" s="18">
        <v>0</v>
      </c>
      <c r="G35" s="19"/>
      <c r="H35" s="16">
        <f t="shared" si="0"/>
        <v>0</v>
      </c>
      <c r="I35" s="18">
        <f t="shared" si="0"/>
        <v>0</v>
      </c>
      <c r="J35" s="16">
        <v>0</v>
      </c>
      <c r="K35" s="18">
        <v>0</v>
      </c>
      <c r="L35" s="16">
        <f t="shared" si="1"/>
        <v>0</v>
      </c>
      <c r="M35" s="14">
        <f t="shared" si="1"/>
        <v>0</v>
      </c>
      <c r="N35" s="20"/>
    </row>
    <row r="36" spans="1:14" x14ac:dyDescent="0.25">
      <c r="A36" s="16" t="s">
        <v>724</v>
      </c>
      <c r="B36" s="17" t="s">
        <v>725</v>
      </c>
      <c r="C36" s="16">
        <f>VLOOKUP(A36,v_2024!F:I,3,FALSE)</f>
        <v>0</v>
      </c>
      <c r="D36" s="18">
        <f>VLOOKUP(A36,v_2024!F:I,4,FALSE)</f>
        <v>0</v>
      </c>
      <c r="E36" s="16">
        <v>0</v>
      </c>
      <c r="F36" s="18">
        <v>0</v>
      </c>
      <c r="G36" s="19"/>
      <c r="H36" s="16">
        <f t="shared" si="0"/>
        <v>0</v>
      </c>
      <c r="I36" s="18">
        <f t="shared" si="0"/>
        <v>0</v>
      </c>
      <c r="J36" s="16">
        <v>0</v>
      </c>
      <c r="K36" s="18">
        <v>0</v>
      </c>
      <c r="L36" s="16">
        <f t="shared" si="1"/>
        <v>0</v>
      </c>
      <c r="M36" s="14">
        <f t="shared" si="1"/>
        <v>0</v>
      </c>
      <c r="N36" s="20"/>
    </row>
    <row r="37" spans="1:14" x14ac:dyDescent="0.25">
      <c r="A37" s="16" t="s">
        <v>33</v>
      </c>
      <c r="B37" s="17" t="s">
        <v>34</v>
      </c>
      <c r="C37" s="16">
        <f>VLOOKUP(A37,v_2024!F:I,3,FALSE)</f>
        <v>49</v>
      </c>
      <c r="D37" s="18">
        <f>VLOOKUP(A37,v_2024!F:I,4,FALSE)</f>
        <v>1395.95</v>
      </c>
      <c r="E37" s="16">
        <v>0</v>
      </c>
      <c r="F37" s="18">
        <v>0</v>
      </c>
      <c r="G37" s="19">
        <f t="shared" ref="G37:G45" si="4">F37/I37</f>
        <v>0</v>
      </c>
      <c r="H37" s="16">
        <f t="shared" si="0"/>
        <v>49</v>
      </c>
      <c r="I37" s="18">
        <f t="shared" si="0"/>
        <v>1395.95</v>
      </c>
      <c r="J37" s="16">
        <f>VLOOKUP(A37,v_2023!F:I,3,FALSE)</f>
        <v>586</v>
      </c>
      <c r="K37" s="18">
        <f>VLOOKUP(A37,v_2023!F:I,4,FALSE)</f>
        <v>14362.86</v>
      </c>
      <c r="L37" s="16">
        <f t="shared" si="1"/>
        <v>-537</v>
      </c>
      <c r="M37" s="14">
        <f t="shared" si="1"/>
        <v>-12966.91</v>
      </c>
      <c r="N37" s="20">
        <f>M37/K37</f>
        <v>-0.90280835432497419</v>
      </c>
    </row>
    <row r="38" spans="1:14" x14ac:dyDescent="0.25">
      <c r="A38" s="16" t="s">
        <v>232</v>
      </c>
      <c r="B38" s="17" t="s">
        <v>233</v>
      </c>
      <c r="C38" s="16">
        <v>0</v>
      </c>
      <c r="D38" s="18">
        <v>0</v>
      </c>
      <c r="E38" s="16">
        <f>VLOOKUP(A38,s_2024!E:G,2,FALSE)</f>
        <v>18</v>
      </c>
      <c r="F38" s="18">
        <f>VLOOKUP(A38,s_2024!E:G,3,FALSE)</f>
        <v>898.1999999999997</v>
      </c>
      <c r="G38" s="19">
        <f t="shared" si="4"/>
        <v>1</v>
      </c>
      <c r="H38" s="16">
        <f t="shared" si="0"/>
        <v>18</v>
      </c>
      <c r="I38" s="18">
        <f t="shared" si="0"/>
        <v>898.1999999999997</v>
      </c>
      <c r="J38" s="16">
        <v>0</v>
      </c>
      <c r="K38" s="18">
        <v>0</v>
      </c>
      <c r="L38" s="16">
        <f t="shared" si="1"/>
        <v>18</v>
      </c>
      <c r="M38" s="14">
        <f t="shared" si="1"/>
        <v>898.1999999999997</v>
      </c>
      <c r="N38" s="20"/>
    </row>
    <row r="39" spans="1:14" x14ac:dyDescent="0.25">
      <c r="A39" s="16" t="s">
        <v>90</v>
      </c>
      <c r="B39" s="17" t="s">
        <v>91</v>
      </c>
      <c r="C39" s="16">
        <f>VLOOKUP(A39,v_2024!F:I,3,FALSE)</f>
        <v>11</v>
      </c>
      <c r="D39" s="18">
        <f>VLOOKUP(A39,v_2024!F:I,4,FALSE)</f>
        <v>685.1</v>
      </c>
      <c r="E39" s="16">
        <v>0</v>
      </c>
      <c r="F39" s="18">
        <v>0</v>
      </c>
      <c r="G39" s="19">
        <f t="shared" si="4"/>
        <v>0</v>
      </c>
      <c r="H39" s="16">
        <f t="shared" si="0"/>
        <v>11</v>
      </c>
      <c r="I39" s="18">
        <f t="shared" si="0"/>
        <v>685.1</v>
      </c>
      <c r="J39" s="16">
        <f>VLOOKUP(A39,v_2023!F:I,3,FALSE)</f>
        <v>65</v>
      </c>
      <c r="K39" s="18">
        <f>VLOOKUP(A39,v_2023!F:I,4,FALSE)</f>
        <v>3560.59</v>
      </c>
      <c r="L39" s="16">
        <f t="shared" si="1"/>
        <v>-54</v>
      </c>
      <c r="M39" s="14">
        <f t="shared" si="1"/>
        <v>-2875.4900000000002</v>
      </c>
      <c r="N39" s="20">
        <f>M39/K39</f>
        <v>-0.80758806826958451</v>
      </c>
    </row>
    <row r="40" spans="1:14" x14ac:dyDescent="0.25">
      <c r="A40" s="16" t="s">
        <v>666</v>
      </c>
      <c r="B40" s="17" t="s">
        <v>667</v>
      </c>
      <c r="C40" s="16">
        <v>0</v>
      </c>
      <c r="D40" s="18">
        <v>0</v>
      </c>
      <c r="E40" s="16">
        <v>0</v>
      </c>
      <c r="F40" s="18">
        <v>0</v>
      </c>
      <c r="G40" s="19"/>
      <c r="H40" s="16">
        <f t="shared" si="0"/>
        <v>0</v>
      </c>
      <c r="I40" s="18">
        <f t="shared" si="0"/>
        <v>0</v>
      </c>
      <c r="J40" s="16">
        <v>0</v>
      </c>
      <c r="K40" s="18">
        <v>0</v>
      </c>
      <c r="L40" s="16">
        <f t="shared" si="1"/>
        <v>0</v>
      </c>
      <c r="M40" s="14">
        <f t="shared" si="1"/>
        <v>0</v>
      </c>
      <c r="N40" s="20"/>
    </row>
    <row r="41" spans="1:14" x14ac:dyDescent="0.25">
      <c r="A41" s="16" t="s">
        <v>104</v>
      </c>
      <c r="B41" s="17" t="s">
        <v>105</v>
      </c>
      <c r="C41" s="16">
        <f>VLOOKUP(A41,v_2024!F:I,3,FALSE)</f>
        <v>14</v>
      </c>
      <c r="D41" s="18">
        <f>VLOOKUP(A41,v_2024!F:I,4,FALSE)</f>
        <v>1136.27</v>
      </c>
      <c r="E41" s="16">
        <v>0</v>
      </c>
      <c r="F41" s="18">
        <v>0</v>
      </c>
      <c r="G41" s="19">
        <f t="shared" si="4"/>
        <v>0</v>
      </c>
      <c r="H41" s="16">
        <f t="shared" si="0"/>
        <v>14</v>
      </c>
      <c r="I41" s="18">
        <f t="shared" si="0"/>
        <v>1136.27</v>
      </c>
      <c r="J41" s="16">
        <f>VLOOKUP(A41,v_2023!F:I,3,FALSE)</f>
        <v>38</v>
      </c>
      <c r="K41" s="18">
        <f>VLOOKUP(A41,v_2023!F:I,4,FALSE)</f>
        <v>2800.22</v>
      </c>
      <c r="L41" s="16">
        <f t="shared" si="1"/>
        <v>-24</v>
      </c>
      <c r="M41" s="14">
        <f t="shared" si="1"/>
        <v>-1663.9499999999998</v>
      </c>
      <c r="N41" s="20">
        <f t="shared" ref="N41:N51" si="5">M41/K41</f>
        <v>-0.59422116833677352</v>
      </c>
    </row>
    <row r="42" spans="1:14" x14ac:dyDescent="0.25">
      <c r="A42" s="16" t="s">
        <v>53</v>
      </c>
      <c r="B42" s="17" t="s">
        <v>54</v>
      </c>
      <c r="C42" s="16">
        <f>VLOOKUP(A42,v_2024!F:I,3,FALSE)</f>
        <v>1</v>
      </c>
      <c r="D42" s="18">
        <f>VLOOKUP(A42,v_2024!F:I,4,FALSE)</f>
        <v>26.97</v>
      </c>
      <c r="E42" s="16">
        <f>VLOOKUP(A42,s_2024!E:G,2,FALSE)</f>
        <v>385</v>
      </c>
      <c r="F42" s="18">
        <f>VLOOKUP(A42,s_2024!E:G,3,FALSE)</f>
        <v>12660.569999999912</v>
      </c>
      <c r="G42" s="19">
        <f t="shared" si="4"/>
        <v>0.99787429241602399</v>
      </c>
      <c r="H42" s="16">
        <f t="shared" si="0"/>
        <v>386</v>
      </c>
      <c r="I42" s="18">
        <f t="shared" si="0"/>
        <v>12687.539999999912</v>
      </c>
      <c r="J42" s="16">
        <f>VLOOKUP(A42,v_2023!F:I,3,FALSE)</f>
        <v>304</v>
      </c>
      <c r="K42" s="18">
        <f>VLOOKUP(A42,v_2023!F:I,4,FALSE)</f>
        <v>8435.0400000000009</v>
      </c>
      <c r="L42" s="16">
        <f t="shared" si="1"/>
        <v>82</v>
      </c>
      <c r="M42" s="14">
        <f t="shared" si="1"/>
        <v>4252.4999999999109</v>
      </c>
      <c r="N42" s="20">
        <f t="shared" si="5"/>
        <v>0.50414698685482351</v>
      </c>
    </row>
    <row r="43" spans="1:14" x14ac:dyDescent="0.25">
      <c r="A43" s="16" t="s">
        <v>340</v>
      </c>
      <c r="B43" s="17" t="s">
        <v>341</v>
      </c>
      <c r="C43" s="16">
        <v>0</v>
      </c>
      <c r="D43" s="18">
        <v>0</v>
      </c>
      <c r="E43" s="16">
        <v>0</v>
      </c>
      <c r="F43" s="18">
        <v>0</v>
      </c>
      <c r="G43" s="19"/>
      <c r="H43" s="16">
        <f t="shared" si="0"/>
        <v>0</v>
      </c>
      <c r="I43" s="18">
        <f t="shared" si="0"/>
        <v>0</v>
      </c>
      <c r="J43" s="16">
        <v>0</v>
      </c>
      <c r="K43" s="18">
        <v>0</v>
      </c>
      <c r="L43" s="16">
        <f t="shared" si="1"/>
        <v>0</v>
      </c>
      <c r="M43" s="14">
        <f t="shared" si="1"/>
        <v>0</v>
      </c>
      <c r="N43" s="20"/>
    </row>
    <row r="44" spans="1:14" x14ac:dyDescent="0.25">
      <c r="A44" s="16" t="s">
        <v>590</v>
      </c>
      <c r="B44" s="17" t="s">
        <v>591</v>
      </c>
      <c r="C44" s="16">
        <f>VLOOKUP(A44,v_2024!F:I,3,FALSE)</f>
        <v>2</v>
      </c>
      <c r="D44" s="18">
        <f>VLOOKUP(A44,v_2024!F:I,4,FALSE)</f>
        <v>40.82</v>
      </c>
      <c r="E44" s="16">
        <v>0</v>
      </c>
      <c r="F44" s="18">
        <v>0</v>
      </c>
      <c r="G44" s="19">
        <f t="shared" si="4"/>
        <v>0</v>
      </c>
      <c r="H44" s="16">
        <f t="shared" si="0"/>
        <v>2</v>
      </c>
      <c r="I44" s="18">
        <f t="shared" si="0"/>
        <v>40.82</v>
      </c>
      <c r="J44" s="16">
        <f>VLOOKUP(A44,v_2023!F:I,3,FALSE)</f>
        <v>-1</v>
      </c>
      <c r="K44" s="18">
        <f>VLOOKUP(A44,v_2023!F:I,4,FALSE)</f>
        <v>-14.75</v>
      </c>
      <c r="L44" s="16">
        <f t="shared" si="1"/>
        <v>3</v>
      </c>
      <c r="M44" s="14">
        <f t="shared" si="1"/>
        <v>55.57</v>
      </c>
      <c r="N44" s="20">
        <f t="shared" si="5"/>
        <v>-3.767457627118644</v>
      </c>
    </row>
    <row r="45" spans="1:14" x14ac:dyDescent="0.25">
      <c r="A45" s="16" t="s">
        <v>230</v>
      </c>
      <c r="B45" s="17" t="s">
        <v>231</v>
      </c>
      <c r="C45" s="16">
        <f>VLOOKUP(A45,v_2024!F:I,3,FALSE)</f>
        <v>5</v>
      </c>
      <c r="D45" s="18">
        <f>VLOOKUP(A45,v_2024!F:I,4,FALSE)</f>
        <v>129.21</v>
      </c>
      <c r="E45" s="16">
        <v>0</v>
      </c>
      <c r="F45" s="18">
        <v>0</v>
      </c>
      <c r="G45" s="19">
        <f t="shared" si="4"/>
        <v>0</v>
      </c>
      <c r="H45" s="16">
        <f t="shared" si="0"/>
        <v>5</v>
      </c>
      <c r="I45" s="18">
        <f t="shared" si="0"/>
        <v>129.21</v>
      </c>
      <c r="J45" s="16">
        <f>VLOOKUP(A45,v_2023!F:I,3,FALSE)</f>
        <v>19</v>
      </c>
      <c r="K45" s="18">
        <f>VLOOKUP(A45,v_2023!F:I,4,FALSE)</f>
        <v>465.69</v>
      </c>
      <c r="L45" s="16">
        <f t="shared" si="1"/>
        <v>-14</v>
      </c>
      <c r="M45" s="14">
        <f t="shared" si="1"/>
        <v>-336.48</v>
      </c>
      <c r="N45" s="20">
        <f t="shared" si="5"/>
        <v>-0.72254074598982154</v>
      </c>
    </row>
    <row r="46" spans="1:14" x14ac:dyDescent="0.25">
      <c r="A46" s="16" t="s">
        <v>422</v>
      </c>
      <c r="B46" s="17" t="s">
        <v>423</v>
      </c>
      <c r="C46" s="16">
        <f>VLOOKUP(A46,v_2024!F:I,3,FALSE)</f>
        <v>0</v>
      </c>
      <c r="D46" s="18">
        <f>VLOOKUP(A46,v_2024!F:I,4,FALSE)</f>
        <v>0</v>
      </c>
      <c r="E46" s="16">
        <v>0</v>
      </c>
      <c r="F46" s="18">
        <v>0</v>
      </c>
      <c r="G46" s="19"/>
      <c r="H46" s="16">
        <f t="shared" si="0"/>
        <v>0</v>
      </c>
      <c r="I46" s="18">
        <f t="shared" si="0"/>
        <v>0</v>
      </c>
      <c r="J46" s="16">
        <f>VLOOKUP(A46,v_2023!F:I,3,FALSE)</f>
        <v>2</v>
      </c>
      <c r="K46" s="18">
        <f>VLOOKUP(A46,v_2023!F:I,4,FALSE)</f>
        <v>49.02</v>
      </c>
      <c r="L46" s="16">
        <f t="shared" si="1"/>
        <v>-2</v>
      </c>
      <c r="M46" s="14">
        <f t="shared" si="1"/>
        <v>-49.02</v>
      </c>
      <c r="N46" s="20">
        <f t="shared" si="5"/>
        <v>-1</v>
      </c>
    </row>
    <row r="47" spans="1:14" x14ac:dyDescent="0.25">
      <c r="A47" s="16" t="s">
        <v>302</v>
      </c>
      <c r="B47" s="17" t="s">
        <v>303</v>
      </c>
      <c r="C47" s="16">
        <v>0</v>
      </c>
      <c r="D47" s="18">
        <v>0</v>
      </c>
      <c r="E47" s="16">
        <v>0</v>
      </c>
      <c r="F47" s="18">
        <v>0</v>
      </c>
      <c r="G47" s="19"/>
      <c r="H47" s="16">
        <f t="shared" si="0"/>
        <v>0</v>
      </c>
      <c r="I47" s="18">
        <f t="shared" si="0"/>
        <v>0</v>
      </c>
      <c r="J47" s="16">
        <v>0</v>
      </c>
      <c r="K47" s="18">
        <v>0</v>
      </c>
      <c r="L47" s="16">
        <f t="shared" si="1"/>
        <v>0</v>
      </c>
      <c r="M47" s="14">
        <f t="shared" si="1"/>
        <v>0</v>
      </c>
      <c r="N47" s="20"/>
    </row>
    <row r="48" spans="1:14" x14ac:dyDescent="0.25">
      <c r="A48" s="16" t="s">
        <v>190</v>
      </c>
      <c r="B48" s="17" t="s">
        <v>191</v>
      </c>
      <c r="C48" s="16">
        <v>0</v>
      </c>
      <c r="D48" s="18">
        <v>0</v>
      </c>
      <c r="E48" s="16">
        <f>VLOOKUP(A48,s_2024!E:G,2,FALSE)</f>
        <v>1</v>
      </c>
      <c r="F48" s="18">
        <f>VLOOKUP(A48,s_2024!E:G,3,FALSE)</f>
        <v>36.99</v>
      </c>
      <c r="G48" s="19">
        <f t="shared" ref="G48:G62" si="6">F48/I48</f>
        <v>1</v>
      </c>
      <c r="H48" s="16">
        <f t="shared" si="0"/>
        <v>1</v>
      </c>
      <c r="I48" s="18">
        <f t="shared" si="0"/>
        <v>36.99</v>
      </c>
      <c r="J48" s="16">
        <v>0</v>
      </c>
      <c r="K48" s="18">
        <v>0</v>
      </c>
      <c r="L48" s="16">
        <f t="shared" si="1"/>
        <v>1</v>
      </c>
      <c r="M48" s="14">
        <f t="shared" si="1"/>
        <v>36.99</v>
      </c>
      <c r="N48" s="20"/>
    </row>
    <row r="49" spans="1:14" x14ac:dyDescent="0.25">
      <c r="A49" s="16" t="s">
        <v>386</v>
      </c>
      <c r="B49" s="17" t="s">
        <v>387</v>
      </c>
      <c r="C49" s="16">
        <f>VLOOKUP(A49,v_2024!F:I,3,FALSE)</f>
        <v>0</v>
      </c>
      <c r="D49" s="18">
        <f>VLOOKUP(A49,v_2024!F:I,4,FALSE)</f>
        <v>0</v>
      </c>
      <c r="E49" s="16">
        <v>0</v>
      </c>
      <c r="F49" s="18">
        <v>0</v>
      </c>
      <c r="G49" s="19"/>
      <c r="H49" s="16">
        <f t="shared" si="0"/>
        <v>0</v>
      </c>
      <c r="I49" s="18">
        <f t="shared" si="0"/>
        <v>0</v>
      </c>
      <c r="J49" s="16">
        <f>VLOOKUP(A49,v_2023!F:I,3,FALSE)</f>
        <v>2</v>
      </c>
      <c r="K49" s="18">
        <f>VLOOKUP(A49,v_2023!F:I,4,FALSE)</f>
        <v>45.58</v>
      </c>
      <c r="L49" s="16">
        <f t="shared" si="1"/>
        <v>-2</v>
      </c>
      <c r="M49" s="14">
        <f t="shared" si="1"/>
        <v>-45.58</v>
      </c>
      <c r="N49" s="20">
        <f t="shared" si="5"/>
        <v>-1</v>
      </c>
    </row>
    <row r="50" spans="1:14" x14ac:dyDescent="0.25">
      <c r="A50" s="16" t="s">
        <v>51</v>
      </c>
      <c r="B50" s="17" t="s">
        <v>52</v>
      </c>
      <c r="C50" s="16">
        <f>VLOOKUP(A50,v_2024!F:I,3,FALSE)</f>
        <v>3</v>
      </c>
      <c r="D50" s="18">
        <f>VLOOKUP(A50,v_2024!F:I,4,FALSE)</f>
        <v>62.39</v>
      </c>
      <c r="E50" s="16">
        <f>VLOOKUP(A50,s_2024!E:G,2,FALSE)</f>
        <v>35</v>
      </c>
      <c r="F50" s="18">
        <f>VLOOKUP(A50,s_2024!E:G,3,FALSE)</f>
        <v>871.49999999999955</v>
      </c>
      <c r="G50" s="19">
        <f t="shared" si="6"/>
        <v>0.93319341678356127</v>
      </c>
      <c r="H50" s="16">
        <f t="shared" si="0"/>
        <v>38</v>
      </c>
      <c r="I50" s="18">
        <f t="shared" si="0"/>
        <v>933.88999999999953</v>
      </c>
      <c r="J50" s="16">
        <f>VLOOKUP(A50,v_2023!F:I,3,FALSE)</f>
        <v>417</v>
      </c>
      <c r="K50" s="18">
        <f>VLOOKUP(A50,v_2023!F:I,4,FALSE)</f>
        <v>8510.9699999999993</v>
      </c>
      <c r="L50" s="16">
        <f t="shared" si="1"/>
        <v>-379</v>
      </c>
      <c r="M50" s="14">
        <f t="shared" si="1"/>
        <v>-7577.08</v>
      </c>
      <c r="N50" s="20">
        <f t="shared" si="5"/>
        <v>-0.89027220164094112</v>
      </c>
    </row>
    <row r="51" spans="1:14" x14ac:dyDescent="0.25">
      <c r="A51" s="16" t="s">
        <v>176</v>
      </c>
      <c r="B51" s="17" t="s">
        <v>177</v>
      </c>
      <c r="C51" s="16">
        <f>VLOOKUP(A51,v_2024!F:I,3,FALSE)</f>
        <v>17</v>
      </c>
      <c r="D51" s="18">
        <f>VLOOKUP(A51,v_2024!F:I,4,FALSE)</f>
        <v>814.3</v>
      </c>
      <c r="E51" s="16">
        <v>0</v>
      </c>
      <c r="F51" s="18">
        <v>0</v>
      </c>
      <c r="G51" s="19">
        <f t="shared" si="6"/>
        <v>0</v>
      </c>
      <c r="H51" s="16">
        <f t="shared" si="0"/>
        <v>17</v>
      </c>
      <c r="I51" s="18">
        <f t="shared" si="0"/>
        <v>814.3</v>
      </c>
      <c r="J51" s="16">
        <f>VLOOKUP(A51,v_2023!F:I,3,FALSE)</f>
        <v>18</v>
      </c>
      <c r="K51" s="18">
        <f>VLOOKUP(A51,v_2023!F:I,4,FALSE)</f>
        <v>1031.4000000000001</v>
      </c>
      <c r="L51" s="16">
        <f t="shared" si="1"/>
        <v>-1</v>
      </c>
      <c r="M51" s="14">
        <f t="shared" si="1"/>
        <v>-217.10000000000014</v>
      </c>
      <c r="N51" s="20">
        <f t="shared" si="5"/>
        <v>-0.21049059530734934</v>
      </c>
    </row>
    <row r="52" spans="1:14" x14ac:dyDescent="0.25">
      <c r="A52" s="16" t="s">
        <v>418</v>
      </c>
      <c r="B52" s="17" t="s">
        <v>419</v>
      </c>
      <c r="C52" s="16">
        <v>0</v>
      </c>
      <c r="D52" s="18">
        <v>0</v>
      </c>
      <c r="E52" s="16">
        <v>0</v>
      </c>
      <c r="F52" s="18">
        <v>0</v>
      </c>
      <c r="G52" s="19"/>
      <c r="H52" s="16">
        <f t="shared" si="0"/>
        <v>0</v>
      </c>
      <c r="I52" s="18">
        <f t="shared" si="0"/>
        <v>0</v>
      </c>
      <c r="J52" s="16">
        <v>0</v>
      </c>
      <c r="K52" s="18">
        <v>0</v>
      </c>
      <c r="L52" s="16">
        <f t="shared" si="1"/>
        <v>0</v>
      </c>
      <c r="M52" s="14">
        <f t="shared" si="1"/>
        <v>0</v>
      </c>
      <c r="N52" s="20"/>
    </row>
    <row r="53" spans="1:14" x14ac:dyDescent="0.25">
      <c r="A53" s="16" t="s">
        <v>730</v>
      </c>
      <c r="B53" s="17" t="s">
        <v>731</v>
      </c>
      <c r="C53" s="16">
        <f>VLOOKUP(A53,v_2024!F:I,3,FALSE)</f>
        <v>-1</v>
      </c>
      <c r="D53" s="18">
        <f>VLOOKUP(A53,v_2024!F:I,4,FALSE)</f>
        <v>-5.12</v>
      </c>
      <c r="E53" s="16">
        <v>0</v>
      </c>
      <c r="F53" s="18">
        <v>0</v>
      </c>
      <c r="G53" s="19">
        <f t="shared" si="6"/>
        <v>0</v>
      </c>
      <c r="H53" s="16">
        <f t="shared" si="0"/>
        <v>-1</v>
      </c>
      <c r="I53" s="18">
        <f t="shared" si="0"/>
        <v>-5.12</v>
      </c>
      <c r="J53" s="16">
        <v>0</v>
      </c>
      <c r="K53" s="18">
        <v>0</v>
      </c>
      <c r="L53" s="16">
        <f t="shared" si="1"/>
        <v>-1</v>
      </c>
      <c r="M53" s="14">
        <f t="shared" si="1"/>
        <v>-5.12</v>
      </c>
      <c r="N53" s="20"/>
    </row>
    <row r="54" spans="1:14" x14ac:dyDescent="0.25">
      <c r="A54" s="16" t="s">
        <v>372</v>
      </c>
      <c r="B54" s="17" t="s">
        <v>373</v>
      </c>
      <c r="C54" s="16">
        <v>0</v>
      </c>
      <c r="D54" s="18">
        <v>0</v>
      </c>
      <c r="E54" s="16">
        <v>0</v>
      </c>
      <c r="F54" s="18">
        <v>0</v>
      </c>
      <c r="G54" s="19"/>
      <c r="H54" s="16">
        <f t="shared" si="0"/>
        <v>0</v>
      </c>
      <c r="I54" s="18">
        <f t="shared" si="0"/>
        <v>0</v>
      </c>
      <c r="J54" s="16">
        <v>0</v>
      </c>
      <c r="K54" s="18">
        <v>0</v>
      </c>
      <c r="L54" s="16">
        <f t="shared" si="1"/>
        <v>0</v>
      </c>
      <c r="M54" s="14">
        <f t="shared" si="1"/>
        <v>0</v>
      </c>
      <c r="N54" s="20"/>
    </row>
    <row r="55" spans="1:14" x14ac:dyDescent="0.25">
      <c r="A55" s="16" t="s">
        <v>49</v>
      </c>
      <c r="B55" s="17" t="s">
        <v>50</v>
      </c>
      <c r="C55" s="16">
        <f>VLOOKUP(A55,v_2024!F:I,3,FALSE)</f>
        <v>34</v>
      </c>
      <c r="D55" s="18">
        <f>VLOOKUP(A55,v_2024!F:I,4,FALSE)</f>
        <v>1525.2</v>
      </c>
      <c r="E55" s="16">
        <v>0</v>
      </c>
      <c r="F55" s="18">
        <v>0</v>
      </c>
      <c r="G55" s="19">
        <f t="shared" si="6"/>
        <v>0</v>
      </c>
      <c r="H55" s="16">
        <f t="shared" si="0"/>
        <v>34</v>
      </c>
      <c r="I55" s="18">
        <f t="shared" si="0"/>
        <v>1525.2</v>
      </c>
      <c r="J55" s="16">
        <f>VLOOKUP(A55,v_2023!F:I,3,FALSE)</f>
        <v>222</v>
      </c>
      <c r="K55" s="18">
        <f>VLOOKUP(A55,v_2023!F:I,4,FALSE)</f>
        <v>9036.6</v>
      </c>
      <c r="L55" s="16">
        <f t="shared" si="1"/>
        <v>-188</v>
      </c>
      <c r="M55" s="14">
        <f t="shared" si="1"/>
        <v>-7511.4000000000005</v>
      </c>
      <c r="N55" s="20">
        <f>M55/K55</f>
        <v>-0.83121970652679111</v>
      </c>
    </row>
    <row r="56" spans="1:14" x14ac:dyDescent="0.25">
      <c r="A56" s="16" t="s">
        <v>452</v>
      </c>
      <c r="B56" s="17" t="s">
        <v>453</v>
      </c>
      <c r="C56" s="16">
        <f>VLOOKUP(A56,v_2024!F:I,3,FALSE)</f>
        <v>162</v>
      </c>
      <c r="D56" s="18">
        <f>VLOOKUP(A56,v_2024!F:I,4,FALSE)</f>
        <v>1977.32</v>
      </c>
      <c r="E56" s="16">
        <v>0</v>
      </c>
      <c r="F56" s="18">
        <v>0</v>
      </c>
      <c r="G56" s="19">
        <f t="shared" si="6"/>
        <v>0</v>
      </c>
      <c r="H56" s="16">
        <f t="shared" si="0"/>
        <v>162</v>
      </c>
      <c r="I56" s="18">
        <f t="shared" si="0"/>
        <v>1977.32</v>
      </c>
      <c r="J56" s="16">
        <f>VLOOKUP(A56,v_2023!F:I,3,FALSE)</f>
        <v>2</v>
      </c>
      <c r="K56" s="18">
        <f>VLOOKUP(A56,v_2023!F:I,4,FALSE)</f>
        <v>33.9</v>
      </c>
      <c r="L56" s="16">
        <f t="shared" si="1"/>
        <v>160</v>
      </c>
      <c r="M56" s="14">
        <f t="shared" si="1"/>
        <v>1943.4199999999998</v>
      </c>
      <c r="N56" s="20">
        <f>M56/K56</f>
        <v>57.32802359882006</v>
      </c>
    </row>
    <row r="57" spans="1:14" x14ac:dyDescent="0.25">
      <c r="A57" s="16" t="s">
        <v>106</v>
      </c>
      <c r="B57" s="17" t="s">
        <v>107</v>
      </c>
      <c r="C57" s="16">
        <f>VLOOKUP(A57,v_2024!F:I,3,FALSE)</f>
        <v>40</v>
      </c>
      <c r="D57" s="18">
        <f>VLOOKUP(A57,v_2024!F:I,4,FALSE)</f>
        <v>573.30999999999995</v>
      </c>
      <c r="E57" s="16">
        <v>0</v>
      </c>
      <c r="F57" s="18">
        <v>0</v>
      </c>
      <c r="G57" s="19">
        <f t="shared" si="6"/>
        <v>0</v>
      </c>
      <c r="H57" s="16">
        <f t="shared" si="0"/>
        <v>40</v>
      </c>
      <c r="I57" s="18">
        <f t="shared" si="0"/>
        <v>573.30999999999995</v>
      </c>
      <c r="J57" s="16">
        <f>VLOOKUP(A57,v_2023!F:I,3,FALSE)</f>
        <v>181</v>
      </c>
      <c r="K57" s="18">
        <f>VLOOKUP(A57,v_2023!F:I,4,FALSE)</f>
        <v>2670.84</v>
      </c>
      <c r="L57" s="16">
        <f t="shared" si="1"/>
        <v>-141</v>
      </c>
      <c r="M57" s="14">
        <f t="shared" si="1"/>
        <v>-2097.5300000000002</v>
      </c>
      <c r="N57" s="20">
        <f>M57/K57</f>
        <v>-0.78534468556708759</v>
      </c>
    </row>
    <row r="58" spans="1:14" x14ac:dyDescent="0.25">
      <c r="A58" s="16" t="s">
        <v>37</v>
      </c>
      <c r="B58" s="17" t="s">
        <v>38</v>
      </c>
      <c r="C58" s="16">
        <f>VLOOKUP(A58,v_2024!F:I,3,FALSE)</f>
        <v>2</v>
      </c>
      <c r="D58" s="18">
        <f>VLOOKUP(A58,v_2024!F:I,4,FALSE)</f>
        <v>91.63</v>
      </c>
      <c r="E58" s="16">
        <v>0</v>
      </c>
      <c r="F58" s="18">
        <v>0</v>
      </c>
      <c r="G58" s="19">
        <f t="shared" si="6"/>
        <v>0</v>
      </c>
      <c r="H58" s="16">
        <f t="shared" si="0"/>
        <v>2</v>
      </c>
      <c r="I58" s="18">
        <f t="shared" si="0"/>
        <v>91.63</v>
      </c>
      <c r="J58" s="16">
        <f>VLOOKUP(A58,v_2023!F:I,3,FALSE)</f>
        <v>400</v>
      </c>
      <c r="K58" s="18">
        <f>VLOOKUP(A58,v_2023!F:I,4,FALSE)</f>
        <v>13080</v>
      </c>
      <c r="L58" s="16">
        <f t="shared" si="1"/>
        <v>-398</v>
      </c>
      <c r="M58" s="14">
        <f t="shared" si="1"/>
        <v>-12988.37</v>
      </c>
      <c r="N58" s="20">
        <f>M58/K58</f>
        <v>-0.99299464831804285</v>
      </c>
    </row>
    <row r="59" spans="1:14" x14ac:dyDescent="0.25">
      <c r="A59" s="16" t="s">
        <v>648</v>
      </c>
      <c r="B59" s="17" t="s">
        <v>649</v>
      </c>
      <c r="C59" s="16">
        <v>0</v>
      </c>
      <c r="D59" s="18">
        <v>0</v>
      </c>
      <c r="E59" s="16">
        <v>0</v>
      </c>
      <c r="F59" s="18">
        <v>0</v>
      </c>
      <c r="G59" s="19"/>
      <c r="H59" s="16">
        <f t="shared" si="0"/>
        <v>0</v>
      </c>
      <c r="I59" s="18">
        <f t="shared" si="0"/>
        <v>0</v>
      </c>
      <c r="J59" s="16">
        <v>0</v>
      </c>
      <c r="K59" s="18">
        <v>0</v>
      </c>
      <c r="L59" s="16">
        <f t="shared" si="1"/>
        <v>0</v>
      </c>
      <c r="M59" s="14">
        <f t="shared" si="1"/>
        <v>0</v>
      </c>
      <c r="N59" s="20"/>
    </row>
    <row r="60" spans="1:14" x14ac:dyDescent="0.25">
      <c r="A60" s="16" t="s">
        <v>164</v>
      </c>
      <c r="B60" s="17" t="s">
        <v>165</v>
      </c>
      <c r="C60" s="16">
        <f>VLOOKUP(A60,v_2024!F:I,3,FALSE)</f>
        <v>6</v>
      </c>
      <c r="D60" s="18">
        <f>VLOOKUP(A60,v_2024!F:I,4,FALSE)</f>
        <v>294.60000000000002</v>
      </c>
      <c r="E60" s="16">
        <v>0</v>
      </c>
      <c r="F60" s="18">
        <v>0</v>
      </c>
      <c r="G60" s="19">
        <f t="shared" si="6"/>
        <v>0</v>
      </c>
      <c r="H60" s="16">
        <f t="shared" si="0"/>
        <v>6</v>
      </c>
      <c r="I60" s="18">
        <f t="shared" si="0"/>
        <v>294.60000000000002</v>
      </c>
      <c r="J60" s="16">
        <f>VLOOKUP(A60,v_2023!F:I,3,FALSE)</f>
        <v>23</v>
      </c>
      <c r="K60" s="18">
        <f>VLOOKUP(A60,v_2023!F:I,4,FALSE)</f>
        <v>1118.2</v>
      </c>
      <c r="L60" s="16">
        <f t="shared" si="1"/>
        <v>-17</v>
      </c>
      <c r="M60" s="14">
        <f t="shared" si="1"/>
        <v>-823.6</v>
      </c>
      <c r="N60" s="20">
        <f>M60/K60</f>
        <v>-0.73654086925415851</v>
      </c>
    </row>
    <row r="61" spans="1:14" x14ac:dyDescent="0.25">
      <c r="A61" s="16" t="s">
        <v>186</v>
      </c>
      <c r="B61" s="17" t="s">
        <v>187</v>
      </c>
      <c r="C61" s="16">
        <f>VLOOKUP(A61,v_2024!F:I,3,FALSE)</f>
        <v>1</v>
      </c>
      <c r="D61" s="18">
        <f>VLOOKUP(A61,v_2024!F:I,4,FALSE)</f>
        <v>33.14</v>
      </c>
      <c r="E61" s="16">
        <f>VLOOKUP(A61,s_2024!E:G,2,FALSE)</f>
        <v>8</v>
      </c>
      <c r="F61" s="18">
        <f>VLOOKUP(A61,s_2024!E:G,3,FALSE)</f>
        <v>377.39999999999992</v>
      </c>
      <c r="G61" s="19">
        <f t="shared" si="6"/>
        <v>0.91927704973936764</v>
      </c>
      <c r="H61" s="16">
        <f t="shared" si="0"/>
        <v>9</v>
      </c>
      <c r="I61" s="18">
        <f t="shared" si="0"/>
        <v>410.53999999999991</v>
      </c>
      <c r="J61" s="16">
        <f>VLOOKUP(A61,v_2023!F:I,3,FALSE)</f>
        <v>20</v>
      </c>
      <c r="K61" s="18">
        <f>VLOOKUP(A61,v_2023!F:I,4,FALSE)</f>
        <v>490.2</v>
      </c>
      <c r="L61" s="16">
        <f t="shared" si="1"/>
        <v>-11</v>
      </c>
      <c r="M61" s="14">
        <f t="shared" si="1"/>
        <v>-79.660000000000082</v>
      </c>
      <c r="N61" s="20">
        <f>M61/K61</f>
        <v>-0.16250509995920051</v>
      </c>
    </row>
    <row r="62" spans="1:14" x14ac:dyDescent="0.25">
      <c r="A62" s="16" t="s">
        <v>293</v>
      </c>
      <c r="B62" s="17" t="s">
        <v>294</v>
      </c>
      <c r="C62" s="16">
        <f>VLOOKUP(A62,v_2024!F:I,3,FALSE)</f>
        <v>22</v>
      </c>
      <c r="D62" s="18">
        <f>VLOOKUP(A62,v_2024!F:I,4,FALSE)</f>
        <v>266.22000000000003</v>
      </c>
      <c r="E62" s="16">
        <v>0</v>
      </c>
      <c r="F62" s="18">
        <v>0</v>
      </c>
      <c r="G62" s="19">
        <f t="shared" si="6"/>
        <v>0</v>
      </c>
      <c r="H62" s="16">
        <f t="shared" si="0"/>
        <v>22</v>
      </c>
      <c r="I62" s="18">
        <f t="shared" si="0"/>
        <v>266.22000000000003</v>
      </c>
      <c r="J62" s="16">
        <f>VLOOKUP(A62,v_2023!F:I,3,FALSE)</f>
        <v>2</v>
      </c>
      <c r="K62" s="18">
        <f>VLOOKUP(A62,v_2023!F:I,4,FALSE)</f>
        <v>26.88</v>
      </c>
      <c r="L62" s="16">
        <f t="shared" si="1"/>
        <v>20</v>
      </c>
      <c r="M62" s="14">
        <f t="shared" si="1"/>
        <v>239.34000000000003</v>
      </c>
      <c r="N62" s="20">
        <f>M62/K62</f>
        <v>8.9040178571428594</v>
      </c>
    </row>
    <row r="63" spans="1:14" x14ac:dyDescent="0.25">
      <c r="A63" s="16" t="s">
        <v>722</v>
      </c>
      <c r="B63" s="17" t="s">
        <v>723</v>
      </c>
      <c r="C63" s="16">
        <v>0</v>
      </c>
      <c r="D63" s="18">
        <v>0</v>
      </c>
      <c r="E63" s="16">
        <v>0</v>
      </c>
      <c r="F63" s="18">
        <v>0</v>
      </c>
      <c r="G63" s="19"/>
      <c r="H63" s="16">
        <f t="shared" si="0"/>
        <v>0</v>
      </c>
      <c r="I63" s="18">
        <f t="shared" si="0"/>
        <v>0</v>
      </c>
      <c r="J63" s="16">
        <v>0</v>
      </c>
      <c r="K63" s="18">
        <v>0</v>
      </c>
      <c r="L63" s="16">
        <f t="shared" si="1"/>
        <v>0</v>
      </c>
      <c r="M63" s="14">
        <f t="shared" si="1"/>
        <v>0</v>
      </c>
      <c r="N63" s="20"/>
    </row>
    <row r="64" spans="1:14" x14ac:dyDescent="0.25">
      <c r="A64" s="16" t="s">
        <v>658</v>
      </c>
      <c r="B64" s="17" t="s">
        <v>659</v>
      </c>
      <c r="C64" s="16">
        <v>0</v>
      </c>
      <c r="D64" s="18">
        <v>0</v>
      </c>
      <c r="E64" s="16">
        <v>0</v>
      </c>
      <c r="F64" s="18">
        <v>0</v>
      </c>
      <c r="G64" s="19"/>
      <c r="H64" s="16">
        <f t="shared" si="0"/>
        <v>0</v>
      </c>
      <c r="I64" s="18">
        <f t="shared" si="0"/>
        <v>0</v>
      </c>
      <c r="J64" s="16">
        <v>0</v>
      </c>
      <c r="K64" s="18">
        <v>0</v>
      </c>
      <c r="L64" s="16">
        <f t="shared" si="1"/>
        <v>0</v>
      </c>
      <c r="M64" s="14">
        <f t="shared" si="1"/>
        <v>0</v>
      </c>
      <c r="N64" s="20"/>
    </row>
    <row r="65" spans="1:14" x14ac:dyDescent="0.25">
      <c r="A65" s="16" t="s">
        <v>706</v>
      </c>
      <c r="B65" s="17" t="s">
        <v>707</v>
      </c>
      <c r="C65" s="16">
        <f>VLOOKUP(A65,v_2024!F:I,3,FALSE)</f>
        <v>1</v>
      </c>
      <c r="D65" s="18">
        <f>VLOOKUP(A65,v_2024!F:I,4,FALSE)</f>
        <v>3.77</v>
      </c>
      <c r="E65" s="16">
        <v>0</v>
      </c>
      <c r="F65" s="18">
        <v>0</v>
      </c>
      <c r="G65" s="19">
        <f>F65/I65</f>
        <v>0</v>
      </c>
      <c r="H65" s="16">
        <f t="shared" si="0"/>
        <v>1</v>
      </c>
      <c r="I65" s="18">
        <f t="shared" si="0"/>
        <v>3.77</v>
      </c>
      <c r="J65" s="16">
        <v>0</v>
      </c>
      <c r="K65" s="18">
        <v>0</v>
      </c>
      <c r="L65" s="16">
        <f t="shared" si="1"/>
        <v>1</v>
      </c>
      <c r="M65" s="14">
        <f t="shared" si="1"/>
        <v>3.77</v>
      </c>
      <c r="N65" s="20"/>
    </row>
    <row r="66" spans="1:14" x14ac:dyDescent="0.25">
      <c r="A66" s="16" t="s">
        <v>554</v>
      </c>
      <c r="B66" s="17" t="s">
        <v>555</v>
      </c>
      <c r="C66" s="16">
        <v>0</v>
      </c>
      <c r="D66" s="18">
        <v>0</v>
      </c>
      <c r="E66" s="16">
        <v>0</v>
      </c>
      <c r="F66" s="18">
        <v>0</v>
      </c>
      <c r="G66" s="19"/>
      <c r="H66" s="16">
        <f t="shared" ref="H66:I129" si="7">E66+C66</f>
        <v>0</v>
      </c>
      <c r="I66" s="18">
        <f t="shared" si="7"/>
        <v>0</v>
      </c>
      <c r="J66" s="16">
        <v>0</v>
      </c>
      <c r="K66" s="18">
        <v>0</v>
      </c>
      <c r="L66" s="16">
        <f t="shared" ref="L66:M129" si="8">H66-J66</f>
        <v>0</v>
      </c>
      <c r="M66" s="14">
        <f t="shared" si="8"/>
        <v>0</v>
      </c>
      <c r="N66" s="20"/>
    </row>
    <row r="67" spans="1:14" x14ac:dyDescent="0.25">
      <c r="A67" s="16" t="s">
        <v>676</v>
      </c>
      <c r="B67" s="17" t="s">
        <v>677</v>
      </c>
      <c r="C67" s="16">
        <v>0</v>
      </c>
      <c r="D67" s="18">
        <v>0</v>
      </c>
      <c r="E67" s="16">
        <v>0</v>
      </c>
      <c r="F67" s="18">
        <v>0</v>
      </c>
      <c r="G67" s="19"/>
      <c r="H67" s="16">
        <f t="shared" si="7"/>
        <v>0</v>
      </c>
      <c r="I67" s="18">
        <f t="shared" si="7"/>
        <v>0</v>
      </c>
      <c r="J67" s="16">
        <v>0</v>
      </c>
      <c r="K67" s="18">
        <v>0</v>
      </c>
      <c r="L67" s="16">
        <f t="shared" si="8"/>
        <v>0</v>
      </c>
      <c r="M67" s="14">
        <f t="shared" si="8"/>
        <v>0</v>
      </c>
      <c r="N67" s="20"/>
    </row>
    <row r="68" spans="1:14" x14ac:dyDescent="0.25">
      <c r="A68" s="16" t="s">
        <v>214</v>
      </c>
      <c r="B68" s="17" t="s">
        <v>215</v>
      </c>
      <c r="C68" s="16">
        <v>0</v>
      </c>
      <c r="D68" s="18">
        <v>0</v>
      </c>
      <c r="E68" s="16">
        <v>0</v>
      </c>
      <c r="F68" s="18">
        <v>0</v>
      </c>
      <c r="G68" s="19"/>
      <c r="H68" s="16">
        <f t="shared" si="7"/>
        <v>0</v>
      </c>
      <c r="I68" s="18">
        <f t="shared" si="7"/>
        <v>0</v>
      </c>
      <c r="J68" s="16">
        <v>0</v>
      </c>
      <c r="K68" s="18">
        <v>0</v>
      </c>
      <c r="L68" s="16">
        <f t="shared" si="8"/>
        <v>0</v>
      </c>
      <c r="M68" s="14">
        <f t="shared" si="8"/>
        <v>0</v>
      </c>
      <c r="N68" s="20"/>
    </row>
    <row r="69" spans="1:14" x14ac:dyDescent="0.25">
      <c r="A69" s="16" t="s">
        <v>718</v>
      </c>
      <c r="B69" s="17" t="s">
        <v>719</v>
      </c>
      <c r="C69" s="16">
        <v>0</v>
      </c>
      <c r="D69" s="18">
        <v>0</v>
      </c>
      <c r="E69" s="16">
        <v>0</v>
      </c>
      <c r="F69" s="18">
        <v>0</v>
      </c>
      <c r="G69" s="19"/>
      <c r="H69" s="16">
        <f t="shared" si="7"/>
        <v>0</v>
      </c>
      <c r="I69" s="18">
        <f t="shared" si="7"/>
        <v>0</v>
      </c>
      <c r="J69" s="16">
        <v>0</v>
      </c>
      <c r="K69" s="18">
        <v>0</v>
      </c>
      <c r="L69" s="16">
        <f t="shared" si="8"/>
        <v>0</v>
      </c>
      <c r="M69" s="14">
        <f t="shared" si="8"/>
        <v>0</v>
      </c>
      <c r="N69" s="20"/>
    </row>
    <row r="70" spans="1:14" x14ac:dyDescent="0.25">
      <c r="A70" s="16" t="s">
        <v>122</v>
      </c>
      <c r="B70" s="17" t="s">
        <v>123</v>
      </c>
      <c r="C70" s="16">
        <f>VLOOKUP(A70,v_2024!F:I,3,FALSE)</f>
        <v>10</v>
      </c>
      <c r="D70" s="18">
        <f>VLOOKUP(A70,v_2024!F:I,4,FALSE)</f>
        <v>253.92</v>
      </c>
      <c r="E70" s="16">
        <f>VLOOKUP(A70,s_2024!E:G,2,FALSE)</f>
        <v>17</v>
      </c>
      <c r="F70" s="18">
        <f>VLOOKUP(A70,s_2024!E:G,3,FALSE)</f>
        <v>542.9899999999999</v>
      </c>
      <c r="G70" s="19">
        <f t="shared" ref="G70:G93" si="9">F70/I70</f>
        <v>0.6813692888782924</v>
      </c>
      <c r="H70" s="16">
        <f t="shared" si="7"/>
        <v>27</v>
      </c>
      <c r="I70" s="18">
        <f t="shared" si="7"/>
        <v>796.90999999999985</v>
      </c>
      <c r="J70" s="16">
        <f>VLOOKUP(A70,v_2023!F:I,3,FALSE)</f>
        <v>91</v>
      </c>
      <c r="K70" s="18">
        <f>VLOOKUP(A70,v_2023!F:I,4,FALSE)</f>
        <v>2230.41</v>
      </c>
      <c r="L70" s="16">
        <f t="shared" si="8"/>
        <v>-64</v>
      </c>
      <c r="M70" s="14">
        <f t="shared" si="8"/>
        <v>-1433.5</v>
      </c>
      <c r="N70" s="20">
        <f>M70/K70</f>
        <v>-0.64270694625651792</v>
      </c>
    </row>
    <row r="71" spans="1:14" x14ac:dyDescent="0.25">
      <c r="A71" s="16" t="s">
        <v>300</v>
      </c>
      <c r="B71" s="17" t="s">
        <v>301</v>
      </c>
      <c r="C71" s="16">
        <f>VLOOKUP(A71,v_2024!F:I,3,FALSE)</f>
        <v>2</v>
      </c>
      <c r="D71" s="18">
        <f>VLOOKUP(A71,v_2024!F:I,4,FALSE)</f>
        <v>34.380000000000003</v>
      </c>
      <c r="E71" s="16">
        <v>0</v>
      </c>
      <c r="F71" s="18">
        <v>0</v>
      </c>
      <c r="G71" s="19">
        <f t="shared" si="9"/>
        <v>0</v>
      </c>
      <c r="H71" s="16">
        <f t="shared" si="7"/>
        <v>2</v>
      </c>
      <c r="I71" s="18">
        <f t="shared" si="7"/>
        <v>34.380000000000003</v>
      </c>
      <c r="J71" s="16">
        <f>VLOOKUP(A71,v_2023!F:I,3,FALSE)</f>
        <v>13</v>
      </c>
      <c r="K71" s="18">
        <f>VLOOKUP(A71,v_2023!F:I,4,FALSE)</f>
        <v>199.11</v>
      </c>
      <c r="L71" s="16">
        <f t="shared" si="8"/>
        <v>-11</v>
      </c>
      <c r="M71" s="14">
        <f t="shared" si="8"/>
        <v>-164.73000000000002</v>
      </c>
      <c r="N71" s="20">
        <f>M71/K71</f>
        <v>-0.82733162573451868</v>
      </c>
    </row>
    <row r="72" spans="1:14" x14ac:dyDescent="0.25">
      <c r="A72" s="16" t="s">
        <v>196</v>
      </c>
      <c r="B72" s="17" t="s">
        <v>197</v>
      </c>
      <c r="C72" s="16">
        <f>VLOOKUP(A72,v_2024!F:I,3,FALSE)</f>
        <v>25</v>
      </c>
      <c r="D72" s="18">
        <f>VLOOKUP(A72,v_2024!F:I,4,FALSE)</f>
        <v>540.71</v>
      </c>
      <c r="E72" s="16">
        <v>0</v>
      </c>
      <c r="F72" s="18">
        <v>0</v>
      </c>
      <c r="G72" s="19">
        <f t="shared" si="9"/>
        <v>0</v>
      </c>
      <c r="H72" s="16">
        <f t="shared" si="7"/>
        <v>25</v>
      </c>
      <c r="I72" s="18">
        <f t="shared" si="7"/>
        <v>540.71</v>
      </c>
      <c r="J72" s="16">
        <f>VLOOKUP(A72,v_2023!F:I,3,FALSE)</f>
        <v>37</v>
      </c>
      <c r="K72" s="18">
        <f>VLOOKUP(A72,v_2023!F:I,4,FALSE)</f>
        <v>878.32</v>
      </c>
      <c r="L72" s="16">
        <f t="shared" si="8"/>
        <v>-12</v>
      </c>
      <c r="M72" s="14">
        <f t="shared" si="8"/>
        <v>-337.61</v>
      </c>
      <c r="N72" s="20">
        <f>M72/K72</f>
        <v>-0.38438154658894252</v>
      </c>
    </row>
    <row r="73" spans="1:14" x14ac:dyDescent="0.25">
      <c r="A73" s="16" t="s">
        <v>634</v>
      </c>
      <c r="B73" s="17" t="s">
        <v>635</v>
      </c>
      <c r="C73" s="16">
        <v>0</v>
      </c>
      <c r="D73" s="18">
        <v>0</v>
      </c>
      <c r="E73" s="16">
        <v>0</v>
      </c>
      <c r="F73" s="18">
        <v>0</v>
      </c>
      <c r="G73" s="19"/>
      <c r="H73" s="16">
        <f t="shared" si="7"/>
        <v>0</v>
      </c>
      <c r="I73" s="18">
        <f t="shared" si="7"/>
        <v>0</v>
      </c>
      <c r="J73" s="16">
        <v>0</v>
      </c>
      <c r="K73" s="18">
        <v>0</v>
      </c>
      <c r="L73" s="16">
        <f t="shared" si="8"/>
        <v>0</v>
      </c>
      <c r="M73" s="14">
        <f t="shared" si="8"/>
        <v>0</v>
      </c>
      <c r="N73" s="20"/>
    </row>
    <row r="74" spans="1:14" x14ac:dyDescent="0.25">
      <c r="A74" s="16" t="s">
        <v>202</v>
      </c>
      <c r="B74" s="17" t="s">
        <v>197</v>
      </c>
      <c r="C74" s="16">
        <f>VLOOKUP(A74,v_2024!F:I,3,FALSE)</f>
        <v>2</v>
      </c>
      <c r="D74" s="18">
        <f>VLOOKUP(A74,v_2024!F:I,4,FALSE)</f>
        <v>22.14</v>
      </c>
      <c r="E74" s="16">
        <f>VLOOKUP(A74,s_2024!E:G,2,FALSE)</f>
        <v>44</v>
      </c>
      <c r="F74" s="18">
        <f>VLOOKUP(A74,s_2024!E:G,3,FALSE)</f>
        <v>652.90999999999951</v>
      </c>
      <c r="G74" s="19">
        <f t="shared" si="9"/>
        <v>0.96720242944967039</v>
      </c>
      <c r="H74" s="16">
        <f t="shared" si="7"/>
        <v>46</v>
      </c>
      <c r="I74" s="18">
        <f t="shared" si="7"/>
        <v>675.0499999999995</v>
      </c>
      <c r="J74" s="16">
        <f>VLOOKUP(A74,v_2023!F:I,3,FALSE)</f>
        <v>68</v>
      </c>
      <c r="K74" s="18">
        <f>VLOOKUP(A74,v_2023!F:I,4,FALSE)</f>
        <v>794.19</v>
      </c>
      <c r="L74" s="16">
        <f t="shared" si="8"/>
        <v>-22</v>
      </c>
      <c r="M74" s="14">
        <f t="shared" si="8"/>
        <v>-119.14000000000055</v>
      </c>
      <c r="N74" s="20">
        <f>M74/K74</f>
        <v>-0.1500144801621785</v>
      </c>
    </row>
    <row r="75" spans="1:14" x14ac:dyDescent="0.25">
      <c r="A75" s="16" t="s">
        <v>682</v>
      </c>
      <c r="B75" s="17" t="s">
        <v>683</v>
      </c>
      <c r="C75" s="16">
        <f>VLOOKUP(A75,v_2024!F:I,3,FALSE)</f>
        <v>1</v>
      </c>
      <c r="D75" s="18">
        <f>VLOOKUP(A75,v_2024!F:I,4,FALSE)</f>
        <v>19.72</v>
      </c>
      <c r="E75" s="16">
        <v>0</v>
      </c>
      <c r="F75" s="18">
        <v>0</v>
      </c>
      <c r="G75" s="19">
        <f t="shared" si="9"/>
        <v>0</v>
      </c>
      <c r="H75" s="16">
        <f t="shared" si="7"/>
        <v>1</v>
      </c>
      <c r="I75" s="18">
        <f t="shared" si="7"/>
        <v>19.72</v>
      </c>
      <c r="J75" s="16">
        <v>0</v>
      </c>
      <c r="K75" s="18">
        <v>0</v>
      </c>
      <c r="L75" s="16">
        <f t="shared" si="8"/>
        <v>1</v>
      </c>
      <c r="M75" s="14">
        <f t="shared" si="8"/>
        <v>19.72</v>
      </c>
      <c r="N75" s="20"/>
    </row>
    <row r="76" spans="1:14" x14ac:dyDescent="0.25">
      <c r="A76" s="16" t="s">
        <v>562</v>
      </c>
      <c r="B76" s="17" t="s">
        <v>563</v>
      </c>
      <c r="C76" s="16">
        <v>0</v>
      </c>
      <c r="D76" s="18">
        <v>0</v>
      </c>
      <c r="E76" s="16">
        <v>0</v>
      </c>
      <c r="F76" s="18">
        <v>0</v>
      </c>
      <c r="G76" s="19"/>
      <c r="H76" s="16">
        <f t="shared" si="7"/>
        <v>0</v>
      </c>
      <c r="I76" s="18">
        <f t="shared" si="7"/>
        <v>0</v>
      </c>
      <c r="J76" s="16">
        <v>0</v>
      </c>
      <c r="K76" s="18">
        <v>0</v>
      </c>
      <c r="L76" s="16">
        <f t="shared" si="8"/>
        <v>0</v>
      </c>
      <c r="M76" s="14">
        <f t="shared" si="8"/>
        <v>0</v>
      </c>
      <c r="N76" s="20"/>
    </row>
    <row r="77" spans="1:14" x14ac:dyDescent="0.25">
      <c r="A77" s="16" t="s">
        <v>128</v>
      </c>
      <c r="B77" s="17" t="s">
        <v>129</v>
      </c>
      <c r="C77" s="16">
        <f>VLOOKUP(A77,v_2024!F:I,3,FALSE)</f>
        <v>13</v>
      </c>
      <c r="D77" s="18">
        <f>VLOOKUP(A77,v_2024!F:I,4,FALSE)</f>
        <v>182.92</v>
      </c>
      <c r="E77" s="16">
        <v>0</v>
      </c>
      <c r="F77" s="18">
        <v>0</v>
      </c>
      <c r="G77" s="19">
        <f t="shared" si="9"/>
        <v>0</v>
      </c>
      <c r="H77" s="16">
        <f t="shared" si="7"/>
        <v>13</v>
      </c>
      <c r="I77" s="18">
        <f t="shared" si="7"/>
        <v>182.92</v>
      </c>
      <c r="J77" s="16">
        <f>VLOOKUP(A77,v_2023!F:I,3,FALSE)</f>
        <v>161</v>
      </c>
      <c r="K77" s="18">
        <f>VLOOKUP(A77,v_2023!F:I,4,FALSE)</f>
        <v>1965.81</v>
      </c>
      <c r="L77" s="16">
        <f t="shared" si="8"/>
        <v>-148</v>
      </c>
      <c r="M77" s="14">
        <f t="shared" si="8"/>
        <v>-1782.8899999999999</v>
      </c>
      <c r="N77" s="20">
        <f t="shared" ref="N77:N79" si="10">M77/K77</f>
        <v>-0.90694929825364601</v>
      </c>
    </row>
    <row r="78" spans="1:14" x14ac:dyDescent="0.25">
      <c r="A78" s="16" t="s">
        <v>65</v>
      </c>
      <c r="B78" s="17" t="s">
        <v>66</v>
      </c>
      <c r="C78" s="16">
        <v>0</v>
      </c>
      <c r="D78" s="18">
        <v>0</v>
      </c>
      <c r="E78" s="16">
        <f>VLOOKUP(A78,s_2024!E:G,2,FALSE)</f>
        <v>229</v>
      </c>
      <c r="F78" s="18">
        <f>VLOOKUP(A78,s_2024!E:G,3,FALSE)</f>
        <v>6838.119999999979</v>
      </c>
      <c r="G78" s="19">
        <f t="shared" si="9"/>
        <v>1</v>
      </c>
      <c r="H78" s="16">
        <f t="shared" si="7"/>
        <v>229</v>
      </c>
      <c r="I78" s="18">
        <f t="shared" si="7"/>
        <v>6838.119999999979</v>
      </c>
      <c r="J78" s="16">
        <v>0</v>
      </c>
      <c r="K78" s="18">
        <v>0</v>
      </c>
      <c r="L78" s="16">
        <f t="shared" si="8"/>
        <v>229</v>
      </c>
      <c r="M78" s="14">
        <f t="shared" si="8"/>
        <v>6838.119999999979</v>
      </c>
      <c r="N78" s="20"/>
    </row>
    <row r="79" spans="1:14" x14ac:dyDescent="0.25">
      <c r="A79" s="16" t="s">
        <v>75</v>
      </c>
      <c r="B79" s="17" t="s">
        <v>76</v>
      </c>
      <c r="C79" s="16">
        <f>VLOOKUP(A79,v_2024!F:I,3,FALSE)</f>
        <v>1</v>
      </c>
      <c r="D79" s="18">
        <f>VLOOKUP(A79,v_2024!F:I,4,FALSE)</f>
        <v>36.799999999999997</v>
      </c>
      <c r="E79" s="16">
        <f>VLOOKUP(A79,s_2024!E:G,2,FALSE)</f>
        <v>16</v>
      </c>
      <c r="F79" s="18">
        <f>VLOOKUP(A79,s_2024!E:G,3,FALSE)</f>
        <v>798.39999999999975</v>
      </c>
      <c r="G79" s="19">
        <f t="shared" si="9"/>
        <v>0.95593869731800774</v>
      </c>
      <c r="H79" s="16">
        <f t="shared" si="7"/>
        <v>17</v>
      </c>
      <c r="I79" s="18">
        <f t="shared" si="7"/>
        <v>835.1999999999997</v>
      </c>
      <c r="J79" s="16">
        <f>VLOOKUP(A79,v_2023!F:I,3,FALSE)</f>
        <v>135</v>
      </c>
      <c r="K79" s="18">
        <f>VLOOKUP(A79,v_2023!F:I,4,FALSE)</f>
        <v>4968</v>
      </c>
      <c r="L79" s="16">
        <f t="shared" si="8"/>
        <v>-118</v>
      </c>
      <c r="M79" s="14">
        <f t="shared" si="8"/>
        <v>-4132.8</v>
      </c>
      <c r="N79" s="20">
        <f t="shared" si="10"/>
        <v>-0.8318840579710145</v>
      </c>
    </row>
    <row r="80" spans="1:14" x14ac:dyDescent="0.25">
      <c r="A80" s="16" t="s">
        <v>134</v>
      </c>
      <c r="B80" s="17" t="s">
        <v>135</v>
      </c>
      <c r="C80" s="16">
        <v>0</v>
      </c>
      <c r="D80" s="18">
        <v>0</v>
      </c>
      <c r="E80" s="16">
        <f>VLOOKUP(A80,s_2024!E:G,2,FALSE)</f>
        <v>19</v>
      </c>
      <c r="F80" s="18">
        <f>VLOOKUP(A80,s_2024!E:G,3,FALSE)</f>
        <v>1138.0999999999999</v>
      </c>
      <c r="G80" s="19">
        <f t="shared" si="9"/>
        <v>1</v>
      </c>
      <c r="H80" s="16">
        <f t="shared" si="7"/>
        <v>19</v>
      </c>
      <c r="I80" s="18">
        <f t="shared" si="7"/>
        <v>1138.0999999999999</v>
      </c>
      <c r="J80" s="16">
        <v>0</v>
      </c>
      <c r="K80" s="18">
        <v>0</v>
      </c>
      <c r="L80" s="16">
        <f t="shared" si="8"/>
        <v>19</v>
      </c>
      <c r="M80" s="14">
        <f t="shared" si="8"/>
        <v>1138.0999999999999</v>
      </c>
      <c r="N80" s="20"/>
    </row>
    <row r="81" spans="1:14" x14ac:dyDescent="0.25">
      <c r="A81" s="16" t="s">
        <v>496</v>
      </c>
      <c r="B81" s="17" t="s">
        <v>497</v>
      </c>
      <c r="C81" s="16">
        <f>VLOOKUP(A81,v_2024!F:I,3,FALSE)</f>
        <v>1</v>
      </c>
      <c r="D81" s="18">
        <f>VLOOKUP(A81,v_2024!F:I,4,FALSE)</f>
        <v>13.81</v>
      </c>
      <c r="E81" s="16">
        <v>0</v>
      </c>
      <c r="F81" s="18">
        <v>0</v>
      </c>
      <c r="G81" s="19">
        <f t="shared" si="9"/>
        <v>0</v>
      </c>
      <c r="H81" s="16">
        <f t="shared" si="7"/>
        <v>1</v>
      </c>
      <c r="I81" s="18">
        <f t="shared" si="7"/>
        <v>13.81</v>
      </c>
      <c r="J81" s="16">
        <v>0</v>
      </c>
      <c r="K81" s="18">
        <v>0</v>
      </c>
      <c r="L81" s="16">
        <f t="shared" si="8"/>
        <v>1</v>
      </c>
      <c r="M81" s="14">
        <f t="shared" si="8"/>
        <v>13.81</v>
      </c>
      <c r="N81" s="20"/>
    </row>
    <row r="82" spans="1:14" x14ac:dyDescent="0.25">
      <c r="A82" s="16" t="s">
        <v>398</v>
      </c>
      <c r="B82" s="17" t="s">
        <v>399</v>
      </c>
      <c r="C82" s="16">
        <v>0</v>
      </c>
      <c r="D82" s="18">
        <v>0</v>
      </c>
      <c r="E82" s="16">
        <v>0</v>
      </c>
      <c r="F82" s="18">
        <v>0</v>
      </c>
      <c r="G82" s="19"/>
      <c r="H82" s="16">
        <f t="shared" si="7"/>
        <v>0</v>
      </c>
      <c r="I82" s="18">
        <f t="shared" si="7"/>
        <v>0</v>
      </c>
      <c r="J82" s="16">
        <v>0</v>
      </c>
      <c r="K82" s="18">
        <v>0</v>
      </c>
      <c r="L82" s="16">
        <f t="shared" si="8"/>
        <v>0</v>
      </c>
      <c r="M82" s="14">
        <f t="shared" si="8"/>
        <v>0</v>
      </c>
      <c r="N82" s="20"/>
    </row>
    <row r="83" spans="1:14" x14ac:dyDescent="0.25">
      <c r="A83" s="16" t="s">
        <v>678</v>
      </c>
      <c r="B83" s="17" t="s">
        <v>679</v>
      </c>
      <c r="C83" s="16">
        <v>0</v>
      </c>
      <c r="D83" s="18">
        <v>0</v>
      </c>
      <c r="E83" s="16">
        <v>0</v>
      </c>
      <c r="F83" s="18">
        <v>0</v>
      </c>
      <c r="G83" s="19"/>
      <c r="H83" s="16">
        <f t="shared" si="7"/>
        <v>0</v>
      </c>
      <c r="I83" s="18">
        <f t="shared" si="7"/>
        <v>0</v>
      </c>
      <c r="J83" s="16">
        <v>0</v>
      </c>
      <c r="K83" s="18">
        <v>0</v>
      </c>
      <c r="L83" s="16">
        <f t="shared" si="8"/>
        <v>0</v>
      </c>
      <c r="M83" s="14">
        <f t="shared" si="8"/>
        <v>0</v>
      </c>
      <c r="N83" s="20"/>
    </row>
    <row r="84" spans="1:14" x14ac:dyDescent="0.25">
      <c r="A84" s="16" t="s">
        <v>47</v>
      </c>
      <c r="B84" s="17" t="s">
        <v>48</v>
      </c>
      <c r="C84" s="16">
        <f>VLOOKUP(A84,v_2024!F:I,3,FALSE)</f>
        <v>168</v>
      </c>
      <c r="D84" s="18">
        <f>VLOOKUP(A84,v_2024!F:I,4,FALSE)</f>
        <v>3399.3</v>
      </c>
      <c r="E84" s="16">
        <v>0</v>
      </c>
      <c r="F84" s="18">
        <v>0</v>
      </c>
      <c r="G84" s="19">
        <f t="shared" si="9"/>
        <v>0</v>
      </c>
      <c r="H84" s="16">
        <f t="shared" si="7"/>
        <v>168</v>
      </c>
      <c r="I84" s="18">
        <f t="shared" si="7"/>
        <v>3399.3</v>
      </c>
      <c r="J84" s="16">
        <f>VLOOKUP(A84,v_2023!F:I,3,FALSE)</f>
        <v>472</v>
      </c>
      <c r="K84" s="18">
        <f>VLOOKUP(A84,v_2023!F:I,4,FALSE)</f>
        <v>9633.52</v>
      </c>
      <c r="L84" s="16">
        <f t="shared" si="8"/>
        <v>-304</v>
      </c>
      <c r="M84" s="14">
        <f t="shared" si="8"/>
        <v>-6234.22</v>
      </c>
      <c r="N84" s="20">
        <f>M84/K84</f>
        <v>-0.64713832534732896</v>
      </c>
    </row>
    <row r="85" spans="1:14" x14ac:dyDescent="0.25">
      <c r="A85" s="16" t="s">
        <v>358</v>
      </c>
      <c r="B85" s="17" t="s">
        <v>359</v>
      </c>
      <c r="C85" s="16">
        <f>VLOOKUP(A85,v_2024!F:I,3,FALSE)</f>
        <v>2</v>
      </c>
      <c r="D85" s="18">
        <f>VLOOKUP(A85,v_2024!F:I,4,FALSE)</f>
        <v>48.17</v>
      </c>
      <c r="E85" s="16">
        <v>0</v>
      </c>
      <c r="F85" s="18">
        <v>0</v>
      </c>
      <c r="G85" s="19">
        <f t="shared" si="9"/>
        <v>0</v>
      </c>
      <c r="H85" s="16">
        <f t="shared" si="7"/>
        <v>2</v>
      </c>
      <c r="I85" s="18">
        <f t="shared" si="7"/>
        <v>48.17</v>
      </c>
      <c r="J85" s="16">
        <f>VLOOKUP(A85,v_2023!F:I,3,FALSE)</f>
        <v>5</v>
      </c>
      <c r="K85" s="18">
        <f>VLOOKUP(A85,v_2023!F:I,4,FALSE)</f>
        <v>104.95</v>
      </c>
      <c r="L85" s="16">
        <f t="shared" si="8"/>
        <v>-3</v>
      </c>
      <c r="M85" s="14">
        <f t="shared" si="8"/>
        <v>-56.78</v>
      </c>
      <c r="N85" s="20">
        <f>M85/K85</f>
        <v>-0.54101953311100526</v>
      </c>
    </row>
    <row r="86" spans="1:14" x14ac:dyDescent="0.25">
      <c r="A86" s="16" t="s">
        <v>696</v>
      </c>
      <c r="B86" s="17" t="s">
        <v>697</v>
      </c>
      <c r="C86" s="16">
        <v>0</v>
      </c>
      <c r="D86" s="18">
        <v>0</v>
      </c>
      <c r="E86" s="16">
        <v>0</v>
      </c>
      <c r="F86" s="18">
        <v>0</v>
      </c>
      <c r="G86" s="19"/>
      <c r="H86" s="16">
        <f t="shared" si="7"/>
        <v>0</v>
      </c>
      <c r="I86" s="18">
        <f t="shared" si="7"/>
        <v>0</v>
      </c>
      <c r="J86" s="16">
        <v>0</v>
      </c>
      <c r="K86" s="18">
        <v>0</v>
      </c>
      <c r="L86" s="16">
        <f t="shared" si="8"/>
        <v>0</v>
      </c>
      <c r="M86" s="14">
        <f t="shared" si="8"/>
        <v>0</v>
      </c>
      <c r="N86" s="20"/>
    </row>
    <row r="87" spans="1:14" x14ac:dyDescent="0.25">
      <c r="A87" s="16" t="s">
        <v>324</v>
      </c>
      <c r="B87" s="17" t="s">
        <v>325</v>
      </c>
      <c r="C87" s="16">
        <v>0</v>
      </c>
      <c r="D87" s="18">
        <v>0</v>
      </c>
      <c r="E87" s="16">
        <v>0</v>
      </c>
      <c r="F87" s="18">
        <v>0</v>
      </c>
      <c r="G87" s="19"/>
      <c r="H87" s="16">
        <f t="shared" si="7"/>
        <v>0</v>
      </c>
      <c r="I87" s="18">
        <f t="shared" si="7"/>
        <v>0</v>
      </c>
      <c r="J87" s="16">
        <v>0</v>
      </c>
      <c r="K87" s="18">
        <v>0</v>
      </c>
      <c r="L87" s="16">
        <f t="shared" si="8"/>
        <v>0</v>
      </c>
      <c r="M87" s="14">
        <f t="shared" si="8"/>
        <v>0</v>
      </c>
      <c r="N87" s="20"/>
    </row>
    <row r="88" spans="1:14" x14ac:dyDescent="0.25">
      <c r="A88" s="16" t="s">
        <v>370</v>
      </c>
      <c r="B88" s="17" t="s">
        <v>371</v>
      </c>
      <c r="C88" s="16">
        <v>0</v>
      </c>
      <c r="D88" s="18">
        <v>0</v>
      </c>
      <c r="E88" s="16">
        <v>0</v>
      </c>
      <c r="F88" s="18">
        <v>0</v>
      </c>
      <c r="G88" s="19"/>
      <c r="H88" s="16">
        <f t="shared" si="7"/>
        <v>0</v>
      </c>
      <c r="I88" s="18">
        <f t="shared" si="7"/>
        <v>0</v>
      </c>
      <c r="J88" s="16">
        <v>0</v>
      </c>
      <c r="K88" s="18">
        <v>0</v>
      </c>
      <c r="L88" s="16">
        <f t="shared" si="8"/>
        <v>0</v>
      </c>
      <c r="M88" s="14">
        <f t="shared" si="8"/>
        <v>0</v>
      </c>
      <c r="N88" s="20"/>
    </row>
    <row r="89" spans="1:14" x14ac:dyDescent="0.25">
      <c r="A89" s="16" t="s">
        <v>318</v>
      </c>
      <c r="B89" s="17" t="s">
        <v>319</v>
      </c>
      <c r="C89" s="16">
        <f>VLOOKUP(A89,v_2024!F:I,3,FALSE)</f>
        <v>0</v>
      </c>
      <c r="D89" s="18">
        <f>VLOOKUP(A89,v_2024!F:I,4,FALSE)</f>
        <v>0</v>
      </c>
      <c r="E89" s="16">
        <v>0</v>
      </c>
      <c r="F89" s="18">
        <v>0</v>
      </c>
      <c r="G89" s="19"/>
      <c r="H89" s="16">
        <f t="shared" si="7"/>
        <v>0</v>
      </c>
      <c r="I89" s="18">
        <f t="shared" si="7"/>
        <v>0</v>
      </c>
      <c r="J89" s="16">
        <f>VLOOKUP(A89,v_2023!F:I,3,FALSE)</f>
        <v>2</v>
      </c>
      <c r="K89" s="18">
        <f>VLOOKUP(A89,v_2023!F:I,4,FALSE)</f>
        <v>162.30000000000001</v>
      </c>
      <c r="L89" s="16">
        <f t="shared" si="8"/>
        <v>-2</v>
      </c>
      <c r="M89" s="14">
        <f t="shared" si="8"/>
        <v>-162.30000000000001</v>
      </c>
      <c r="N89" s="20">
        <f t="shared" ref="N89:N95" si="11">M89/K89</f>
        <v>-1</v>
      </c>
    </row>
    <row r="90" spans="1:14" x14ac:dyDescent="0.25">
      <c r="A90" s="16" t="s">
        <v>240</v>
      </c>
      <c r="B90" s="17" t="s">
        <v>241</v>
      </c>
      <c r="C90" s="16">
        <v>0</v>
      </c>
      <c r="D90" s="18">
        <v>0</v>
      </c>
      <c r="E90" s="16">
        <v>0</v>
      </c>
      <c r="F90" s="18">
        <v>0</v>
      </c>
      <c r="G90" s="19"/>
      <c r="H90" s="16">
        <f t="shared" si="7"/>
        <v>0</v>
      </c>
      <c r="I90" s="18">
        <f t="shared" si="7"/>
        <v>0</v>
      </c>
      <c r="J90" s="16">
        <v>0</v>
      </c>
      <c r="K90" s="18">
        <v>0</v>
      </c>
      <c r="L90" s="16">
        <f t="shared" si="8"/>
        <v>0</v>
      </c>
      <c r="M90" s="14">
        <f t="shared" si="8"/>
        <v>0</v>
      </c>
      <c r="N90" s="20"/>
    </row>
    <row r="91" spans="1:14" x14ac:dyDescent="0.25">
      <c r="A91" s="16" t="s">
        <v>132</v>
      </c>
      <c r="B91" s="17" t="s">
        <v>133</v>
      </c>
      <c r="C91" s="16">
        <f>VLOOKUP(A91,v_2024!F:I,3,FALSE)</f>
        <v>99</v>
      </c>
      <c r="D91" s="18">
        <f>VLOOKUP(A91,v_2024!F:I,4,FALSE)</f>
        <v>1371.15</v>
      </c>
      <c r="E91" s="16">
        <v>0</v>
      </c>
      <c r="F91" s="18">
        <v>0</v>
      </c>
      <c r="G91" s="19">
        <f t="shared" si="9"/>
        <v>0</v>
      </c>
      <c r="H91" s="16">
        <f t="shared" si="7"/>
        <v>99</v>
      </c>
      <c r="I91" s="18">
        <f t="shared" si="7"/>
        <v>1371.15</v>
      </c>
      <c r="J91" s="16">
        <f>VLOOKUP(A91,v_2023!F:I,3,FALSE)</f>
        <v>43</v>
      </c>
      <c r="K91" s="18">
        <f>VLOOKUP(A91,v_2023!F:I,4,FALSE)</f>
        <v>701.33</v>
      </c>
      <c r="L91" s="16">
        <f t="shared" si="8"/>
        <v>56</v>
      </c>
      <c r="M91" s="14">
        <f t="shared" si="8"/>
        <v>669.82</v>
      </c>
      <c r="N91" s="20">
        <f t="shared" si="11"/>
        <v>0.95507107923516743</v>
      </c>
    </row>
    <row r="92" spans="1:14" x14ac:dyDescent="0.25">
      <c r="A92" s="16" t="s">
        <v>456</v>
      </c>
      <c r="B92" s="17" t="s">
        <v>457</v>
      </c>
      <c r="C92" s="16">
        <v>0</v>
      </c>
      <c r="D92" s="18">
        <v>0</v>
      </c>
      <c r="E92" s="16">
        <v>0</v>
      </c>
      <c r="F92" s="18">
        <v>0</v>
      </c>
      <c r="G92" s="19"/>
      <c r="H92" s="16">
        <f t="shared" si="7"/>
        <v>0</v>
      </c>
      <c r="I92" s="18">
        <f t="shared" si="7"/>
        <v>0</v>
      </c>
      <c r="J92" s="16">
        <f>VLOOKUP(A92,v_2023!F:I,3,FALSE)</f>
        <v>2</v>
      </c>
      <c r="K92" s="18">
        <f>VLOOKUP(A92,v_2023!F:I,4,FALSE)</f>
        <v>32.659999999999997</v>
      </c>
      <c r="L92" s="16">
        <f t="shared" si="8"/>
        <v>-2</v>
      </c>
      <c r="M92" s="14">
        <f t="shared" si="8"/>
        <v>-32.659999999999997</v>
      </c>
      <c r="N92" s="20">
        <f t="shared" si="11"/>
        <v>-1</v>
      </c>
    </row>
    <row r="93" spans="1:14" x14ac:dyDescent="0.25">
      <c r="A93" s="16" t="s">
        <v>244</v>
      </c>
      <c r="B93" s="17" t="s">
        <v>245</v>
      </c>
      <c r="C93" s="16">
        <f>VLOOKUP(A93,v_2024!F:I,3,FALSE)</f>
        <v>6</v>
      </c>
      <c r="D93" s="18">
        <f>VLOOKUP(A93,v_2024!F:I,4,FALSE)</f>
        <v>147.06</v>
      </c>
      <c r="E93" s="16">
        <v>0</v>
      </c>
      <c r="F93" s="18">
        <v>0</v>
      </c>
      <c r="G93" s="19">
        <f t="shared" si="9"/>
        <v>0</v>
      </c>
      <c r="H93" s="16">
        <f t="shared" si="7"/>
        <v>6</v>
      </c>
      <c r="I93" s="18">
        <f t="shared" si="7"/>
        <v>147.06</v>
      </c>
      <c r="J93" s="16">
        <f>VLOOKUP(A93,v_2023!F:I,3,FALSE)</f>
        <v>16</v>
      </c>
      <c r="K93" s="18">
        <f>VLOOKUP(A93,v_2023!F:I,4,FALSE)</f>
        <v>392.16</v>
      </c>
      <c r="L93" s="16">
        <f t="shared" si="8"/>
        <v>-10</v>
      </c>
      <c r="M93" s="14">
        <f t="shared" si="8"/>
        <v>-245.10000000000002</v>
      </c>
      <c r="N93" s="20">
        <f t="shared" si="11"/>
        <v>-0.625</v>
      </c>
    </row>
    <row r="94" spans="1:14" x14ac:dyDescent="0.25">
      <c r="A94" s="16" t="s">
        <v>45</v>
      </c>
      <c r="B94" s="17" t="s">
        <v>46</v>
      </c>
      <c r="C94" s="16">
        <f>VLOOKUP(A94,v_2024!F:I,3,FALSE)</f>
        <v>0</v>
      </c>
      <c r="D94" s="18">
        <f>VLOOKUP(A94,v_2024!F:I,4,FALSE)</f>
        <v>0</v>
      </c>
      <c r="E94" s="16">
        <v>0</v>
      </c>
      <c r="F94" s="18">
        <v>0</v>
      </c>
      <c r="G94" s="19"/>
      <c r="H94" s="16">
        <f t="shared" si="7"/>
        <v>0</v>
      </c>
      <c r="I94" s="18">
        <f t="shared" si="7"/>
        <v>0</v>
      </c>
      <c r="J94" s="16">
        <f>VLOOKUP(A94,v_2023!F:I,3,FALSE)</f>
        <v>794</v>
      </c>
      <c r="K94" s="18">
        <f>VLOOKUP(A94,v_2023!F:I,4,FALSE)</f>
        <v>9694.74</v>
      </c>
      <c r="L94" s="16">
        <f t="shared" si="8"/>
        <v>-794</v>
      </c>
      <c r="M94" s="14">
        <f t="shared" si="8"/>
        <v>-9694.74</v>
      </c>
      <c r="N94" s="20">
        <f t="shared" si="11"/>
        <v>-1</v>
      </c>
    </row>
    <row r="95" spans="1:14" x14ac:dyDescent="0.25">
      <c r="A95" s="16" t="s">
        <v>216</v>
      </c>
      <c r="B95" s="17" t="s">
        <v>217</v>
      </c>
      <c r="C95" s="16">
        <f>VLOOKUP(A95,v_2024!F:I,3,FALSE)</f>
        <v>16</v>
      </c>
      <c r="D95" s="18">
        <f>VLOOKUP(A95,v_2024!F:I,4,FALSE)</f>
        <v>167.52</v>
      </c>
      <c r="E95" s="16">
        <v>0</v>
      </c>
      <c r="F95" s="18">
        <v>0</v>
      </c>
      <c r="G95" s="19">
        <f>F95/I95</f>
        <v>0</v>
      </c>
      <c r="H95" s="16">
        <f t="shared" si="7"/>
        <v>16</v>
      </c>
      <c r="I95" s="18">
        <f t="shared" si="7"/>
        <v>167.52</v>
      </c>
      <c r="J95" s="16">
        <f>VLOOKUP(A95,v_2023!F:I,3,FALSE)</f>
        <v>52</v>
      </c>
      <c r="K95" s="18">
        <f>VLOOKUP(A95,v_2023!F:I,4,FALSE)</f>
        <v>596.63</v>
      </c>
      <c r="L95" s="16">
        <f t="shared" si="8"/>
        <v>-36</v>
      </c>
      <c r="M95" s="14">
        <f t="shared" si="8"/>
        <v>-429.11</v>
      </c>
      <c r="N95" s="20">
        <f t="shared" si="11"/>
        <v>-0.71922296900926874</v>
      </c>
    </row>
    <row r="96" spans="1:14" x14ac:dyDescent="0.25">
      <c r="A96" s="16" t="s">
        <v>308</v>
      </c>
      <c r="B96" s="17" t="s">
        <v>309</v>
      </c>
      <c r="C96" s="16">
        <v>0</v>
      </c>
      <c r="D96" s="18">
        <v>0</v>
      </c>
      <c r="E96" s="16">
        <v>0</v>
      </c>
      <c r="F96" s="18">
        <v>0</v>
      </c>
      <c r="G96" s="19"/>
      <c r="H96" s="16">
        <f t="shared" si="7"/>
        <v>0</v>
      </c>
      <c r="I96" s="18">
        <f t="shared" si="7"/>
        <v>0</v>
      </c>
      <c r="J96" s="16">
        <v>0</v>
      </c>
      <c r="K96" s="18">
        <v>0</v>
      </c>
      <c r="L96" s="16">
        <f t="shared" si="8"/>
        <v>0</v>
      </c>
      <c r="M96" s="14">
        <f t="shared" si="8"/>
        <v>0</v>
      </c>
      <c r="N96" s="20"/>
    </row>
    <row r="97" spans="1:14" x14ac:dyDescent="0.25">
      <c r="A97" s="16" t="s">
        <v>572</v>
      </c>
      <c r="B97" s="17" t="s">
        <v>573</v>
      </c>
      <c r="C97" s="16">
        <v>0</v>
      </c>
      <c r="D97" s="18">
        <v>0</v>
      </c>
      <c r="E97" s="16">
        <f>VLOOKUP(A97,s_2024!E:G,2,FALSE)</f>
        <v>1</v>
      </c>
      <c r="F97" s="18">
        <f>VLOOKUP(A97,s_2024!E:G,3,FALSE)</f>
        <v>15.9</v>
      </c>
      <c r="G97" s="19">
        <f>F97/I97</f>
        <v>1</v>
      </c>
      <c r="H97" s="16">
        <f t="shared" si="7"/>
        <v>1</v>
      </c>
      <c r="I97" s="18">
        <f t="shared" si="7"/>
        <v>15.9</v>
      </c>
      <c r="J97" s="16">
        <v>0</v>
      </c>
      <c r="K97" s="18">
        <v>0</v>
      </c>
      <c r="L97" s="16">
        <f t="shared" si="8"/>
        <v>1</v>
      </c>
      <c r="M97" s="14">
        <f t="shared" si="8"/>
        <v>15.9</v>
      </c>
      <c r="N97" s="20"/>
    </row>
    <row r="98" spans="1:14" x14ac:dyDescent="0.25">
      <c r="A98" s="16" t="s">
        <v>314</v>
      </c>
      <c r="B98" s="17" t="s">
        <v>315</v>
      </c>
      <c r="C98" s="16">
        <v>0</v>
      </c>
      <c r="D98" s="18">
        <v>0</v>
      </c>
      <c r="E98" s="16">
        <v>0</v>
      </c>
      <c r="F98" s="18">
        <v>0</v>
      </c>
      <c r="G98" s="19"/>
      <c r="H98" s="16">
        <f t="shared" si="7"/>
        <v>0</v>
      </c>
      <c r="I98" s="18">
        <f t="shared" si="7"/>
        <v>0</v>
      </c>
      <c r="J98" s="16">
        <f>VLOOKUP(A98,v_2023!F:I,3,FALSE)</f>
        <v>23</v>
      </c>
      <c r="K98" s="18">
        <f>VLOOKUP(A98,v_2023!F:I,4,FALSE)</f>
        <v>171.89</v>
      </c>
      <c r="L98" s="16">
        <f t="shared" si="8"/>
        <v>-23</v>
      </c>
      <c r="M98" s="14">
        <f t="shared" si="8"/>
        <v>-171.89</v>
      </c>
      <c r="N98" s="20">
        <f>M98/K98</f>
        <v>-1</v>
      </c>
    </row>
    <row r="99" spans="1:14" x14ac:dyDescent="0.25">
      <c r="A99" s="16" t="s">
        <v>71</v>
      </c>
      <c r="B99" s="17" t="s">
        <v>72</v>
      </c>
      <c r="C99" s="16">
        <f>VLOOKUP(A99,v_2024!F:I,3,FALSE)</f>
        <v>105</v>
      </c>
      <c r="D99" s="18">
        <f>VLOOKUP(A99,v_2024!F:I,4,FALSE)</f>
        <v>2591.61</v>
      </c>
      <c r="E99" s="16">
        <f>VLOOKUP(A99,s_2024!E:G,2,FALSE)</f>
        <v>104</v>
      </c>
      <c r="F99" s="18">
        <f>VLOOKUP(A99,s_2024!E:G,3,FALSE)</f>
        <v>3109.6000000000017</v>
      </c>
      <c r="G99" s="19">
        <f>F99/I99</f>
        <v>0.54542807579443675</v>
      </c>
      <c r="H99" s="16">
        <f t="shared" si="7"/>
        <v>209</v>
      </c>
      <c r="I99" s="18">
        <f t="shared" si="7"/>
        <v>5701.2100000000019</v>
      </c>
      <c r="J99" s="16">
        <f>VLOOKUP(A99,v_2023!F:I,3,FALSE)</f>
        <v>247</v>
      </c>
      <c r="K99" s="18">
        <f>VLOOKUP(A99,v_2023!F:I,4,FALSE)</f>
        <v>5658.63</v>
      </c>
      <c r="L99" s="16">
        <f t="shared" si="8"/>
        <v>-38</v>
      </c>
      <c r="M99" s="14">
        <f t="shared" si="8"/>
        <v>42.580000000001746</v>
      </c>
      <c r="N99" s="20">
        <f>M99/K99</f>
        <v>7.5247895692069893E-3</v>
      </c>
    </row>
    <row r="100" spans="1:14" x14ac:dyDescent="0.25">
      <c r="A100" s="16" t="s">
        <v>180</v>
      </c>
      <c r="B100" s="17" t="s">
        <v>181</v>
      </c>
      <c r="C100" s="16">
        <f>VLOOKUP(A100,v_2024!F:I,3,FALSE)</f>
        <v>25</v>
      </c>
      <c r="D100" s="18">
        <f>VLOOKUP(A100,v_2024!F:I,4,FALSE)</f>
        <v>993.72</v>
      </c>
      <c r="E100" s="16">
        <v>0</v>
      </c>
      <c r="F100" s="18">
        <v>0</v>
      </c>
      <c r="G100" s="19">
        <f>F100/I100</f>
        <v>0</v>
      </c>
      <c r="H100" s="16">
        <f t="shared" si="7"/>
        <v>25</v>
      </c>
      <c r="I100" s="18">
        <f t="shared" si="7"/>
        <v>993.72</v>
      </c>
      <c r="J100" s="16">
        <f>VLOOKUP(A100,v_2023!F:I,3,FALSE)</f>
        <v>21</v>
      </c>
      <c r="K100" s="18">
        <f>VLOOKUP(A100,v_2023!F:I,4,FALSE)</f>
        <v>998.34</v>
      </c>
      <c r="L100" s="16">
        <f t="shared" si="8"/>
        <v>4</v>
      </c>
      <c r="M100" s="14">
        <f t="shared" si="8"/>
        <v>-4.6200000000000045</v>
      </c>
      <c r="N100" s="20">
        <f>M100/K100</f>
        <v>-4.6276819520403916E-3</v>
      </c>
    </row>
    <row r="101" spans="1:14" x14ac:dyDescent="0.25">
      <c r="A101" s="16" t="s">
        <v>638</v>
      </c>
      <c r="B101" s="17" t="s">
        <v>639</v>
      </c>
      <c r="C101" s="16">
        <v>0</v>
      </c>
      <c r="D101" s="18">
        <v>0</v>
      </c>
      <c r="E101" s="16">
        <v>0</v>
      </c>
      <c r="F101" s="18">
        <v>0</v>
      </c>
      <c r="G101" s="19"/>
      <c r="H101" s="16">
        <f t="shared" si="7"/>
        <v>0</v>
      </c>
      <c r="I101" s="18">
        <f t="shared" si="7"/>
        <v>0</v>
      </c>
      <c r="J101" s="16">
        <v>0</v>
      </c>
      <c r="K101" s="18">
        <v>0</v>
      </c>
      <c r="L101" s="16">
        <f t="shared" si="8"/>
        <v>0</v>
      </c>
      <c r="M101" s="14">
        <f t="shared" si="8"/>
        <v>0</v>
      </c>
      <c r="N101" s="20"/>
    </row>
    <row r="102" spans="1:14" x14ac:dyDescent="0.25">
      <c r="A102" s="16" t="s">
        <v>285</v>
      </c>
      <c r="B102" s="17" t="s">
        <v>286</v>
      </c>
      <c r="C102" s="16">
        <f>VLOOKUP(A102,v_2024!F:I,3,FALSE)</f>
        <v>4</v>
      </c>
      <c r="D102" s="18">
        <f>VLOOKUP(A102,v_2024!F:I,4,FALSE)</f>
        <v>80.010000000000005</v>
      </c>
      <c r="E102" s="16">
        <v>0</v>
      </c>
      <c r="F102" s="18">
        <v>0</v>
      </c>
      <c r="G102" s="19">
        <f>F102/I102</f>
        <v>0</v>
      </c>
      <c r="H102" s="16">
        <f t="shared" si="7"/>
        <v>4</v>
      </c>
      <c r="I102" s="18">
        <f t="shared" si="7"/>
        <v>80.010000000000005</v>
      </c>
      <c r="J102" s="16">
        <f>VLOOKUP(A102,v_2023!F:I,3,FALSE)</f>
        <v>11</v>
      </c>
      <c r="K102" s="18">
        <f>VLOOKUP(A102,v_2023!F:I,4,FALSE)</f>
        <v>221.38</v>
      </c>
      <c r="L102" s="16">
        <f t="shared" si="8"/>
        <v>-7</v>
      </c>
      <c r="M102" s="14">
        <f t="shared" si="8"/>
        <v>-141.37</v>
      </c>
      <c r="N102" s="20">
        <f>M102/K102</f>
        <v>-0.6385852380522179</v>
      </c>
    </row>
    <row r="103" spans="1:14" x14ac:dyDescent="0.25">
      <c r="A103" s="16" t="s">
        <v>468</v>
      </c>
      <c r="B103" s="17" t="s">
        <v>469</v>
      </c>
      <c r="C103" s="16">
        <v>0</v>
      </c>
      <c r="D103" s="18">
        <v>0</v>
      </c>
      <c r="E103" s="16">
        <v>0</v>
      </c>
      <c r="F103" s="18">
        <v>0</v>
      </c>
      <c r="G103" s="19"/>
      <c r="H103" s="16">
        <f t="shared" si="7"/>
        <v>0</v>
      </c>
      <c r="I103" s="18">
        <f t="shared" si="7"/>
        <v>0</v>
      </c>
      <c r="J103" s="16">
        <v>0</v>
      </c>
      <c r="K103" s="18">
        <v>0</v>
      </c>
      <c r="L103" s="16">
        <f t="shared" si="8"/>
        <v>0</v>
      </c>
      <c r="M103" s="14">
        <f t="shared" si="8"/>
        <v>0</v>
      </c>
      <c r="N103" s="20"/>
    </row>
    <row r="104" spans="1:14" x14ac:dyDescent="0.25">
      <c r="A104" s="16" t="s">
        <v>542</v>
      </c>
      <c r="B104" s="17" t="s">
        <v>543</v>
      </c>
      <c r="C104" s="16">
        <f>VLOOKUP(A104,v_2024!F:I,3,FALSE)</f>
        <v>0</v>
      </c>
      <c r="D104" s="18">
        <f>VLOOKUP(A104,v_2024!F:I,4,FALSE)</f>
        <v>0</v>
      </c>
      <c r="E104" s="16">
        <v>0</v>
      </c>
      <c r="F104" s="18">
        <v>0</v>
      </c>
      <c r="G104" s="19"/>
      <c r="H104" s="16">
        <f t="shared" si="7"/>
        <v>0</v>
      </c>
      <c r="I104" s="18">
        <f t="shared" si="7"/>
        <v>0</v>
      </c>
      <c r="J104" s="16">
        <f>VLOOKUP(A104,v_2023!F:I,3,FALSE)</f>
        <v>0</v>
      </c>
      <c r="K104" s="18">
        <f>VLOOKUP(A104,v_2023!F:I,4,FALSE)</f>
        <v>0</v>
      </c>
      <c r="L104" s="16">
        <f t="shared" si="8"/>
        <v>0</v>
      </c>
      <c r="M104" s="14">
        <f t="shared" si="8"/>
        <v>0</v>
      </c>
      <c r="N104" s="20"/>
    </row>
    <row r="105" spans="1:14" x14ac:dyDescent="0.25">
      <c r="A105" s="16" t="s">
        <v>208</v>
      </c>
      <c r="B105" s="17" t="s">
        <v>209</v>
      </c>
      <c r="C105" s="16">
        <v>0</v>
      </c>
      <c r="D105" s="18">
        <v>0</v>
      </c>
      <c r="E105" s="16">
        <f>VLOOKUP(A105,s_2024!E:G,2,FALSE)</f>
        <v>26</v>
      </c>
      <c r="F105" s="18">
        <f>VLOOKUP(A105,s_2024!E:G,3,FALSE)</f>
        <v>2077.400000000001</v>
      </c>
      <c r="G105" s="19">
        <f t="shared" ref="G105:G120" si="12">F105/I105</f>
        <v>1</v>
      </c>
      <c r="H105" s="16">
        <f t="shared" si="7"/>
        <v>26</v>
      </c>
      <c r="I105" s="18">
        <f t="shared" si="7"/>
        <v>2077.400000000001</v>
      </c>
      <c r="J105" s="16">
        <v>0</v>
      </c>
      <c r="K105" s="18">
        <v>0</v>
      </c>
      <c r="L105" s="16">
        <f t="shared" si="8"/>
        <v>26</v>
      </c>
      <c r="M105" s="14">
        <f t="shared" si="8"/>
        <v>2077.400000000001</v>
      </c>
      <c r="N105" s="20"/>
    </row>
    <row r="106" spans="1:14" x14ac:dyDescent="0.25">
      <c r="A106" s="16" t="s">
        <v>114</v>
      </c>
      <c r="B106" s="17" t="s">
        <v>115</v>
      </c>
      <c r="C106" s="16">
        <v>0</v>
      </c>
      <c r="D106" s="18">
        <v>0</v>
      </c>
      <c r="E106" s="16">
        <f>VLOOKUP(A106,s_2024!E:G,2,FALSE)</f>
        <v>3</v>
      </c>
      <c r="F106" s="18">
        <f>VLOOKUP(A106,s_2024!E:G,3,FALSE)</f>
        <v>149.69999999999999</v>
      </c>
      <c r="G106" s="19">
        <f t="shared" si="12"/>
        <v>1</v>
      </c>
      <c r="H106" s="16">
        <f t="shared" si="7"/>
        <v>3</v>
      </c>
      <c r="I106" s="18">
        <f t="shared" si="7"/>
        <v>149.69999999999999</v>
      </c>
      <c r="J106" s="16">
        <v>0</v>
      </c>
      <c r="K106" s="18">
        <v>0</v>
      </c>
      <c r="L106" s="16">
        <f t="shared" si="8"/>
        <v>3</v>
      </c>
      <c r="M106" s="14">
        <f t="shared" si="8"/>
        <v>149.69999999999999</v>
      </c>
      <c r="N106" s="20"/>
    </row>
    <row r="107" spans="1:14" x14ac:dyDescent="0.25">
      <c r="A107" s="16" t="s">
        <v>188</v>
      </c>
      <c r="B107" s="17" t="s">
        <v>189</v>
      </c>
      <c r="C107" s="16">
        <f>VLOOKUP(A107,v_2024!F:I,3,FALSE)</f>
        <v>3</v>
      </c>
      <c r="D107" s="18">
        <f>VLOOKUP(A107,v_2024!F:I,4,FALSE)</f>
        <v>92.19</v>
      </c>
      <c r="E107" s="16">
        <v>0</v>
      </c>
      <c r="F107" s="18">
        <v>0</v>
      </c>
      <c r="G107" s="19">
        <f t="shared" si="12"/>
        <v>0</v>
      </c>
      <c r="H107" s="16">
        <f t="shared" si="7"/>
        <v>3</v>
      </c>
      <c r="I107" s="18">
        <f t="shared" si="7"/>
        <v>92.19</v>
      </c>
      <c r="J107" s="16">
        <f>VLOOKUP(A107,v_2023!F:I,3,FALSE)</f>
        <v>39</v>
      </c>
      <c r="K107" s="18">
        <f>VLOOKUP(A107,v_2023!F:I,4,FALSE)</f>
        <v>955.89</v>
      </c>
      <c r="L107" s="16">
        <f t="shared" si="8"/>
        <v>-36</v>
      </c>
      <c r="M107" s="14">
        <f t="shared" si="8"/>
        <v>-863.7</v>
      </c>
      <c r="N107" s="20">
        <f t="shared" ref="N107:N120" si="13">M107/K107</f>
        <v>-0.90355584847628923</v>
      </c>
    </row>
    <row r="108" spans="1:14" x14ac:dyDescent="0.25">
      <c r="A108" s="16" t="s">
        <v>77</v>
      </c>
      <c r="B108" s="17" t="s">
        <v>78</v>
      </c>
      <c r="C108" s="16">
        <f>VLOOKUP(A108,v_2024!F:I,3,FALSE)</f>
        <v>-4</v>
      </c>
      <c r="D108" s="18">
        <f>VLOOKUP(A108,v_2024!F:I,4,FALSE)</f>
        <v>-230.16</v>
      </c>
      <c r="E108" s="16">
        <v>0</v>
      </c>
      <c r="F108" s="18">
        <v>0</v>
      </c>
      <c r="G108" s="19">
        <f t="shared" si="12"/>
        <v>0</v>
      </c>
      <c r="H108" s="16">
        <f t="shared" si="7"/>
        <v>-4</v>
      </c>
      <c r="I108" s="18">
        <f t="shared" si="7"/>
        <v>-230.16</v>
      </c>
      <c r="J108" s="16">
        <f>VLOOKUP(A108,v_2023!F:I,3,FALSE)</f>
        <v>76</v>
      </c>
      <c r="K108" s="18">
        <f>VLOOKUP(A108,v_2023!F:I,4,FALSE)</f>
        <v>4817.34</v>
      </c>
      <c r="L108" s="16">
        <f t="shared" si="8"/>
        <v>-80</v>
      </c>
      <c r="M108" s="14">
        <f t="shared" si="8"/>
        <v>-5047.5</v>
      </c>
      <c r="N108" s="20">
        <f t="shared" si="13"/>
        <v>-1.0477774041275891</v>
      </c>
    </row>
    <row r="109" spans="1:14" x14ac:dyDescent="0.25">
      <c r="A109" s="16" t="s">
        <v>444</v>
      </c>
      <c r="B109" s="17" t="s">
        <v>445</v>
      </c>
      <c r="C109" s="16">
        <v>0</v>
      </c>
      <c r="D109" s="18">
        <v>0</v>
      </c>
      <c r="E109" s="16">
        <v>0</v>
      </c>
      <c r="F109" s="18">
        <v>0</v>
      </c>
      <c r="G109" s="19"/>
      <c r="H109" s="16">
        <f t="shared" si="7"/>
        <v>0</v>
      </c>
      <c r="I109" s="18">
        <f t="shared" si="7"/>
        <v>0</v>
      </c>
      <c r="J109" s="16">
        <v>0</v>
      </c>
      <c r="K109" s="18">
        <v>0</v>
      </c>
      <c r="L109" s="16">
        <f t="shared" si="8"/>
        <v>0</v>
      </c>
      <c r="M109" s="14">
        <f t="shared" si="8"/>
        <v>0</v>
      </c>
      <c r="N109" s="20"/>
    </row>
    <row r="110" spans="1:14" x14ac:dyDescent="0.25">
      <c r="A110" s="16" t="s">
        <v>130</v>
      </c>
      <c r="B110" s="17" t="s">
        <v>131</v>
      </c>
      <c r="C110" s="16">
        <f>VLOOKUP(A110,v_2024!F:I,3,FALSE)</f>
        <v>12</v>
      </c>
      <c r="D110" s="18">
        <f>VLOOKUP(A110,v_2024!F:I,4,FALSE)</f>
        <v>709.12</v>
      </c>
      <c r="E110" s="16">
        <v>0</v>
      </c>
      <c r="F110" s="18">
        <v>0</v>
      </c>
      <c r="G110" s="19">
        <f t="shared" si="12"/>
        <v>0</v>
      </c>
      <c r="H110" s="16">
        <f t="shared" si="7"/>
        <v>12</v>
      </c>
      <c r="I110" s="18">
        <f t="shared" si="7"/>
        <v>709.12</v>
      </c>
      <c r="J110" s="16">
        <f>VLOOKUP(A110,v_2023!F:I,3,FALSE)</f>
        <v>33</v>
      </c>
      <c r="K110" s="18">
        <f>VLOOKUP(A110,v_2023!F:I,4,FALSE)</f>
        <v>1963.08</v>
      </c>
      <c r="L110" s="16">
        <f t="shared" si="8"/>
        <v>-21</v>
      </c>
      <c r="M110" s="14">
        <f t="shared" si="8"/>
        <v>-1253.96</v>
      </c>
      <c r="N110" s="20">
        <f t="shared" si="13"/>
        <v>-0.63877172606312538</v>
      </c>
    </row>
    <row r="111" spans="1:14" x14ac:dyDescent="0.25">
      <c r="A111" s="16" t="s">
        <v>9</v>
      </c>
      <c r="B111" s="17" t="s">
        <v>10</v>
      </c>
      <c r="C111" s="16">
        <f>VLOOKUP(A111,v_2024!F:I,3,FALSE)</f>
        <v>107</v>
      </c>
      <c r="D111" s="18">
        <f>VLOOKUP(A111,v_2024!F:I,4,FALSE)</f>
        <v>1345.75</v>
      </c>
      <c r="E111" s="16">
        <v>0</v>
      </c>
      <c r="F111" s="18">
        <v>0</v>
      </c>
      <c r="G111" s="19">
        <f t="shared" si="12"/>
        <v>0</v>
      </c>
      <c r="H111" s="16">
        <f t="shared" si="7"/>
        <v>107</v>
      </c>
      <c r="I111" s="18">
        <f t="shared" si="7"/>
        <v>1345.75</v>
      </c>
      <c r="J111" s="16">
        <f>VLOOKUP(A111,v_2023!F:I,3,FALSE)</f>
        <v>2989</v>
      </c>
      <c r="K111" s="18">
        <f>VLOOKUP(A111,v_2023!F:I,4,FALSE)</f>
        <v>36493.17</v>
      </c>
      <c r="L111" s="16">
        <f t="shared" si="8"/>
        <v>-2882</v>
      </c>
      <c r="M111" s="14">
        <f t="shared" si="8"/>
        <v>-35147.42</v>
      </c>
      <c r="N111" s="20">
        <f t="shared" si="13"/>
        <v>-0.96312323648507381</v>
      </c>
    </row>
    <row r="112" spans="1:14" x14ac:dyDescent="0.25">
      <c r="A112" s="16" t="s">
        <v>374</v>
      </c>
      <c r="B112" s="17" t="s">
        <v>375</v>
      </c>
      <c r="C112" s="16">
        <f>VLOOKUP(A112,v_2024!F:I,3,FALSE)</f>
        <v>3</v>
      </c>
      <c r="D112" s="18">
        <f>VLOOKUP(A112,v_2024!F:I,4,FALSE)</f>
        <v>66.150000000000006</v>
      </c>
      <c r="E112" s="16">
        <v>0</v>
      </c>
      <c r="F112" s="18">
        <v>0</v>
      </c>
      <c r="G112" s="19">
        <f t="shared" si="12"/>
        <v>0</v>
      </c>
      <c r="H112" s="16">
        <f t="shared" si="7"/>
        <v>3</v>
      </c>
      <c r="I112" s="18">
        <f t="shared" si="7"/>
        <v>66.150000000000006</v>
      </c>
      <c r="J112" s="16">
        <f>VLOOKUP(A112,v_2023!F:I,3,FALSE)</f>
        <v>4</v>
      </c>
      <c r="K112" s="18">
        <f>VLOOKUP(A112,v_2023!F:I,4,FALSE)</f>
        <v>81.64</v>
      </c>
      <c r="L112" s="16">
        <f t="shared" si="8"/>
        <v>-1</v>
      </c>
      <c r="M112" s="14">
        <f t="shared" si="8"/>
        <v>-15.489999999999995</v>
      </c>
      <c r="N112" s="20">
        <f t="shared" si="13"/>
        <v>-0.18973542381185687</v>
      </c>
    </row>
    <row r="113" spans="1:14" x14ac:dyDescent="0.25">
      <c r="A113" s="16" t="s">
        <v>88</v>
      </c>
      <c r="B113" s="17" t="s">
        <v>89</v>
      </c>
      <c r="C113" s="16">
        <v>0</v>
      </c>
      <c r="D113" s="18">
        <v>0</v>
      </c>
      <c r="E113" s="16">
        <f>VLOOKUP(A113,s_2024!E:G,2,FALSE)</f>
        <v>29</v>
      </c>
      <c r="F113" s="18">
        <f>VLOOKUP(A113,s_2024!E:G,3,FALSE)</f>
        <v>1737.1000000000008</v>
      </c>
      <c r="G113" s="19">
        <f t="shared" si="12"/>
        <v>1</v>
      </c>
      <c r="H113" s="16">
        <f t="shared" si="7"/>
        <v>29</v>
      </c>
      <c r="I113" s="18">
        <f t="shared" si="7"/>
        <v>1737.1000000000008</v>
      </c>
      <c r="J113" s="16">
        <v>0</v>
      </c>
      <c r="K113" s="18">
        <v>0</v>
      </c>
      <c r="L113" s="16">
        <f t="shared" si="8"/>
        <v>29</v>
      </c>
      <c r="M113" s="14">
        <f t="shared" si="8"/>
        <v>1737.1000000000008</v>
      </c>
      <c r="N113" s="20"/>
    </row>
    <row r="114" spans="1:14" x14ac:dyDescent="0.25">
      <c r="A114" s="16" t="s">
        <v>21</v>
      </c>
      <c r="B114" s="17" t="s">
        <v>22</v>
      </c>
      <c r="C114" s="16">
        <f>VLOOKUP(A114,v_2024!F:I,3,FALSE)</f>
        <v>1</v>
      </c>
      <c r="D114" s="18">
        <f>VLOOKUP(A114,v_2024!F:I,4,FALSE)</f>
        <v>24.88</v>
      </c>
      <c r="E114" s="16">
        <f>VLOOKUP(A114,s_2024!E:G,2,FALSE)</f>
        <v>36</v>
      </c>
      <c r="F114" s="18">
        <f>VLOOKUP(A114,s_2024!E:G,3,FALSE)</f>
        <v>1101.6199999999997</v>
      </c>
      <c r="G114" s="19">
        <f t="shared" si="12"/>
        <v>0.97791389258766082</v>
      </c>
      <c r="H114" s="16">
        <f t="shared" si="7"/>
        <v>37</v>
      </c>
      <c r="I114" s="18">
        <f t="shared" si="7"/>
        <v>1126.4999999999998</v>
      </c>
      <c r="J114" s="16">
        <f>VLOOKUP(A114,v_2023!F:I,3,FALSE)</f>
        <v>889</v>
      </c>
      <c r="K114" s="18">
        <f>VLOOKUP(A114,v_2023!F:I,4,FALSE)</f>
        <v>18144.490000000002</v>
      </c>
      <c r="L114" s="16">
        <f t="shared" si="8"/>
        <v>-852</v>
      </c>
      <c r="M114" s="14">
        <f t="shared" si="8"/>
        <v>-17017.990000000002</v>
      </c>
      <c r="N114" s="20">
        <f t="shared" si="13"/>
        <v>-0.93791503646561569</v>
      </c>
    </row>
    <row r="115" spans="1:14" x14ac:dyDescent="0.25">
      <c r="A115" s="16" t="s">
        <v>69</v>
      </c>
      <c r="B115" s="17" t="s">
        <v>70</v>
      </c>
      <c r="C115" s="16">
        <f>VLOOKUP(A115,v_2024!F:I,3,FALSE)</f>
        <v>28</v>
      </c>
      <c r="D115" s="18">
        <f>VLOOKUP(A115,v_2024!F:I,4,FALSE)</f>
        <v>676.38</v>
      </c>
      <c r="E115" s="16">
        <v>0</v>
      </c>
      <c r="F115" s="18">
        <v>0</v>
      </c>
      <c r="G115" s="19">
        <f t="shared" si="12"/>
        <v>0</v>
      </c>
      <c r="H115" s="16">
        <f t="shared" si="7"/>
        <v>28</v>
      </c>
      <c r="I115" s="18">
        <f t="shared" si="7"/>
        <v>676.38</v>
      </c>
      <c r="J115" s="16">
        <f>VLOOKUP(A115,v_2023!F:I,3,FALSE)</f>
        <v>245</v>
      </c>
      <c r="K115" s="18">
        <f>VLOOKUP(A115,v_2023!F:I,4,FALSE)</f>
        <v>6004.95</v>
      </c>
      <c r="L115" s="16">
        <f t="shared" si="8"/>
        <v>-217</v>
      </c>
      <c r="M115" s="14">
        <f t="shared" si="8"/>
        <v>-5328.57</v>
      </c>
      <c r="N115" s="20">
        <f t="shared" si="13"/>
        <v>-0.88736292558639118</v>
      </c>
    </row>
    <row r="116" spans="1:14" x14ac:dyDescent="0.25">
      <c r="A116" s="16" t="s">
        <v>438</v>
      </c>
      <c r="B116" s="17" t="s">
        <v>439</v>
      </c>
      <c r="C116" s="16">
        <f>VLOOKUP(A116,v_2024!F:I,3,FALSE)</f>
        <v>5</v>
      </c>
      <c r="D116" s="18">
        <f>VLOOKUP(A116,v_2024!F:I,4,FALSE)</f>
        <v>24.55</v>
      </c>
      <c r="E116" s="16">
        <v>0</v>
      </c>
      <c r="F116" s="18">
        <v>0</v>
      </c>
      <c r="G116" s="19">
        <f t="shared" si="12"/>
        <v>0</v>
      </c>
      <c r="H116" s="16">
        <f t="shared" si="7"/>
        <v>5</v>
      </c>
      <c r="I116" s="18">
        <f t="shared" si="7"/>
        <v>24.55</v>
      </c>
      <c r="J116" s="16">
        <f>VLOOKUP(A116,v_2023!F:I,3,FALSE)</f>
        <v>7</v>
      </c>
      <c r="K116" s="18">
        <f>VLOOKUP(A116,v_2023!F:I,4,FALSE)</f>
        <v>41.82</v>
      </c>
      <c r="L116" s="16">
        <f t="shared" si="8"/>
        <v>-2</v>
      </c>
      <c r="M116" s="14">
        <f t="shared" si="8"/>
        <v>-17.27</v>
      </c>
      <c r="N116" s="20">
        <f t="shared" si="13"/>
        <v>-0.41296030607364898</v>
      </c>
    </row>
    <row r="117" spans="1:14" x14ac:dyDescent="0.25">
      <c r="A117" s="16" t="s">
        <v>226</v>
      </c>
      <c r="B117" s="17" t="s">
        <v>227</v>
      </c>
      <c r="C117" s="16">
        <f>VLOOKUP(A117,v_2024!F:I,3,FALSE)</f>
        <v>1</v>
      </c>
      <c r="D117" s="18">
        <f>VLOOKUP(A117,v_2024!F:I,4,FALSE)</f>
        <v>7.62</v>
      </c>
      <c r="E117" s="16">
        <v>0</v>
      </c>
      <c r="F117" s="18">
        <v>0</v>
      </c>
      <c r="G117" s="19">
        <f t="shared" si="12"/>
        <v>0</v>
      </c>
      <c r="H117" s="16">
        <f t="shared" si="7"/>
        <v>1</v>
      </c>
      <c r="I117" s="18">
        <f t="shared" si="7"/>
        <v>7.62</v>
      </c>
      <c r="J117" s="16">
        <f>VLOOKUP(A117,v_2023!F:I,3,FALSE)</f>
        <v>74</v>
      </c>
      <c r="K117" s="18">
        <f>VLOOKUP(A117,v_2023!F:I,4,FALSE)</f>
        <v>540.20000000000005</v>
      </c>
      <c r="L117" s="16">
        <f t="shared" si="8"/>
        <v>-73</v>
      </c>
      <c r="M117" s="14">
        <f t="shared" si="8"/>
        <v>-532.58000000000004</v>
      </c>
      <c r="N117" s="20">
        <f t="shared" si="13"/>
        <v>-0.98589411329137355</v>
      </c>
    </row>
    <row r="118" spans="1:14" x14ac:dyDescent="0.25">
      <c r="A118" s="16" t="s">
        <v>376</v>
      </c>
      <c r="B118" s="17" t="s">
        <v>377</v>
      </c>
      <c r="C118" s="16">
        <f>VLOOKUP(A118,v_2024!F:I,3,FALSE)</f>
        <v>45</v>
      </c>
      <c r="D118" s="18">
        <f>VLOOKUP(A118,v_2024!F:I,4,FALSE)</f>
        <v>281</v>
      </c>
      <c r="E118" s="16">
        <v>0</v>
      </c>
      <c r="F118" s="18">
        <v>0</v>
      </c>
      <c r="G118" s="19">
        <f t="shared" si="12"/>
        <v>0</v>
      </c>
      <c r="H118" s="16">
        <f t="shared" si="7"/>
        <v>45</v>
      </c>
      <c r="I118" s="18">
        <f t="shared" si="7"/>
        <v>281</v>
      </c>
      <c r="J118" s="16">
        <f>VLOOKUP(A118,v_2023!F:I,3,FALSE)</f>
        <v>11</v>
      </c>
      <c r="K118" s="18">
        <f>VLOOKUP(A118,v_2023!F:I,4,FALSE)</f>
        <v>80.3</v>
      </c>
      <c r="L118" s="16">
        <f t="shared" si="8"/>
        <v>34</v>
      </c>
      <c r="M118" s="14">
        <f t="shared" si="8"/>
        <v>200.7</v>
      </c>
      <c r="N118" s="20">
        <f t="shared" si="13"/>
        <v>2.4993773349937731</v>
      </c>
    </row>
    <row r="119" spans="1:14" x14ac:dyDescent="0.25">
      <c r="A119" s="16" t="s">
        <v>218</v>
      </c>
      <c r="B119" s="17" t="s">
        <v>219</v>
      </c>
      <c r="C119" s="16">
        <f>VLOOKUP(A119,v_2024!F:I,3,FALSE)</f>
        <v>29</v>
      </c>
      <c r="D119" s="18">
        <f>VLOOKUP(A119,v_2024!F:I,4,FALSE)</f>
        <v>189.95</v>
      </c>
      <c r="E119" s="16">
        <v>0</v>
      </c>
      <c r="F119" s="18">
        <v>0</v>
      </c>
      <c r="G119" s="19">
        <f t="shared" si="12"/>
        <v>0</v>
      </c>
      <c r="H119" s="16">
        <f t="shared" si="7"/>
        <v>29</v>
      </c>
      <c r="I119" s="18">
        <f t="shared" si="7"/>
        <v>189.95</v>
      </c>
      <c r="J119" s="16">
        <f>VLOOKUP(A119,v_2023!F:I,3,FALSE)</f>
        <v>19</v>
      </c>
      <c r="K119" s="18">
        <f>VLOOKUP(A119,v_2023!F:I,4,FALSE)</f>
        <v>138.69999999999999</v>
      </c>
      <c r="L119" s="16">
        <f t="shared" si="8"/>
        <v>10</v>
      </c>
      <c r="M119" s="14">
        <f t="shared" si="8"/>
        <v>51.25</v>
      </c>
      <c r="N119" s="20">
        <f t="shared" si="13"/>
        <v>0.36950252343186735</v>
      </c>
    </row>
    <row r="120" spans="1:14" x14ac:dyDescent="0.25">
      <c r="A120" s="16" t="s">
        <v>254</v>
      </c>
      <c r="B120" s="17" t="s">
        <v>255</v>
      </c>
      <c r="C120" s="16">
        <f>VLOOKUP(A120,v_2024!F:I,3,FALSE)</f>
        <v>57</v>
      </c>
      <c r="D120" s="18">
        <f>VLOOKUP(A120,v_2024!F:I,4,FALSE)</f>
        <v>357.47</v>
      </c>
      <c r="E120" s="16">
        <v>0</v>
      </c>
      <c r="F120" s="18">
        <v>0</v>
      </c>
      <c r="G120" s="19">
        <f t="shared" si="12"/>
        <v>0</v>
      </c>
      <c r="H120" s="16">
        <f t="shared" si="7"/>
        <v>57</v>
      </c>
      <c r="I120" s="18">
        <f t="shared" si="7"/>
        <v>357.47</v>
      </c>
      <c r="J120" s="16">
        <f>VLOOKUP(A120,v_2023!F:I,3,FALSE)</f>
        <v>50</v>
      </c>
      <c r="K120" s="18">
        <f>VLOOKUP(A120,v_2023!F:I,4,FALSE)</f>
        <v>352.02</v>
      </c>
      <c r="L120" s="16">
        <f t="shared" si="8"/>
        <v>7</v>
      </c>
      <c r="M120" s="14">
        <f t="shared" si="8"/>
        <v>5.4500000000000455</v>
      </c>
      <c r="N120" s="20">
        <f t="shared" si="13"/>
        <v>1.5482074882109101E-2</v>
      </c>
    </row>
    <row r="121" spans="1:14" x14ac:dyDescent="0.25">
      <c r="A121" s="16" t="s">
        <v>712</v>
      </c>
      <c r="B121" s="17" t="s">
        <v>713</v>
      </c>
      <c r="C121" s="16">
        <f>VLOOKUP(A121,v_2024!F:I,3,FALSE)</f>
        <v>0</v>
      </c>
      <c r="D121" s="18">
        <f>VLOOKUP(A121,v_2024!F:I,4,FALSE)</f>
        <v>0</v>
      </c>
      <c r="E121" s="16">
        <v>0</v>
      </c>
      <c r="F121" s="18">
        <v>0</v>
      </c>
      <c r="G121" s="19"/>
      <c r="H121" s="16">
        <f t="shared" si="7"/>
        <v>0</v>
      </c>
      <c r="I121" s="18">
        <f t="shared" si="7"/>
        <v>0</v>
      </c>
      <c r="J121" s="16">
        <v>0</v>
      </c>
      <c r="K121" s="18">
        <v>0</v>
      </c>
      <c r="L121" s="16">
        <f t="shared" si="8"/>
        <v>0</v>
      </c>
      <c r="M121" s="14">
        <f t="shared" si="8"/>
        <v>0</v>
      </c>
      <c r="N121" s="20"/>
    </row>
    <row r="122" spans="1:14" x14ac:dyDescent="0.25">
      <c r="A122" s="16" t="s">
        <v>200</v>
      </c>
      <c r="B122" s="17" t="s">
        <v>201</v>
      </c>
      <c r="C122" s="16">
        <f>VLOOKUP(A122,v_2024!F:I,3,FALSE)</f>
        <v>51</v>
      </c>
      <c r="D122" s="18">
        <f>VLOOKUP(A122,v_2024!F:I,4,FALSE)</f>
        <v>665.8</v>
      </c>
      <c r="E122" s="16">
        <v>0</v>
      </c>
      <c r="F122" s="18">
        <v>0</v>
      </c>
      <c r="G122" s="19">
        <f>F122/I122</f>
        <v>0</v>
      </c>
      <c r="H122" s="16">
        <f t="shared" si="7"/>
        <v>51</v>
      </c>
      <c r="I122" s="18">
        <f t="shared" si="7"/>
        <v>665.8</v>
      </c>
      <c r="J122" s="16">
        <f>VLOOKUP(A122,v_2023!F:I,3,FALSE)</f>
        <v>52</v>
      </c>
      <c r="K122" s="18">
        <f>VLOOKUP(A122,v_2023!F:I,4,FALSE)</f>
        <v>818.72</v>
      </c>
      <c r="L122" s="16">
        <f t="shared" si="8"/>
        <v>-1</v>
      </c>
      <c r="M122" s="14">
        <f t="shared" si="8"/>
        <v>-152.92000000000007</v>
      </c>
      <c r="N122" s="20">
        <f>M122/K122</f>
        <v>-0.18677936290795397</v>
      </c>
    </row>
    <row r="123" spans="1:14" x14ac:dyDescent="0.25">
      <c r="A123" s="16" t="s">
        <v>708</v>
      </c>
      <c r="B123" s="17" t="s">
        <v>709</v>
      </c>
      <c r="C123" s="16">
        <f>VLOOKUP(A123,v_2024!F:I,3,FALSE)</f>
        <v>1</v>
      </c>
      <c r="D123" s="18">
        <f>VLOOKUP(A123,v_2024!F:I,4,FALSE)</f>
        <v>5.98</v>
      </c>
      <c r="E123" s="16">
        <v>0</v>
      </c>
      <c r="F123" s="18">
        <v>0</v>
      </c>
      <c r="G123" s="19">
        <f>F123/I123</f>
        <v>0</v>
      </c>
      <c r="H123" s="16">
        <f t="shared" si="7"/>
        <v>1</v>
      </c>
      <c r="I123" s="18">
        <f t="shared" si="7"/>
        <v>5.98</v>
      </c>
      <c r="J123" s="16">
        <v>0</v>
      </c>
      <c r="K123" s="18">
        <v>0</v>
      </c>
      <c r="L123" s="16">
        <f t="shared" si="8"/>
        <v>1</v>
      </c>
      <c r="M123" s="14">
        <f t="shared" si="8"/>
        <v>5.98</v>
      </c>
      <c r="N123" s="20"/>
    </row>
    <row r="124" spans="1:14" x14ac:dyDescent="0.25">
      <c r="A124" s="16" t="s">
        <v>136</v>
      </c>
      <c r="B124" s="17" t="s">
        <v>137</v>
      </c>
      <c r="C124" s="16">
        <f>VLOOKUP(A124,v_2024!F:I,3,FALSE)</f>
        <v>25</v>
      </c>
      <c r="D124" s="18">
        <f>VLOOKUP(A124,v_2024!F:I,4,FALSE)</f>
        <v>612.75</v>
      </c>
      <c r="E124" s="16">
        <f>VLOOKUP(A124,s_2024!E:G,2,FALSE)</f>
        <v>1</v>
      </c>
      <c r="F124" s="18">
        <f>VLOOKUP(A124,s_2024!E:G,3,FALSE)</f>
        <v>29.9</v>
      </c>
      <c r="G124" s="19">
        <f>F124/I124</f>
        <v>4.6526102855364508E-2</v>
      </c>
      <c r="H124" s="16">
        <f t="shared" si="7"/>
        <v>26</v>
      </c>
      <c r="I124" s="18">
        <f t="shared" si="7"/>
        <v>642.65</v>
      </c>
      <c r="J124" s="16">
        <f>VLOOKUP(A124,v_2023!F:I,3,FALSE)</f>
        <v>74</v>
      </c>
      <c r="K124" s="18">
        <f>VLOOKUP(A124,v_2023!F:I,4,FALSE)</f>
        <v>1813.74</v>
      </c>
      <c r="L124" s="16">
        <f t="shared" si="8"/>
        <v>-48</v>
      </c>
      <c r="M124" s="14">
        <f t="shared" si="8"/>
        <v>-1171.0900000000001</v>
      </c>
      <c r="N124" s="20">
        <f>M124/K124</f>
        <v>-0.64567688863894501</v>
      </c>
    </row>
    <row r="125" spans="1:14" x14ac:dyDescent="0.25">
      <c r="A125" s="16" t="s">
        <v>660</v>
      </c>
      <c r="B125" s="17" t="s">
        <v>661</v>
      </c>
      <c r="C125" s="16">
        <f>VLOOKUP(A125,v_2024!F:I,3,FALSE)</f>
        <v>5</v>
      </c>
      <c r="D125" s="18">
        <f>VLOOKUP(A125,v_2024!F:I,4,FALSE)</f>
        <v>81.55</v>
      </c>
      <c r="E125" s="16">
        <v>0</v>
      </c>
      <c r="F125" s="18">
        <v>0</v>
      </c>
      <c r="G125" s="19">
        <f>F125/I125</f>
        <v>0</v>
      </c>
      <c r="H125" s="16">
        <f t="shared" si="7"/>
        <v>5</v>
      </c>
      <c r="I125" s="18">
        <f t="shared" si="7"/>
        <v>81.55</v>
      </c>
      <c r="J125" s="16">
        <v>0</v>
      </c>
      <c r="K125" s="18">
        <v>0</v>
      </c>
      <c r="L125" s="16">
        <f t="shared" si="8"/>
        <v>5</v>
      </c>
      <c r="M125" s="14">
        <f t="shared" si="8"/>
        <v>81.55</v>
      </c>
      <c r="N125" s="20"/>
    </row>
    <row r="126" spans="1:14" x14ac:dyDescent="0.25">
      <c r="A126" s="16" t="s">
        <v>716</v>
      </c>
      <c r="B126" s="17" t="s">
        <v>717</v>
      </c>
      <c r="C126" s="16">
        <v>0</v>
      </c>
      <c r="D126" s="18">
        <v>0</v>
      </c>
      <c r="E126" s="16">
        <v>0</v>
      </c>
      <c r="F126" s="18">
        <v>0</v>
      </c>
      <c r="G126" s="19"/>
      <c r="H126" s="16">
        <f t="shared" si="7"/>
        <v>0</v>
      </c>
      <c r="I126" s="18">
        <f t="shared" si="7"/>
        <v>0</v>
      </c>
      <c r="J126" s="16">
        <v>0</v>
      </c>
      <c r="K126" s="18">
        <v>0</v>
      </c>
      <c r="L126" s="16">
        <f t="shared" si="8"/>
        <v>0</v>
      </c>
      <c r="M126" s="14">
        <f t="shared" si="8"/>
        <v>0</v>
      </c>
      <c r="N126" s="20"/>
    </row>
    <row r="127" spans="1:14" x14ac:dyDescent="0.25">
      <c r="A127" s="16" t="s">
        <v>138</v>
      </c>
      <c r="B127" s="17" t="s">
        <v>139</v>
      </c>
      <c r="C127" s="16">
        <f>VLOOKUP(A127,v_2024!F:I,3,FALSE)</f>
        <v>43</v>
      </c>
      <c r="D127" s="18">
        <f>VLOOKUP(A127,v_2024!F:I,4,FALSE)</f>
        <v>278.64</v>
      </c>
      <c r="E127" s="16">
        <v>0</v>
      </c>
      <c r="F127" s="18">
        <v>0</v>
      </c>
      <c r="G127" s="19">
        <f t="shared" ref="G127:G137" si="14">F127/I127</f>
        <v>0</v>
      </c>
      <c r="H127" s="16">
        <f t="shared" si="7"/>
        <v>43</v>
      </c>
      <c r="I127" s="18">
        <f t="shared" si="7"/>
        <v>278.64</v>
      </c>
      <c r="J127" s="16">
        <f>VLOOKUP(A127,v_2023!F:I,3,FALSE)</f>
        <v>242</v>
      </c>
      <c r="K127" s="18">
        <f>VLOOKUP(A127,v_2023!F:I,4,FALSE)</f>
        <v>1766.5</v>
      </c>
      <c r="L127" s="16">
        <f t="shared" si="8"/>
        <v>-199</v>
      </c>
      <c r="M127" s="14">
        <f t="shared" si="8"/>
        <v>-1487.8600000000001</v>
      </c>
      <c r="N127" s="20">
        <f>M127/K127</f>
        <v>-0.84226436456269471</v>
      </c>
    </row>
    <row r="128" spans="1:14" x14ac:dyDescent="0.25">
      <c r="A128" s="16" t="s">
        <v>41</v>
      </c>
      <c r="B128" s="17" t="s">
        <v>42</v>
      </c>
      <c r="C128" s="16">
        <f>VLOOKUP(A128,v_2024!F:I,3,FALSE)</f>
        <v>16</v>
      </c>
      <c r="D128" s="18">
        <f>VLOOKUP(A128,v_2024!F:I,4,FALSE)</f>
        <v>206.03</v>
      </c>
      <c r="E128" s="16">
        <v>0</v>
      </c>
      <c r="F128" s="18">
        <v>0</v>
      </c>
      <c r="G128" s="19">
        <f t="shared" si="14"/>
        <v>0</v>
      </c>
      <c r="H128" s="16">
        <f t="shared" si="7"/>
        <v>16</v>
      </c>
      <c r="I128" s="18">
        <f t="shared" si="7"/>
        <v>206.03</v>
      </c>
      <c r="J128" s="16">
        <f>VLOOKUP(A128,v_2023!F:I,3,FALSE)</f>
        <v>833</v>
      </c>
      <c r="K128" s="18">
        <f>VLOOKUP(A128,v_2023!F:I,4,FALSE)</f>
        <v>10170.93</v>
      </c>
      <c r="L128" s="16">
        <f t="shared" si="8"/>
        <v>-817</v>
      </c>
      <c r="M128" s="14">
        <f t="shared" si="8"/>
        <v>-9964.9</v>
      </c>
      <c r="N128" s="20">
        <f>M128/K128</f>
        <v>-0.97974324865081164</v>
      </c>
    </row>
    <row r="129" spans="1:14" x14ac:dyDescent="0.25">
      <c r="A129" s="16" t="s">
        <v>630</v>
      </c>
      <c r="B129" s="17" t="s">
        <v>631</v>
      </c>
      <c r="C129" s="16">
        <f>VLOOKUP(A129,v_2024!F:I,3,FALSE)</f>
        <v>10</v>
      </c>
      <c r="D129" s="18">
        <f>VLOOKUP(A129,v_2024!F:I,4,FALSE)</f>
        <v>204.1</v>
      </c>
      <c r="E129" s="16">
        <v>0</v>
      </c>
      <c r="F129" s="18">
        <v>0</v>
      </c>
      <c r="G129" s="19">
        <f t="shared" si="14"/>
        <v>0</v>
      </c>
      <c r="H129" s="16">
        <f t="shared" si="7"/>
        <v>10</v>
      </c>
      <c r="I129" s="18">
        <f t="shared" si="7"/>
        <v>204.1</v>
      </c>
      <c r="J129" s="16">
        <v>0</v>
      </c>
      <c r="K129" s="18">
        <v>0</v>
      </c>
      <c r="L129" s="16">
        <f t="shared" si="8"/>
        <v>10</v>
      </c>
      <c r="M129" s="14">
        <f t="shared" si="8"/>
        <v>204.1</v>
      </c>
      <c r="N129" s="20"/>
    </row>
    <row r="130" spans="1:14" x14ac:dyDescent="0.25">
      <c r="A130" s="16" t="s">
        <v>168</v>
      </c>
      <c r="B130" s="17" t="s">
        <v>169</v>
      </c>
      <c r="C130" s="16">
        <f>VLOOKUP(A130,v_2024!F:I,3,FALSE)</f>
        <v>54</v>
      </c>
      <c r="D130" s="18">
        <f>VLOOKUP(A130,v_2024!F:I,4,FALSE)</f>
        <v>261.66000000000003</v>
      </c>
      <c r="E130" s="16">
        <v>0</v>
      </c>
      <c r="F130" s="18">
        <v>0</v>
      </c>
      <c r="G130" s="19">
        <f t="shared" si="14"/>
        <v>0</v>
      </c>
      <c r="H130" s="16">
        <f t="shared" ref="H130:I193" si="15">E130+C130</f>
        <v>54</v>
      </c>
      <c r="I130" s="18">
        <f t="shared" si="15"/>
        <v>261.66000000000003</v>
      </c>
      <c r="J130" s="16">
        <f>VLOOKUP(A130,v_2023!F:I,3,FALSE)</f>
        <v>222</v>
      </c>
      <c r="K130" s="18">
        <f>VLOOKUP(A130,v_2023!F:I,4,FALSE)</f>
        <v>1074.48</v>
      </c>
      <c r="L130" s="16">
        <f t="shared" ref="L130:M193" si="16">H130-J130</f>
        <v>-168</v>
      </c>
      <c r="M130" s="14">
        <f t="shared" si="16"/>
        <v>-812.81999999999994</v>
      </c>
      <c r="N130" s="20">
        <f>M130/K130</f>
        <v>-0.75647755193209731</v>
      </c>
    </row>
    <row r="131" spans="1:14" x14ac:dyDescent="0.25">
      <c r="A131" s="16" t="s">
        <v>378</v>
      </c>
      <c r="B131" s="17" t="s">
        <v>379</v>
      </c>
      <c r="C131" s="16">
        <f>VLOOKUP(A131,v_2024!F:I,3,FALSE)</f>
        <v>2</v>
      </c>
      <c r="D131" s="18">
        <f>VLOOKUP(A131,v_2024!F:I,4,FALSE)</f>
        <v>28.91</v>
      </c>
      <c r="E131" s="16">
        <v>0</v>
      </c>
      <c r="F131" s="18">
        <v>0</v>
      </c>
      <c r="G131" s="19">
        <f t="shared" si="14"/>
        <v>0</v>
      </c>
      <c r="H131" s="16">
        <f t="shared" si="15"/>
        <v>2</v>
      </c>
      <c r="I131" s="18">
        <f t="shared" si="15"/>
        <v>28.91</v>
      </c>
      <c r="J131" s="16">
        <f>VLOOKUP(A131,v_2023!F:I,3,FALSE)</f>
        <v>7</v>
      </c>
      <c r="K131" s="18">
        <f>VLOOKUP(A131,v_2023!F:I,4,FALSE)</f>
        <v>79.989999999999995</v>
      </c>
      <c r="L131" s="16">
        <f t="shared" si="16"/>
        <v>-5</v>
      </c>
      <c r="M131" s="14">
        <f t="shared" si="16"/>
        <v>-51.08</v>
      </c>
      <c r="N131" s="20">
        <f>M131/K131</f>
        <v>-0.63857982247780976</v>
      </c>
    </row>
    <row r="132" spans="1:14" x14ac:dyDescent="0.25">
      <c r="A132" s="16" t="s">
        <v>92</v>
      </c>
      <c r="B132" s="17" t="s">
        <v>93</v>
      </c>
      <c r="C132" s="16">
        <f>VLOOKUP(A132,v_2024!F:I,3,FALSE)</f>
        <v>43</v>
      </c>
      <c r="D132" s="18">
        <f>VLOOKUP(A132,v_2024!F:I,4,FALSE)</f>
        <v>712.92</v>
      </c>
      <c r="E132" s="16">
        <v>0</v>
      </c>
      <c r="F132" s="18">
        <v>0</v>
      </c>
      <c r="G132" s="19">
        <f t="shared" si="14"/>
        <v>0</v>
      </c>
      <c r="H132" s="16">
        <f t="shared" si="15"/>
        <v>43</v>
      </c>
      <c r="I132" s="18">
        <f t="shared" si="15"/>
        <v>712.92</v>
      </c>
      <c r="J132" s="16">
        <f>VLOOKUP(A132,v_2023!F:I,3,FALSE)</f>
        <v>229</v>
      </c>
      <c r="K132" s="18">
        <f>VLOOKUP(A132,v_2023!F:I,4,FALSE)</f>
        <v>3405.42</v>
      </c>
      <c r="L132" s="16">
        <f t="shared" si="16"/>
        <v>-186</v>
      </c>
      <c r="M132" s="14">
        <f t="shared" si="16"/>
        <v>-2692.5</v>
      </c>
      <c r="N132" s="20">
        <f>M132/K132</f>
        <v>-0.79065137339887592</v>
      </c>
    </row>
    <row r="133" spans="1:14" x14ac:dyDescent="0.25">
      <c r="A133" s="16" t="s">
        <v>412</v>
      </c>
      <c r="B133" s="17" t="s">
        <v>413</v>
      </c>
      <c r="C133" s="16">
        <v>0</v>
      </c>
      <c r="D133" s="18">
        <v>0</v>
      </c>
      <c r="E133" s="16">
        <v>0</v>
      </c>
      <c r="F133" s="18">
        <v>0</v>
      </c>
      <c r="G133" s="19"/>
      <c r="H133" s="16">
        <f t="shared" si="15"/>
        <v>0</v>
      </c>
      <c r="I133" s="18">
        <f t="shared" si="15"/>
        <v>0</v>
      </c>
      <c r="J133" s="16">
        <v>0</v>
      </c>
      <c r="K133" s="18">
        <v>0</v>
      </c>
      <c r="L133" s="16">
        <f t="shared" si="16"/>
        <v>0</v>
      </c>
      <c r="M133" s="14">
        <f t="shared" si="16"/>
        <v>0</v>
      </c>
      <c r="N133" s="20"/>
    </row>
    <row r="134" spans="1:14" x14ac:dyDescent="0.25">
      <c r="A134" s="16" t="s">
        <v>528</v>
      </c>
      <c r="B134" s="17" t="s">
        <v>529</v>
      </c>
      <c r="C134" s="16">
        <v>0</v>
      </c>
      <c r="D134" s="18">
        <v>0</v>
      </c>
      <c r="E134" s="16">
        <v>0</v>
      </c>
      <c r="F134" s="18">
        <v>0</v>
      </c>
      <c r="G134" s="19"/>
      <c r="H134" s="16">
        <f t="shared" si="15"/>
        <v>0</v>
      </c>
      <c r="I134" s="18">
        <f t="shared" si="15"/>
        <v>0</v>
      </c>
      <c r="J134" s="16">
        <v>0</v>
      </c>
      <c r="K134" s="18">
        <v>0</v>
      </c>
      <c r="L134" s="16">
        <f t="shared" si="16"/>
        <v>0</v>
      </c>
      <c r="M134" s="14">
        <f t="shared" si="16"/>
        <v>0</v>
      </c>
      <c r="N134" s="20"/>
    </row>
    <row r="135" spans="1:14" x14ac:dyDescent="0.25">
      <c r="A135" s="16" t="s">
        <v>618</v>
      </c>
      <c r="B135" s="17" t="s">
        <v>619</v>
      </c>
      <c r="C135" s="16">
        <f>VLOOKUP(A135,v_2024!F:I,3,FALSE)</f>
        <v>12</v>
      </c>
      <c r="D135" s="18">
        <f>VLOOKUP(A135,v_2024!F:I,4,FALSE)</f>
        <v>631.29999999999995</v>
      </c>
      <c r="E135" s="16">
        <v>0</v>
      </c>
      <c r="F135" s="18">
        <v>0</v>
      </c>
      <c r="G135" s="19">
        <f t="shared" si="14"/>
        <v>0</v>
      </c>
      <c r="H135" s="16">
        <f t="shared" si="15"/>
        <v>12</v>
      </c>
      <c r="I135" s="18">
        <f t="shared" si="15"/>
        <v>631.29999999999995</v>
      </c>
      <c r="J135" s="16">
        <v>0</v>
      </c>
      <c r="K135" s="18">
        <v>0</v>
      </c>
      <c r="L135" s="16">
        <f t="shared" si="16"/>
        <v>12</v>
      </c>
      <c r="M135" s="14">
        <f t="shared" si="16"/>
        <v>631.29999999999995</v>
      </c>
      <c r="N135" s="20"/>
    </row>
    <row r="136" spans="1:14" x14ac:dyDescent="0.25">
      <c r="A136" s="16" t="s">
        <v>642</v>
      </c>
      <c r="B136" s="17" t="s">
        <v>643</v>
      </c>
      <c r="C136" s="16">
        <v>0</v>
      </c>
      <c r="D136" s="18">
        <v>0</v>
      </c>
      <c r="E136" s="16">
        <v>0</v>
      </c>
      <c r="F136" s="18">
        <v>0</v>
      </c>
      <c r="G136" s="19"/>
      <c r="H136" s="16">
        <f t="shared" si="15"/>
        <v>0</v>
      </c>
      <c r="I136" s="18">
        <f t="shared" si="15"/>
        <v>0</v>
      </c>
      <c r="J136" s="16">
        <v>0</v>
      </c>
      <c r="K136" s="18">
        <v>0</v>
      </c>
      <c r="L136" s="16">
        <f t="shared" si="16"/>
        <v>0</v>
      </c>
      <c r="M136" s="14">
        <f t="shared" si="16"/>
        <v>0</v>
      </c>
      <c r="N136" s="20"/>
    </row>
    <row r="137" spans="1:14" x14ac:dyDescent="0.25">
      <c r="A137" s="16" t="s">
        <v>306</v>
      </c>
      <c r="B137" s="17" t="s">
        <v>307</v>
      </c>
      <c r="C137" s="16">
        <f>VLOOKUP(A137,v_2024!F:I,3,FALSE)</f>
        <v>33</v>
      </c>
      <c r="D137" s="18">
        <f>VLOOKUP(A137,v_2024!F:I,4,FALSE)</f>
        <v>402.93</v>
      </c>
      <c r="E137" s="16">
        <v>0</v>
      </c>
      <c r="F137" s="18">
        <v>0</v>
      </c>
      <c r="G137" s="19">
        <f t="shared" si="14"/>
        <v>0</v>
      </c>
      <c r="H137" s="16">
        <f t="shared" si="15"/>
        <v>33</v>
      </c>
      <c r="I137" s="18">
        <f t="shared" si="15"/>
        <v>402.93</v>
      </c>
      <c r="J137" s="16">
        <f>VLOOKUP(A137,v_2023!F:I,3,FALSE)</f>
        <v>12</v>
      </c>
      <c r="K137" s="18">
        <f>VLOOKUP(A137,v_2023!F:I,4,FALSE)</f>
        <v>195.22</v>
      </c>
      <c r="L137" s="16">
        <f t="shared" si="16"/>
        <v>21</v>
      </c>
      <c r="M137" s="14">
        <f t="shared" si="16"/>
        <v>207.71</v>
      </c>
      <c r="N137" s="20">
        <f t="shared" ref="N137:N175" si="17">M137/K137</f>
        <v>1.0639791005019978</v>
      </c>
    </row>
    <row r="138" spans="1:14" x14ac:dyDescent="0.25">
      <c r="A138" s="16" t="s">
        <v>258</v>
      </c>
      <c r="B138" s="17" t="s">
        <v>259</v>
      </c>
      <c r="C138" s="16">
        <v>0</v>
      </c>
      <c r="D138" s="18">
        <v>0</v>
      </c>
      <c r="E138" s="16">
        <v>0</v>
      </c>
      <c r="F138" s="18">
        <v>0</v>
      </c>
      <c r="G138" s="19"/>
      <c r="H138" s="16">
        <f t="shared" si="15"/>
        <v>0</v>
      </c>
      <c r="I138" s="18">
        <f t="shared" si="15"/>
        <v>0</v>
      </c>
      <c r="J138" s="16">
        <v>0</v>
      </c>
      <c r="K138" s="18">
        <v>0</v>
      </c>
      <c r="L138" s="16">
        <f t="shared" si="16"/>
        <v>0</v>
      </c>
      <c r="M138" s="14">
        <f t="shared" si="16"/>
        <v>0</v>
      </c>
      <c r="N138" s="20"/>
    </row>
    <row r="139" spans="1:14" x14ac:dyDescent="0.25">
      <c r="A139" s="16" t="s">
        <v>84</v>
      </c>
      <c r="B139" s="17" t="s">
        <v>85</v>
      </c>
      <c r="C139" s="16">
        <f>VLOOKUP(A139,v_2024!F:I,3,FALSE)</f>
        <v>0</v>
      </c>
      <c r="D139" s="18">
        <f>VLOOKUP(A139,v_2024!F:I,4,FALSE)</f>
        <v>0</v>
      </c>
      <c r="E139" s="16">
        <v>0</v>
      </c>
      <c r="F139" s="18">
        <v>0</v>
      </c>
      <c r="G139" s="19"/>
      <c r="H139" s="16">
        <f t="shared" si="15"/>
        <v>0</v>
      </c>
      <c r="I139" s="18">
        <f t="shared" si="15"/>
        <v>0</v>
      </c>
      <c r="J139" s="16">
        <f>VLOOKUP(A139,v_2023!F:I,3,FALSE)</f>
        <v>339</v>
      </c>
      <c r="K139" s="18">
        <f>VLOOKUP(A139,v_2023!F:I,4,FALSE)</f>
        <v>4139.1899999999996</v>
      </c>
      <c r="L139" s="16">
        <f t="shared" si="16"/>
        <v>-339</v>
      </c>
      <c r="M139" s="14">
        <f t="shared" si="16"/>
        <v>-4139.1899999999996</v>
      </c>
      <c r="N139" s="20">
        <f t="shared" si="17"/>
        <v>-1</v>
      </c>
    </row>
    <row r="140" spans="1:14" x14ac:dyDescent="0.25">
      <c r="A140" s="16" t="s">
        <v>234</v>
      </c>
      <c r="B140" s="17" t="s">
        <v>235</v>
      </c>
      <c r="C140" s="16">
        <f>VLOOKUP(A140,v_2024!F:I,3,FALSE)</f>
        <v>8</v>
      </c>
      <c r="D140" s="18">
        <f>VLOOKUP(A140,v_2024!F:I,4,FALSE)</f>
        <v>261.60000000000002</v>
      </c>
      <c r="E140" s="16">
        <v>0</v>
      </c>
      <c r="F140" s="18">
        <v>0</v>
      </c>
      <c r="G140" s="19">
        <f t="shared" ref="G140:G150" si="18">F140/I140</f>
        <v>0</v>
      </c>
      <c r="H140" s="16">
        <f t="shared" si="15"/>
        <v>8</v>
      </c>
      <c r="I140" s="18">
        <f t="shared" si="15"/>
        <v>261.60000000000002</v>
      </c>
      <c r="J140" s="16">
        <f>VLOOKUP(A140,v_2023!F:I,3,FALSE)</f>
        <v>5</v>
      </c>
      <c r="K140" s="18">
        <f>VLOOKUP(A140,v_2023!F:I,4,FALSE)</f>
        <v>158.13</v>
      </c>
      <c r="L140" s="16">
        <f t="shared" si="16"/>
        <v>3</v>
      </c>
      <c r="M140" s="14">
        <f t="shared" si="16"/>
        <v>103.47000000000003</v>
      </c>
      <c r="N140" s="20">
        <f t="shared" si="17"/>
        <v>0.65433504078922422</v>
      </c>
    </row>
    <row r="141" spans="1:14" x14ac:dyDescent="0.25">
      <c r="A141" s="16" t="s">
        <v>210</v>
      </c>
      <c r="B141" s="17" t="s">
        <v>211</v>
      </c>
      <c r="C141" s="16">
        <f>VLOOKUP(A141,v_2024!F:I,3,FALSE)</f>
        <v>33</v>
      </c>
      <c r="D141" s="18">
        <f>VLOOKUP(A141,v_2024!F:I,4,FALSE)</f>
        <v>432.96</v>
      </c>
      <c r="E141" s="16">
        <v>0</v>
      </c>
      <c r="F141" s="18">
        <v>0</v>
      </c>
      <c r="G141" s="19">
        <f t="shared" si="18"/>
        <v>0</v>
      </c>
      <c r="H141" s="16">
        <f t="shared" si="15"/>
        <v>33</v>
      </c>
      <c r="I141" s="18">
        <f t="shared" si="15"/>
        <v>432.96</v>
      </c>
      <c r="J141" s="16">
        <f>VLOOKUP(A141,v_2023!F:I,3,FALSE)</f>
        <v>58</v>
      </c>
      <c r="K141" s="18">
        <f>VLOOKUP(A141,v_2023!F:I,4,FALSE)</f>
        <v>708.18</v>
      </c>
      <c r="L141" s="16">
        <f t="shared" si="16"/>
        <v>-25</v>
      </c>
      <c r="M141" s="14">
        <f t="shared" si="16"/>
        <v>-275.21999999999997</v>
      </c>
      <c r="N141" s="20">
        <f t="shared" si="17"/>
        <v>-0.38863000931966446</v>
      </c>
    </row>
    <row r="142" spans="1:14" x14ac:dyDescent="0.25">
      <c r="A142" s="16" t="s">
        <v>328</v>
      </c>
      <c r="B142" s="17" t="s">
        <v>329</v>
      </c>
      <c r="C142" s="16">
        <f>VLOOKUP(A142,v_2024!F:I,3,FALSE)</f>
        <v>4</v>
      </c>
      <c r="D142" s="18">
        <f>VLOOKUP(A142,v_2024!F:I,4,FALSE)</f>
        <v>88.2</v>
      </c>
      <c r="E142" s="16">
        <v>0</v>
      </c>
      <c r="F142" s="18">
        <v>0</v>
      </c>
      <c r="G142" s="19">
        <f t="shared" si="18"/>
        <v>0</v>
      </c>
      <c r="H142" s="16">
        <f t="shared" si="15"/>
        <v>4</v>
      </c>
      <c r="I142" s="18">
        <f t="shared" si="15"/>
        <v>88.2</v>
      </c>
      <c r="J142" s="16">
        <f>VLOOKUP(A142,v_2023!F:I,3,FALSE)</f>
        <v>12</v>
      </c>
      <c r="K142" s="18">
        <f>VLOOKUP(A142,v_2023!F:I,4,FALSE)</f>
        <v>150.51</v>
      </c>
      <c r="L142" s="16">
        <f t="shared" si="16"/>
        <v>-8</v>
      </c>
      <c r="M142" s="14">
        <f t="shared" si="16"/>
        <v>-62.309999999999988</v>
      </c>
      <c r="N142" s="20">
        <f t="shared" si="17"/>
        <v>-0.41399242575244166</v>
      </c>
    </row>
    <row r="143" spans="1:14" x14ac:dyDescent="0.25">
      <c r="A143" s="16" t="s">
        <v>458</v>
      </c>
      <c r="B143" s="17" t="s">
        <v>459</v>
      </c>
      <c r="C143" s="16">
        <f>VLOOKUP(A143,v_2024!F:I,3,FALSE)</f>
        <v>1</v>
      </c>
      <c r="D143" s="18">
        <f>VLOOKUP(A143,v_2024!F:I,4,FALSE)</f>
        <v>9.75</v>
      </c>
      <c r="E143" s="16">
        <v>0</v>
      </c>
      <c r="F143" s="18">
        <v>0</v>
      </c>
      <c r="G143" s="19">
        <f t="shared" si="18"/>
        <v>0</v>
      </c>
      <c r="H143" s="16">
        <f t="shared" si="15"/>
        <v>1</v>
      </c>
      <c r="I143" s="18">
        <f t="shared" si="15"/>
        <v>9.75</v>
      </c>
      <c r="J143" s="16">
        <f>VLOOKUP(A143,v_2023!F:I,3,FALSE)</f>
        <v>3</v>
      </c>
      <c r="K143" s="18">
        <f>VLOOKUP(A143,v_2023!F:I,4,FALSE)</f>
        <v>32.47</v>
      </c>
      <c r="L143" s="16">
        <f t="shared" si="16"/>
        <v>-2</v>
      </c>
      <c r="M143" s="14">
        <f t="shared" si="16"/>
        <v>-22.72</v>
      </c>
      <c r="N143" s="20">
        <f t="shared" si="17"/>
        <v>-0.69972282106559902</v>
      </c>
    </row>
    <row r="144" spans="1:14" x14ac:dyDescent="0.25">
      <c r="A144" s="16" t="s">
        <v>279</v>
      </c>
      <c r="B144" s="17" t="s">
        <v>280</v>
      </c>
      <c r="C144" s="16">
        <v>0</v>
      </c>
      <c r="D144" s="18">
        <v>0</v>
      </c>
      <c r="E144" s="16">
        <v>0</v>
      </c>
      <c r="F144" s="18">
        <v>0</v>
      </c>
      <c r="G144" s="19"/>
      <c r="H144" s="16">
        <f t="shared" si="15"/>
        <v>0</v>
      </c>
      <c r="I144" s="18">
        <f t="shared" si="15"/>
        <v>0</v>
      </c>
      <c r="J144" s="16">
        <v>0</v>
      </c>
      <c r="K144" s="18">
        <v>0</v>
      </c>
      <c r="L144" s="16">
        <f t="shared" si="16"/>
        <v>0</v>
      </c>
      <c r="M144" s="14">
        <f t="shared" si="16"/>
        <v>0</v>
      </c>
      <c r="N144" s="20"/>
    </row>
    <row r="145" spans="1:14" x14ac:dyDescent="0.25">
      <c r="A145" s="16" t="s">
        <v>384</v>
      </c>
      <c r="B145" s="17" t="s">
        <v>385</v>
      </c>
      <c r="C145" s="16">
        <v>0</v>
      </c>
      <c r="D145" s="18">
        <v>0</v>
      </c>
      <c r="E145" s="16">
        <v>0</v>
      </c>
      <c r="F145" s="18">
        <v>0</v>
      </c>
      <c r="G145" s="19"/>
      <c r="H145" s="16">
        <f t="shared" si="15"/>
        <v>0</v>
      </c>
      <c r="I145" s="18">
        <f t="shared" si="15"/>
        <v>0</v>
      </c>
      <c r="J145" s="16">
        <f>VLOOKUP(A145,v_2023!F:I,3,FALSE)</f>
        <v>2</v>
      </c>
      <c r="K145" s="18">
        <f>VLOOKUP(A145,v_2023!F:I,4,FALSE)</f>
        <v>24.42</v>
      </c>
      <c r="L145" s="16">
        <f t="shared" si="16"/>
        <v>-2</v>
      </c>
      <c r="M145" s="14">
        <f t="shared" si="16"/>
        <v>-24.42</v>
      </c>
      <c r="N145" s="20">
        <f t="shared" si="17"/>
        <v>-1</v>
      </c>
    </row>
    <row r="146" spans="1:14" x14ac:dyDescent="0.25">
      <c r="A146" s="16" t="s">
        <v>382</v>
      </c>
      <c r="B146" s="17" t="s">
        <v>383</v>
      </c>
      <c r="C146" s="16">
        <v>0</v>
      </c>
      <c r="D146" s="18">
        <v>0</v>
      </c>
      <c r="E146" s="16">
        <v>0</v>
      </c>
      <c r="F146" s="18">
        <v>0</v>
      </c>
      <c r="G146" s="19"/>
      <c r="H146" s="16">
        <f t="shared" si="15"/>
        <v>0</v>
      </c>
      <c r="I146" s="18">
        <f t="shared" si="15"/>
        <v>0</v>
      </c>
      <c r="J146" s="16">
        <v>0</v>
      </c>
      <c r="K146" s="18">
        <v>0</v>
      </c>
      <c r="L146" s="16">
        <f t="shared" si="16"/>
        <v>0</v>
      </c>
      <c r="M146" s="14">
        <f t="shared" si="16"/>
        <v>0</v>
      </c>
      <c r="N146" s="20"/>
    </row>
    <row r="147" spans="1:14" x14ac:dyDescent="0.25">
      <c r="A147" s="16" t="s">
        <v>94</v>
      </c>
      <c r="B147" s="17" t="s">
        <v>95</v>
      </c>
      <c r="C147" s="16">
        <f>VLOOKUP(A147,v_2024!F:I,3,FALSE)</f>
        <v>6</v>
      </c>
      <c r="D147" s="18">
        <f>VLOOKUP(A147,v_2024!F:I,4,FALSE)</f>
        <v>147.06</v>
      </c>
      <c r="E147" s="16">
        <f>VLOOKUP(A147,s_2024!E:G,2,FALSE)</f>
        <v>2</v>
      </c>
      <c r="F147" s="18">
        <f>VLOOKUP(A147,s_2024!E:G,3,FALSE)</f>
        <v>74.8</v>
      </c>
      <c r="G147" s="19">
        <f t="shared" si="18"/>
        <v>0.33714955377264938</v>
      </c>
      <c r="H147" s="16">
        <f t="shared" si="15"/>
        <v>8</v>
      </c>
      <c r="I147" s="18">
        <f t="shared" si="15"/>
        <v>221.86</v>
      </c>
      <c r="J147" s="16">
        <f>VLOOKUP(A147,v_2023!F:I,3,FALSE)</f>
        <v>23</v>
      </c>
      <c r="K147" s="18">
        <f>VLOOKUP(A147,v_2023!F:I,4,FALSE)</f>
        <v>629.25</v>
      </c>
      <c r="L147" s="16">
        <f t="shared" si="16"/>
        <v>-15</v>
      </c>
      <c r="M147" s="14">
        <f t="shared" si="16"/>
        <v>-407.39</v>
      </c>
      <c r="N147" s="20">
        <f t="shared" si="17"/>
        <v>-0.64742153357171228</v>
      </c>
    </row>
    <row r="148" spans="1:14" x14ac:dyDescent="0.25">
      <c r="A148" s="16" t="s">
        <v>326</v>
      </c>
      <c r="B148" s="17" t="s">
        <v>327</v>
      </c>
      <c r="C148" s="16">
        <f>VLOOKUP(A148,v_2024!F:I,3,FALSE)</f>
        <v>2</v>
      </c>
      <c r="D148" s="18">
        <f>VLOOKUP(A148,v_2024!F:I,4,FALSE)</f>
        <v>54.55</v>
      </c>
      <c r="E148" s="16">
        <v>0</v>
      </c>
      <c r="F148" s="18">
        <v>0</v>
      </c>
      <c r="G148" s="19">
        <f t="shared" si="18"/>
        <v>0</v>
      </c>
      <c r="H148" s="16">
        <f t="shared" si="15"/>
        <v>2</v>
      </c>
      <c r="I148" s="18">
        <f t="shared" si="15"/>
        <v>54.55</v>
      </c>
      <c r="J148" s="16">
        <f>VLOOKUP(A148,v_2023!F:I,3,FALSE)</f>
        <v>6</v>
      </c>
      <c r="K148" s="18">
        <f>VLOOKUP(A148,v_2023!F:I,4,FALSE)</f>
        <v>154.09</v>
      </c>
      <c r="L148" s="16">
        <f t="shared" si="16"/>
        <v>-4</v>
      </c>
      <c r="M148" s="14">
        <f t="shared" si="16"/>
        <v>-99.54</v>
      </c>
      <c r="N148" s="20">
        <f t="shared" si="17"/>
        <v>-0.64598611201246026</v>
      </c>
    </row>
    <row r="149" spans="1:14" x14ac:dyDescent="0.25">
      <c r="A149" s="16" t="s">
        <v>312</v>
      </c>
      <c r="B149" s="17" t="s">
        <v>313</v>
      </c>
      <c r="C149" s="16">
        <v>0</v>
      </c>
      <c r="D149" s="18">
        <v>0</v>
      </c>
      <c r="E149" s="16">
        <v>0</v>
      </c>
      <c r="F149" s="18">
        <v>0</v>
      </c>
      <c r="G149" s="19"/>
      <c r="H149" s="16">
        <f t="shared" si="15"/>
        <v>0</v>
      </c>
      <c r="I149" s="18">
        <f t="shared" si="15"/>
        <v>0</v>
      </c>
      <c r="J149" s="16">
        <f>VLOOKUP(A149,v_2023!F:I,3,FALSE)</f>
        <v>12</v>
      </c>
      <c r="K149" s="18">
        <f>VLOOKUP(A149,v_2023!F:I,4,FALSE)</f>
        <v>178.21</v>
      </c>
      <c r="L149" s="16">
        <f t="shared" si="16"/>
        <v>-12</v>
      </c>
      <c r="M149" s="14">
        <f t="shared" si="16"/>
        <v>-178.21</v>
      </c>
      <c r="N149" s="20">
        <f t="shared" si="17"/>
        <v>-1</v>
      </c>
    </row>
    <row r="150" spans="1:14" x14ac:dyDescent="0.25">
      <c r="A150" s="16" t="s">
        <v>110</v>
      </c>
      <c r="B150" s="17" t="s">
        <v>111</v>
      </c>
      <c r="C150" s="16">
        <f>VLOOKUP(A150,v_2024!F:I,3,FALSE)</f>
        <v>9</v>
      </c>
      <c r="D150" s="18">
        <f>VLOOKUP(A150,v_2024!F:I,4,FALSE)</f>
        <v>182.97</v>
      </c>
      <c r="E150" s="16">
        <v>0</v>
      </c>
      <c r="F150" s="18">
        <v>0</v>
      </c>
      <c r="G150" s="19">
        <f t="shared" si="18"/>
        <v>0</v>
      </c>
      <c r="H150" s="16">
        <f t="shared" si="15"/>
        <v>9</v>
      </c>
      <c r="I150" s="18">
        <f t="shared" si="15"/>
        <v>182.97</v>
      </c>
      <c r="J150" s="16">
        <f>VLOOKUP(A150,v_2023!F:I,3,FALSE)</f>
        <v>118</v>
      </c>
      <c r="K150" s="18">
        <f>VLOOKUP(A150,v_2023!F:I,4,FALSE)</f>
        <v>2367.1999999999998</v>
      </c>
      <c r="L150" s="16">
        <f t="shared" si="16"/>
        <v>-109</v>
      </c>
      <c r="M150" s="14">
        <f t="shared" si="16"/>
        <v>-2184.23</v>
      </c>
      <c r="N150" s="20">
        <f t="shared" si="17"/>
        <v>-0.9227061507265969</v>
      </c>
    </row>
    <row r="151" spans="1:14" x14ac:dyDescent="0.25">
      <c r="A151" s="16" t="s">
        <v>598</v>
      </c>
      <c r="B151" s="17" t="s">
        <v>599</v>
      </c>
      <c r="C151" s="16">
        <v>0</v>
      </c>
      <c r="D151" s="18">
        <v>0</v>
      </c>
      <c r="E151" s="16">
        <v>0</v>
      </c>
      <c r="F151" s="18">
        <v>0</v>
      </c>
      <c r="G151" s="19"/>
      <c r="H151" s="16">
        <f t="shared" si="15"/>
        <v>0</v>
      </c>
      <c r="I151" s="18">
        <f t="shared" si="15"/>
        <v>0</v>
      </c>
      <c r="J151" s="16">
        <v>0</v>
      </c>
      <c r="K151" s="18">
        <v>0</v>
      </c>
      <c r="L151" s="16">
        <f t="shared" si="16"/>
        <v>0</v>
      </c>
      <c r="M151" s="14">
        <f t="shared" si="16"/>
        <v>0</v>
      </c>
      <c r="N151" s="20"/>
    </row>
    <row r="152" spans="1:14" x14ac:dyDescent="0.25">
      <c r="A152" s="16" t="s">
        <v>118</v>
      </c>
      <c r="B152" s="17" t="s">
        <v>119</v>
      </c>
      <c r="C152" s="16">
        <f>VLOOKUP(A152,v_2024!F:I,3,FALSE)</f>
        <v>30</v>
      </c>
      <c r="D152" s="18">
        <f>VLOOKUP(A152,v_2024!F:I,4,FALSE)</f>
        <v>488.1</v>
      </c>
      <c r="E152" s="16">
        <v>0</v>
      </c>
      <c r="F152" s="18">
        <v>0</v>
      </c>
      <c r="G152" s="19">
        <f>F152/I152</f>
        <v>0</v>
      </c>
      <c r="H152" s="16">
        <f t="shared" si="15"/>
        <v>30</v>
      </c>
      <c r="I152" s="18">
        <f t="shared" si="15"/>
        <v>488.1</v>
      </c>
      <c r="J152" s="16">
        <f>VLOOKUP(A152,v_2023!F:I,3,FALSE)</f>
        <v>123</v>
      </c>
      <c r="K152" s="18">
        <f>VLOOKUP(A152,v_2023!F:I,4,FALSE)</f>
        <v>2164.4499999999998</v>
      </c>
      <c r="L152" s="16">
        <f t="shared" si="16"/>
        <v>-93</v>
      </c>
      <c r="M152" s="14">
        <f t="shared" si="16"/>
        <v>-1676.35</v>
      </c>
      <c r="N152" s="20">
        <f t="shared" si="17"/>
        <v>-0.77449236526600296</v>
      </c>
    </row>
    <row r="153" spans="1:14" x14ac:dyDescent="0.25">
      <c r="A153" s="16" t="s">
        <v>362</v>
      </c>
      <c r="B153" s="17" t="s">
        <v>363</v>
      </c>
      <c r="C153" s="16">
        <v>0</v>
      </c>
      <c r="D153" s="18">
        <v>0</v>
      </c>
      <c r="E153" s="16">
        <v>0</v>
      </c>
      <c r="F153" s="18">
        <v>0</v>
      </c>
      <c r="G153" s="19"/>
      <c r="H153" s="16">
        <f t="shared" si="15"/>
        <v>0</v>
      </c>
      <c r="I153" s="18">
        <f t="shared" si="15"/>
        <v>0</v>
      </c>
      <c r="J153" s="16">
        <v>0</v>
      </c>
      <c r="K153" s="18">
        <v>0</v>
      </c>
      <c r="L153" s="16">
        <f t="shared" si="16"/>
        <v>0</v>
      </c>
      <c r="M153" s="14">
        <f t="shared" si="16"/>
        <v>0</v>
      </c>
      <c r="N153" s="20"/>
    </row>
    <row r="154" spans="1:14" x14ac:dyDescent="0.25">
      <c r="A154" s="16" t="s">
        <v>336</v>
      </c>
      <c r="B154" s="17" t="s">
        <v>337</v>
      </c>
      <c r="C154" s="16">
        <f>VLOOKUP(A154,v_2024!F:I,3,FALSE)</f>
        <v>7</v>
      </c>
      <c r="D154" s="18">
        <f>VLOOKUP(A154,v_2024!F:I,4,FALSE)</f>
        <v>121.73</v>
      </c>
      <c r="E154" s="16">
        <v>0</v>
      </c>
      <c r="F154" s="18">
        <v>0</v>
      </c>
      <c r="G154" s="19">
        <f t="shared" ref="G154:G159" si="19">F154/I154</f>
        <v>0</v>
      </c>
      <c r="H154" s="16">
        <f t="shared" si="15"/>
        <v>7</v>
      </c>
      <c r="I154" s="18">
        <f t="shared" si="15"/>
        <v>121.73</v>
      </c>
      <c r="J154" s="16">
        <f>VLOOKUP(A154,v_2023!F:I,3,FALSE)</f>
        <v>7</v>
      </c>
      <c r="K154" s="18">
        <f>VLOOKUP(A154,v_2023!F:I,4,FALSE)</f>
        <v>141.31</v>
      </c>
      <c r="L154" s="16">
        <f t="shared" si="16"/>
        <v>0</v>
      </c>
      <c r="M154" s="14">
        <f t="shared" si="16"/>
        <v>-19.579999999999998</v>
      </c>
      <c r="N154" s="20">
        <f t="shared" si="17"/>
        <v>-0.13856061142169696</v>
      </c>
    </row>
    <row r="155" spans="1:14" x14ac:dyDescent="0.25">
      <c r="A155" s="16" t="s">
        <v>17</v>
      </c>
      <c r="B155" s="17" t="s">
        <v>18</v>
      </c>
      <c r="C155" s="16">
        <f>VLOOKUP(A155,v_2024!F:I,3,FALSE)</f>
        <v>191</v>
      </c>
      <c r="D155" s="18">
        <f>VLOOKUP(A155,v_2024!F:I,4,FALSE)</f>
        <v>2651.93</v>
      </c>
      <c r="E155" s="16">
        <f>VLOOKUP(A155,s_2024!E:G,2,FALSE)</f>
        <v>94</v>
      </c>
      <c r="F155" s="18">
        <f>VLOOKUP(A155,s_2024!E:G,3,FALSE)</f>
        <v>2171.3700000000031</v>
      </c>
      <c r="G155" s="19">
        <f t="shared" si="19"/>
        <v>0.4501834843364505</v>
      </c>
      <c r="H155" s="16">
        <f t="shared" si="15"/>
        <v>285</v>
      </c>
      <c r="I155" s="18">
        <f t="shared" si="15"/>
        <v>4823.3000000000029</v>
      </c>
      <c r="J155" s="16">
        <f>VLOOKUP(A155,v_2023!F:I,3,FALSE)</f>
        <v>1095</v>
      </c>
      <c r="K155" s="18">
        <f>VLOOKUP(A155,v_2023!F:I,4,FALSE)</f>
        <v>24665.9</v>
      </c>
      <c r="L155" s="16">
        <f t="shared" si="16"/>
        <v>-810</v>
      </c>
      <c r="M155" s="14">
        <f t="shared" si="16"/>
        <v>-19842.599999999999</v>
      </c>
      <c r="N155" s="20">
        <f t="shared" si="17"/>
        <v>-0.80445473305251369</v>
      </c>
    </row>
    <row r="156" spans="1:14" x14ac:dyDescent="0.25">
      <c r="A156" s="16" t="s">
        <v>144</v>
      </c>
      <c r="B156" s="17" t="s">
        <v>145</v>
      </c>
      <c r="C156" s="16">
        <f>VLOOKUP(A156,v_2024!F:I,3,FALSE)</f>
        <v>17</v>
      </c>
      <c r="D156" s="18">
        <f>VLOOKUP(A156,v_2024!F:I,4,FALSE)</f>
        <v>179.69</v>
      </c>
      <c r="E156" s="16">
        <v>0</v>
      </c>
      <c r="F156" s="18">
        <v>0</v>
      </c>
      <c r="G156" s="19">
        <f t="shared" si="19"/>
        <v>0</v>
      </c>
      <c r="H156" s="16">
        <f t="shared" si="15"/>
        <v>17</v>
      </c>
      <c r="I156" s="18">
        <f t="shared" si="15"/>
        <v>179.69</v>
      </c>
      <c r="J156" s="16">
        <f>VLOOKUP(A156,v_2023!F:I,3,FALSE)</f>
        <v>85</v>
      </c>
      <c r="K156" s="18">
        <f>VLOOKUP(A156,v_2023!F:I,4,FALSE)</f>
        <v>1386.35</v>
      </c>
      <c r="L156" s="16">
        <f t="shared" si="16"/>
        <v>-68</v>
      </c>
      <c r="M156" s="14">
        <f t="shared" si="16"/>
        <v>-1206.6599999999999</v>
      </c>
      <c r="N156" s="20">
        <f t="shared" si="17"/>
        <v>-0.8703862660944206</v>
      </c>
    </row>
    <row r="157" spans="1:14" x14ac:dyDescent="0.25">
      <c r="A157" s="16" t="s">
        <v>267</v>
      </c>
      <c r="B157" s="17" t="s">
        <v>268</v>
      </c>
      <c r="C157" s="16">
        <f>VLOOKUP(A157,v_2024!F:I,3,FALSE)</f>
        <v>1</v>
      </c>
      <c r="D157" s="18">
        <f>VLOOKUP(A157,v_2024!F:I,4,FALSE)</f>
        <v>12.48</v>
      </c>
      <c r="E157" s="16">
        <v>0</v>
      </c>
      <c r="F157" s="18">
        <v>0</v>
      </c>
      <c r="G157" s="19">
        <f t="shared" si="19"/>
        <v>0</v>
      </c>
      <c r="H157" s="16">
        <f t="shared" si="15"/>
        <v>1</v>
      </c>
      <c r="I157" s="18">
        <f t="shared" si="15"/>
        <v>12.48</v>
      </c>
      <c r="J157" s="16">
        <f>VLOOKUP(A157,v_2023!F:I,3,FALSE)</f>
        <v>19</v>
      </c>
      <c r="K157" s="18">
        <f>VLOOKUP(A157,v_2023!F:I,4,FALSE)</f>
        <v>252.19</v>
      </c>
      <c r="L157" s="16">
        <f t="shared" si="16"/>
        <v>-18</v>
      </c>
      <c r="M157" s="14">
        <f t="shared" si="16"/>
        <v>-239.71</v>
      </c>
      <c r="N157" s="20">
        <f t="shared" si="17"/>
        <v>-0.95051350172489002</v>
      </c>
    </row>
    <row r="158" spans="1:14" x14ac:dyDescent="0.25">
      <c r="A158" s="16" t="s">
        <v>73</v>
      </c>
      <c r="B158" s="17" t="s">
        <v>74</v>
      </c>
      <c r="C158" s="16">
        <f>VLOOKUP(A158,v_2024!F:I,3,FALSE)</f>
        <v>2</v>
      </c>
      <c r="D158" s="18">
        <f>VLOOKUP(A158,v_2024!F:I,4,FALSE)</f>
        <v>21.14</v>
      </c>
      <c r="E158" s="16">
        <f>VLOOKUP(A158,s_2024!E:G,2,FALSE)</f>
        <v>66</v>
      </c>
      <c r="F158" s="18">
        <f>VLOOKUP(A158,s_2024!E:G,3,FALSE)</f>
        <v>1051.3999999999994</v>
      </c>
      <c r="G158" s="19">
        <f t="shared" si="19"/>
        <v>0.98028977940216677</v>
      </c>
      <c r="H158" s="16">
        <f t="shared" si="15"/>
        <v>68</v>
      </c>
      <c r="I158" s="18">
        <f t="shared" si="15"/>
        <v>1072.5399999999995</v>
      </c>
      <c r="J158" s="16">
        <f>VLOOKUP(A158,v_2023!F:I,3,FALSE)</f>
        <v>428</v>
      </c>
      <c r="K158" s="18">
        <f>VLOOKUP(A158,v_2023!F:I,4,FALSE)</f>
        <v>5216.21</v>
      </c>
      <c r="L158" s="16">
        <f t="shared" si="16"/>
        <v>-360</v>
      </c>
      <c r="M158" s="14">
        <f t="shared" si="16"/>
        <v>-4143.67</v>
      </c>
      <c r="N158" s="20">
        <f t="shared" si="17"/>
        <v>-0.79438327828059074</v>
      </c>
    </row>
    <row r="159" spans="1:14" x14ac:dyDescent="0.25">
      <c r="A159" s="16" t="s">
        <v>108</v>
      </c>
      <c r="B159" s="17" t="s">
        <v>109</v>
      </c>
      <c r="C159" s="16">
        <f>VLOOKUP(A159,v_2024!F:I,3,FALSE)</f>
        <v>63</v>
      </c>
      <c r="D159" s="18">
        <f>VLOOKUP(A159,v_2024!F:I,4,FALSE)</f>
        <v>567.63</v>
      </c>
      <c r="E159" s="16">
        <v>0</v>
      </c>
      <c r="F159" s="18">
        <v>0</v>
      </c>
      <c r="G159" s="19">
        <f t="shared" si="19"/>
        <v>0</v>
      </c>
      <c r="H159" s="16">
        <f t="shared" si="15"/>
        <v>63</v>
      </c>
      <c r="I159" s="18">
        <f t="shared" si="15"/>
        <v>567.63</v>
      </c>
      <c r="J159" s="16">
        <f>VLOOKUP(A159,v_2023!F:I,3,FALSE)</f>
        <v>223</v>
      </c>
      <c r="K159" s="18">
        <f>VLOOKUP(A159,v_2023!F:I,4,FALSE)</f>
        <v>2418.41</v>
      </c>
      <c r="L159" s="16">
        <f t="shared" si="16"/>
        <v>-160</v>
      </c>
      <c r="M159" s="14">
        <f t="shared" si="16"/>
        <v>-1850.7799999999997</v>
      </c>
      <c r="N159" s="20">
        <f t="shared" si="17"/>
        <v>-0.76528793711570819</v>
      </c>
    </row>
    <row r="160" spans="1:14" x14ac:dyDescent="0.25">
      <c r="A160" s="16" t="s">
        <v>281</v>
      </c>
      <c r="B160" s="17" t="s">
        <v>282</v>
      </c>
      <c r="C160" s="16">
        <v>0</v>
      </c>
      <c r="D160" s="18">
        <v>0</v>
      </c>
      <c r="E160" s="16">
        <v>0</v>
      </c>
      <c r="F160" s="18">
        <v>0</v>
      </c>
      <c r="G160" s="19"/>
      <c r="H160" s="16">
        <f t="shared" si="15"/>
        <v>0</v>
      </c>
      <c r="I160" s="18">
        <f t="shared" si="15"/>
        <v>0</v>
      </c>
      <c r="J160" s="16">
        <f>VLOOKUP(A160,v_2023!F:I,3,FALSE)</f>
        <v>17</v>
      </c>
      <c r="K160" s="18">
        <f>VLOOKUP(A160,v_2023!F:I,4,FALSE)</f>
        <v>227.33</v>
      </c>
      <c r="L160" s="16">
        <f t="shared" si="16"/>
        <v>-17</v>
      </c>
      <c r="M160" s="14">
        <f t="shared" si="16"/>
        <v>-227.33</v>
      </c>
      <c r="N160" s="20">
        <f t="shared" si="17"/>
        <v>-1</v>
      </c>
    </row>
    <row r="161" spans="1:14" x14ac:dyDescent="0.25">
      <c r="A161" s="16" t="s">
        <v>212</v>
      </c>
      <c r="B161" s="17" t="s">
        <v>213</v>
      </c>
      <c r="C161" s="16">
        <v>0</v>
      </c>
      <c r="D161" s="18">
        <v>0</v>
      </c>
      <c r="E161" s="16">
        <f>VLOOKUP(A161,s_2024!E:G,2,FALSE)</f>
        <v>21</v>
      </c>
      <c r="F161" s="18">
        <f>VLOOKUP(A161,s_2024!E:G,3,FALSE)</f>
        <v>837.89999999999975</v>
      </c>
      <c r="G161" s="19">
        <f t="shared" ref="G161:G170" si="20">F161/I161</f>
        <v>1</v>
      </c>
      <c r="H161" s="16">
        <f t="shared" si="15"/>
        <v>21</v>
      </c>
      <c r="I161" s="18">
        <f t="shared" si="15"/>
        <v>837.89999999999975</v>
      </c>
      <c r="J161" s="16">
        <v>0</v>
      </c>
      <c r="K161" s="18">
        <v>0</v>
      </c>
      <c r="L161" s="16">
        <f t="shared" si="16"/>
        <v>21</v>
      </c>
      <c r="M161" s="14">
        <f t="shared" si="16"/>
        <v>837.89999999999975</v>
      </c>
      <c r="N161" s="20"/>
    </row>
    <row r="162" spans="1:14" x14ac:dyDescent="0.25">
      <c r="A162" s="16" t="s">
        <v>67</v>
      </c>
      <c r="B162" s="17" t="s">
        <v>68</v>
      </c>
      <c r="C162" s="16">
        <f>VLOOKUP(A162,v_2024!F:I,3,FALSE)</f>
        <v>4</v>
      </c>
      <c r="D162" s="18">
        <f>VLOOKUP(A162,v_2024!F:I,4,FALSE)</f>
        <v>158.49</v>
      </c>
      <c r="E162" s="16">
        <v>0</v>
      </c>
      <c r="F162" s="18">
        <v>0</v>
      </c>
      <c r="G162" s="19">
        <f t="shared" si="20"/>
        <v>0</v>
      </c>
      <c r="H162" s="16">
        <f t="shared" si="15"/>
        <v>4</v>
      </c>
      <c r="I162" s="18">
        <f t="shared" si="15"/>
        <v>158.49</v>
      </c>
      <c r="J162" s="16">
        <f>VLOOKUP(A162,v_2023!F:I,3,FALSE)</f>
        <v>152</v>
      </c>
      <c r="K162" s="18">
        <f>VLOOKUP(A162,v_2023!F:I,4,FALSE)</f>
        <v>6234.61</v>
      </c>
      <c r="L162" s="16">
        <f t="shared" si="16"/>
        <v>-148</v>
      </c>
      <c r="M162" s="14">
        <f t="shared" si="16"/>
        <v>-6076.12</v>
      </c>
      <c r="N162" s="20">
        <f t="shared" si="17"/>
        <v>-0.97457900333781911</v>
      </c>
    </row>
    <row r="163" spans="1:14" x14ac:dyDescent="0.25">
      <c r="A163" s="16" t="s">
        <v>57</v>
      </c>
      <c r="B163" s="17" t="s">
        <v>58</v>
      </c>
      <c r="C163" s="16">
        <f>VLOOKUP(A163,v_2024!F:I,3,FALSE)</f>
        <v>19</v>
      </c>
      <c r="D163" s="18">
        <f>VLOOKUP(A163,v_2024!F:I,4,FALSE)</f>
        <v>1088.7</v>
      </c>
      <c r="E163" s="16">
        <f>VLOOKUP(A163,s_2024!E:G,2,FALSE)</f>
        <v>5</v>
      </c>
      <c r="F163" s="18">
        <f>VLOOKUP(A163,s_2024!E:G,3,FALSE)</f>
        <v>349.5</v>
      </c>
      <c r="G163" s="19">
        <f t="shared" si="20"/>
        <v>0.24301209845640384</v>
      </c>
      <c r="H163" s="16">
        <f t="shared" si="15"/>
        <v>24</v>
      </c>
      <c r="I163" s="18">
        <f t="shared" si="15"/>
        <v>1438.2</v>
      </c>
      <c r="J163" s="16">
        <f>VLOOKUP(A163,v_2023!F:I,3,FALSE)</f>
        <v>150</v>
      </c>
      <c r="K163" s="18">
        <f>VLOOKUP(A163,v_2023!F:I,4,FALSE)</f>
        <v>8110.64</v>
      </c>
      <c r="L163" s="16">
        <f t="shared" si="16"/>
        <v>-126</v>
      </c>
      <c r="M163" s="14">
        <f t="shared" si="16"/>
        <v>-6672.4400000000005</v>
      </c>
      <c r="N163" s="20">
        <f t="shared" si="17"/>
        <v>-0.822677371945987</v>
      </c>
    </row>
    <row r="164" spans="1:14" x14ac:dyDescent="0.25">
      <c r="A164" s="16" t="s">
        <v>402</v>
      </c>
      <c r="B164" s="17" t="s">
        <v>403</v>
      </c>
      <c r="C164" s="16">
        <f>VLOOKUP(A164,v_2024!F:I,3,FALSE)</f>
        <v>2</v>
      </c>
      <c r="D164" s="18">
        <f>VLOOKUP(A164,v_2024!F:I,4,FALSE)</f>
        <v>9.82</v>
      </c>
      <c r="E164" s="16">
        <v>0</v>
      </c>
      <c r="F164" s="18">
        <v>0</v>
      </c>
      <c r="G164" s="19">
        <f t="shared" si="20"/>
        <v>0</v>
      </c>
      <c r="H164" s="16">
        <f t="shared" si="15"/>
        <v>2</v>
      </c>
      <c r="I164" s="18">
        <f t="shared" si="15"/>
        <v>9.82</v>
      </c>
      <c r="J164" s="16">
        <f>VLOOKUP(A164,v_2023!F:I,3,FALSE)</f>
        <v>17</v>
      </c>
      <c r="K164" s="18">
        <f>VLOOKUP(A164,v_2023!F:I,4,FALSE)</f>
        <v>68.34</v>
      </c>
      <c r="L164" s="16">
        <f t="shared" si="16"/>
        <v>-15</v>
      </c>
      <c r="M164" s="14">
        <f t="shared" si="16"/>
        <v>-58.52</v>
      </c>
      <c r="N164" s="20">
        <f t="shared" si="17"/>
        <v>-0.85630670178519164</v>
      </c>
    </row>
    <row r="165" spans="1:14" x14ac:dyDescent="0.25">
      <c r="A165" s="16" t="s">
        <v>442</v>
      </c>
      <c r="B165" s="17" t="s">
        <v>443</v>
      </c>
      <c r="C165" s="16">
        <f>VLOOKUP(A165,v_2024!F:I,3,FALSE)</f>
        <v>4</v>
      </c>
      <c r="D165" s="18">
        <f>VLOOKUP(A165,v_2024!F:I,4,FALSE)</f>
        <v>65.239999999999995</v>
      </c>
      <c r="E165" s="16">
        <v>0</v>
      </c>
      <c r="F165" s="18">
        <v>0</v>
      </c>
      <c r="G165" s="19">
        <f t="shared" si="20"/>
        <v>0</v>
      </c>
      <c r="H165" s="16">
        <f t="shared" si="15"/>
        <v>4</v>
      </c>
      <c r="I165" s="18">
        <f t="shared" si="15"/>
        <v>65.239999999999995</v>
      </c>
      <c r="J165" s="16">
        <f>VLOOKUP(A165,v_2023!F:I,3,FALSE)</f>
        <v>2</v>
      </c>
      <c r="K165" s="18">
        <f>VLOOKUP(A165,v_2023!F:I,4,FALSE)</f>
        <v>32.619999999999997</v>
      </c>
      <c r="L165" s="16">
        <f t="shared" si="16"/>
        <v>2</v>
      </c>
      <c r="M165" s="14">
        <f t="shared" si="16"/>
        <v>32.619999999999997</v>
      </c>
      <c r="N165" s="20">
        <f t="shared" si="17"/>
        <v>1</v>
      </c>
    </row>
    <row r="166" spans="1:14" x14ac:dyDescent="0.25">
      <c r="A166" s="16" t="s">
        <v>63</v>
      </c>
      <c r="B166" s="17" t="s">
        <v>64</v>
      </c>
      <c r="C166" s="16">
        <v>0</v>
      </c>
      <c r="D166" s="18">
        <v>0</v>
      </c>
      <c r="E166" s="16">
        <f>VLOOKUP(A166,s_2024!E:G,2,FALSE)</f>
        <v>23</v>
      </c>
      <c r="F166" s="18">
        <f>VLOOKUP(A166,s_2024!E:G,3,FALSE)</f>
        <v>1820.7000000000005</v>
      </c>
      <c r="G166" s="19">
        <f t="shared" si="20"/>
        <v>1</v>
      </c>
      <c r="H166" s="16">
        <f t="shared" si="15"/>
        <v>23</v>
      </c>
      <c r="I166" s="18">
        <f t="shared" si="15"/>
        <v>1820.7000000000005</v>
      </c>
      <c r="J166" s="16">
        <v>0</v>
      </c>
      <c r="K166" s="18">
        <v>0</v>
      </c>
      <c r="L166" s="16">
        <f t="shared" si="16"/>
        <v>23</v>
      </c>
      <c r="M166" s="14">
        <f t="shared" si="16"/>
        <v>1820.7000000000005</v>
      </c>
      <c r="N166" s="20"/>
    </row>
    <row r="167" spans="1:14" x14ac:dyDescent="0.25">
      <c r="A167" s="16" t="s">
        <v>271</v>
      </c>
      <c r="B167" s="17" t="s">
        <v>272</v>
      </c>
      <c r="C167" s="16">
        <f>VLOOKUP(A167,v_2024!F:I,3,FALSE)</f>
        <v>0</v>
      </c>
      <c r="D167" s="18">
        <f>VLOOKUP(A167,v_2024!F:I,4,FALSE)</f>
        <v>0</v>
      </c>
      <c r="E167" s="16">
        <v>0</v>
      </c>
      <c r="F167" s="18">
        <v>0</v>
      </c>
      <c r="G167" s="19"/>
      <c r="H167" s="16">
        <f t="shared" si="15"/>
        <v>0</v>
      </c>
      <c r="I167" s="18">
        <f t="shared" si="15"/>
        <v>0</v>
      </c>
      <c r="J167" s="16">
        <f>VLOOKUP(A167,v_2023!F:I,3,FALSE)</f>
        <v>8</v>
      </c>
      <c r="K167" s="18">
        <f>VLOOKUP(A167,v_2023!F:I,4,FALSE)</f>
        <v>235.31</v>
      </c>
      <c r="L167" s="16">
        <f t="shared" si="16"/>
        <v>-8</v>
      </c>
      <c r="M167" s="14">
        <f t="shared" si="16"/>
        <v>-235.31</v>
      </c>
      <c r="N167" s="20">
        <f t="shared" si="17"/>
        <v>-1</v>
      </c>
    </row>
    <row r="168" spans="1:14" x14ac:dyDescent="0.25">
      <c r="A168" s="16" t="s">
        <v>160</v>
      </c>
      <c r="B168" s="17" t="s">
        <v>161</v>
      </c>
      <c r="C168" s="16">
        <f>VLOOKUP(A168,v_2024!F:I,3,FALSE)</f>
        <v>4</v>
      </c>
      <c r="D168" s="18">
        <f>VLOOKUP(A168,v_2024!F:I,4,FALSE)</f>
        <v>52.22</v>
      </c>
      <c r="E168" s="16">
        <v>0</v>
      </c>
      <c r="F168" s="18">
        <v>0</v>
      </c>
      <c r="G168" s="19">
        <f t="shared" si="20"/>
        <v>0</v>
      </c>
      <c r="H168" s="16">
        <f t="shared" si="15"/>
        <v>4</v>
      </c>
      <c r="I168" s="18">
        <f t="shared" si="15"/>
        <v>52.22</v>
      </c>
      <c r="J168" s="16">
        <f>VLOOKUP(A168,v_2023!F:I,3,FALSE)</f>
        <v>101</v>
      </c>
      <c r="K168" s="18">
        <f>VLOOKUP(A168,v_2023!F:I,4,FALSE)</f>
        <v>1233.21</v>
      </c>
      <c r="L168" s="16">
        <f t="shared" si="16"/>
        <v>-97</v>
      </c>
      <c r="M168" s="14">
        <f t="shared" si="16"/>
        <v>-1180.99</v>
      </c>
      <c r="N168" s="20">
        <f t="shared" si="17"/>
        <v>-0.95765522498195765</v>
      </c>
    </row>
    <row r="169" spans="1:14" x14ac:dyDescent="0.25">
      <c r="A169" s="16" t="s">
        <v>182</v>
      </c>
      <c r="B169" s="17" t="s">
        <v>183</v>
      </c>
      <c r="C169" s="16">
        <v>0</v>
      </c>
      <c r="D169" s="18">
        <v>0</v>
      </c>
      <c r="E169" s="16">
        <v>0</v>
      </c>
      <c r="F169" s="18">
        <v>0</v>
      </c>
      <c r="G169" s="19"/>
      <c r="H169" s="16">
        <f t="shared" si="15"/>
        <v>0</v>
      </c>
      <c r="I169" s="18">
        <f t="shared" si="15"/>
        <v>0</v>
      </c>
      <c r="J169" s="16">
        <v>0</v>
      </c>
      <c r="K169" s="18">
        <v>0</v>
      </c>
      <c r="L169" s="16">
        <f t="shared" si="16"/>
        <v>0</v>
      </c>
      <c r="M169" s="14">
        <f t="shared" si="16"/>
        <v>0</v>
      </c>
      <c r="N169" s="20"/>
    </row>
    <row r="170" spans="1:14" x14ac:dyDescent="0.25">
      <c r="A170" s="16" t="s">
        <v>289</v>
      </c>
      <c r="B170" s="17" t="s">
        <v>290</v>
      </c>
      <c r="C170" s="16">
        <f>VLOOKUP(A170,v_2024!F:I,3,FALSE)</f>
        <v>9</v>
      </c>
      <c r="D170" s="18">
        <f>VLOOKUP(A170,v_2024!F:I,4,FALSE)</f>
        <v>203.19</v>
      </c>
      <c r="E170" s="16">
        <v>0</v>
      </c>
      <c r="F170" s="18">
        <v>0</v>
      </c>
      <c r="G170" s="19">
        <f t="shared" si="20"/>
        <v>0</v>
      </c>
      <c r="H170" s="16">
        <f t="shared" si="15"/>
        <v>9</v>
      </c>
      <c r="I170" s="18">
        <f t="shared" si="15"/>
        <v>203.19</v>
      </c>
      <c r="J170" s="16">
        <f>VLOOKUP(A170,v_2023!F:I,3,FALSE)</f>
        <v>9</v>
      </c>
      <c r="K170" s="18">
        <f>VLOOKUP(A170,v_2023!F:I,4,FALSE)</f>
        <v>220.59</v>
      </c>
      <c r="L170" s="16">
        <f t="shared" si="16"/>
        <v>0</v>
      </c>
      <c r="M170" s="14">
        <f t="shared" si="16"/>
        <v>-17.400000000000006</v>
      </c>
      <c r="N170" s="20">
        <f t="shared" si="17"/>
        <v>-7.887936896504831E-2</v>
      </c>
    </row>
    <row r="171" spans="1:14" x14ac:dyDescent="0.25">
      <c r="A171" s="16" t="s">
        <v>356</v>
      </c>
      <c r="B171" s="17" t="s">
        <v>357</v>
      </c>
      <c r="C171" s="16">
        <f>VLOOKUP(A171,v_2024!F:I,3,FALSE)</f>
        <v>0</v>
      </c>
      <c r="D171" s="18">
        <f>VLOOKUP(A171,v_2024!F:I,4,FALSE)</f>
        <v>0</v>
      </c>
      <c r="E171" s="16">
        <v>0</v>
      </c>
      <c r="F171" s="18">
        <v>0</v>
      </c>
      <c r="G171" s="19"/>
      <c r="H171" s="16">
        <f t="shared" si="15"/>
        <v>0</v>
      </c>
      <c r="I171" s="18">
        <f t="shared" si="15"/>
        <v>0</v>
      </c>
      <c r="J171" s="16">
        <v>0</v>
      </c>
      <c r="K171" s="18">
        <v>0</v>
      </c>
      <c r="L171" s="16">
        <f t="shared" si="16"/>
        <v>0</v>
      </c>
      <c r="M171" s="14">
        <f t="shared" si="16"/>
        <v>0</v>
      </c>
      <c r="N171" s="20"/>
    </row>
    <row r="172" spans="1:14" x14ac:dyDescent="0.25">
      <c r="A172" s="16" t="s">
        <v>316</v>
      </c>
      <c r="B172" s="17" t="s">
        <v>317</v>
      </c>
      <c r="C172" s="16">
        <f>VLOOKUP(A172,v_2024!F:I,3,FALSE)</f>
        <v>9</v>
      </c>
      <c r="D172" s="18">
        <f>VLOOKUP(A172,v_2024!F:I,4,FALSE)</f>
        <v>45.88</v>
      </c>
      <c r="E172" s="16">
        <v>0</v>
      </c>
      <c r="F172" s="18">
        <v>0</v>
      </c>
      <c r="G172" s="19">
        <f>F172/I172</f>
        <v>0</v>
      </c>
      <c r="H172" s="16">
        <f t="shared" si="15"/>
        <v>9</v>
      </c>
      <c r="I172" s="18">
        <f t="shared" si="15"/>
        <v>45.88</v>
      </c>
      <c r="J172" s="16">
        <f>VLOOKUP(A172,v_2023!F:I,3,FALSE)</f>
        <v>24</v>
      </c>
      <c r="K172" s="18">
        <f>VLOOKUP(A172,v_2023!F:I,4,FALSE)</f>
        <v>168.36</v>
      </c>
      <c r="L172" s="16">
        <f t="shared" si="16"/>
        <v>-15</v>
      </c>
      <c r="M172" s="14">
        <f t="shared" si="16"/>
        <v>-122.48000000000002</v>
      </c>
      <c r="N172" s="20">
        <f t="shared" si="17"/>
        <v>-0.72748871465906395</v>
      </c>
    </row>
    <row r="173" spans="1:14" x14ac:dyDescent="0.25">
      <c r="A173" s="16" t="s">
        <v>514</v>
      </c>
      <c r="B173" s="17" t="s">
        <v>515</v>
      </c>
      <c r="C173" s="16">
        <f>VLOOKUP(A173,v_2024!F:I,3,FALSE)</f>
        <v>0</v>
      </c>
      <c r="D173" s="18">
        <f>VLOOKUP(A173,v_2024!F:I,4,FALSE)</f>
        <v>0</v>
      </c>
      <c r="E173" s="16">
        <v>0</v>
      </c>
      <c r="F173" s="18">
        <v>0</v>
      </c>
      <c r="G173" s="19"/>
      <c r="H173" s="16">
        <f t="shared" si="15"/>
        <v>0</v>
      </c>
      <c r="I173" s="18">
        <f t="shared" si="15"/>
        <v>0</v>
      </c>
      <c r="J173" s="16">
        <f>VLOOKUP(A173,v_2023!F:I,3,FALSE)</f>
        <v>1</v>
      </c>
      <c r="K173" s="18">
        <f>VLOOKUP(A173,v_2023!F:I,4,FALSE)</f>
        <v>10.57</v>
      </c>
      <c r="L173" s="16">
        <f t="shared" si="16"/>
        <v>-1</v>
      </c>
      <c r="M173" s="14">
        <f t="shared" si="16"/>
        <v>-10.57</v>
      </c>
      <c r="N173" s="20">
        <f t="shared" si="17"/>
        <v>-1</v>
      </c>
    </row>
    <row r="174" spans="1:14" x14ac:dyDescent="0.25">
      <c r="A174" s="16" t="s">
        <v>354</v>
      </c>
      <c r="B174" s="17" t="s">
        <v>355</v>
      </c>
      <c r="C174" s="16">
        <v>0</v>
      </c>
      <c r="D174" s="18">
        <v>0</v>
      </c>
      <c r="E174" s="16">
        <v>0</v>
      </c>
      <c r="F174" s="18">
        <v>0</v>
      </c>
      <c r="G174" s="19"/>
      <c r="H174" s="16">
        <f t="shared" si="15"/>
        <v>0</v>
      </c>
      <c r="I174" s="18">
        <f t="shared" si="15"/>
        <v>0</v>
      </c>
      <c r="J174" s="16">
        <v>0</v>
      </c>
      <c r="K174" s="18">
        <v>0</v>
      </c>
      <c r="L174" s="16">
        <f t="shared" si="16"/>
        <v>0</v>
      </c>
      <c r="M174" s="14">
        <f t="shared" si="16"/>
        <v>0</v>
      </c>
      <c r="N174" s="20"/>
    </row>
    <row r="175" spans="1:14" x14ac:dyDescent="0.25">
      <c r="A175" s="16" t="s">
        <v>512</v>
      </c>
      <c r="B175" s="17" t="s">
        <v>513</v>
      </c>
      <c r="C175" s="16">
        <f>VLOOKUP(A175,v_2024!F:I,3,FALSE)</f>
        <v>2</v>
      </c>
      <c r="D175" s="18">
        <f>VLOOKUP(A175,v_2024!F:I,4,FALSE)</f>
        <v>30.66</v>
      </c>
      <c r="E175" s="16">
        <v>0</v>
      </c>
      <c r="F175" s="18">
        <v>0</v>
      </c>
      <c r="G175" s="19">
        <f>F175/I175</f>
        <v>0</v>
      </c>
      <c r="H175" s="16">
        <f t="shared" si="15"/>
        <v>2</v>
      </c>
      <c r="I175" s="18">
        <f t="shared" si="15"/>
        <v>30.66</v>
      </c>
      <c r="J175" s="16">
        <f>VLOOKUP(A175,v_2023!F:I,3,FALSE)</f>
        <v>1</v>
      </c>
      <c r="K175" s="18">
        <f>VLOOKUP(A175,v_2023!F:I,4,FALSE)</f>
        <v>10.83</v>
      </c>
      <c r="L175" s="16">
        <f t="shared" si="16"/>
        <v>1</v>
      </c>
      <c r="M175" s="14">
        <f t="shared" si="16"/>
        <v>19.829999999999998</v>
      </c>
      <c r="N175" s="20">
        <f t="shared" si="17"/>
        <v>1.8310249307479223</v>
      </c>
    </row>
    <row r="176" spans="1:14" x14ac:dyDescent="0.25">
      <c r="A176" s="16" t="s">
        <v>720</v>
      </c>
      <c r="B176" s="17" t="s">
        <v>721</v>
      </c>
      <c r="C176" s="16">
        <f>VLOOKUP(A176,v_2024!F:I,3,FALSE)</f>
        <v>0</v>
      </c>
      <c r="D176" s="18">
        <f>VLOOKUP(A176,v_2024!F:I,4,FALSE)</f>
        <v>0</v>
      </c>
      <c r="E176" s="16">
        <v>0</v>
      </c>
      <c r="F176" s="18">
        <v>0</v>
      </c>
      <c r="G176" s="19"/>
      <c r="H176" s="16">
        <f t="shared" si="15"/>
        <v>0</v>
      </c>
      <c r="I176" s="18">
        <f t="shared" si="15"/>
        <v>0</v>
      </c>
      <c r="J176" s="16">
        <v>0</v>
      </c>
      <c r="K176" s="18">
        <v>0</v>
      </c>
      <c r="L176" s="16">
        <f t="shared" si="16"/>
        <v>0</v>
      </c>
      <c r="M176" s="14">
        <f t="shared" si="16"/>
        <v>0</v>
      </c>
      <c r="N176" s="20"/>
    </row>
    <row r="177" spans="1:14" x14ac:dyDescent="0.25">
      <c r="A177" s="16" t="s">
        <v>626</v>
      </c>
      <c r="B177" s="17" t="s">
        <v>627</v>
      </c>
      <c r="C177" s="16">
        <v>0</v>
      </c>
      <c r="D177" s="18">
        <v>0</v>
      </c>
      <c r="E177" s="16">
        <v>0</v>
      </c>
      <c r="F177" s="18">
        <v>0</v>
      </c>
      <c r="G177" s="19"/>
      <c r="H177" s="16">
        <f t="shared" si="15"/>
        <v>0</v>
      </c>
      <c r="I177" s="18">
        <f t="shared" si="15"/>
        <v>0</v>
      </c>
      <c r="J177" s="16">
        <v>0</v>
      </c>
      <c r="K177" s="18">
        <v>0</v>
      </c>
      <c r="L177" s="16">
        <f t="shared" si="16"/>
        <v>0</v>
      </c>
      <c r="M177" s="14">
        <f t="shared" si="16"/>
        <v>0</v>
      </c>
      <c r="N177" s="20"/>
    </row>
    <row r="178" spans="1:14" x14ac:dyDescent="0.25">
      <c r="A178" s="16" t="s">
        <v>686</v>
      </c>
      <c r="B178" s="17" t="s">
        <v>687</v>
      </c>
      <c r="C178" s="16">
        <v>0</v>
      </c>
      <c r="D178" s="18">
        <v>0</v>
      </c>
      <c r="E178" s="16">
        <v>0</v>
      </c>
      <c r="F178" s="18">
        <v>0</v>
      </c>
      <c r="G178" s="19"/>
      <c r="H178" s="16">
        <f t="shared" si="15"/>
        <v>0</v>
      </c>
      <c r="I178" s="18">
        <f t="shared" si="15"/>
        <v>0</v>
      </c>
      <c r="J178" s="16">
        <v>0</v>
      </c>
      <c r="K178" s="18">
        <v>0</v>
      </c>
      <c r="L178" s="16">
        <f t="shared" si="16"/>
        <v>0</v>
      </c>
      <c r="M178" s="14">
        <f t="shared" si="16"/>
        <v>0</v>
      </c>
      <c r="N178" s="20"/>
    </row>
    <row r="179" spans="1:14" x14ac:dyDescent="0.25">
      <c r="A179" s="16" t="s">
        <v>726</v>
      </c>
      <c r="B179" s="17" t="s">
        <v>727</v>
      </c>
      <c r="C179" s="16">
        <f>VLOOKUP(A179,v_2024!F:I,3,FALSE)</f>
        <v>0</v>
      </c>
      <c r="D179" s="18">
        <f>VLOOKUP(A179,v_2024!F:I,4,FALSE)</f>
        <v>0</v>
      </c>
      <c r="E179" s="16">
        <v>0</v>
      </c>
      <c r="F179" s="18">
        <v>0</v>
      </c>
      <c r="G179" s="19"/>
      <c r="H179" s="16">
        <f t="shared" si="15"/>
        <v>0</v>
      </c>
      <c r="I179" s="18">
        <f t="shared" si="15"/>
        <v>0</v>
      </c>
      <c r="J179" s="16">
        <v>0</v>
      </c>
      <c r="K179" s="18">
        <v>0</v>
      </c>
      <c r="L179" s="16">
        <f t="shared" si="16"/>
        <v>0</v>
      </c>
      <c r="M179" s="14">
        <f t="shared" si="16"/>
        <v>0</v>
      </c>
      <c r="N179" s="20"/>
    </row>
    <row r="180" spans="1:14" x14ac:dyDescent="0.25">
      <c r="A180" s="16" t="s">
        <v>31</v>
      </c>
      <c r="B180" s="17" t="s">
        <v>32</v>
      </c>
      <c r="C180" s="16">
        <f>VLOOKUP(A180,v_2024!F:I,3,FALSE)</f>
        <v>544</v>
      </c>
      <c r="D180" s="18">
        <f>VLOOKUP(A180,v_2024!F:I,4,FALSE)</f>
        <v>5723.45</v>
      </c>
      <c r="E180" s="16">
        <v>0</v>
      </c>
      <c r="F180" s="18">
        <v>0</v>
      </c>
      <c r="G180" s="19">
        <f>F180/I180</f>
        <v>0</v>
      </c>
      <c r="H180" s="16">
        <f t="shared" si="15"/>
        <v>544</v>
      </c>
      <c r="I180" s="18">
        <f t="shared" si="15"/>
        <v>5723.45</v>
      </c>
      <c r="J180" s="16">
        <f>VLOOKUP(A180,v_2023!F:I,3,FALSE)</f>
        <v>1836</v>
      </c>
      <c r="K180" s="18">
        <f>VLOOKUP(A180,v_2023!F:I,4,FALSE)</f>
        <v>14888.98</v>
      </c>
      <c r="L180" s="16">
        <f t="shared" si="16"/>
        <v>-1292</v>
      </c>
      <c r="M180" s="14">
        <f t="shared" si="16"/>
        <v>-9165.5299999999988</v>
      </c>
      <c r="N180" s="20">
        <f>M180/K180</f>
        <v>-0.61559153145480749</v>
      </c>
    </row>
    <row r="181" spans="1:14" x14ac:dyDescent="0.25">
      <c r="A181" s="16" t="s">
        <v>390</v>
      </c>
      <c r="B181" s="17" t="s">
        <v>391</v>
      </c>
      <c r="C181" s="16">
        <v>0</v>
      </c>
      <c r="D181" s="18">
        <v>0</v>
      </c>
      <c r="E181" s="16">
        <v>0</v>
      </c>
      <c r="F181" s="18">
        <v>0</v>
      </c>
      <c r="G181" s="19"/>
      <c r="H181" s="16">
        <f t="shared" si="15"/>
        <v>0</v>
      </c>
      <c r="I181" s="18">
        <f t="shared" si="15"/>
        <v>0</v>
      </c>
      <c r="J181" s="16">
        <v>0</v>
      </c>
      <c r="K181" s="18">
        <v>0</v>
      </c>
      <c r="L181" s="16">
        <f t="shared" si="16"/>
        <v>0</v>
      </c>
      <c r="M181" s="14">
        <f t="shared" si="16"/>
        <v>0</v>
      </c>
      <c r="N181" s="20"/>
    </row>
    <row r="182" spans="1:14" x14ac:dyDescent="0.25">
      <c r="A182" s="16" t="s">
        <v>100</v>
      </c>
      <c r="B182" s="17" t="s">
        <v>101</v>
      </c>
      <c r="C182" s="16">
        <f>VLOOKUP(A182,v_2024!F:I,3,FALSE)</f>
        <v>7</v>
      </c>
      <c r="D182" s="18">
        <f>VLOOKUP(A182,v_2024!F:I,4,FALSE)</f>
        <v>415.55</v>
      </c>
      <c r="E182" s="16">
        <v>0</v>
      </c>
      <c r="F182" s="18">
        <v>0</v>
      </c>
      <c r="G182" s="19">
        <f t="shared" ref="G182:G186" si="21">F182/I182</f>
        <v>0</v>
      </c>
      <c r="H182" s="16">
        <f t="shared" si="15"/>
        <v>7</v>
      </c>
      <c r="I182" s="18">
        <f t="shared" si="15"/>
        <v>415.55</v>
      </c>
      <c r="J182" s="16">
        <f>VLOOKUP(A182,v_2023!F:I,3,FALSE)</f>
        <v>51</v>
      </c>
      <c r="K182" s="18">
        <f>VLOOKUP(A182,v_2023!F:I,4,FALSE)</f>
        <v>3256.79</v>
      </c>
      <c r="L182" s="16">
        <f t="shared" si="16"/>
        <v>-44</v>
      </c>
      <c r="M182" s="14">
        <f t="shared" si="16"/>
        <v>-2841.24</v>
      </c>
      <c r="N182" s="20">
        <f>M182/K182</f>
        <v>-0.87240503686144943</v>
      </c>
    </row>
    <row r="183" spans="1:14" x14ac:dyDescent="0.25">
      <c r="A183" s="16" t="s">
        <v>578</v>
      </c>
      <c r="B183" s="17" t="s">
        <v>579</v>
      </c>
      <c r="C183" s="16">
        <f>VLOOKUP(A183,v_2024!F:I,3,FALSE)</f>
        <v>1</v>
      </c>
      <c r="D183" s="18">
        <f>VLOOKUP(A183,v_2024!F:I,4,FALSE)</f>
        <v>18.18</v>
      </c>
      <c r="E183" s="16">
        <v>0</v>
      </c>
      <c r="F183" s="18">
        <v>0</v>
      </c>
      <c r="G183" s="19">
        <f t="shared" si="21"/>
        <v>0</v>
      </c>
      <c r="H183" s="16">
        <f t="shared" si="15"/>
        <v>1</v>
      </c>
      <c r="I183" s="18">
        <f t="shared" si="15"/>
        <v>18.18</v>
      </c>
      <c r="J183" s="16">
        <v>0</v>
      </c>
      <c r="K183" s="18">
        <v>0</v>
      </c>
      <c r="L183" s="16">
        <f t="shared" si="16"/>
        <v>1</v>
      </c>
      <c r="M183" s="14">
        <f t="shared" si="16"/>
        <v>18.18</v>
      </c>
      <c r="N183" s="20"/>
    </row>
    <row r="184" spans="1:14" x14ac:dyDescent="0.25">
      <c r="A184" s="16" t="s">
        <v>426</v>
      </c>
      <c r="B184" s="17" t="s">
        <v>427</v>
      </c>
      <c r="C184" s="16">
        <f>VLOOKUP(A184,v_2024!F:I,3,FALSE)</f>
        <v>2</v>
      </c>
      <c r="D184" s="18">
        <f>VLOOKUP(A184,v_2024!F:I,4,FALSE)</f>
        <v>32.01</v>
      </c>
      <c r="E184" s="16">
        <v>0</v>
      </c>
      <c r="F184" s="18">
        <v>0</v>
      </c>
      <c r="G184" s="19">
        <f t="shared" si="21"/>
        <v>0</v>
      </c>
      <c r="H184" s="16">
        <f t="shared" si="15"/>
        <v>2</v>
      </c>
      <c r="I184" s="18">
        <f t="shared" si="15"/>
        <v>32.01</v>
      </c>
      <c r="J184" s="16">
        <f>VLOOKUP(A184,v_2023!F:I,3,FALSE)</f>
        <v>3</v>
      </c>
      <c r="K184" s="18">
        <f>VLOOKUP(A184,v_2023!F:I,4,FALSE)</f>
        <v>48.93</v>
      </c>
      <c r="L184" s="16">
        <f t="shared" si="16"/>
        <v>-1</v>
      </c>
      <c r="M184" s="14">
        <f t="shared" si="16"/>
        <v>-16.920000000000002</v>
      </c>
      <c r="N184" s="20">
        <f>M184/K184</f>
        <v>-0.34580012262415699</v>
      </c>
    </row>
    <row r="185" spans="1:14" x14ac:dyDescent="0.25">
      <c r="A185" s="16" t="s">
        <v>532</v>
      </c>
      <c r="B185" s="17" t="s">
        <v>533</v>
      </c>
      <c r="C185" s="16">
        <f>VLOOKUP(A185,v_2024!F:I,3,FALSE)</f>
        <v>6</v>
      </c>
      <c r="D185" s="18">
        <f>VLOOKUP(A185,v_2024!F:I,4,FALSE)</f>
        <v>58.74</v>
      </c>
      <c r="E185" s="16">
        <v>0</v>
      </c>
      <c r="F185" s="18">
        <v>0</v>
      </c>
      <c r="G185" s="19">
        <f t="shared" si="21"/>
        <v>0</v>
      </c>
      <c r="H185" s="16">
        <f t="shared" si="15"/>
        <v>6</v>
      </c>
      <c r="I185" s="18">
        <f t="shared" si="15"/>
        <v>58.74</v>
      </c>
      <c r="J185" s="16">
        <v>0</v>
      </c>
      <c r="K185" s="18">
        <v>0</v>
      </c>
      <c r="L185" s="16">
        <f t="shared" si="16"/>
        <v>6</v>
      </c>
      <c r="M185" s="14">
        <f t="shared" si="16"/>
        <v>58.74</v>
      </c>
      <c r="N185" s="20"/>
    </row>
    <row r="186" spans="1:14" x14ac:dyDescent="0.25">
      <c r="A186" s="16" t="s">
        <v>662</v>
      </c>
      <c r="B186" s="17" t="s">
        <v>663</v>
      </c>
      <c r="C186" s="16">
        <f>VLOOKUP(A186,v_2024!F:I,3,FALSE)</f>
        <v>4</v>
      </c>
      <c r="D186" s="18">
        <f>VLOOKUP(A186,v_2024!F:I,4,FALSE)</f>
        <v>81.040000000000006</v>
      </c>
      <c r="E186" s="16">
        <v>0</v>
      </c>
      <c r="F186" s="18">
        <v>0</v>
      </c>
      <c r="G186" s="19">
        <f t="shared" si="21"/>
        <v>0</v>
      </c>
      <c r="H186" s="16">
        <f t="shared" si="15"/>
        <v>4</v>
      </c>
      <c r="I186" s="18">
        <f t="shared" si="15"/>
        <v>81.040000000000006</v>
      </c>
      <c r="J186" s="16">
        <v>0</v>
      </c>
      <c r="K186" s="18">
        <v>0</v>
      </c>
      <c r="L186" s="16">
        <f t="shared" si="16"/>
        <v>4</v>
      </c>
      <c r="M186" s="14">
        <f t="shared" si="16"/>
        <v>81.040000000000006</v>
      </c>
      <c r="N186" s="20"/>
    </row>
    <row r="187" spans="1:14" x14ac:dyDescent="0.25">
      <c r="A187" s="16" t="s">
        <v>454</v>
      </c>
      <c r="B187" s="17" t="s">
        <v>455</v>
      </c>
      <c r="C187" s="16">
        <v>0</v>
      </c>
      <c r="D187" s="18">
        <v>0</v>
      </c>
      <c r="E187" s="16">
        <v>0</v>
      </c>
      <c r="F187" s="18">
        <v>0</v>
      </c>
      <c r="G187" s="19"/>
      <c r="H187" s="16">
        <f t="shared" si="15"/>
        <v>0</v>
      </c>
      <c r="I187" s="18">
        <f t="shared" si="15"/>
        <v>0</v>
      </c>
      <c r="J187" s="16">
        <v>0</v>
      </c>
      <c r="K187" s="18">
        <v>0</v>
      </c>
      <c r="L187" s="16">
        <f t="shared" si="16"/>
        <v>0</v>
      </c>
      <c r="M187" s="14">
        <f t="shared" si="16"/>
        <v>0</v>
      </c>
      <c r="N187" s="20"/>
    </row>
    <row r="188" spans="1:14" x14ac:dyDescent="0.25">
      <c r="A188" s="16" t="s">
        <v>264</v>
      </c>
      <c r="B188" s="17" t="s">
        <v>265</v>
      </c>
      <c r="C188" s="16">
        <f>VLOOKUP(A188,v_2024!F:I,3,FALSE)</f>
        <v>0</v>
      </c>
      <c r="D188" s="18">
        <f>VLOOKUP(A188,v_2024!F:I,4,FALSE)</f>
        <v>0</v>
      </c>
      <c r="E188" s="16">
        <v>0</v>
      </c>
      <c r="F188" s="18">
        <v>0</v>
      </c>
      <c r="G188" s="19"/>
      <c r="H188" s="16">
        <f t="shared" si="15"/>
        <v>0</v>
      </c>
      <c r="I188" s="18">
        <f t="shared" si="15"/>
        <v>0</v>
      </c>
      <c r="J188" s="16">
        <f>VLOOKUP(A188,v_2023!F:I,3,FALSE)</f>
        <v>40</v>
      </c>
      <c r="K188" s="18">
        <f>VLOOKUP(A188,v_2023!F:I,4,FALSE)</f>
        <v>324.39999999999998</v>
      </c>
      <c r="L188" s="16">
        <f t="shared" si="16"/>
        <v>-40</v>
      </c>
      <c r="M188" s="14">
        <f t="shared" si="16"/>
        <v>-324.39999999999998</v>
      </c>
      <c r="N188" s="20">
        <f t="shared" ref="N188:N200" si="22">M188/K188</f>
        <v>-1</v>
      </c>
    </row>
    <row r="189" spans="1:14" x14ac:dyDescent="0.25">
      <c r="A189" s="16" t="s">
        <v>224</v>
      </c>
      <c r="B189" s="17" t="s">
        <v>225</v>
      </c>
      <c r="C189" s="16">
        <f>VLOOKUP(A189,v_2024!F:I,3,FALSE)</f>
        <v>6</v>
      </c>
      <c r="D189" s="18">
        <f>VLOOKUP(A189,v_2024!F:I,4,FALSE)</f>
        <v>109.67</v>
      </c>
      <c r="E189" s="16">
        <v>0</v>
      </c>
      <c r="F189" s="18">
        <v>0</v>
      </c>
      <c r="G189" s="19">
        <f t="shared" ref="G189:G211" si="23">F189/I189</f>
        <v>0</v>
      </c>
      <c r="H189" s="16">
        <f t="shared" si="15"/>
        <v>6</v>
      </c>
      <c r="I189" s="18">
        <f t="shared" si="15"/>
        <v>109.67</v>
      </c>
      <c r="J189" s="16">
        <f>VLOOKUP(A189,v_2023!F:I,3,FALSE)</f>
        <v>34</v>
      </c>
      <c r="K189" s="18">
        <f>VLOOKUP(A189,v_2023!F:I,4,FALSE)</f>
        <v>543.38</v>
      </c>
      <c r="L189" s="16">
        <f t="shared" si="16"/>
        <v>-28</v>
      </c>
      <c r="M189" s="14">
        <f t="shared" si="16"/>
        <v>-433.71</v>
      </c>
      <c r="N189" s="20">
        <f t="shared" si="22"/>
        <v>-0.79817070926423495</v>
      </c>
    </row>
    <row r="190" spans="1:14" x14ac:dyDescent="0.25">
      <c r="A190" s="16" t="s">
        <v>116</v>
      </c>
      <c r="B190" s="17" t="s">
        <v>117</v>
      </c>
      <c r="C190" s="16">
        <f>VLOOKUP(A190,v_2024!F:I,3,FALSE)</f>
        <v>2</v>
      </c>
      <c r="D190" s="18">
        <f>VLOOKUP(A190,v_2024!F:I,4,FALSE)</f>
        <v>32.619999999999997</v>
      </c>
      <c r="E190" s="16">
        <v>0</v>
      </c>
      <c r="F190" s="18">
        <v>0</v>
      </c>
      <c r="G190" s="19">
        <f t="shared" si="23"/>
        <v>0</v>
      </c>
      <c r="H190" s="16">
        <f t="shared" si="15"/>
        <v>2</v>
      </c>
      <c r="I190" s="18">
        <f t="shared" si="15"/>
        <v>32.619999999999997</v>
      </c>
      <c r="J190" s="16">
        <f>VLOOKUP(A190,v_2023!F:I,3,FALSE)</f>
        <v>146</v>
      </c>
      <c r="K190" s="18">
        <f>VLOOKUP(A190,v_2023!F:I,4,FALSE)</f>
        <v>2282.7399999999998</v>
      </c>
      <c r="L190" s="16">
        <f t="shared" si="16"/>
        <v>-144</v>
      </c>
      <c r="M190" s="14">
        <f t="shared" si="16"/>
        <v>-2250.12</v>
      </c>
      <c r="N190" s="20">
        <f t="shared" si="22"/>
        <v>-0.9857101553396358</v>
      </c>
    </row>
    <row r="191" spans="1:14" x14ac:dyDescent="0.25">
      <c r="A191" s="16" t="s">
        <v>150</v>
      </c>
      <c r="B191" s="17" t="s">
        <v>151</v>
      </c>
      <c r="C191" s="16">
        <f>VLOOKUP(A191,v_2024!F:I,3,FALSE)</f>
        <v>5</v>
      </c>
      <c r="D191" s="18">
        <f>VLOOKUP(A191,v_2024!F:I,4,FALSE)</f>
        <v>93.23</v>
      </c>
      <c r="E191" s="16">
        <v>0</v>
      </c>
      <c r="F191" s="18">
        <v>0</v>
      </c>
      <c r="G191" s="19">
        <f t="shared" si="23"/>
        <v>0</v>
      </c>
      <c r="H191" s="16">
        <f t="shared" si="15"/>
        <v>5</v>
      </c>
      <c r="I191" s="18">
        <f t="shared" si="15"/>
        <v>93.23</v>
      </c>
      <c r="J191" s="16">
        <f>VLOOKUP(A191,v_2023!F:I,3,FALSE)</f>
        <v>111</v>
      </c>
      <c r="K191" s="18">
        <f>VLOOKUP(A191,v_2023!F:I,4,FALSE)</f>
        <v>1355.31</v>
      </c>
      <c r="L191" s="16">
        <f t="shared" si="16"/>
        <v>-106</v>
      </c>
      <c r="M191" s="14">
        <f t="shared" si="16"/>
        <v>-1262.08</v>
      </c>
      <c r="N191" s="20">
        <f t="shared" si="22"/>
        <v>-0.9312113095896879</v>
      </c>
    </row>
    <row r="192" spans="1:14" x14ac:dyDescent="0.25">
      <c r="A192" s="16" t="s">
        <v>332</v>
      </c>
      <c r="B192" s="17" t="s">
        <v>333</v>
      </c>
      <c r="C192" s="16">
        <v>0</v>
      </c>
      <c r="D192" s="18">
        <v>0</v>
      </c>
      <c r="E192" s="16">
        <v>0</v>
      </c>
      <c r="F192" s="18">
        <v>0</v>
      </c>
      <c r="G192" s="19"/>
      <c r="H192" s="16">
        <f t="shared" si="15"/>
        <v>0</v>
      </c>
      <c r="I192" s="18">
        <f t="shared" si="15"/>
        <v>0</v>
      </c>
      <c r="J192" s="16">
        <v>0</v>
      </c>
      <c r="K192" s="18">
        <v>0</v>
      </c>
      <c r="L192" s="16">
        <f t="shared" si="16"/>
        <v>0</v>
      </c>
      <c r="M192" s="14">
        <f t="shared" si="16"/>
        <v>0</v>
      </c>
      <c r="N192" s="20"/>
    </row>
    <row r="193" spans="1:14" x14ac:dyDescent="0.25">
      <c r="A193" s="16" t="s">
        <v>23</v>
      </c>
      <c r="B193" s="17" t="s">
        <v>24</v>
      </c>
      <c r="C193" s="16">
        <f>VLOOKUP(A193,v_2024!F:I,3,FALSE)</f>
        <v>81</v>
      </c>
      <c r="D193" s="18">
        <f>VLOOKUP(A193,v_2024!F:I,4,FALSE)</f>
        <v>906.26</v>
      </c>
      <c r="E193" s="16">
        <v>0</v>
      </c>
      <c r="F193" s="18">
        <v>0</v>
      </c>
      <c r="G193" s="19">
        <f t="shared" si="23"/>
        <v>0</v>
      </c>
      <c r="H193" s="16">
        <f t="shared" si="15"/>
        <v>81</v>
      </c>
      <c r="I193" s="18">
        <f t="shared" si="15"/>
        <v>906.26</v>
      </c>
      <c r="J193" s="16">
        <f>VLOOKUP(A193,v_2023!F:I,3,FALSE)</f>
        <v>546</v>
      </c>
      <c r="K193" s="18">
        <f>VLOOKUP(A193,v_2023!F:I,4,FALSE)</f>
        <v>4428.0600000000004</v>
      </c>
      <c r="L193" s="16">
        <f t="shared" si="16"/>
        <v>-465</v>
      </c>
      <c r="M193" s="14">
        <f t="shared" si="16"/>
        <v>-3521.8</v>
      </c>
      <c r="N193" s="20">
        <f t="shared" si="22"/>
        <v>-0.79533700988694822</v>
      </c>
    </row>
    <row r="194" spans="1:14" x14ac:dyDescent="0.25">
      <c r="A194" s="16" t="s">
        <v>174</v>
      </c>
      <c r="B194" s="17" t="s">
        <v>175</v>
      </c>
      <c r="C194" s="16">
        <f>VLOOKUP(A194,v_2024!F:I,3,FALSE)</f>
        <v>11</v>
      </c>
      <c r="D194" s="18">
        <f>VLOOKUP(A194,v_2024!F:I,4,FALSE)</f>
        <v>84.03</v>
      </c>
      <c r="E194" s="16">
        <v>0</v>
      </c>
      <c r="F194" s="18">
        <v>0</v>
      </c>
      <c r="G194" s="19">
        <f t="shared" si="23"/>
        <v>0</v>
      </c>
      <c r="H194" s="16">
        <f t="shared" ref="H194:I257" si="24">E194+C194</f>
        <v>11</v>
      </c>
      <c r="I194" s="18">
        <f t="shared" si="24"/>
        <v>84.03</v>
      </c>
      <c r="J194" s="16">
        <f>VLOOKUP(A194,v_2023!F:I,3,FALSE)</f>
        <v>132</v>
      </c>
      <c r="K194" s="18">
        <f>VLOOKUP(A194,v_2023!F:I,4,FALSE)</f>
        <v>1042.1500000000001</v>
      </c>
      <c r="L194" s="16">
        <f t="shared" ref="L194:M257" si="25">H194-J194</f>
        <v>-121</v>
      </c>
      <c r="M194" s="14">
        <f t="shared" si="25"/>
        <v>-958.12000000000012</v>
      </c>
      <c r="N194" s="20">
        <f t="shared" si="22"/>
        <v>-0.91936861296358496</v>
      </c>
    </row>
    <row r="195" spans="1:14" x14ac:dyDescent="0.25">
      <c r="A195" s="16" t="s">
        <v>55</v>
      </c>
      <c r="B195" s="17" t="s">
        <v>56</v>
      </c>
      <c r="C195" s="16">
        <f>VLOOKUP(A195,v_2024!F:I,3,FALSE)</f>
        <v>1</v>
      </c>
      <c r="D195" s="18">
        <f>VLOOKUP(A195,v_2024!F:I,4,FALSE)</f>
        <v>9.51</v>
      </c>
      <c r="E195" s="16">
        <v>0</v>
      </c>
      <c r="F195" s="18">
        <v>0</v>
      </c>
      <c r="G195" s="19">
        <f t="shared" si="23"/>
        <v>0</v>
      </c>
      <c r="H195" s="16">
        <f t="shared" si="24"/>
        <v>1</v>
      </c>
      <c r="I195" s="18">
        <f t="shared" si="24"/>
        <v>9.51</v>
      </c>
      <c r="J195" s="16">
        <f>VLOOKUP(A195,v_2023!F:I,3,FALSE)</f>
        <v>50</v>
      </c>
      <c r="K195" s="18">
        <f>VLOOKUP(A195,v_2023!F:I,4,FALSE)</f>
        <v>859.53</v>
      </c>
      <c r="L195" s="16">
        <f t="shared" si="25"/>
        <v>-49</v>
      </c>
      <c r="M195" s="14">
        <f t="shared" si="25"/>
        <v>-850.02</v>
      </c>
      <c r="N195" s="20">
        <f t="shared" si="22"/>
        <v>-0.98893581375868211</v>
      </c>
    </row>
    <row r="196" spans="1:14" x14ac:dyDescent="0.25">
      <c r="A196" s="16" t="s">
        <v>275</v>
      </c>
      <c r="B196" s="17" t="s">
        <v>276</v>
      </c>
      <c r="C196" s="16">
        <v>0</v>
      </c>
      <c r="D196" s="18">
        <v>0</v>
      </c>
      <c r="E196" s="16">
        <v>0</v>
      </c>
      <c r="F196" s="18">
        <v>0</v>
      </c>
      <c r="G196" s="19"/>
      <c r="H196" s="16">
        <f t="shared" si="24"/>
        <v>0</v>
      </c>
      <c r="I196" s="18">
        <f t="shared" si="24"/>
        <v>0</v>
      </c>
      <c r="J196" s="16">
        <f>VLOOKUP(A196,v_2023!F:I,3,FALSE)</f>
        <v>24</v>
      </c>
      <c r="K196" s="18">
        <f>VLOOKUP(A196,v_2023!F:I,4,FALSE)</f>
        <v>230.68</v>
      </c>
      <c r="L196" s="16">
        <f t="shared" si="25"/>
        <v>-24</v>
      </c>
      <c r="M196" s="14">
        <f t="shared" si="25"/>
        <v>-230.68</v>
      </c>
      <c r="N196" s="20">
        <f t="shared" si="22"/>
        <v>-1</v>
      </c>
    </row>
    <row r="197" spans="1:14" x14ac:dyDescent="0.25">
      <c r="A197" s="16" t="s">
        <v>14</v>
      </c>
      <c r="B197" s="17" t="s">
        <v>15</v>
      </c>
      <c r="C197" s="16">
        <f>VLOOKUP(A197,v_2024!F:I,3,FALSE)</f>
        <v>84</v>
      </c>
      <c r="D197" s="18">
        <f>VLOOKUP(A197,v_2024!F:I,4,FALSE)</f>
        <v>1179.03</v>
      </c>
      <c r="E197" s="16">
        <f>VLOOKUP(A197,s_2024!E:G,2,FALSE)</f>
        <v>70</v>
      </c>
      <c r="F197" s="18">
        <f>VLOOKUP(A197,s_2024!E:G,3,FALSE)</f>
        <v>1052.9999999999991</v>
      </c>
      <c r="G197" s="19">
        <f t="shared" si="23"/>
        <v>0.47176785258262643</v>
      </c>
      <c r="H197" s="16">
        <f t="shared" si="24"/>
        <v>154</v>
      </c>
      <c r="I197" s="18">
        <f t="shared" si="24"/>
        <v>2232.0299999999988</v>
      </c>
      <c r="J197" s="16">
        <f>VLOOKUP(A197,v_2023!F:I,3,FALSE)</f>
        <v>501</v>
      </c>
      <c r="K197" s="18">
        <f>VLOOKUP(A197,v_2023!F:I,4,FALSE)</f>
        <v>6117.21</v>
      </c>
      <c r="L197" s="16">
        <f t="shared" si="25"/>
        <v>-347</v>
      </c>
      <c r="M197" s="14">
        <f t="shared" si="25"/>
        <v>-3885.1800000000012</v>
      </c>
      <c r="N197" s="20">
        <f t="shared" si="22"/>
        <v>-0.63512287464383288</v>
      </c>
    </row>
    <row r="198" spans="1:14" x14ac:dyDescent="0.25">
      <c r="A198" s="16" t="s">
        <v>344</v>
      </c>
      <c r="B198" s="17" t="s">
        <v>345</v>
      </c>
      <c r="C198" s="16">
        <f>VLOOKUP(A198,v_2024!F:I,3,FALSE)</f>
        <v>12</v>
      </c>
      <c r="D198" s="18">
        <f>VLOOKUP(A198,v_2024!F:I,4,FALSE)</f>
        <v>132.43</v>
      </c>
      <c r="E198" s="16">
        <v>0</v>
      </c>
      <c r="F198" s="18">
        <v>0</v>
      </c>
      <c r="G198" s="19">
        <f t="shared" si="23"/>
        <v>0</v>
      </c>
      <c r="H198" s="16">
        <f t="shared" si="24"/>
        <v>12</v>
      </c>
      <c r="I198" s="18">
        <f t="shared" si="24"/>
        <v>132.43</v>
      </c>
      <c r="J198" s="16">
        <f>VLOOKUP(A198,v_2023!F:I,3,FALSE)</f>
        <v>11</v>
      </c>
      <c r="K198" s="18">
        <f>VLOOKUP(A198,v_2023!F:I,4,FALSE)</f>
        <v>125.12</v>
      </c>
      <c r="L198" s="16">
        <f t="shared" si="25"/>
        <v>1</v>
      </c>
      <c r="M198" s="14">
        <f t="shared" si="25"/>
        <v>7.3100000000000023</v>
      </c>
      <c r="N198" s="20">
        <f t="shared" si="22"/>
        <v>5.8423913043478277E-2</v>
      </c>
    </row>
    <row r="199" spans="1:14" x14ac:dyDescent="0.25">
      <c r="A199" s="16" t="s">
        <v>504</v>
      </c>
      <c r="B199" s="17" t="s">
        <v>505</v>
      </c>
      <c r="C199" s="16">
        <v>0</v>
      </c>
      <c r="D199" s="18">
        <v>0</v>
      </c>
      <c r="E199" s="16">
        <v>0</v>
      </c>
      <c r="F199" s="18">
        <v>0</v>
      </c>
      <c r="G199" s="19"/>
      <c r="H199" s="16">
        <f t="shared" si="24"/>
        <v>0</v>
      </c>
      <c r="I199" s="18">
        <f t="shared" si="24"/>
        <v>0</v>
      </c>
      <c r="J199" s="16">
        <v>0</v>
      </c>
      <c r="K199" s="18">
        <v>0</v>
      </c>
      <c r="L199" s="16">
        <f t="shared" si="25"/>
        <v>0</v>
      </c>
      <c r="M199" s="14">
        <f t="shared" si="25"/>
        <v>0</v>
      </c>
      <c r="N199" s="20"/>
    </row>
    <row r="200" spans="1:14" x14ac:dyDescent="0.25">
      <c r="A200" s="16" t="s">
        <v>246</v>
      </c>
      <c r="B200" s="17" t="s">
        <v>247</v>
      </c>
      <c r="C200" s="16">
        <f>VLOOKUP(A200,v_2024!F:I,3,FALSE)</f>
        <v>13</v>
      </c>
      <c r="D200" s="18">
        <f>VLOOKUP(A200,v_2024!F:I,4,FALSE)</f>
        <v>158.72999999999999</v>
      </c>
      <c r="E200" s="16">
        <v>0</v>
      </c>
      <c r="F200" s="18">
        <v>0</v>
      </c>
      <c r="G200" s="19">
        <f t="shared" si="23"/>
        <v>0</v>
      </c>
      <c r="H200" s="16">
        <f t="shared" si="24"/>
        <v>13</v>
      </c>
      <c r="I200" s="18">
        <f t="shared" si="24"/>
        <v>158.72999999999999</v>
      </c>
      <c r="J200" s="16">
        <f>VLOOKUP(A200,v_2023!F:I,3,FALSE)</f>
        <v>32</v>
      </c>
      <c r="K200" s="18">
        <f>VLOOKUP(A200,v_2023!F:I,4,FALSE)</f>
        <v>390.72</v>
      </c>
      <c r="L200" s="16">
        <f t="shared" si="25"/>
        <v>-19</v>
      </c>
      <c r="M200" s="14">
        <f t="shared" si="25"/>
        <v>-231.99000000000004</v>
      </c>
      <c r="N200" s="20">
        <f t="shared" si="22"/>
        <v>-0.59375</v>
      </c>
    </row>
    <row r="201" spans="1:14" x14ac:dyDescent="0.25">
      <c r="A201" s="16" t="s">
        <v>670</v>
      </c>
      <c r="B201" s="17" t="s">
        <v>671</v>
      </c>
      <c r="C201" s="16">
        <f>VLOOKUP(A201,v_2024!F:I,3,FALSE)</f>
        <v>2</v>
      </c>
      <c r="D201" s="18">
        <f>VLOOKUP(A201,v_2024!F:I,4,FALSE)</f>
        <v>65.400000000000006</v>
      </c>
      <c r="E201" s="16">
        <v>0</v>
      </c>
      <c r="F201" s="18">
        <v>0</v>
      </c>
      <c r="G201" s="19">
        <f t="shared" si="23"/>
        <v>0</v>
      </c>
      <c r="H201" s="16">
        <f t="shared" si="24"/>
        <v>2</v>
      </c>
      <c r="I201" s="18">
        <f t="shared" si="24"/>
        <v>65.400000000000006</v>
      </c>
      <c r="J201" s="16">
        <v>0</v>
      </c>
      <c r="K201" s="18">
        <v>0</v>
      </c>
      <c r="L201" s="16">
        <f t="shared" si="25"/>
        <v>2</v>
      </c>
      <c r="M201" s="14">
        <f t="shared" si="25"/>
        <v>65.400000000000006</v>
      </c>
      <c r="N201" s="20"/>
    </row>
    <row r="202" spans="1:14" x14ac:dyDescent="0.25">
      <c r="A202" s="16" t="s">
        <v>86</v>
      </c>
      <c r="B202" s="17" t="s">
        <v>87</v>
      </c>
      <c r="C202" s="16">
        <f>VLOOKUP(A202,v_2024!F:I,3,FALSE)</f>
        <v>1</v>
      </c>
      <c r="D202" s="18">
        <f>VLOOKUP(A202,v_2024!F:I,4,FALSE)</f>
        <v>28.61</v>
      </c>
      <c r="E202" s="16">
        <f>VLOOKUP(A202,s_2024!E:G,2,FALSE)</f>
        <v>8</v>
      </c>
      <c r="F202" s="18">
        <f>VLOOKUP(A202,s_2024!E:G,3,FALSE)</f>
        <v>291.2</v>
      </c>
      <c r="G202" s="19">
        <f t="shared" si="23"/>
        <v>0.91054063350114123</v>
      </c>
      <c r="H202" s="16">
        <f t="shared" si="24"/>
        <v>9</v>
      </c>
      <c r="I202" s="18">
        <f t="shared" si="24"/>
        <v>319.81</v>
      </c>
      <c r="J202" s="16">
        <f>VLOOKUP(A202,v_2023!F:I,3,FALSE)</f>
        <v>33</v>
      </c>
      <c r="K202" s="18">
        <f>VLOOKUP(A202,v_2023!F:I,4,FALSE)</f>
        <v>944.13</v>
      </c>
      <c r="L202" s="16">
        <f t="shared" si="25"/>
        <v>-24</v>
      </c>
      <c r="M202" s="14">
        <f t="shared" si="25"/>
        <v>-624.31999999999994</v>
      </c>
      <c r="N202" s="20">
        <f>M202/K202</f>
        <v>-0.66126486818552521</v>
      </c>
    </row>
    <row r="203" spans="1:14" x14ac:dyDescent="0.25">
      <c r="A203" s="16" t="s">
        <v>304</v>
      </c>
      <c r="B203" s="17" t="s">
        <v>305</v>
      </c>
      <c r="C203" s="16">
        <f>VLOOKUP(A203,v_2024!F:I,3,FALSE)</f>
        <v>7</v>
      </c>
      <c r="D203" s="18">
        <f>VLOOKUP(A203,v_2024!F:I,4,FALSE)</f>
        <v>433.99</v>
      </c>
      <c r="E203" s="16">
        <v>0</v>
      </c>
      <c r="F203" s="18">
        <v>0</v>
      </c>
      <c r="G203" s="19">
        <f t="shared" si="23"/>
        <v>0</v>
      </c>
      <c r="H203" s="16">
        <f t="shared" si="24"/>
        <v>7</v>
      </c>
      <c r="I203" s="18">
        <f t="shared" si="24"/>
        <v>433.99</v>
      </c>
      <c r="J203" s="16">
        <f>VLOOKUP(A203,v_2023!F:I,3,FALSE)</f>
        <v>3</v>
      </c>
      <c r="K203" s="18">
        <f>VLOOKUP(A203,v_2023!F:I,4,FALSE)</f>
        <v>196.47</v>
      </c>
      <c r="L203" s="16">
        <f t="shared" si="25"/>
        <v>4</v>
      </c>
      <c r="M203" s="14">
        <f t="shared" si="25"/>
        <v>237.52</v>
      </c>
      <c r="N203" s="20">
        <f>M203/K203</f>
        <v>1.2089377513106327</v>
      </c>
    </row>
    <row r="204" spans="1:14" x14ac:dyDescent="0.25">
      <c r="A204" s="16" t="s">
        <v>574</v>
      </c>
      <c r="B204" s="17" t="s">
        <v>575</v>
      </c>
      <c r="C204" s="16">
        <f>VLOOKUP(A204,v_2024!F:I,3,FALSE)</f>
        <v>1</v>
      </c>
      <c r="D204" s="18">
        <f>VLOOKUP(A204,v_2024!F:I,4,FALSE)</f>
        <v>2.93</v>
      </c>
      <c r="E204" s="16">
        <v>0</v>
      </c>
      <c r="F204" s="18">
        <v>0</v>
      </c>
      <c r="G204" s="19">
        <f t="shared" si="23"/>
        <v>0</v>
      </c>
      <c r="H204" s="16">
        <f t="shared" si="24"/>
        <v>1</v>
      </c>
      <c r="I204" s="18">
        <f t="shared" si="24"/>
        <v>2.93</v>
      </c>
      <c r="J204" s="16">
        <v>0</v>
      </c>
      <c r="K204" s="18">
        <v>0</v>
      </c>
      <c r="L204" s="16">
        <f t="shared" si="25"/>
        <v>1</v>
      </c>
      <c r="M204" s="14">
        <f t="shared" si="25"/>
        <v>2.93</v>
      </c>
      <c r="N204" s="20"/>
    </row>
    <row r="205" spans="1:14" x14ac:dyDescent="0.25">
      <c r="A205" s="16" t="s">
        <v>256</v>
      </c>
      <c r="B205" s="17" t="s">
        <v>257</v>
      </c>
      <c r="C205" s="16">
        <v>0</v>
      </c>
      <c r="D205" s="18">
        <v>0</v>
      </c>
      <c r="E205" s="16">
        <v>0</v>
      </c>
      <c r="F205" s="18">
        <v>0</v>
      </c>
      <c r="G205" s="19"/>
      <c r="H205" s="16">
        <f t="shared" si="24"/>
        <v>0</v>
      </c>
      <c r="I205" s="18">
        <f t="shared" si="24"/>
        <v>0</v>
      </c>
      <c r="J205" s="16">
        <v>0</v>
      </c>
      <c r="K205" s="18">
        <v>0</v>
      </c>
      <c r="L205" s="16">
        <f t="shared" si="25"/>
        <v>0</v>
      </c>
      <c r="M205" s="14">
        <f t="shared" si="25"/>
        <v>0</v>
      </c>
      <c r="N205" s="20"/>
    </row>
    <row r="206" spans="1:14" x14ac:dyDescent="0.25">
      <c r="A206" s="16" t="s">
        <v>277</v>
      </c>
      <c r="B206" s="17" t="s">
        <v>278</v>
      </c>
      <c r="C206" s="16">
        <f>VLOOKUP(A206,v_2024!F:I,3,FALSE)</f>
        <v>13</v>
      </c>
      <c r="D206" s="18">
        <f>VLOOKUP(A206,v_2024!F:I,4,FALSE)</f>
        <v>187.88</v>
      </c>
      <c r="E206" s="16">
        <v>0</v>
      </c>
      <c r="F206" s="18">
        <v>0</v>
      </c>
      <c r="G206" s="19">
        <f t="shared" si="23"/>
        <v>0</v>
      </c>
      <c r="H206" s="16">
        <f t="shared" si="24"/>
        <v>13</v>
      </c>
      <c r="I206" s="18">
        <f t="shared" si="24"/>
        <v>187.88</v>
      </c>
      <c r="J206" s="16">
        <f>VLOOKUP(A206,v_2023!F:I,3,FALSE)</f>
        <v>14</v>
      </c>
      <c r="K206" s="18">
        <f>VLOOKUP(A206,v_2023!F:I,4,FALSE)</f>
        <v>228.34</v>
      </c>
      <c r="L206" s="16">
        <f t="shared" si="25"/>
        <v>-1</v>
      </c>
      <c r="M206" s="14">
        <f t="shared" si="25"/>
        <v>-40.460000000000008</v>
      </c>
      <c r="N206" s="20">
        <f t="shared" ref="N206:N218" si="26">M206/K206</f>
        <v>-0.17719190680564073</v>
      </c>
    </row>
    <row r="207" spans="1:14" x14ac:dyDescent="0.25">
      <c r="A207" s="16" t="s">
        <v>404</v>
      </c>
      <c r="B207" s="17" t="s">
        <v>405</v>
      </c>
      <c r="C207" s="16">
        <v>0</v>
      </c>
      <c r="D207" s="18">
        <v>0</v>
      </c>
      <c r="E207" s="16">
        <v>0</v>
      </c>
      <c r="F207" s="18">
        <v>0</v>
      </c>
      <c r="G207" s="19"/>
      <c r="H207" s="16">
        <f t="shared" si="24"/>
        <v>0</v>
      </c>
      <c r="I207" s="18">
        <f t="shared" si="24"/>
        <v>0</v>
      </c>
      <c r="J207" s="16">
        <v>0</v>
      </c>
      <c r="K207" s="18">
        <v>0</v>
      </c>
      <c r="L207" s="16">
        <f t="shared" si="25"/>
        <v>0</v>
      </c>
      <c r="M207" s="14">
        <f t="shared" si="25"/>
        <v>0</v>
      </c>
      <c r="N207" s="20"/>
    </row>
    <row r="208" spans="1:14" x14ac:dyDescent="0.25">
      <c r="A208" s="16" t="s">
        <v>178</v>
      </c>
      <c r="B208" s="17" t="s">
        <v>179</v>
      </c>
      <c r="C208" s="16">
        <f>VLOOKUP(A208,v_2024!F:I,3,FALSE)</f>
        <v>0</v>
      </c>
      <c r="D208" s="18">
        <f>VLOOKUP(A208,v_2024!F:I,4,FALSE)</f>
        <v>0</v>
      </c>
      <c r="E208" s="16">
        <v>0</v>
      </c>
      <c r="F208" s="18">
        <v>0</v>
      </c>
      <c r="G208" s="19"/>
      <c r="H208" s="16">
        <f t="shared" si="24"/>
        <v>0</v>
      </c>
      <c r="I208" s="18">
        <f t="shared" si="24"/>
        <v>0</v>
      </c>
      <c r="J208" s="16">
        <f>VLOOKUP(A208,v_2023!F:I,3,FALSE)</f>
        <v>6</v>
      </c>
      <c r="K208" s="18">
        <f>VLOOKUP(A208,v_2023!F:I,4,FALSE)</f>
        <v>196.2</v>
      </c>
      <c r="L208" s="16">
        <f t="shared" si="25"/>
        <v>-6</v>
      </c>
      <c r="M208" s="14">
        <f t="shared" si="25"/>
        <v>-196.2</v>
      </c>
      <c r="N208" s="20">
        <f t="shared" si="26"/>
        <v>-1</v>
      </c>
    </row>
    <row r="209" spans="1:14" x14ac:dyDescent="0.25">
      <c r="A209" s="16" t="s">
        <v>120</v>
      </c>
      <c r="B209" s="17" t="s">
        <v>121</v>
      </c>
      <c r="C209" s="16">
        <f>VLOOKUP(A209,v_2024!F:I,3,FALSE)</f>
        <v>4</v>
      </c>
      <c r="D209" s="18">
        <f>VLOOKUP(A209,v_2024!F:I,4,FALSE)</f>
        <v>112.32</v>
      </c>
      <c r="E209" s="16">
        <v>0</v>
      </c>
      <c r="F209" s="18">
        <v>0</v>
      </c>
      <c r="G209" s="19">
        <f t="shared" si="23"/>
        <v>0</v>
      </c>
      <c r="H209" s="16">
        <f t="shared" si="24"/>
        <v>4</v>
      </c>
      <c r="I209" s="18">
        <f t="shared" si="24"/>
        <v>112.32</v>
      </c>
      <c r="J209" s="16">
        <f>VLOOKUP(A209,v_2023!F:I,3,FALSE)</f>
        <v>1</v>
      </c>
      <c r="K209" s="18">
        <f>VLOOKUP(A209,v_2023!F:I,4,FALSE)</f>
        <v>28.61</v>
      </c>
      <c r="L209" s="16">
        <f t="shared" si="25"/>
        <v>3</v>
      </c>
      <c r="M209" s="14">
        <f t="shared" si="25"/>
        <v>83.71</v>
      </c>
      <c r="N209" s="20">
        <f t="shared" si="26"/>
        <v>2.9259000349528135</v>
      </c>
    </row>
    <row r="210" spans="1:14" x14ac:dyDescent="0.25">
      <c r="A210" s="16" t="s">
        <v>410</v>
      </c>
      <c r="B210" s="17" t="s">
        <v>411</v>
      </c>
      <c r="C210" s="16">
        <v>0</v>
      </c>
      <c r="D210" s="18">
        <v>0</v>
      </c>
      <c r="E210" s="16">
        <v>0</v>
      </c>
      <c r="F210" s="18">
        <v>0</v>
      </c>
      <c r="G210" s="19"/>
      <c r="H210" s="16">
        <f t="shared" si="24"/>
        <v>0</v>
      </c>
      <c r="I210" s="18">
        <f t="shared" si="24"/>
        <v>0</v>
      </c>
      <c r="J210" s="16">
        <f>VLOOKUP(A210,v_2023!F:I,3,FALSE)</f>
        <v>1</v>
      </c>
      <c r="K210" s="18">
        <f>VLOOKUP(A210,v_2023!F:I,4,FALSE)</f>
        <v>56.23</v>
      </c>
      <c r="L210" s="16">
        <f t="shared" si="25"/>
        <v>-1</v>
      </c>
      <c r="M210" s="14">
        <f t="shared" si="25"/>
        <v>-56.23</v>
      </c>
      <c r="N210" s="20">
        <f t="shared" si="26"/>
        <v>-1</v>
      </c>
    </row>
    <row r="211" spans="1:14" x14ac:dyDescent="0.25">
      <c r="A211" s="16" t="s">
        <v>238</v>
      </c>
      <c r="B211" s="17" t="s">
        <v>239</v>
      </c>
      <c r="C211" s="16">
        <f>VLOOKUP(A211,v_2024!F:I,3,FALSE)</f>
        <v>5</v>
      </c>
      <c r="D211" s="18">
        <f>VLOOKUP(A211,v_2024!F:I,4,FALSE)</f>
        <v>79.12</v>
      </c>
      <c r="E211" s="16">
        <v>0</v>
      </c>
      <c r="F211" s="18">
        <v>0</v>
      </c>
      <c r="G211" s="19">
        <f t="shared" si="23"/>
        <v>0</v>
      </c>
      <c r="H211" s="16">
        <f t="shared" si="24"/>
        <v>5</v>
      </c>
      <c r="I211" s="18">
        <f t="shared" si="24"/>
        <v>79.12</v>
      </c>
      <c r="J211" s="16">
        <f>VLOOKUP(A211,v_2023!F:I,3,FALSE)</f>
        <v>5</v>
      </c>
      <c r="K211" s="18">
        <f>VLOOKUP(A211,v_2023!F:I,4,FALSE)</f>
        <v>86.76</v>
      </c>
      <c r="L211" s="16">
        <f t="shared" si="25"/>
        <v>0</v>
      </c>
      <c r="M211" s="14">
        <f t="shared" si="25"/>
        <v>-7.6400000000000006</v>
      </c>
      <c r="N211" s="20">
        <f t="shared" si="26"/>
        <v>-8.8059013370216696E-2</v>
      </c>
    </row>
    <row r="212" spans="1:14" x14ac:dyDescent="0.25">
      <c r="A212" s="16" t="s">
        <v>414</v>
      </c>
      <c r="B212" s="17" t="s">
        <v>415</v>
      </c>
      <c r="C212" s="16">
        <f>VLOOKUP(A212,v_2024!F:I,3,FALSE)</f>
        <v>0</v>
      </c>
      <c r="D212" s="18">
        <f>VLOOKUP(A212,v_2024!F:I,4,FALSE)</f>
        <v>0</v>
      </c>
      <c r="E212" s="16">
        <v>0</v>
      </c>
      <c r="F212" s="18">
        <v>0</v>
      </c>
      <c r="G212" s="19"/>
      <c r="H212" s="16">
        <f t="shared" si="24"/>
        <v>0</v>
      </c>
      <c r="I212" s="18">
        <f t="shared" si="24"/>
        <v>0</v>
      </c>
      <c r="J212" s="16">
        <f>VLOOKUP(A212,v_2023!F:I,3,FALSE)</f>
        <v>2</v>
      </c>
      <c r="K212" s="18">
        <f>VLOOKUP(A212,v_2023!F:I,4,FALSE)</f>
        <v>51.28</v>
      </c>
      <c r="L212" s="16">
        <f t="shared" si="25"/>
        <v>-2</v>
      </c>
      <c r="M212" s="14">
        <f t="shared" si="25"/>
        <v>-51.28</v>
      </c>
      <c r="N212" s="20">
        <f t="shared" si="26"/>
        <v>-1</v>
      </c>
    </row>
    <row r="213" spans="1:14" x14ac:dyDescent="0.25">
      <c r="A213" s="16" t="s">
        <v>222</v>
      </c>
      <c r="B213" s="17" t="s">
        <v>223</v>
      </c>
      <c r="C213" s="16">
        <f>VLOOKUP(A213,v_2024!F:I,3,FALSE)</f>
        <v>8</v>
      </c>
      <c r="D213" s="18">
        <f>VLOOKUP(A213,v_2024!F:I,4,FALSE)</f>
        <v>842.72</v>
      </c>
      <c r="E213" s="16">
        <v>0</v>
      </c>
      <c r="F213" s="18">
        <v>0</v>
      </c>
      <c r="G213" s="19">
        <f t="shared" ref="G213:G219" si="27">F213/I213</f>
        <v>0</v>
      </c>
      <c r="H213" s="16">
        <f t="shared" si="24"/>
        <v>8</v>
      </c>
      <c r="I213" s="18">
        <f t="shared" si="24"/>
        <v>842.72</v>
      </c>
      <c r="J213" s="16">
        <f>VLOOKUP(A213,v_2023!F:I,3,FALSE)</f>
        <v>6</v>
      </c>
      <c r="K213" s="18">
        <f>VLOOKUP(A213,v_2023!F:I,4,FALSE)</f>
        <v>551.73</v>
      </c>
      <c r="L213" s="16">
        <f t="shared" si="25"/>
        <v>2</v>
      </c>
      <c r="M213" s="14">
        <f t="shared" si="25"/>
        <v>290.99</v>
      </c>
      <c r="N213" s="20">
        <f t="shared" si="26"/>
        <v>0.52741377122868072</v>
      </c>
    </row>
    <row r="214" spans="1:14" x14ac:dyDescent="0.25">
      <c r="A214" s="16" t="s">
        <v>146</v>
      </c>
      <c r="B214" s="17" t="s">
        <v>147</v>
      </c>
      <c r="C214" s="16">
        <f>VLOOKUP(A214,v_2024!F:I,3,FALSE)</f>
        <v>4</v>
      </c>
      <c r="D214" s="18">
        <f>VLOOKUP(A214,v_2024!F:I,4,FALSE)</f>
        <v>314.75</v>
      </c>
      <c r="E214" s="16">
        <v>0</v>
      </c>
      <c r="F214" s="18">
        <v>0</v>
      </c>
      <c r="G214" s="19">
        <f t="shared" si="27"/>
        <v>0</v>
      </c>
      <c r="H214" s="16">
        <f t="shared" si="24"/>
        <v>4</v>
      </c>
      <c r="I214" s="18">
        <f t="shared" si="24"/>
        <v>314.75</v>
      </c>
      <c r="J214" s="16">
        <f>VLOOKUP(A214,v_2023!F:I,3,FALSE)</f>
        <v>19</v>
      </c>
      <c r="K214" s="18">
        <f>VLOOKUP(A214,v_2023!F:I,4,FALSE)</f>
        <v>1386.05</v>
      </c>
      <c r="L214" s="16">
        <f t="shared" si="25"/>
        <v>-15</v>
      </c>
      <c r="M214" s="14">
        <f t="shared" si="25"/>
        <v>-1071.3</v>
      </c>
      <c r="N214" s="20">
        <f t="shared" si="26"/>
        <v>-0.77291583997691282</v>
      </c>
    </row>
    <row r="215" spans="1:14" x14ac:dyDescent="0.25">
      <c r="A215" s="16" t="s">
        <v>242</v>
      </c>
      <c r="B215" s="17" t="s">
        <v>243</v>
      </c>
      <c r="C215" s="16">
        <f>VLOOKUP(A215,v_2024!F:I,3,FALSE)</f>
        <v>1</v>
      </c>
      <c r="D215" s="18">
        <f>VLOOKUP(A215,v_2024!F:I,4,FALSE)</f>
        <v>58.2</v>
      </c>
      <c r="E215" s="16">
        <v>0</v>
      </c>
      <c r="F215" s="18">
        <v>0</v>
      </c>
      <c r="G215" s="19">
        <f t="shared" si="27"/>
        <v>0</v>
      </c>
      <c r="H215" s="16">
        <f t="shared" si="24"/>
        <v>1</v>
      </c>
      <c r="I215" s="18">
        <f t="shared" si="24"/>
        <v>58.2</v>
      </c>
      <c r="J215" s="16">
        <f>VLOOKUP(A215,v_2023!F:I,3,FALSE)</f>
        <v>7</v>
      </c>
      <c r="K215" s="18">
        <f>VLOOKUP(A215,v_2023!F:I,4,FALSE)</f>
        <v>401.1</v>
      </c>
      <c r="L215" s="16">
        <f t="shared" si="25"/>
        <v>-6</v>
      </c>
      <c r="M215" s="14">
        <f t="shared" si="25"/>
        <v>-342.90000000000003</v>
      </c>
      <c r="N215" s="20">
        <f t="shared" si="26"/>
        <v>-0.85489902767389681</v>
      </c>
    </row>
    <row r="216" spans="1:14" x14ac:dyDescent="0.25">
      <c r="A216" s="16" t="s">
        <v>124</v>
      </c>
      <c r="B216" s="17" t="s">
        <v>125</v>
      </c>
      <c r="C216" s="16">
        <f>VLOOKUP(A216,v_2024!F:I,3,FALSE)</f>
        <v>21</v>
      </c>
      <c r="D216" s="18">
        <f>VLOOKUP(A216,v_2024!F:I,4,FALSE)</f>
        <v>549.39</v>
      </c>
      <c r="E216" s="16">
        <v>0</v>
      </c>
      <c r="F216" s="18">
        <v>0</v>
      </c>
      <c r="G216" s="19">
        <f t="shared" si="27"/>
        <v>0</v>
      </c>
      <c r="H216" s="16">
        <f t="shared" si="24"/>
        <v>21</v>
      </c>
      <c r="I216" s="18">
        <f t="shared" si="24"/>
        <v>549.39</v>
      </c>
      <c r="J216" s="16">
        <f>VLOOKUP(A216,v_2023!F:I,3,FALSE)</f>
        <v>105</v>
      </c>
      <c r="K216" s="18">
        <f>VLOOKUP(A216,v_2023!F:I,4,FALSE)</f>
        <v>2143.0500000000002</v>
      </c>
      <c r="L216" s="16">
        <f t="shared" si="25"/>
        <v>-84</v>
      </c>
      <c r="M216" s="14">
        <f t="shared" si="25"/>
        <v>-1593.6600000000003</v>
      </c>
      <c r="N216" s="20">
        <f t="shared" si="26"/>
        <v>-0.74364107230349275</v>
      </c>
    </row>
    <row r="217" spans="1:14" x14ac:dyDescent="0.25">
      <c r="A217" s="16" t="s">
        <v>154</v>
      </c>
      <c r="B217" s="17" t="s">
        <v>155</v>
      </c>
      <c r="C217" s="16">
        <f>VLOOKUP(A217,v_2024!F:I,3,FALSE)</f>
        <v>20</v>
      </c>
      <c r="D217" s="18">
        <f>VLOOKUP(A217,v_2024!F:I,4,FALSE)</f>
        <v>490.2</v>
      </c>
      <c r="E217" s="16">
        <v>0</v>
      </c>
      <c r="F217" s="18">
        <v>0</v>
      </c>
      <c r="G217" s="19">
        <f t="shared" si="27"/>
        <v>0</v>
      </c>
      <c r="H217" s="16">
        <f t="shared" si="24"/>
        <v>20</v>
      </c>
      <c r="I217" s="18">
        <f t="shared" si="24"/>
        <v>490.2</v>
      </c>
      <c r="J217" s="16">
        <f>VLOOKUP(A217,v_2023!F:I,3,FALSE)</f>
        <v>53</v>
      </c>
      <c r="K217" s="18">
        <f>VLOOKUP(A217,v_2023!F:I,4,FALSE)</f>
        <v>1299.03</v>
      </c>
      <c r="L217" s="16">
        <f t="shared" si="25"/>
        <v>-33</v>
      </c>
      <c r="M217" s="14">
        <f t="shared" si="25"/>
        <v>-808.82999999999993</v>
      </c>
      <c r="N217" s="20">
        <f t="shared" si="26"/>
        <v>-0.62264150943396224</v>
      </c>
    </row>
    <row r="218" spans="1:14" x14ac:dyDescent="0.25">
      <c r="A218" s="16" t="s">
        <v>140</v>
      </c>
      <c r="B218" s="17" t="s">
        <v>141</v>
      </c>
      <c r="C218" s="16">
        <f>VLOOKUP(A218,v_2024!F:I,3,FALSE)</f>
        <v>28</v>
      </c>
      <c r="D218" s="18">
        <f>VLOOKUP(A218,v_2024!F:I,4,FALSE)</f>
        <v>516.37</v>
      </c>
      <c r="E218" s="16">
        <v>0</v>
      </c>
      <c r="F218" s="18">
        <v>0</v>
      </c>
      <c r="G218" s="19">
        <f t="shared" si="27"/>
        <v>0</v>
      </c>
      <c r="H218" s="16">
        <f t="shared" si="24"/>
        <v>28</v>
      </c>
      <c r="I218" s="18">
        <f t="shared" si="24"/>
        <v>516.37</v>
      </c>
      <c r="J218" s="16">
        <f>VLOOKUP(A218,v_2023!F:I,3,FALSE)</f>
        <v>26</v>
      </c>
      <c r="K218" s="18">
        <f>VLOOKUP(A218,v_2023!F:I,4,FALSE)</f>
        <v>536.78</v>
      </c>
      <c r="L218" s="16">
        <f t="shared" si="25"/>
        <v>2</v>
      </c>
      <c r="M218" s="14">
        <f t="shared" si="25"/>
        <v>-20.409999999999968</v>
      </c>
      <c r="N218" s="20">
        <f t="shared" si="26"/>
        <v>-3.8023026193226221E-2</v>
      </c>
    </row>
    <row r="219" spans="1:14" x14ac:dyDescent="0.25">
      <c r="A219" s="16" t="s">
        <v>522</v>
      </c>
      <c r="B219" s="17" t="s">
        <v>523</v>
      </c>
      <c r="C219" s="16">
        <f>VLOOKUP(A219,v_2024!F:I,3,FALSE)</f>
        <v>1</v>
      </c>
      <c r="D219" s="18">
        <f>VLOOKUP(A219,v_2024!F:I,4,FALSE)</f>
        <v>49.1</v>
      </c>
      <c r="E219" s="16">
        <v>0</v>
      </c>
      <c r="F219" s="18">
        <v>0</v>
      </c>
      <c r="G219" s="19">
        <f t="shared" si="27"/>
        <v>0</v>
      </c>
      <c r="H219" s="16">
        <f t="shared" si="24"/>
        <v>1</v>
      </c>
      <c r="I219" s="18">
        <f t="shared" si="24"/>
        <v>49.1</v>
      </c>
      <c r="J219" s="16">
        <v>0</v>
      </c>
      <c r="K219" s="18">
        <v>0</v>
      </c>
      <c r="L219" s="16">
        <f t="shared" si="25"/>
        <v>1</v>
      </c>
      <c r="M219" s="14">
        <f t="shared" si="25"/>
        <v>49.1</v>
      </c>
      <c r="N219" s="20"/>
    </row>
    <row r="220" spans="1:14" x14ac:dyDescent="0.25">
      <c r="A220" s="16" t="s">
        <v>166</v>
      </c>
      <c r="B220" s="17" t="s">
        <v>167</v>
      </c>
      <c r="C220" s="16">
        <f>VLOOKUP(A220,v_2024!F:I,3,FALSE)</f>
        <v>0</v>
      </c>
      <c r="D220" s="18">
        <f>VLOOKUP(A220,v_2024!F:I,4,FALSE)</f>
        <v>0</v>
      </c>
      <c r="E220" s="16">
        <v>0</v>
      </c>
      <c r="F220" s="18">
        <v>0</v>
      </c>
      <c r="G220" s="19"/>
      <c r="H220" s="16">
        <f t="shared" si="24"/>
        <v>0</v>
      </c>
      <c r="I220" s="18">
        <f t="shared" si="24"/>
        <v>0</v>
      </c>
      <c r="J220" s="16">
        <f>VLOOKUP(A220,v_2023!F:I,3,FALSE)</f>
        <v>55</v>
      </c>
      <c r="K220" s="18">
        <f>VLOOKUP(A220,v_2023!F:I,4,FALSE)</f>
        <v>1090.33</v>
      </c>
      <c r="L220" s="16">
        <f t="shared" si="25"/>
        <v>-55</v>
      </c>
      <c r="M220" s="14">
        <f t="shared" si="25"/>
        <v>-1090.33</v>
      </c>
      <c r="N220" s="20">
        <f t="shared" ref="N220:N225" si="28">M220/K220</f>
        <v>-1</v>
      </c>
    </row>
    <row r="221" spans="1:14" x14ac:dyDescent="0.25">
      <c r="A221" s="16" t="s">
        <v>508</v>
      </c>
      <c r="B221" s="17" t="s">
        <v>509</v>
      </c>
      <c r="C221" s="16">
        <f>VLOOKUP(A221,v_2024!F:I,3,FALSE)</f>
        <v>2</v>
      </c>
      <c r="D221" s="18">
        <f>VLOOKUP(A221,v_2024!F:I,4,FALSE)</f>
        <v>12.32</v>
      </c>
      <c r="E221" s="16">
        <v>0</v>
      </c>
      <c r="F221" s="18">
        <v>0</v>
      </c>
      <c r="G221" s="19">
        <f>F221/I221</f>
        <v>0</v>
      </c>
      <c r="H221" s="16">
        <f t="shared" si="24"/>
        <v>2</v>
      </c>
      <c r="I221" s="18">
        <f t="shared" si="24"/>
        <v>12.32</v>
      </c>
      <c r="J221" s="16">
        <v>0</v>
      </c>
      <c r="K221" s="18">
        <v>0</v>
      </c>
      <c r="L221" s="16">
        <f t="shared" si="25"/>
        <v>2</v>
      </c>
      <c r="M221" s="14">
        <f t="shared" si="25"/>
        <v>12.32</v>
      </c>
      <c r="N221" s="20"/>
    </row>
    <row r="222" spans="1:14" x14ac:dyDescent="0.25">
      <c r="A222" s="16" t="s">
        <v>338</v>
      </c>
      <c r="B222" s="17" t="s">
        <v>339</v>
      </c>
      <c r="C222" s="16">
        <f>VLOOKUP(A222,v_2024!F:I,3,FALSE)</f>
        <v>8</v>
      </c>
      <c r="D222" s="18">
        <f>VLOOKUP(A222,v_2024!F:I,4,FALSE)</f>
        <v>115.44</v>
      </c>
      <c r="E222" s="16">
        <v>0</v>
      </c>
      <c r="F222" s="18">
        <v>0</v>
      </c>
      <c r="G222" s="19">
        <f>F222/I222</f>
        <v>0</v>
      </c>
      <c r="H222" s="16">
        <f t="shared" si="24"/>
        <v>8</v>
      </c>
      <c r="I222" s="18">
        <f t="shared" si="24"/>
        <v>115.44</v>
      </c>
      <c r="J222" s="16">
        <f>VLOOKUP(A222,v_2023!F:I,3,FALSE)</f>
        <v>10</v>
      </c>
      <c r="K222" s="18">
        <f>VLOOKUP(A222,v_2023!F:I,4,FALSE)</f>
        <v>140.69</v>
      </c>
      <c r="L222" s="16">
        <f t="shared" si="25"/>
        <v>-2</v>
      </c>
      <c r="M222" s="14">
        <f t="shared" si="25"/>
        <v>-25.25</v>
      </c>
      <c r="N222" s="20">
        <f t="shared" si="28"/>
        <v>-0.17947259933186438</v>
      </c>
    </row>
    <row r="223" spans="1:14" x14ac:dyDescent="0.25">
      <c r="A223" s="16" t="s">
        <v>400</v>
      </c>
      <c r="B223" s="17" t="s">
        <v>401</v>
      </c>
      <c r="C223" s="16">
        <v>0</v>
      </c>
      <c r="D223" s="18">
        <v>0</v>
      </c>
      <c r="E223" s="16">
        <v>0</v>
      </c>
      <c r="F223" s="18">
        <v>0</v>
      </c>
      <c r="G223" s="19"/>
      <c r="H223" s="16">
        <f t="shared" si="24"/>
        <v>0</v>
      </c>
      <c r="I223" s="18">
        <f t="shared" si="24"/>
        <v>0</v>
      </c>
      <c r="J223" s="16">
        <f>VLOOKUP(A223,v_2023!F:I,3,FALSE)</f>
        <v>1</v>
      </c>
      <c r="K223" s="18">
        <f>VLOOKUP(A223,v_2023!F:I,4,FALSE)</f>
        <v>70.88</v>
      </c>
      <c r="L223" s="16">
        <f t="shared" si="25"/>
        <v>-1</v>
      </c>
      <c r="M223" s="14">
        <f t="shared" si="25"/>
        <v>-70.88</v>
      </c>
      <c r="N223" s="20">
        <f t="shared" si="28"/>
        <v>-1</v>
      </c>
    </row>
    <row r="224" spans="1:14" x14ac:dyDescent="0.25">
      <c r="A224" s="16" t="s">
        <v>464</v>
      </c>
      <c r="B224" s="17" t="s">
        <v>465</v>
      </c>
      <c r="C224" s="16">
        <f>VLOOKUP(A224,v_2024!F:I,3,FALSE)</f>
        <v>0</v>
      </c>
      <c r="D224" s="18">
        <f>VLOOKUP(A224,v_2024!F:I,4,FALSE)</f>
        <v>0</v>
      </c>
      <c r="E224" s="16">
        <v>0</v>
      </c>
      <c r="F224" s="18">
        <v>0</v>
      </c>
      <c r="G224" s="19"/>
      <c r="H224" s="16">
        <f t="shared" si="24"/>
        <v>0</v>
      </c>
      <c r="I224" s="18">
        <f t="shared" si="24"/>
        <v>0</v>
      </c>
      <c r="J224" s="16">
        <f>VLOOKUP(A224,v_2023!F:I,3,FALSE)</f>
        <v>1</v>
      </c>
      <c r="K224" s="18">
        <f>VLOOKUP(A224,v_2023!F:I,4,FALSE)</f>
        <v>30.37</v>
      </c>
      <c r="L224" s="16">
        <f t="shared" si="25"/>
        <v>-1</v>
      </c>
      <c r="M224" s="14">
        <f t="shared" si="25"/>
        <v>-30.37</v>
      </c>
      <c r="N224" s="20">
        <f t="shared" si="28"/>
        <v>-1</v>
      </c>
    </row>
    <row r="225" spans="1:14" x14ac:dyDescent="0.25">
      <c r="A225" s="16" t="s">
        <v>192</v>
      </c>
      <c r="B225" s="17" t="s">
        <v>193</v>
      </c>
      <c r="C225" s="16">
        <f>VLOOKUP(A225,v_2024!F:I,3,FALSE)</f>
        <v>1</v>
      </c>
      <c r="D225" s="18">
        <f>VLOOKUP(A225,v_2024!F:I,4,FALSE)</f>
        <v>98.22</v>
      </c>
      <c r="E225" s="16">
        <v>0</v>
      </c>
      <c r="F225" s="18">
        <v>0</v>
      </c>
      <c r="G225" s="19">
        <f t="shared" ref="G225:G282" si="29">F225/I225</f>
        <v>0</v>
      </c>
      <c r="H225" s="16">
        <f t="shared" si="24"/>
        <v>1</v>
      </c>
      <c r="I225" s="18">
        <f t="shared" si="24"/>
        <v>98.22</v>
      </c>
      <c r="J225" s="16">
        <f>VLOOKUP(A225,v_2023!F:I,3,FALSE)</f>
        <v>13</v>
      </c>
      <c r="K225" s="18">
        <f>VLOOKUP(A225,v_2023!F:I,4,FALSE)</f>
        <v>948.35</v>
      </c>
      <c r="L225" s="16">
        <f t="shared" si="25"/>
        <v>-12</v>
      </c>
      <c r="M225" s="14">
        <f t="shared" si="25"/>
        <v>-850.13</v>
      </c>
      <c r="N225" s="20">
        <f t="shared" si="28"/>
        <v>-0.89643064269520745</v>
      </c>
    </row>
    <row r="226" spans="1:14" x14ac:dyDescent="0.25">
      <c r="A226" s="16" t="s">
        <v>656</v>
      </c>
      <c r="B226" s="17" t="s">
        <v>657</v>
      </c>
      <c r="C226" s="16">
        <v>0</v>
      </c>
      <c r="D226" s="18">
        <v>0</v>
      </c>
      <c r="E226" s="16">
        <v>0</v>
      </c>
      <c r="F226" s="18">
        <v>0</v>
      </c>
      <c r="G226" s="19"/>
      <c r="H226" s="16">
        <f t="shared" si="24"/>
        <v>0</v>
      </c>
      <c r="I226" s="18">
        <f t="shared" si="24"/>
        <v>0</v>
      </c>
      <c r="J226" s="16">
        <v>0</v>
      </c>
      <c r="K226" s="18">
        <v>0</v>
      </c>
      <c r="L226" s="16">
        <f t="shared" si="25"/>
        <v>0</v>
      </c>
      <c r="M226" s="14">
        <f t="shared" si="25"/>
        <v>0</v>
      </c>
      <c r="N226" s="20"/>
    </row>
    <row r="227" spans="1:14" x14ac:dyDescent="0.25">
      <c r="A227" s="16" t="s">
        <v>96</v>
      </c>
      <c r="B227" s="17" t="s">
        <v>97</v>
      </c>
      <c r="C227" s="16">
        <f>VLOOKUP(A227,v_2024!F:I,3,FALSE)</f>
        <v>92</v>
      </c>
      <c r="D227" s="18">
        <f>VLOOKUP(A227,v_2024!F:I,4,FALSE)</f>
        <v>1274.2</v>
      </c>
      <c r="E227" s="16">
        <f>VLOOKUP(A227,s_2024!E:G,2,FALSE)</f>
        <v>1</v>
      </c>
      <c r="F227" s="18">
        <f>VLOOKUP(A227,s_2024!E:G,3,FALSE)</f>
        <v>24.9</v>
      </c>
      <c r="G227" s="19">
        <f t="shared" si="29"/>
        <v>1.9167115695481483E-2</v>
      </c>
      <c r="H227" s="16">
        <f t="shared" si="24"/>
        <v>93</v>
      </c>
      <c r="I227" s="18">
        <f t="shared" si="24"/>
        <v>1299.1000000000001</v>
      </c>
      <c r="J227" s="16">
        <f>VLOOKUP(A227,v_2023!F:I,3,FALSE)</f>
        <v>208</v>
      </c>
      <c r="K227" s="18">
        <f>VLOOKUP(A227,v_2023!F:I,4,FALSE)</f>
        <v>3392.48</v>
      </c>
      <c r="L227" s="16">
        <f t="shared" si="25"/>
        <v>-115</v>
      </c>
      <c r="M227" s="14">
        <f t="shared" si="25"/>
        <v>-2093.38</v>
      </c>
      <c r="N227" s="20">
        <f t="shared" ref="N227:N244" si="30">M227/K227</f>
        <v>-0.61706480215063908</v>
      </c>
    </row>
    <row r="228" spans="1:14" x14ac:dyDescent="0.25">
      <c r="A228" s="16" t="s">
        <v>500</v>
      </c>
      <c r="B228" s="17" t="s">
        <v>501</v>
      </c>
      <c r="C228" s="16">
        <v>0</v>
      </c>
      <c r="D228" s="18">
        <v>0</v>
      </c>
      <c r="E228" s="16">
        <v>0</v>
      </c>
      <c r="F228" s="18">
        <v>0</v>
      </c>
      <c r="G228" s="19"/>
      <c r="H228" s="16">
        <f t="shared" si="24"/>
        <v>0</v>
      </c>
      <c r="I228" s="18">
        <f t="shared" si="24"/>
        <v>0</v>
      </c>
      <c r="J228" s="16">
        <v>0</v>
      </c>
      <c r="K228" s="18">
        <v>0</v>
      </c>
      <c r="L228" s="16">
        <f t="shared" si="25"/>
        <v>0</v>
      </c>
      <c r="M228" s="14">
        <f t="shared" si="25"/>
        <v>0</v>
      </c>
      <c r="N228" s="20"/>
    </row>
    <row r="229" spans="1:14" x14ac:dyDescent="0.25">
      <c r="A229" s="16" t="s">
        <v>194</v>
      </c>
      <c r="B229" s="17" t="s">
        <v>195</v>
      </c>
      <c r="C229" s="16">
        <f>VLOOKUP(A229,v_2024!F:I,3,FALSE)</f>
        <v>12</v>
      </c>
      <c r="D229" s="18">
        <f>VLOOKUP(A229,v_2024!F:I,4,FALSE)</f>
        <v>451.55</v>
      </c>
      <c r="E229" s="16">
        <v>0</v>
      </c>
      <c r="F229" s="18">
        <v>0</v>
      </c>
      <c r="G229" s="19">
        <f t="shared" si="29"/>
        <v>0</v>
      </c>
      <c r="H229" s="16">
        <f t="shared" si="24"/>
        <v>12</v>
      </c>
      <c r="I229" s="18">
        <f t="shared" si="24"/>
        <v>451.55</v>
      </c>
      <c r="J229" s="16">
        <f>VLOOKUP(A229,v_2023!F:I,3,FALSE)</f>
        <v>23</v>
      </c>
      <c r="K229" s="18">
        <f>VLOOKUP(A229,v_2023!F:I,4,FALSE)</f>
        <v>906.26</v>
      </c>
      <c r="L229" s="16">
        <f t="shared" si="25"/>
        <v>-11</v>
      </c>
      <c r="M229" s="14">
        <f t="shared" si="25"/>
        <v>-454.71</v>
      </c>
      <c r="N229" s="20">
        <f t="shared" si="30"/>
        <v>-0.50174342903802438</v>
      </c>
    </row>
    <row r="230" spans="1:14" x14ac:dyDescent="0.25">
      <c r="A230" s="16" t="s">
        <v>248</v>
      </c>
      <c r="B230" s="17" t="s">
        <v>249</v>
      </c>
      <c r="C230" s="16">
        <f>VLOOKUP(A230,v_2024!F:I,3,FALSE)</f>
        <v>6</v>
      </c>
      <c r="D230" s="18">
        <f>VLOOKUP(A230,v_2024!F:I,4,FALSE)</f>
        <v>154.62</v>
      </c>
      <c r="E230" s="16">
        <v>0</v>
      </c>
      <c r="F230" s="18">
        <v>0</v>
      </c>
      <c r="G230" s="19">
        <f t="shared" si="29"/>
        <v>0</v>
      </c>
      <c r="H230" s="16">
        <f t="shared" si="24"/>
        <v>6</v>
      </c>
      <c r="I230" s="18">
        <f t="shared" si="24"/>
        <v>154.62</v>
      </c>
      <c r="J230" s="16">
        <f>VLOOKUP(A230,v_2023!F:I,3,FALSE)</f>
        <v>15</v>
      </c>
      <c r="K230" s="18">
        <f>VLOOKUP(A230,v_2023!F:I,4,FALSE)</f>
        <v>367.65</v>
      </c>
      <c r="L230" s="16">
        <f t="shared" si="25"/>
        <v>-9</v>
      </c>
      <c r="M230" s="14">
        <f t="shared" si="25"/>
        <v>-213.02999999999997</v>
      </c>
      <c r="N230" s="20">
        <f t="shared" si="30"/>
        <v>-0.57943696450428395</v>
      </c>
    </row>
    <row r="231" spans="1:14" x14ac:dyDescent="0.25">
      <c r="A231" s="16" t="s">
        <v>39</v>
      </c>
      <c r="B231" s="17" t="s">
        <v>40</v>
      </c>
      <c r="C231" s="16">
        <f>VLOOKUP(A231,v_2024!F:I,3,FALSE)</f>
        <v>222</v>
      </c>
      <c r="D231" s="18">
        <f>VLOOKUP(A231,v_2024!F:I,4,FALSE)</f>
        <v>2397.59</v>
      </c>
      <c r="E231" s="16">
        <v>0</v>
      </c>
      <c r="F231" s="18">
        <v>0</v>
      </c>
      <c r="G231" s="19">
        <f t="shared" si="29"/>
        <v>0</v>
      </c>
      <c r="H231" s="16">
        <f t="shared" si="24"/>
        <v>222</v>
      </c>
      <c r="I231" s="18">
        <f t="shared" si="24"/>
        <v>2397.59</v>
      </c>
      <c r="J231" s="16">
        <f>VLOOKUP(A231,v_2023!F:I,3,FALSE)</f>
        <v>1584</v>
      </c>
      <c r="K231" s="18">
        <f>VLOOKUP(A231,v_2023!F:I,4,FALSE)</f>
        <v>12846.24</v>
      </c>
      <c r="L231" s="16">
        <f t="shared" si="25"/>
        <v>-1362</v>
      </c>
      <c r="M231" s="14">
        <f t="shared" si="25"/>
        <v>-10448.65</v>
      </c>
      <c r="N231" s="20">
        <f t="shared" si="30"/>
        <v>-0.81336250918556707</v>
      </c>
    </row>
    <row r="232" spans="1:14" x14ac:dyDescent="0.25">
      <c r="A232" s="16" t="s">
        <v>148</v>
      </c>
      <c r="B232" s="17" t="s">
        <v>149</v>
      </c>
      <c r="C232" s="16">
        <f>VLOOKUP(A232,v_2024!F:I,3,FALSE)</f>
        <v>6</v>
      </c>
      <c r="D232" s="18">
        <f>VLOOKUP(A232,v_2024!F:I,4,FALSE)</f>
        <v>196.2</v>
      </c>
      <c r="E232" s="16">
        <v>0</v>
      </c>
      <c r="F232" s="18">
        <v>0</v>
      </c>
      <c r="G232" s="19">
        <f t="shared" si="29"/>
        <v>0</v>
      </c>
      <c r="H232" s="16">
        <f t="shared" si="24"/>
        <v>6</v>
      </c>
      <c r="I232" s="18">
        <f t="shared" si="24"/>
        <v>196.2</v>
      </c>
      <c r="J232" s="16">
        <f>VLOOKUP(A232,v_2023!F:I,3,FALSE)</f>
        <v>32</v>
      </c>
      <c r="K232" s="18">
        <f>VLOOKUP(A232,v_2023!F:I,4,FALSE)</f>
        <v>1046.4000000000001</v>
      </c>
      <c r="L232" s="16">
        <f t="shared" si="25"/>
        <v>-26</v>
      </c>
      <c r="M232" s="14">
        <f t="shared" si="25"/>
        <v>-850.2</v>
      </c>
      <c r="N232" s="20">
        <f t="shared" si="30"/>
        <v>-0.8125</v>
      </c>
    </row>
    <row r="233" spans="1:14" x14ac:dyDescent="0.25">
      <c r="A233" s="16" t="s">
        <v>416</v>
      </c>
      <c r="B233" s="17" t="s">
        <v>417</v>
      </c>
      <c r="C233" s="16">
        <v>0</v>
      </c>
      <c r="D233" s="18">
        <v>0</v>
      </c>
      <c r="E233" s="16">
        <v>0</v>
      </c>
      <c r="F233" s="18">
        <v>0</v>
      </c>
      <c r="G233" s="19"/>
      <c r="H233" s="16">
        <f t="shared" si="24"/>
        <v>0</v>
      </c>
      <c r="I233" s="18">
        <f t="shared" si="24"/>
        <v>0</v>
      </c>
      <c r="J233" s="16">
        <v>0</v>
      </c>
      <c r="K233" s="18">
        <v>0</v>
      </c>
      <c r="L233" s="16">
        <f t="shared" si="25"/>
        <v>0</v>
      </c>
      <c r="M233" s="14">
        <f t="shared" si="25"/>
        <v>0</v>
      </c>
      <c r="N233" s="20"/>
    </row>
    <row r="234" spans="1:14" x14ac:dyDescent="0.25">
      <c r="A234" s="16" t="s">
        <v>184</v>
      </c>
      <c r="B234" s="17" t="s">
        <v>185</v>
      </c>
      <c r="C234" s="16">
        <f>VLOOKUP(A234,v_2024!F:I,3,FALSE)</f>
        <v>7</v>
      </c>
      <c r="D234" s="18">
        <f>VLOOKUP(A234,v_2024!F:I,4,FALSE)</f>
        <v>131.65</v>
      </c>
      <c r="E234" s="16">
        <v>0</v>
      </c>
      <c r="F234" s="18">
        <v>0</v>
      </c>
      <c r="G234" s="19">
        <f t="shared" si="29"/>
        <v>0</v>
      </c>
      <c r="H234" s="16">
        <f t="shared" si="24"/>
        <v>7</v>
      </c>
      <c r="I234" s="18">
        <f t="shared" si="24"/>
        <v>131.65</v>
      </c>
      <c r="J234" s="16">
        <f>VLOOKUP(A234,v_2023!F:I,3,FALSE)</f>
        <v>60</v>
      </c>
      <c r="K234" s="18">
        <f>VLOOKUP(A234,v_2023!F:I,4,FALSE)</f>
        <v>978.6</v>
      </c>
      <c r="L234" s="16">
        <f t="shared" si="25"/>
        <v>-53</v>
      </c>
      <c r="M234" s="14">
        <f t="shared" si="25"/>
        <v>-846.95</v>
      </c>
      <c r="N234" s="20">
        <f t="shared" si="30"/>
        <v>-0.86547108113631721</v>
      </c>
    </row>
    <row r="235" spans="1:14" x14ac:dyDescent="0.25">
      <c r="A235" s="16" t="s">
        <v>252</v>
      </c>
      <c r="B235" s="17" t="s">
        <v>253</v>
      </c>
      <c r="C235" s="16">
        <f>VLOOKUP(A235,v_2024!F:I,3,FALSE)</f>
        <v>5</v>
      </c>
      <c r="D235" s="18">
        <f>VLOOKUP(A235,v_2024!F:I,4,FALSE)</f>
        <v>93.85</v>
      </c>
      <c r="E235" s="16">
        <v>0</v>
      </c>
      <c r="F235" s="18">
        <v>0</v>
      </c>
      <c r="G235" s="19">
        <f t="shared" si="29"/>
        <v>0</v>
      </c>
      <c r="H235" s="16">
        <f t="shared" si="24"/>
        <v>5</v>
      </c>
      <c r="I235" s="18">
        <f t="shared" si="24"/>
        <v>93.85</v>
      </c>
      <c r="J235" s="16">
        <f>VLOOKUP(A235,v_2023!F:I,3,FALSE)</f>
        <v>22</v>
      </c>
      <c r="K235" s="18">
        <f>VLOOKUP(A235,v_2023!F:I,4,FALSE)</f>
        <v>358.82</v>
      </c>
      <c r="L235" s="16">
        <f t="shared" si="25"/>
        <v>-17</v>
      </c>
      <c r="M235" s="14">
        <f t="shared" si="25"/>
        <v>-264.97000000000003</v>
      </c>
      <c r="N235" s="20">
        <f t="shared" si="30"/>
        <v>-0.73844824703193812</v>
      </c>
    </row>
    <row r="236" spans="1:14" x14ac:dyDescent="0.25">
      <c r="A236" s="16" t="s">
        <v>152</v>
      </c>
      <c r="B236" s="17" t="s">
        <v>153</v>
      </c>
      <c r="C236" s="16">
        <f>VLOOKUP(A236,v_2024!F:I,3,FALSE)</f>
        <v>11</v>
      </c>
      <c r="D236" s="18">
        <f>VLOOKUP(A236,v_2024!F:I,4,FALSE)</f>
        <v>206.47</v>
      </c>
      <c r="E236" s="16">
        <f>VLOOKUP(A236,s_2024!E:G,2,FALSE)</f>
        <v>14</v>
      </c>
      <c r="F236" s="18">
        <f>VLOOKUP(A236,s_2024!E:G,3,FALSE)</f>
        <v>348.6</v>
      </c>
      <c r="G236" s="19">
        <f t="shared" si="29"/>
        <v>0.62802889725620192</v>
      </c>
      <c r="H236" s="16">
        <f t="shared" si="24"/>
        <v>25</v>
      </c>
      <c r="I236" s="18">
        <f t="shared" si="24"/>
        <v>555.07000000000005</v>
      </c>
      <c r="J236" s="16">
        <f>VLOOKUP(A236,v_2023!F:I,3,FALSE)</f>
        <v>79</v>
      </c>
      <c r="K236" s="18">
        <f>VLOOKUP(A236,v_2023!F:I,4,FALSE)</f>
        <v>1288.49</v>
      </c>
      <c r="L236" s="16">
        <f t="shared" si="25"/>
        <v>-54</v>
      </c>
      <c r="M236" s="14">
        <f t="shared" si="25"/>
        <v>-733.42</v>
      </c>
      <c r="N236" s="20">
        <f t="shared" si="30"/>
        <v>-0.56920891896716308</v>
      </c>
    </row>
    <row r="237" spans="1:14" x14ac:dyDescent="0.25">
      <c r="A237" s="16" t="s">
        <v>236</v>
      </c>
      <c r="B237" s="17" t="s">
        <v>237</v>
      </c>
      <c r="C237" s="16">
        <f>VLOOKUP(A237,v_2024!F:I,3,FALSE)</f>
        <v>2</v>
      </c>
      <c r="D237" s="18">
        <f>VLOOKUP(A237,v_2024!F:I,4,FALSE)</f>
        <v>87.72</v>
      </c>
      <c r="E237" s="16">
        <v>0</v>
      </c>
      <c r="F237" s="18">
        <v>0</v>
      </c>
      <c r="G237" s="19">
        <f t="shared" si="29"/>
        <v>0</v>
      </c>
      <c r="H237" s="16">
        <f t="shared" si="24"/>
        <v>2</v>
      </c>
      <c r="I237" s="18">
        <f t="shared" si="24"/>
        <v>87.72</v>
      </c>
      <c r="J237" s="16">
        <f>VLOOKUP(A237,v_2023!F:I,3,FALSE)</f>
        <v>7</v>
      </c>
      <c r="K237" s="18">
        <f>VLOOKUP(A237,v_2023!F:I,4,FALSE)</f>
        <v>276.7</v>
      </c>
      <c r="L237" s="16">
        <f t="shared" si="25"/>
        <v>-5</v>
      </c>
      <c r="M237" s="14">
        <f t="shared" si="25"/>
        <v>-188.98</v>
      </c>
      <c r="N237" s="20">
        <f t="shared" si="30"/>
        <v>-0.68297795446331766</v>
      </c>
    </row>
    <row r="238" spans="1:14" x14ac:dyDescent="0.25">
      <c r="A238" s="16" t="s">
        <v>406</v>
      </c>
      <c r="B238" s="17" t="s">
        <v>407</v>
      </c>
      <c r="C238" s="16">
        <f>VLOOKUP(A238,v_2024!F:I,3,FALSE)</f>
        <v>4</v>
      </c>
      <c r="D238" s="18">
        <f>VLOOKUP(A238,v_2024!F:I,4,FALSE)</f>
        <v>52.72</v>
      </c>
      <c r="E238" s="16">
        <v>0</v>
      </c>
      <c r="F238" s="18">
        <v>0</v>
      </c>
      <c r="G238" s="19">
        <f t="shared" si="29"/>
        <v>0</v>
      </c>
      <c r="H238" s="16">
        <f t="shared" si="24"/>
        <v>4</v>
      </c>
      <c r="I238" s="18">
        <f t="shared" si="24"/>
        <v>52.72</v>
      </c>
      <c r="J238" s="16">
        <f>VLOOKUP(A238,v_2023!F:I,3,FALSE)</f>
        <v>4</v>
      </c>
      <c r="K238" s="18">
        <f>VLOOKUP(A238,v_2023!F:I,4,FALSE)</f>
        <v>65.239999999999995</v>
      </c>
      <c r="L238" s="16">
        <f t="shared" si="25"/>
        <v>0</v>
      </c>
      <c r="M238" s="14">
        <f t="shared" si="25"/>
        <v>-12.519999999999996</v>
      </c>
      <c r="N238" s="20">
        <f t="shared" si="30"/>
        <v>-0.19190680564071116</v>
      </c>
    </row>
    <row r="239" spans="1:14" x14ac:dyDescent="0.25">
      <c r="A239" s="16" t="s">
        <v>35</v>
      </c>
      <c r="B239" s="17" t="s">
        <v>36</v>
      </c>
      <c r="C239" s="16">
        <f>VLOOKUP(A239,v_2024!F:I,3,FALSE)</f>
        <v>100</v>
      </c>
      <c r="D239" s="18">
        <f>VLOOKUP(A239,v_2024!F:I,4,FALSE)</f>
        <v>1631</v>
      </c>
      <c r="E239" s="16">
        <f>VLOOKUP(A239,s_2024!E:G,2,FALSE)</f>
        <v>17</v>
      </c>
      <c r="F239" s="18">
        <f>VLOOKUP(A239,s_2024!E:G,3,FALSE)</f>
        <v>418.80999999999989</v>
      </c>
      <c r="G239" s="19">
        <f t="shared" si="29"/>
        <v>0.20431649762660925</v>
      </c>
      <c r="H239" s="16">
        <f t="shared" si="24"/>
        <v>117</v>
      </c>
      <c r="I239" s="18">
        <f t="shared" si="24"/>
        <v>2049.81</v>
      </c>
      <c r="J239" s="16">
        <f>VLOOKUP(A239,v_2023!F:I,3,FALSE)</f>
        <v>828</v>
      </c>
      <c r="K239" s="18">
        <f>VLOOKUP(A239,v_2023!F:I,4,FALSE)</f>
        <v>13504.68</v>
      </c>
      <c r="L239" s="16">
        <f t="shared" si="25"/>
        <v>-711</v>
      </c>
      <c r="M239" s="14">
        <f t="shared" si="25"/>
        <v>-11454.87</v>
      </c>
      <c r="N239" s="20">
        <f t="shared" si="30"/>
        <v>-0.84821484107731548</v>
      </c>
    </row>
    <row r="240" spans="1:14" x14ac:dyDescent="0.25">
      <c r="A240" s="16" t="s">
        <v>346</v>
      </c>
      <c r="B240" s="17" t="s">
        <v>347</v>
      </c>
      <c r="C240" s="16">
        <v>0</v>
      </c>
      <c r="D240" s="18">
        <v>0</v>
      </c>
      <c r="E240" s="16">
        <v>0</v>
      </c>
      <c r="F240" s="18">
        <v>0</v>
      </c>
      <c r="G240" s="19"/>
      <c r="H240" s="16">
        <f t="shared" si="24"/>
        <v>0</v>
      </c>
      <c r="I240" s="18">
        <f t="shared" si="24"/>
        <v>0</v>
      </c>
      <c r="J240" s="16">
        <f>VLOOKUP(A240,v_2023!F:I,3,FALSE)</f>
        <v>3</v>
      </c>
      <c r="K240" s="18">
        <f>VLOOKUP(A240,v_2023!F:I,4,FALSE)</f>
        <v>122.7</v>
      </c>
      <c r="L240" s="16">
        <f t="shared" si="25"/>
        <v>-3</v>
      </c>
      <c r="M240" s="14">
        <f t="shared" si="25"/>
        <v>-122.7</v>
      </c>
      <c r="N240" s="20">
        <f t="shared" si="30"/>
        <v>-1</v>
      </c>
    </row>
    <row r="241" spans="1:14" x14ac:dyDescent="0.25">
      <c r="A241" s="16" t="s">
        <v>291</v>
      </c>
      <c r="B241" s="17" t="s">
        <v>292</v>
      </c>
      <c r="C241" s="16">
        <f>VLOOKUP(A241,v_2024!F:I,3,FALSE)</f>
        <v>9</v>
      </c>
      <c r="D241" s="18">
        <f>VLOOKUP(A241,v_2024!F:I,4,FALSE)</f>
        <v>72.989999999999995</v>
      </c>
      <c r="E241" s="16">
        <v>0</v>
      </c>
      <c r="F241" s="18">
        <v>0</v>
      </c>
      <c r="G241" s="19">
        <f t="shared" si="29"/>
        <v>0</v>
      </c>
      <c r="H241" s="16">
        <f t="shared" si="24"/>
        <v>9</v>
      </c>
      <c r="I241" s="18">
        <f t="shared" si="24"/>
        <v>72.989999999999995</v>
      </c>
      <c r="J241" s="16">
        <f>VLOOKUP(A241,v_2023!F:I,3,FALSE)</f>
        <v>27</v>
      </c>
      <c r="K241" s="18">
        <f>VLOOKUP(A241,v_2023!F:I,4,FALSE)</f>
        <v>218.97</v>
      </c>
      <c r="L241" s="16">
        <f t="shared" si="25"/>
        <v>-18</v>
      </c>
      <c r="M241" s="14">
        <f t="shared" si="25"/>
        <v>-145.98000000000002</v>
      </c>
      <c r="N241" s="20">
        <f t="shared" si="30"/>
        <v>-0.66666666666666674</v>
      </c>
    </row>
    <row r="242" spans="1:14" x14ac:dyDescent="0.25">
      <c r="A242" s="16" t="s">
        <v>158</v>
      </c>
      <c r="B242" s="17" t="s">
        <v>159</v>
      </c>
      <c r="C242" s="16">
        <f>VLOOKUP(A242,v_2024!F:I,3,FALSE)</f>
        <v>57</v>
      </c>
      <c r="D242" s="18">
        <f>VLOOKUP(A242,v_2024!F:I,4,FALSE)</f>
        <v>5001.34</v>
      </c>
      <c r="E242" s="16">
        <v>0</v>
      </c>
      <c r="F242" s="18">
        <v>0</v>
      </c>
      <c r="G242" s="19">
        <f t="shared" si="29"/>
        <v>0</v>
      </c>
      <c r="H242" s="16">
        <f t="shared" si="24"/>
        <v>57</v>
      </c>
      <c r="I242" s="18">
        <f t="shared" si="24"/>
        <v>5001.34</v>
      </c>
      <c r="J242" s="16">
        <f>VLOOKUP(A242,v_2023!F:I,3,FALSE)</f>
        <v>13</v>
      </c>
      <c r="K242" s="18">
        <f>VLOOKUP(A242,v_2023!F:I,4,FALSE)</f>
        <v>1278.33</v>
      </c>
      <c r="L242" s="16">
        <f t="shared" si="25"/>
        <v>44</v>
      </c>
      <c r="M242" s="14">
        <f t="shared" si="25"/>
        <v>3723.01</v>
      </c>
      <c r="N242" s="20">
        <f t="shared" si="30"/>
        <v>2.9124013361182173</v>
      </c>
    </row>
    <row r="243" spans="1:14" x14ac:dyDescent="0.25">
      <c r="A243" s="16" t="s">
        <v>82</v>
      </c>
      <c r="B243" s="17" t="s">
        <v>83</v>
      </c>
      <c r="C243" s="16">
        <f>VLOOKUP(A243,v_2024!F:I,3,FALSE)</f>
        <v>4</v>
      </c>
      <c r="D243" s="18">
        <f>VLOOKUP(A243,v_2024!F:I,4,FALSE)</f>
        <v>380.8</v>
      </c>
      <c r="E243" s="16">
        <v>0</v>
      </c>
      <c r="F243" s="18">
        <v>0</v>
      </c>
      <c r="G243" s="19">
        <f t="shared" si="29"/>
        <v>0</v>
      </c>
      <c r="H243" s="16">
        <f t="shared" si="24"/>
        <v>4</v>
      </c>
      <c r="I243" s="18">
        <f t="shared" si="24"/>
        <v>380.8</v>
      </c>
      <c r="J243" s="16">
        <f>VLOOKUP(A243,v_2023!F:I,3,FALSE)</f>
        <v>52</v>
      </c>
      <c r="K243" s="18">
        <f>VLOOKUP(A243,v_2023!F:I,4,FALSE)</f>
        <v>4258.28</v>
      </c>
      <c r="L243" s="16">
        <f t="shared" si="25"/>
        <v>-48</v>
      </c>
      <c r="M243" s="14">
        <f t="shared" si="25"/>
        <v>-3877.4799999999996</v>
      </c>
      <c r="N243" s="20">
        <f t="shared" si="30"/>
        <v>-0.91057422245601505</v>
      </c>
    </row>
    <row r="244" spans="1:14" x14ac:dyDescent="0.25">
      <c r="A244" s="16" t="s">
        <v>112</v>
      </c>
      <c r="B244" s="17" t="s">
        <v>113</v>
      </c>
      <c r="C244" s="16">
        <f>VLOOKUP(A244,v_2024!F:I,3,FALSE)</f>
        <v>62</v>
      </c>
      <c r="D244" s="18">
        <f>VLOOKUP(A244,v_2024!F:I,4,FALSE)</f>
        <v>690.53</v>
      </c>
      <c r="E244" s="16">
        <v>0</v>
      </c>
      <c r="F244" s="18">
        <v>0</v>
      </c>
      <c r="G244" s="19">
        <f t="shared" si="29"/>
        <v>0</v>
      </c>
      <c r="H244" s="16">
        <f t="shared" si="24"/>
        <v>62</v>
      </c>
      <c r="I244" s="18">
        <f t="shared" si="24"/>
        <v>690.53</v>
      </c>
      <c r="J244" s="16">
        <f>VLOOKUP(A244,v_2023!F:I,3,FALSE)</f>
        <v>198</v>
      </c>
      <c r="K244" s="18">
        <f>VLOOKUP(A244,v_2023!F:I,4,FALSE)</f>
        <v>2092.86</v>
      </c>
      <c r="L244" s="16">
        <f t="shared" si="25"/>
        <v>-136</v>
      </c>
      <c r="M244" s="14">
        <f t="shared" si="25"/>
        <v>-1402.3300000000002</v>
      </c>
      <c r="N244" s="20">
        <f t="shared" si="30"/>
        <v>-0.67005437535238865</v>
      </c>
    </row>
    <row r="245" spans="1:14" x14ac:dyDescent="0.25">
      <c r="A245" s="16" t="s">
        <v>546</v>
      </c>
      <c r="B245" s="17" t="s">
        <v>547</v>
      </c>
      <c r="C245" s="16">
        <v>0</v>
      </c>
      <c r="D245" s="18">
        <v>0</v>
      </c>
      <c r="E245" s="16">
        <v>0</v>
      </c>
      <c r="F245" s="18">
        <v>0</v>
      </c>
      <c r="G245" s="19"/>
      <c r="H245" s="16">
        <f t="shared" si="24"/>
        <v>0</v>
      </c>
      <c r="I245" s="18">
        <f t="shared" si="24"/>
        <v>0</v>
      </c>
      <c r="J245" s="16">
        <f>VLOOKUP(A245,v_2023!F:I,3,FALSE)</f>
        <v>0</v>
      </c>
      <c r="K245" s="18">
        <f>VLOOKUP(A245,v_2023!F:I,4,FALSE)</f>
        <v>0</v>
      </c>
      <c r="L245" s="16">
        <f t="shared" si="25"/>
        <v>0</v>
      </c>
      <c r="M245" s="14">
        <f t="shared" si="25"/>
        <v>0</v>
      </c>
      <c r="N245" s="20"/>
    </row>
    <row r="246" spans="1:14" x14ac:dyDescent="0.25">
      <c r="A246" s="16" t="s">
        <v>287</v>
      </c>
      <c r="B246" s="17" t="s">
        <v>288</v>
      </c>
      <c r="C246" s="16">
        <f>VLOOKUP(A246,v_2024!F:I,3,FALSE)</f>
        <v>2</v>
      </c>
      <c r="D246" s="18">
        <f>VLOOKUP(A246,v_2024!F:I,4,FALSE)</f>
        <v>88.34</v>
      </c>
      <c r="E246" s="16">
        <v>0</v>
      </c>
      <c r="F246" s="18">
        <v>0</v>
      </c>
      <c r="G246" s="19">
        <f t="shared" si="29"/>
        <v>0</v>
      </c>
      <c r="H246" s="16">
        <f t="shared" si="24"/>
        <v>2</v>
      </c>
      <c r="I246" s="18">
        <f t="shared" si="24"/>
        <v>88.34</v>
      </c>
      <c r="J246" s="16">
        <f>VLOOKUP(A246,v_2023!F:I,3,FALSE)</f>
        <v>6</v>
      </c>
      <c r="K246" s="18">
        <f>VLOOKUP(A246,v_2023!F:I,4,FALSE)</f>
        <v>220.8</v>
      </c>
      <c r="L246" s="16">
        <f t="shared" si="25"/>
        <v>-4</v>
      </c>
      <c r="M246" s="14">
        <f t="shared" si="25"/>
        <v>-132.46</v>
      </c>
      <c r="N246" s="20">
        <f>M246/K246</f>
        <v>-0.59990942028985506</v>
      </c>
    </row>
    <row r="247" spans="1:14" x14ac:dyDescent="0.25">
      <c r="A247" s="16" t="s">
        <v>29</v>
      </c>
      <c r="B247" s="17" t="s">
        <v>30</v>
      </c>
      <c r="C247" s="16">
        <f>VLOOKUP(A247,v_2024!F:I,3,FALSE)</f>
        <v>558</v>
      </c>
      <c r="D247" s="18">
        <f>VLOOKUP(A247,v_2024!F:I,4,FALSE)</f>
        <v>9074.8700000000008</v>
      </c>
      <c r="E247" s="16">
        <v>0</v>
      </c>
      <c r="F247" s="18">
        <v>0</v>
      </c>
      <c r="G247" s="19">
        <f t="shared" si="29"/>
        <v>0</v>
      </c>
      <c r="H247" s="16">
        <f t="shared" si="24"/>
        <v>558</v>
      </c>
      <c r="I247" s="18">
        <f t="shared" si="24"/>
        <v>9074.8700000000008</v>
      </c>
      <c r="J247" s="16">
        <f>VLOOKUP(A247,v_2023!F:I,3,FALSE)</f>
        <v>922</v>
      </c>
      <c r="K247" s="18">
        <f>VLOOKUP(A247,v_2023!F:I,4,FALSE)</f>
        <v>15037.82</v>
      </c>
      <c r="L247" s="16">
        <f t="shared" si="25"/>
        <v>-364</v>
      </c>
      <c r="M247" s="14">
        <f t="shared" si="25"/>
        <v>-5962.9499999999989</v>
      </c>
      <c r="N247" s="20">
        <f>M247/K247</f>
        <v>-0.39653021515086623</v>
      </c>
    </row>
    <row r="248" spans="1:14" x14ac:dyDescent="0.25">
      <c r="A248" s="16" t="s">
        <v>460</v>
      </c>
      <c r="B248" s="17" t="s">
        <v>461</v>
      </c>
      <c r="C248" s="16">
        <f>VLOOKUP(A248,v_2024!F:I,3,FALSE)</f>
        <v>0</v>
      </c>
      <c r="D248" s="18">
        <f>VLOOKUP(A248,v_2024!F:I,4,FALSE)</f>
        <v>0</v>
      </c>
      <c r="E248" s="16">
        <v>0</v>
      </c>
      <c r="F248" s="18">
        <v>0</v>
      </c>
      <c r="G248" s="19"/>
      <c r="H248" s="16">
        <f t="shared" si="24"/>
        <v>0</v>
      </c>
      <c r="I248" s="18">
        <f t="shared" si="24"/>
        <v>0</v>
      </c>
      <c r="J248" s="16">
        <f>VLOOKUP(A248,v_2023!F:I,3,FALSE)</f>
        <v>1</v>
      </c>
      <c r="K248" s="18">
        <f>VLOOKUP(A248,v_2023!F:I,4,FALSE)</f>
        <v>31.75</v>
      </c>
      <c r="L248" s="16">
        <f t="shared" si="25"/>
        <v>-1</v>
      </c>
      <c r="M248" s="14">
        <f t="shared" si="25"/>
        <v>-31.75</v>
      </c>
      <c r="N248" s="20">
        <f>M248/K248</f>
        <v>-1</v>
      </c>
    </row>
    <row r="249" spans="1:14" x14ac:dyDescent="0.25">
      <c r="A249" s="16" t="s">
        <v>636</v>
      </c>
      <c r="B249" s="17" t="s">
        <v>637</v>
      </c>
      <c r="C249" s="16">
        <f>VLOOKUP(A249,v_2024!F:I,3,FALSE)</f>
        <v>1</v>
      </c>
      <c r="D249" s="18">
        <f>VLOOKUP(A249,v_2024!F:I,4,FALSE)</f>
        <v>160.65</v>
      </c>
      <c r="E249" s="16">
        <v>0</v>
      </c>
      <c r="F249" s="18">
        <v>0</v>
      </c>
      <c r="G249" s="19">
        <f t="shared" si="29"/>
        <v>0</v>
      </c>
      <c r="H249" s="16">
        <f t="shared" si="24"/>
        <v>1</v>
      </c>
      <c r="I249" s="18">
        <f t="shared" si="24"/>
        <v>160.65</v>
      </c>
      <c r="J249" s="16">
        <v>0</v>
      </c>
      <c r="K249" s="18">
        <v>0</v>
      </c>
      <c r="L249" s="16">
        <f t="shared" si="25"/>
        <v>1</v>
      </c>
      <c r="M249" s="14">
        <f t="shared" si="25"/>
        <v>160.65</v>
      </c>
      <c r="N249" s="20"/>
    </row>
    <row r="250" spans="1:14" x14ac:dyDescent="0.25">
      <c r="A250" s="16" t="s">
        <v>126</v>
      </c>
      <c r="B250" s="17" t="s">
        <v>127</v>
      </c>
      <c r="C250" s="16">
        <f>VLOOKUP(A250,v_2024!F:I,3,FALSE)</f>
        <v>453</v>
      </c>
      <c r="D250" s="18">
        <f>VLOOKUP(A250,v_2024!F:I,4,FALSE)</f>
        <v>2224.23</v>
      </c>
      <c r="E250" s="16">
        <v>0</v>
      </c>
      <c r="F250" s="18">
        <v>0</v>
      </c>
      <c r="G250" s="19">
        <f t="shared" si="29"/>
        <v>0</v>
      </c>
      <c r="H250" s="16">
        <f t="shared" si="24"/>
        <v>453</v>
      </c>
      <c r="I250" s="18">
        <f t="shared" si="24"/>
        <v>2224.23</v>
      </c>
      <c r="J250" s="16">
        <f>VLOOKUP(A250,v_2023!F:I,3,FALSE)</f>
        <v>512</v>
      </c>
      <c r="K250" s="18">
        <f>VLOOKUP(A250,v_2023!F:I,4,FALSE)</f>
        <v>2094.08</v>
      </c>
      <c r="L250" s="16">
        <f t="shared" si="25"/>
        <v>-59</v>
      </c>
      <c r="M250" s="14">
        <f t="shared" si="25"/>
        <v>130.15000000000009</v>
      </c>
      <c r="N250" s="20">
        <f>M250/K250</f>
        <v>6.2151398227383907E-2</v>
      </c>
    </row>
    <row r="251" spans="1:14" x14ac:dyDescent="0.25">
      <c r="A251" s="16" t="s">
        <v>43</v>
      </c>
      <c r="B251" s="17" t="s">
        <v>44</v>
      </c>
      <c r="C251" s="16">
        <f>VLOOKUP(A251,v_2024!F:I,3,FALSE)</f>
        <v>31</v>
      </c>
      <c r="D251" s="18">
        <f>VLOOKUP(A251,v_2024!F:I,4,FALSE)</f>
        <v>172.86</v>
      </c>
      <c r="E251" s="16">
        <v>0</v>
      </c>
      <c r="F251" s="18">
        <v>0</v>
      </c>
      <c r="G251" s="19">
        <f t="shared" si="29"/>
        <v>0</v>
      </c>
      <c r="H251" s="16">
        <f t="shared" si="24"/>
        <v>31</v>
      </c>
      <c r="I251" s="18">
        <f t="shared" si="24"/>
        <v>172.86</v>
      </c>
      <c r="J251" s="16">
        <f>VLOOKUP(A251,v_2023!F:I,3,FALSE)</f>
        <v>2441</v>
      </c>
      <c r="K251" s="18">
        <f>VLOOKUP(A251,v_2023!F:I,4,FALSE)</f>
        <v>9812.82</v>
      </c>
      <c r="L251" s="16">
        <f t="shared" si="25"/>
        <v>-2410</v>
      </c>
      <c r="M251" s="14">
        <f t="shared" si="25"/>
        <v>-9639.9599999999991</v>
      </c>
      <c r="N251" s="20">
        <f>M251/K251</f>
        <v>-0.98238426874231866</v>
      </c>
    </row>
    <row r="252" spans="1:14" x14ac:dyDescent="0.25">
      <c r="A252" s="16" t="s">
        <v>380</v>
      </c>
      <c r="B252" s="17" t="s">
        <v>381</v>
      </c>
      <c r="C252" s="16">
        <f>VLOOKUP(A252,v_2024!F:I,3,FALSE)</f>
        <v>9</v>
      </c>
      <c r="D252" s="18">
        <f>VLOOKUP(A252,v_2024!F:I,4,FALSE)</f>
        <v>33.79</v>
      </c>
      <c r="E252" s="16">
        <v>0</v>
      </c>
      <c r="F252" s="18">
        <v>0</v>
      </c>
      <c r="G252" s="19">
        <f t="shared" si="29"/>
        <v>0</v>
      </c>
      <c r="H252" s="16">
        <f t="shared" si="24"/>
        <v>9</v>
      </c>
      <c r="I252" s="18">
        <f t="shared" si="24"/>
        <v>33.79</v>
      </c>
      <c r="J252" s="16">
        <f>VLOOKUP(A252,v_2023!F:I,3,FALSE)</f>
        <v>12</v>
      </c>
      <c r="K252" s="18">
        <f>VLOOKUP(A252,v_2023!F:I,4,FALSE)</f>
        <v>78.599999999999994</v>
      </c>
      <c r="L252" s="16">
        <f t="shared" si="25"/>
        <v>-3</v>
      </c>
      <c r="M252" s="14">
        <f t="shared" si="25"/>
        <v>-44.809999999999995</v>
      </c>
      <c r="N252" s="20">
        <f>M252/K252</f>
        <v>-0.57010178117048349</v>
      </c>
    </row>
    <row r="253" spans="1:14" x14ac:dyDescent="0.25">
      <c r="A253" s="16" t="s">
        <v>672</v>
      </c>
      <c r="B253" s="17" t="s">
        <v>673</v>
      </c>
      <c r="C253" s="16">
        <v>0</v>
      </c>
      <c r="D253" s="18">
        <v>0</v>
      </c>
      <c r="E253" s="16">
        <v>0</v>
      </c>
      <c r="F253" s="18">
        <v>0</v>
      </c>
      <c r="G253" s="19"/>
      <c r="H253" s="16">
        <f t="shared" si="24"/>
        <v>0</v>
      </c>
      <c r="I253" s="18">
        <f t="shared" si="24"/>
        <v>0</v>
      </c>
      <c r="J253" s="16">
        <v>0</v>
      </c>
      <c r="K253" s="18">
        <v>0</v>
      </c>
      <c r="L253" s="16">
        <f t="shared" si="25"/>
        <v>0</v>
      </c>
      <c r="M253" s="14">
        <f t="shared" si="25"/>
        <v>0</v>
      </c>
      <c r="N253" s="20"/>
    </row>
    <row r="254" spans="1:14" x14ac:dyDescent="0.25">
      <c r="A254" s="16" t="s">
        <v>506</v>
      </c>
      <c r="B254" s="17" t="s">
        <v>507</v>
      </c>
      <c r="C254" s="16">
        <f>VLOOKUP(A254,v_2024!F:I,3,FALSE)</f>
        <v>99</v>
      </c>
      <c r="D254" s="18">
        <f>VLOOKUP(A254,v_2024!F:I,4,FALSE)</f>
        <v>1096.6500000000001</v>
      </c>
      <c r="E254" s="16">
        <v>0</v>
      </c>
      <c r="F254" s="18">
        <v>0</v>
      </c>
      <c r="G254" s="19">
        <f t="shared" si="29"/>
        <v>0</v>
      </c>
      <c r="H254" s="16">
        <f t="shared" si="24"/>
        <v>99</v>
      </c>
      <c r="I254" s="18">
        <f t="shared" si="24"/>
        <v>1096.6500000000001</v>
      </c>
      <c r="J254" s="16">
        <v>0</v>
      </c>
      <c r="K254" s="18">
        <v>0</v>
      </c>
      <c r="L254" s="16">
        <f t="shared" si="25"/>
        <v>99</v>
      </c>
      <c r="M254" s="14">
        <f t="shared" si="25"/>
        <v>1096.6500000000001</v>
      </c>
      <c r="N254" s="20"/>
    </row>
    <row r="255" spans="1:14" x14ac:dyDescent="0.25">
      <c r="A255" s="16" t="s">
        <v>364</v>
      </c>
      <c r="B255" s="17" t="s">
        <v>365</v>
      </c>
      <c r="C255" s="16">
        <v>0</v>
      </c>
      <c r="D255" s="18">
        <v>0</v>
      </c>
      <c r="E255" s="16">
        <v>0</v>
      </c>
      <c r="F255" s="18">
        <v>0</v>
      </c>
      <c r="G255" s="19"/>
      <c r="H255" s="16">
        <f t="shared" si="24"/>
        <v>0</v>
      </c>
      <c r="I255" s="18">
        <f t="shared" si="24"/>
        <v>0</v>
      </c>
      <c r="J255" s="16">
        <v>0</v>
      </c>
      <c r="K255" s="18">
        <v>0</v>
      </c>
      <c r="L255" s="16">
        <f t="shared" si="25"/>
        <v>0</v>
      </c>
      <c r="M255" s="14">
        <f t="shared" si="25"/>
        <v>0</v>
      </c>
      <c r="N255" s="20"/>
    </row>
    <row r="256" spans="1:14" x14ac:dyDescent="0.25">
      <c r="A256" s="16" t="s">
        <v>608</v>
      </c>
      <c r="B256" s="17" t="s">
        <v>609</v>
      </c>
      <c r="C256" s="16">
        <f>VLOOKUP(A256,v_2024!F:I,3,FALSE)</f>
        <v>168</v>
      </c>
      <c r="D256" s="18">
        <f>VLOOKUP(A256,v_2024!F:I,4,FALSE)</f>
        <v>1493.58</v>
      </c>
      <c r="E256" s="16">
        <v>0</v>
      </c>
      <c r="F256" s="18">
        <v>0</v>
      </c>
      <c r="G256" s="19">
        <f t="shared" si="29"/>
        <v>0</v>
      </c>
      <c r="H256" s="16">
        <f t="shared" si="24"/>
        <v>168</v>
      </c>
      <c r="I256" s="18">
        <f t="shared" si="24"/>
        <v>1493.58</v>
      </c>
      <c r="J256" s="16">
        <v>0</v>
      </c>
      <c r="K256" s="18">
        <v>0</v>
      </c>
      <c r="L256" s="16">
        <f t="shared" si="25"/>
        <v>168</v>
      </c>
      <c r="M256" s="14">
        <f t="shared" si="25"/>
        <v>1493.58</v>
      </c>
      <c r="N256" s="20"/>
    </row>
    <row r="257" spans="1:14" x14ac:dyDescent="0.25">
      <c r="A257" s="16" t="s">
        <v>620</v>
      </c>
      <c r="B257" s="17" t="s">
        <v>621</v>
      </c>
      <c r="C257" s="16">
        <f>VLOOKUP(A257,v_2024!F:I,3,FALSE)</f>
        <v>3</v>
      </c>
      <c r="D257" s="18">
        <f>VLOOKUP(A257,v_2024!F:I,4,FALSE)</f>
        <v>122.7</v>
      </c>
      <c r="E257" s="16">
        <v>0</v>
      </c>
      <c r="F257" s="18">
        <v>0</v>
      </c>
      <c r="G257" s="19">
        <f t="shared" si="29"/>
        <v>0</v>
      </c>
      <c r="H257" s="16">
        <f t="shared" si="24"/>
        <v>3</v>
      </c>
      <c r="I257" s="18">
        <f t="shared" si="24"/>
        <v>122.7</v>
      </c>
      <c r="J257" s="16">
        <v>0</v>
      </c>
      <c r="K257" s="18">
        <v>0</v>
      </c>
      <c r="L257" s="16">
        <f t="shared" si="25"/>
        <v>3</v>
      </c>
      <c r="M257" s="14">
        <f t="shared" si="25"/>
        <v>122.7</v>
      </c>
      <c r="N257" s="20"/>
    </row>
    <row r="258" spans="1:14" x14ac:dyDescent="0.25">
      <c r="A258" s="16" t="s">
        <v>624</v>
      </c>
      <c r="B258" s="17" t="s">
        <v>625</v>
      </c>
      <c r="C258" s="16">
        <f>VLOOKUP(A258,v_2024!F:I,3,FALSE)</f>
        <v>12</v>
      </c>
      <c r="D258" s="18">
        <f>VLOOKUP(A258,v_2024!F:I,4,FALSE)</f>
        <v>464.74</v>
      </c>
      <c r="E258" s="16">
        <v>0</v>
      </c>
      <c r="F258" s="18">
        <v>0</v>
      </c>
      <c r="G258" s="19">
        <f t="shared" si="29"/>
        <v>0</v>
      </c>
      <c r="H258" s="16">
        <f t="shared" ref="H258:I283" si="31">E258+C258</f>
        <v>12</v>
      </c>
      <c r="I258" s="18">
        <f t="shared" si="31"/>
        <v>464.74</v>
      </c>
      <c r="J258" s="16">
        <v>0</v>
      </c>
      <c r="K258" s="18">
        <v>0</v>
      </c>
      <c r="L258" s="16">
        <f t="shared" ref="L258:M281" si="32">H258-J258</f>
        <v>12</v>
      </c>
      <c r="M258" s="14">
        <f t="shared" si="32"/>
        <v>464.74</v>
      </c>
      <c r="N258" s="20"/>
    </row>
    <row r="259" spans="1:14" x14ac:dyDescent="0.25">
      <c r="A259" s="16" t="s">
        <v>680</v>
      </c>
      <c r="B259" s="17" t="s">
        <v>681</v>
      </c>
      <c r="C259" s="16">
        <f>VLOOKUP(A259,v_2024!F:I,3,FALSE)</f>
        <v>2</v>
      </c>
      <c r="D259" s="18">
        <f>VLOOKUP(A259,v_2024!F:I,4,FALSE)</f>
        <v>50.2</v>
      </c>
      <c r="E259" s="16">
        <v>0</v>
      </c>
      <c r="F259" s="18">
        <v>0</v>
      </c>
      <c r="G259" s="19">
        <f t="shared" si="29"/>
        <v>0</v>
      </c>
      <c r="H259" s="16">
        <f t="shared" si="31"/>
        <v>2</v>
      </c>
      <c r="I259" s="18">
        <f t="shared" si="31"/>
        <v>50.2</v>
      </c>
      <c r="J259" s="16">
        <v>0</v>
      </c>
      <c r="K259" s="18">
        <v>0</v>
      </c>
      <c r="L259" s="16">
        <f t="shared" si="32"/>
        <v>2</v>
      </c>
      <c r="M259" s="14">
        <f t="shared" si="32"/>
        <v>50.2</v>
      </c>
      <c r="N259" s="20"/>
    </row>
    <row r="260" spans="1:14" x14ac:dyDescent="0.25">
      <c r="A260" s="16" t="s">
        <v>644</v>
      </c>
      <c r="B260" s="17" t="s">
        <v>645</v>
      </c>
      <c r="C260" s="16">
        <f>VLOOKUP(A260,v_2024!F:I,3,FALSE)</f>
        <v>1</v>
      </c>
      <c r="D260" s="18">
        <f>VLOOKUP(A260,v_2024!F:I,4,FALSE)</f>
        <v>39.58</v>
      </c>
      <c r="E260" s="16">
        <v>0</v>
      </c>
      <c r="F260" s="18">
        <v>0</v>
      </c>
      <c r="G260" s="19">
        <f t="shared" si="29"/>
        <v>0</v>
      </c>
      <c r="H260" s="16">
        <f t="shared" si="31"/>
        <v>1</v>
      </c>
      <c r="I260" s="18">
        <f t="shared" si="31"/>
        <v>39.58</v>
      </c>
      <c r="J260" s="16">
        <v>0</v>
      </c>
      <c r="K260" s="18">
        <v>0</v>
      </c>
      <c r="L260" s="16">
        <f t="shared" si="32"/>
        <v>1</v>
      </c>
      <c r="M260" s="14">
        <f t="shared" si="32"/>
        <v>39.58</v>
      </c>
      <c r="N260" s="20"/>
    </row>
    <row r="261" spans="1:14" x14ac:dyDescent="0.25">
      <c r="A261" s="16" t="s">
        <v>688</v>
      </c>
      <c r="B261" s="17" t="s">
        <v>689</v>
      </c>
      <c r="C261" s="16">
        <v>0</v>
      </c>
      <c r="D261" s="18">
        <v>0</v>
      </c>
      <c r="E261" s="16">
        <v>0</v>
      </c>
      <c r="F261" s="18">
        <v>0</v>
      </c>
      <c r="G261" s="19"/>
      <c r="H261" s="16">
        <f t="shared" si="31"/>
        <v>0</v>
      </c>
      <c r="I261" s="18">
        <f t="shared" si="31"/>
        <v>0</v>
      </c>
      <c r="J261" s="16">
        <v>0</v>
      </c>
      <c r="K261" s="18">
        <v>0</v>
      </c>
      <c r="L261" s="16">
        <f t="shared" si="32"/>
        <v>0</v>
      </c>
      <c r="M261" s="14">
        <f t="shared" si="32"/>
        <v>0</v>
      </c>
      <c r="N261" s="20"/>
    </row>
    <row r="262" spans="1:14" x14ac:dyDescent="0.25">
      <c r="A262" s="16" t="s">
        <v>640</v>
      </c>
      <c r="B262" s="17" t="s">
        <v>641</v>
      </c>
      <c r="C262" s="16">
        <f>VLOOKUP(A262,v_2024!F:I,3,FALSE)</f>
        <v>5</v>
      </c>
      <c r="D262" s="18">
        <f>VLOOKUP(A262,v_2024!F:I,4,FALSE)</f>
        <v>143.05000000000001</v>
      </c>
      <c r="E262" s="16">
        <v>0</v>
      </c>
      <c r="F262" s="18">
        <v>0</v>
      </c>
      <c r="G262" s="19">
        <f t="shared" si="29"/>
        <v>0</v>
      </c>
      <c r="H262" s="16">
        <f t="shared" si="31"/>
        <v>5</v>
      </c>
      <c r="I262" s="18">
        <f t="shared" si="31"/>
        <v>143.05000000000001</v>
      </c>
      <c r="J262" s="16">
        <v>0</v>
      </c>
      <c r="K262" s="18">
        <v>0</v>
      </c>
      <c r="L262" s="16">
        <f t="shared" si="32"/>
        <v>5</v>
      </c>
      <c r="M262" s="14">
        <f t="shared" si="32"/>
        <v>143.05000000000001</v>
      </c>
      <c r="N262" s="20"/>
    </row>
    <row r="263" spans="1:14" x14ac:dyDescent="0.25">
      <c r="A263" s="16" t="s">
        <v>668</v>
      </c>
      <c r="B263" s="17" t="s">
        <v>669</v>
      </c>
      <c r="C263" s="16">
        <v>0</v>
      </c>
      <c r="D263" s="18">
        <v>0</v>
      </c>
      <c r="E263" s="16">
        <v>0</v>
      </c>
      <c r="F263" s="18">
        <v>0</v>
      </c>
      <c r="G263" s="19"/>
      <c r="H263" s="16">
        <f t="shared" si="31"/>
        <v>0</v>
      </c>
      <c r="I263" s="18">
        <f t="shared" si="31"/>
        <v>0</v>
      </c>
      <c r="J263" s="16">
        <v>0</v>
      </c>
      <c r="K263" s="18">
        <v>0</v>
      </c>
      <c r="L263" s="16">
        <f t="shared" si="32"/>
        <v>0</v>
      </c>
      <c r="M263" s="14">
        <f t="shared" si="32"/>
        <v>0</v>
      </c>
      <c r="N263" s="20"/>
    </row>
    <row r="264" spans="1:14" x14ac:dyDescent="0.25">
      <c r="A264" s="16" t="s">
        <v>664</v>
      </c>
      <c r="B264" s="17" t="s">
        <v>665</v>
      </c>
      <c r="C264" s="16">
        <v>0</v>
      </c>
      <c r="D264" s="18">
        <v>0</v>
      </c>
      <c r="E264" s="16">
        <v>0</v>
      </c>
      <c r="F264" s="18">
        <v>0</v>
      </c>
      <c r="G264" s="19"/>
      <c r="H264" s="16">
        <f t="shared" si="31"/>
        <v>0</v>
      </c>
      <c r="I264" s="18">
        <f t="shared" si="31"/>
        <v>0</v>
      </c>
      <c r="J264" s="16">
        <v>0</v>
      </c>
      <c r="K264" s="18">
        <v>0</v>
      </c>
      <c r="L264" s="16">
        <f t="shared" si="32"/>
        <v>0</v>
      </c>
      <c r="M264" s="14">
        <f t="shared" si="32"/>
        <v>0</v>
      </c>
      <c r="N264" s="20"/>
    </row>
    <row r="265" spans="1:14" x14ac:dyDescent="0.25">
      <c r="A265" s="16" t="s">
        <v>632</v>
      </c>
      <c r="B265" s="17" t="s">
        <v>633</v>
      </c>
      <c r="C265" s="16">
        <f>VLOOKUP(A265,v_2024!F:I,3,FALSE)</f>
        <v>11</v>
      </c>
      <c r="D265" s="18">
        <f>VLOOKUP(A265,v_2024!F:I,4,FALSE)</f>
        <v>188.32</v>
      </c>
      <c r="E265" s="16">
        <v>0</v>
      </c>
      <c r="F265" s="18">
        <v>0</v>
      </c>
      <c r="G265" s="19">
        <f t="shared" si="29"/>
        <v>0</v>
      </c>
      <c r="H265" s="16">
        <f t="shared" si="31"/>
        <v>11</v>
      </c>
      <c r="I265" s="18">
        <f t="shared" si="31"/>
        <v>188.32</v>
      </c>
      <c r="J265" s="16">
        <v>0</v>
      </c>
      <c r="K265" s="18">
        <v>0</v>
      </c>
      <c r="L265" s="16">
        <f t="shared" si="32"/>
        <v>11</v>
      </c>
      <c r="M265" s="14">
        <f t="shared" si="32"/>
        <v>188.32</v>
      </c>
      <c r="N265" s="20"/>
    </row>
    <row r="266" spans="1:14" x14ac:dyDescent="0.25">
      <c r="A266" s="16" t="s">
        <v>690</v>
      </c>
      <c r="B266" s="17" t="s">
        <v>691</v>
      </c>
      <c r="C266" s="16">
        <f>VLOOKUP(A266,v_2024!F:I,3,FALSE)</f>
        <v>1</v>
      </c>
      <c r="D266" s="18">
        <f>VLOOKUP(A266,v_2024!F:I,4,FALSE)</f>
        <v>18.47</v>
      </c>
      <c r="E266" s="16">
        <v>0</v>
      </c>
      <c r="F266" s="18">
        <v>0</v>
      </c>
      <c r="G266" s="19">
        <f t="shared" si="29"/>
        <v>0</v>
      </c>
      <c r="H266" s="16">
        <f t="shared" si="31"/>
        <v>1</v>
      </c>
      <c r="I266" s="18">
        <f t="shared" si="31"/>
        <v>18.47</v>
      </c>
      <c r="J266" s="16">
        <v>0</v>
      </c>
      <c r="K266" s="18">
        <v>0</v>
      </c>
      <c r="L266" s="16">
        <f t="shared" si="32"/>
        <v>1</v>
      </c>
      <c r="M266" s="14">
        <f t="shared" si="32"/>
        <v>18.47</v>
      </c>
      <c r="N266" s="20"/>
    </row>
    <row r="267" spans="1:14" x14ac:dyDescent="0.25">
      <c r="A267" s="16" t="s">
        <v>698</v>
      </c>
      <c r="B267" s="17" t="s">
        <v>699</v>
      </c>
      <c r="C267" s="16">
        <v>0</v>
      </c>
      <c r="D267" s="18">
        <v>0</v>
      </c>
      <c r="E267" s="16">
        <v>0</v>
      </c>
      <c r="F267" s="18">
        <v>0</v>
      </c>
      <c r="G267" s="19"/>
      <c r="H267" s="16">
        <f t="shared" si="31"/>
        <v>0</v>
      </c>
      <c r="I267" s="18">
        <f t="shared" si="31"/>
        <v>0</v>
      </c>
      <c r="J267" s="16">
        <v>0</v>
      </c>
      <c r="K267" s="18">
        <v>0</v>
      </c>
      <c r="L267" s="16">
        <f t="shared" si="32"/>
        <v>0</v>
      </c>
      <c r="M267" s="14">
        <f t="shared" si="32"/>
        <v>0</v>
      </c>
      <c r="N267" s="20"/>
    </row>
    <row r="268" spans="1:14" x14ac:dyDescent="0.25">
      <c r="A268" s="16" t="s">
        <v>628</v>
      </c>
      <c r="B268" s="17" t="s">
        <v>629</v>
      </c>
      <c r="C268" s="16">
        <v>0</v>
      </c>
      <c r="D268" s="18">
        <v>0</v>
      </c>
      <c r="E268" s="16">
        <v>0</v>
      </c>
      <c r="F268" s="18">
        <v>0</v>
      </c>
      <c r="G268" s="19"/>
      <c r="H268" s="16">
        <f t="shared" si="31"/>
        <v>0</v>
      </c>
      <c r="I268" s="18">
        <f t="shared" si="31"/>
        <v>0</v>
      </c>
      <c r="J268" s="16">
        <v>0</v>
      </c>
      <c r="K268" s="18">
        <v>0</v>
      </c>
      <c r="L268" s="16">
        <f t="shared" si="32"/>
        <v>0</v>
      </c>
      <c r="M268" s="14">
        <f t="shared" si="32"/>
        <v>0</v>
      </c>
      <c r="N268" s="20"/>
    </row>
    <row r="269" spans="1:14" x14ac:dyDescent="0.25">
      <c r="A269" s="16" t="s">
        <v>622</v>
      </c>
      <c r="B269" s="17" t="s">
        <v>623</v>
      </c>
      <c r="C269" s="16">
        <f>VLOOKUP(A269,v_2024!F:I,3,FALSE)</f>
        <v>21</v>
      </c>
      <c r="D269" s="18">
        <f>VLOOKUP(A269,v_2024!F:I,4,FALSE)</f>
        <v>489.7</v>
      </c>
      <c r="E269" s="16">
        <v>0</v>
      </c>
      <c r="F269" s="18">
        <v>0</v>
      </c>
      <c r="G269" s="19">
        <f t="shared" si="29"/>
        <v>0</v>
      </c>
      <c r="H269" s="16">
        <f t="shared" si="31"/>
        <v>21</v>
      </c>
      <c r="I269" s="18">
        <f t="shared" si="31"/>
        <v>489.7</v>
      </c>
      <c r="J269" s="16">
        <v>0</v>
      </c>
      <c r="K269" s="18">
        <v>0</v>
      </c>
      <c r="L269" s="16">
        <f t="shared" si="32"/>
        <v>21</v>
      </c>
      <c r="M269" s="14">
        <f t="shared" si="32"/>
        <v>489.7</v>
      </c>
      <c r="N269" s="20"/>
    </row>
    <row r="270" spans="1:14" x14ac:dyDescent="0.25">
      <c r="A270" s="16" t="s">
        <v>646</v>
      </c>
      <c r="B270" s="17" t="s">
        <v>647</v>
      </c>
      <c r="C270" s="16">
        <f>VLOOKUP(A270,v_2024!F:I,3,FALSE)</f>
        <v>24</v>
      </c>
      <c r="D270" s="18">
        <f>VLOOKUP(A270,v_2024!F:I,4,FALSE)</f>
        <v>122.81</v>
      </c>
      <c r="E270" s="16">
        <v>0</v>
      </c>
      <c r="F270" s="18">
        <v>0</v>
      </c>
      <c r="G270" s="19">
        <f t="shared" si="29"/>
        <v>0</v>
      </c>
      <c r="H270" s="16">
        <f t="shared" si="31"/>
        <v>24</v>
      </c>
      <c r="I270" s="18">
        <f t="shared" si="31"/>
        <v>122.81</v>
      </c>
      <c r="J270" s="16">
        <v>0</v>
      </c>
      <c r="K270" s="18">
        <v>0</v>
      </c>
      <c r="L270" s="16">
        <f t="shared" si="32"/>
        <v>24</v>
      </c>
      <c r="M270" s="14">
        <f t="shared" si="32"/>
        <v>122.81</v>
      </c>
      <c r="N270" s="20"/>
    </row>
    <row r="271" spans="1:14" x14ac:dyDescent="0.25">
      <c r="A271" s="16" t="s">
        <v>654</v>
      </c>
      <c r="B271" s="17" t="s">
        <v>655</v>
      </c>
      <c r="C271" s="16">
        <f>VLOOKUP(A271,v_2024!F:I,3,FALSE)</f>
        <v>1</v>
      </c>
      <c r="D271" s="18">
        <f>VLOOKUP(A271,v_2024!F:I,4,FALSE)</f>
        <v>6.55</v>
      </c>
      <c r="E271" s="16">
        <v>0</v>
      </c>
      <c r="F271" s="18">
        <v>0</v>
      </c>
      <c r="G271" s="19">
        <f t="shared" si="29"/>
        <v>0</v>
      </c>
      <c r="H271" s="16">
        <f t="shared" si="31"/>
        <v>1</v>
      </c>
      <c r="I271" s="18">
        <f t="shared" si="31"/>
        <v>6.55</v>
      </c>
      <c r="J271" s="16">
        <v>0</v>
      </c>
      <c r="K271" s="18">
        <v>0</v>
      </c>
      <c r="L271" s="16">
        <f t="shared" si="32"/>
        <v>1</v>
      </c>
      <c r="M271" s="14">
        <f t="shared" si="32"/>
        <v>6.55</v>
      </c>
      <c r="N271" s="20"/>
    </row>
    <row r="272" spans="1:14" x14ac:dyDescent="0.25">
      <c r="A272" s="16" t="s">
        <v>612</v>
      </c>
      <c r="B272" s="17" t="s">
        <v>613</v>
      </c>
      <c r="C272" s="16">
        <f>VLOOKUP(A272,v_2024!F:I,3,FALSE)</f>
        <v>199</v>
      </c>
      <c r="D272" s="18">
        <f>VLOOKUP(A272,v_2024!F:I,4,FALSE)</f>
        <v>1134.1099999999999</v>
      </c>
      <c r="E272" s="16">
        <v>0</v>
      </c>
      <c r="F272" s="18">
        <v>0</v>
      </c>
      <c r="G272" s="19">
        <f t="shared" si="29"/>
        <v>0</v>
      </c>
      <c r="H272" s="16">
        <f t="shared" si="31"/>
        <v>199</v>
      </c>
      <c r="I272" s="18">
        <f t="shared" si="31"/>
        <v>1134.1099999999999</v>
      </c>
      <c r="J272" s="16">
        <v>0</v>
      </c>
      <c r="K272" s="18">
        <v>0</v>
      </c>
      <c r="L272" s="16">
        <f t="shared" si="32"/>
        <v>199</v>
      </c>
      <c r="M272" s="14">
        <f t="shared" si="32"/>
        <v>1134.1099999999999</v>
      </c>
      <c r="N272" s="20"/>
    </row>
    <row r="273" spans="1:14" x14ac:dyDescent="0.25">
      <c r="A273" s="16" t="s">
        <v>604</v>
      </c>
      <c r="B273" s="17" t="s">
        <v>605</v>
      </c>
      <c r="C273" s="16">
        <f>VLOOKUP(A273,v_2024!F:I,3,FALSE)</f>
        <v>51</v>
      </c>
      <c r="D273" s="18">
        <f>VLOOKUP(A273,v_2024!F:I,4,FALSE)</f>
        <v>1652.69</v>
      </c>
      <c r="E273" s="16">
        <v>0</v>
      </c>
      <c r="F273" s="18">
        <v>0</v>
      </c>
      <c r="G273" s="19">
        <f t="shared" si="29"/>
        <v>0</v>
      </c>
      <c r="H273" s="16">
        <f t="shared" si="31"/>
        <v>51</v>
      </c>
      <c r="I273" s="18">
        <f t="shared" si="31"/>
        <v>1652.69</v>
      </c>
      <c r="J273" s="16">
        <v>0</v>
      </c>
      <c r="K273" s="18">
        <v>0</v>
      </c>
      <c r="L273" s="16">
        <f t="shared" si="32"/>
        <v>51</v>
      </c>
      <c r="M273" s="14">
        <f t="shared" si="32"/>
        <v>1652.69</v>
      </c>
      <c r="N273" s="20"/>
    </row>
    <row r="274" spans="1:14" x14ac:dyDescent="0.25">
      <c r="A274" s="16" t="s">
        <v>610</v>
      </c>
      <c r="B274" s="17" t="s">
        <v>611</v>
      </c>
      <c r="C274" s="16">
        <f>VLOOKUP(A274,v_2024!F:I,3,FALSE)</f>
        <v>85</v>
      </c>
      <c r="D274" s="18">
        <f>VLOOKUP(A274,v_2024!F:I,4,FALSE)</f>
        <v>1342.61</v>
      </c>
      <c r="E274" s="16">
        <v>0</v>
      </c>
      <c r="F274" s="18">
        <v>0</v>
      </c>
      <c r="G274" s="19">
        <f t="shared" si="29"/>
        <v>0</v>
      </c>
      <c r="H274" s="16">
        <f t="shared" si="31"/>
        <v>85</v>
      </c>
      <c r="I274" s="18">
        <f t="shared" si="31"/>
        <v>1342.61</v>
      </c>
      <c r="J274" s="16">
        <v>0</v>
      </c>
      <c r="K274" s="18">
        <v>0</v>
      </c>
      <c r="L274" s="16">
        <f t="shared" si="32"/>
        <v>85</v>
      </c>
      <c r="M274" s="14">
        <f t="shared" si="32"/>
        <v>1342.61</v>
      </c>
      <c r="N274" s="20"/>
    </row>
    <row r="275" spans="1:14" x14ac:dyDescent="0.25">
      <c r="A275" s="16" t="s">
        <v>674</v>
      </c>
      <c r="B275" s="17" t="s">
        <v>675</v>
      </c>
      <c r="C275" s="16">
        <v>0</v>
      </c>
      <c r="D275" s="18">
        <v>0</v>
      </c>
      <c r="E275" s="16">
        <v>0</v>
      </c>
      <c r="F275" s="18">
        <v>0</v>
      </c>
      <c r="G275" s="19"/>
      <c r="H275" s="16">
        <f t="shared" si="31"/>
        <v>0</v>
      </c>
      <c r="I275" s="18">
        <f t="shared" si="31"/>
        <v>0</v>
      </c>
      <c r="J275" s="16">
        <v>0</v>
      </c>
      <c r="K275" s="18">
        <v>0</v>
      </c>
      <c r="L275" s="16">
        <f t="shared" si="32"/>
        <v>0</v>
      </c>
      <c r="M275" s="14">
        <f t="shared" si="32"/>
        <v>0</v>
      </c>
      <c r="N275" s="20"/>
    </row>
    <row r="276" spans="1:14" x14ac:dyDescent="0.25">
      <c r="A276" s="16" t="s">
        <v>616</v>
      </c>
      <c r="B276" s="17" t="s">
        <v>617</v>
      </c>
      <c r="C276" s="16">
        <f>VLOOKUP(A276,v_2024!F:I,3,FALSE)</f>
        <v>5</v>
      </c>
      <c r="D276" s="18">
        <f>VLOOKUP(A276,v_2024!F:I,4,FALSE)</f>
        <v>204.5</v>
      </c>
      <c r="E276" s="16">
        <v>0</v>
      </c>
      <c r="F276" s="18">
        <v>0</v>
      </c>
      <c r="G276" s="19">
        <f t="shared" si="29"/>
        <v>0</v>
      </c>
      <c r="H276" s="16">
        <f t="shared" si="31"/>
        <v>5</v>
      </c>
      <c r="I276" s="18">
        <f t="shared" si="31"/>
        <v>204.5</v>
      </c>
      <c r="J276" s="16">
        <v>0</v>
      </c>
      <c r="K276" s="18">
        <v>0</v>
      </c>
      <c r="L276" s="16">
        <f t="shared" si="32"/>
        <v>5</v>
      </c>
      <c r="M276" s="14">
        <f t="shared" si="32"/>
        <v>204.5</v>
      </c>
      <c r="N276" s="20"/>
    </row>
    <row r="277" spans="1:14" x14ac:dyDescent="0.25">
      <c r="A277" s="16" t="s">
        <v>606</v>
      </c>
      <c r="B277" s="17" t="s">
        <v>607</v>
      </c>
      <c r="C277" s="16">
        <f>VLOOKUP(A277,v_2024!F:I,3,FALSE)</f>
        <v>95</v>
      </c>
      <c r="D277" s="18">
        <f>VLOOKUP(A277,v_2024!F:I,4,FALSE)</f>
        <v>1549.45</v>
      </c>
      <c r="E277" s="16">
        <v>0</v>
      </c>
      <c r="F277" s="18">
        <v>0</v>
      </c>
      <c r="G277" s="19">
        <f t="shared" si="29"/>
        <v>0</v>
      </c>
      <c r="H277" s="16">
        <f t="shared" si="31"/>
        <v>95</v>
      </c>
      <c r="I277" s="18">
        <f t="shared" si="31"/>
        <v>1549.45</v>
      </c>
      <c r="J277" s="16">
        <v>0</v>
      </c>
      <c r="K277" s="18">
        <v>0</v>
      </c>
      <c r="L277" s="16">
        <f t="shared" si="32"/>
        <v>95</v>
      </c>
      <c r="M277" s="14">
        <f t="shared" si="32"/>
        <v>1549.45</v>
      </c>
      <c r="N277" s="20"/>
    </row>
    <row r="278" spans="1:14" x14ac:dyDescent="0.25">
      <c r="A278" s="16" t="s">
        <v>600</v>
      </c>
      <c r="B278" s="17" t="s">
        <v>601</v>
      </c>
      <c r="C278" s="16">
        <f>VLOOKUP(A278,v_2024!F:I,3,FALSE)</f>
        <v>324</v>
      </c>
      <c r="D278" s="18">
        <f>VLOOKUP(A278,v_2024!F:I,4,FALSE)</f>
        <v>5284.44</v>
      </c>
      <c r="E278" s="16">
        <v>0</v>
      </c>
      <c r="F278" s="18">
        <v>0</v>
      </c>
      <c r="G278" s="19">
        <f t="shared" si="29"/>
        <v>0</v>
      </c>
      <c r="H278" s="16">
        <f t="shared" si="31"/>
        <v>324</v>
      </c>
      <c r="I278" s="18">
        <f t="shared" si="31"/>
        <v>5284.44</v>
      </c>
      <c r="J278" s="16">
        <v>0</v>
      </c>
      <c r="K278" s="18">
        <v>0</v>
      </c>
      <c r="L278" s="16">
        <f t="shared" si="32"/>
        <v>324</v>
      </c>
      <c r="M278" s="14">
        <f t="shared" si="32"/>
        <v>5284.44</v>
      </c>
      <c r="N278" s="20"/>
    </row>
    <row r="279" spans="1:14" x14ac:dyDescent="0.25">
      <c r="A279" s="16" t="s">
        <v>602</v>
      </c>
      <c r="B279" s="17" t="s">
        <v>603</v>
      </c>
      <c r="C279" s="16">
        <f>VLOOKUP(A279,v_2024!F:I,3,FALSE)</f>
        <v>137</v>
      </c>
      <c r="D279" s="18">
        <f>VLOOKUP(A279,v_2024!F:I,4,FALSE)</f>
        <v>2234.4699999999998</v>
      </c>
      <c r="E279" s="16">
        <v>0</v>
      </c>
      <c r="F279" s="18">
        <v>0</v>
      </c>
      <c r="G279" s="19">
        <f t="shared" si="29"/>
        <v>0</v>
      </c>
      <c r="H279" s="16">
        <f t="shared" si="31"/>
        <v>137</v>
      </c>
      <c r="I279" s="18">
        <f t="shared" si="31"/>
        <v>2234.4699999999998</v>
      </c>
      <c r="J279" s="16">
        <v>0</v>
      </c>
      <c r="K279" s="18">
        <v>0</v>
      </c>
      <c r="L279" s="16">
        <f t="shared" si="32"/>
        <v>137</v>
      </c>
      <c r="M279" s="14">
        <f t="shared" si="32"/>
        <v>2234.4699999999998</v>
      </c>
      <c r="N279" s="20"/>
    </row>
    <row r="280" spans="1:14" x14ac:dyDescent="0.25">
      <c r="A280" s="16" t="s">
        <v>652</v>
      </c>
      <c r="B280" s="17" t="s">
        <v>653</v>
      </c>
      <c r="C280" s="16">
        <f>VLOOKUP(A280,v_2024!F:I,3,FALSE)</f>
        <v>0</v>
      </c>
      <c r="D280" s="18">
        <f>VLOOKUP(A280,v_2024!F:I,4,FALSE)</f>
        <v>0</v>
      </c>
      <c r="E280" s="16">
        <v>0</v>
      </c>
      <c r="F280" s="18">
        <v>0</v>
      </c>
      <c r="G280" s="19"/>
      <c r="H280" s="16">
        <f t="shared" si="31"/>
        <v>0</v>
      </c>
      <c r="I280" s="18">
        <f t="shared" si="31"/>
        <v>0</v>
      </c>
      <c r="J280" s="16">
        <v>0</v>
      </c>
      <c r="K280" s="18">
        <v>0</v>
      </c>
      <c r="L280" s="16">
        <f t="shared" si="32"/>
        <v>0</v>
      </c>
      <c r="M280" s="14">
        <f t="shared" si="32"/>
        <v>0</v>
      </c>
      <c r="N280" s="20"/>
    </row>
    <row r="281" spans="1:14" x14ac:dyDescent="0.25">
      <c r="A281" s="16" t="s">
        <v>614</v>
      </c>
      <c r="B281" s="17" t="s">
        <v>615</v>
      </c>
      <c r="C281" s="16">
        <f>VLOOKUP(A281,v_2024!F:I,3,FALSE)</f>
        <v>40</v>
      </c>
      <c r="D281" s="18">
        <f>VLOOKUP(A281,v_2024!F:I,4,FALSE)</f>
        <v>1210</v>
      </c>
      <c r="E281" s="16">
        <v>0</v>
      </c>
      <c r="F281" s="18">
        <v>0</v>
      </c>
      <c r="G281" s="19">
        <f t="shared" si="29"/>
        <v>0</v>
      </c>
      <c r="H281" s="16">
        <f t="shared" si="31"/>
        <v>40</v>
      </c>
      <c r="I281" s="18">
        <f t="shared" si="31"/>
        <v>1210</v>
      </c>
      <c r="J281" s="16">
        <v>0</v>
      </c>
      <c r="K281" s="18">
        <v>0</v>
      </c>
      <c r="L281" s="16">
        <f t="shared" si="32"/>
        <v>40</v>
      </c>
      <c r="M281" s="14">
        <f t="shared" si="32"/>
        <v>1210</v>
      </c>
      <c r="N281" s="20"/>
    </row>
    <row r="282" spans="1:14" x14ac:dyDescent="0.25">
      <c r="A282" s="16" t="s">
        <v>650</v>
      </c>
      <c r="B282" s="17" t="s">
        <v>651</v>
      </c>
      <c r="C282" s="16">
        <f>VLOOKUP(A282,v_2024!F:I,3,FALSE)</f>
        <v>8</v>
      </c>
      <c r="D282" s="18">
        <f>VLOOKUP(A282,v_2024!F:I,4,FALSE)</f>
        <v>117.36</v>
      </c>
      <c r="E282" s="16">
        <v>0</v>
      </c>
      <c r="F282" s="18">
        <v>0</v>
      </c>
      <c r="G282" s="19">
        <f t="shared" si="29"/>
        <v>0</v>
      </c>
      <c r="H282" s="16">
        <f t="shared" si="31"/>
        <v>8</v>
      </c>
      <c r="I282" s="18">
        <f t="shared" si="31"/>
        <v>117.36</v>
      </c>
      <c r="J282" s="16">
        <v>0</v>
      </c>
      <c r="K282" s="18">
        <v>0</v>
      </c>
      <c r="L282" s="16">
        <f>H282-J282</f>
        <v>8</v>
      </c>
      <c r="M282" s="14">
        <f t="shared" ref="M282:M345" si="33">I282-K282</f>
        <v>117.36</v>
      </c>
      <c r="N282" s="20"/>
    </row>
    <row r="283" spans="1:14" x14ac:dyDescent="0.25">
      <c r="A283" s="16" t="s">
        <v>366</v>
      </c>
      <c r="B283" s="17" t="str">
        <f>VLOOKUP(A283,v_2023!A:B,2,FALSE)</f>
        <v>40.993</v>
      </c>
      <c r="C283" s="16">
        <v>0</v>
      </c>
      <c r="D283" s="18">
        <v>0</v>
      </c>
      <c r="E283" s="16">
        <v>0</v>
      </c>
      <c r="F283" s="18">
        <v>0</v>
      </c>
      <c r="G283" s="19"/>
      <c r="H283" s="16">
        <f t="shared" si="31"/>
        <v>0</v>
      </c>
      <c r="I283" s="18">
        <f t="shared" si="31"/>
        <v>0</v>
      </c>
      <c r="J283" s="16">
        <v>0</v>
      </c>
      <c r="K283" s="18">
        <v>0</v>
      </c>
      <c r="L283" s="16">
        <f>H282-J282</f>
        <v>8</v>
      </c>
      <c r="M283" s="14">
        <f t="shared" si="33"/>
        <v>0</v>
      </c>
      <c r="N283" s="20"/>
    </row>
    <row r="284" spans="1:14" x14ac:dyDescent="0.25">
      <c r="A284" s="16" t="s">
        <v>536</v>
      </c>
      <c r="B284" s="17" t="str">
        <f>VLOOKUP(A284,v_2023!A:B,2,FALSE)</f>
        <v>90.502</v>
      </c>
      <c r="C284" s="16">
        <v>0</v>
      </c>
      <c r="D284" s="18">
        <v>0</v>
      </c>
      <c r="E284" s="16">
        <v>0</v>
      </c>
      <c r="F284" s="18">
        <v>0</v>
      </c>
      <c r="G284" s="19"/>
      <c r="H284" s="16">
        <f t="shared" ref="H284:I347" si="34">E284+C284</f>
        <v>0</v>
      </c>
      <c r="I284" s="18">
        <f t="shared" si="34"/>
        <v>0</v>
      </c>
      <c r="J284" s="16">
        <f>VLOOKUP(A284,v_2023!F:I,3,FALSE)</f>
        <v>0</v>
      </c>
      <c r="K284" s="18">
        <f>VLOOKUP(A284,v_2023!F:I,4,FALSE)</f>
        <v>0</v>
      </c>
      <c r="L284" s="16">
        <f>H360-J360</f>
        <v>-22344</v>
      </c>
      <c r="M284" s="14">
        <f t="shared" si="33"/>
        <v>0</v>
      </c>
      <c r="N284" s="20"/>
    </row>
    <row r="285" spans="1:14" x14ac:dyDescent="0.25">
      <c r="A285" s="16" t="s">
        <v>348</v>
      </c>
      <c r="B285" s="17" t="str">
        <f>VLOOKUP(A285,v_2023!A:B,2,FALSE)</f>
        <v>RI.501SL</v>
      </c>
      <c r="C285" s="16">
        <v>0</v>
      </c>
      <c r="D285" s="18">
        <v>0</v>
      </c>
      <c r="E285" s="16">
        <v>0</v>
      </c>
      <c r="F285" s="18">
        <v>0</v>
      </c>
      <c r="G285" s="19"/>
      <c r="H285" s="16">
        <f t="shared" si="34"/>
        <v>0</v>
      </c>
      <c r="I285" s="18">
        <f t="shared" si="34"/>
        <v>0</v>
      </c>
      <c r="J285" s="16">
        <v>0</v>
      </c>
      <c r="K285" s="18">
        <v>0</v>
      </c>
      <c r="L285" s="16">
        <f t="shared" ref="L285:L348" si="35">H283-J283</f>
        <v>0</v>
      </c>
      <c r="M285" s="14">
        <f t="shared" si="33"/>
        <v>0</v>
      </c>
      <c r="N285" s="20"/>
    </row>
    <row r="286" spans="1:14" x14ac:dyDescent="0.25">
      <c r="A286" s="16" t="s">
        <v>98</v>
      </c>
      <c r="B286" s="17" t="str">
        <f>VLOOKUP(A286,v_2023!A:B,2,FALSE)</f>
        <v>40.967N</v>
      </c>
      <c r="C286" s="16">
        <v>0</v>
      </c>
      <c r="D286" s="18">
        <v>0</v>
      </c>
      <c r="E286" s="16">
        <f>VLOOKUP(A286,s_2024!E:G,2,FALSE)</f>
        <v>27</v>
      </c>
      <c r="F286" s="18">
        <f>VLOOKUP(A286,s_2024!E:G,3,FALSE)</f>
        <v>822.29999999999961</v>
      </c>
      <c r="G286" s="19">
        <f t="shared" ref="G286" si="36">F286/I286</f>
        <v>1</v>
      </c>
      <c r="H286" s="16">
        <f t="shared" si="34"/>
        <v>27</v>
      </c>
      <c r="I286" s="18">
        <f t="shared" si="34"/>
        <v>822.29999999999961</v>
      </c>
      <c r="J286" s="16">
        <f>VLOOKUP(A286,v_2023!F:I,3,FALSE)</f>
        <v>165</v>
      </c>
      <c r="K286" s="18">
        <f>VLOOKUP(A286,v_2023!F:I,4,FALSE)</f>
        <v>3367.65</v>
      </c>
      <c r="L286" s="16">
        <f t="shared" si="35"/>
        <v>0</v>
      </c>
      <c r="M286" s="14">
        <f t="shared" si="33"/>
        <v>-2545.3500000000004</v>
      </c>
      <c r="N286" s="20">
        <f t="shared" ref="N286:N346" si="37">M286/K286</f>
        <v>-0.7558237940403546</v>
      </c>
    </row>
    <row r="287" spans="1:14" x14ac:dyDescent="0.25">
      <c r="A287" s="16" t="s">
        <v>470</v>
      </c>
      <c r="B287" s="17" t="str">
        <f>VLOOKUP(A287,v_2023!A:B,2,FALSE)</f>
        <v>40.11</v>
      </c>
      <c r="C287" s="16">
        <v>0</v>
      </c>
      <c r="D287" s="18">
        <v>0</v>
      </c>
      <c r="E287" s="16">
        <v>0</v>
      </c>
      <c r="F287" s="18">
        <v>0</v>
      </c>
      <c r="G287" s="19"/>
      <c r="H287" s="16">
        <f t="shared" si="34"/>
        <v>0</v>
      </c>
      <c r="I287" s="18">
        <f t="shared" si="34"/>
        <v>0</v>
      </c>
      <c r="J287" s="16">
        <v>0</v>
      </c>
      <c r="K287" s="18">
        <v>0</v>
      </c>
      <c r="L287" s="16">
        <f t="shared" si="35"/>
        <v>0</v>
      </c>
      <c r="M287" s="14">
        <f t="shared" si="33"/>
        <v>0</v>
      </c>
      <c r="N287" s="20"/>
    </row>
    <row r="288" spans="1:14" x14ac:dyDescent="0.25">
      <c r="A288" s="16" t="s">
        <v>580</v>
      </c>
      <c r="B288" s="17" t="str">
        <f>VLOOKUP(A288,v_2023!A:B,2,FALSE)</f>
        <v>40.994</v>
      </c>
      <c r="C288" s="16">
        <v>0</v>
      </c>
      <c r="D288" s="18">
        <v>0</v>
      </c>
      <c r="E288" s="16">
        <v>0</v>
      </c>
      <c r="F288" s="18">
        <v>0</v>
      </c>
      <c r="G288" s="19"/>
      <c r="H288" s="16">
        <f t="shared" si="34"/>
        <v>0</v>
      </c>
      <c r="I288" s="18">
        <f t="shared" si="34"/>
        <v>0</v>
      </c>
      <c r="J288" s="16">
        <v>0</v>
      </c>
      <c r="K288" s="18">
        <v>0</v>
      </c>
      <c r="L288" s="16">
        <f t="shared" si="35"/>
        <v>-138</v>
      </c>
      <c r="M288" s="14">
        <f t="shared" si="33"/>
        <v>0</v>
      </c>
      <c r="N288" s="20"/>
    </row>
    <row r="289" spans="1:14" x14ac:dyDescent="0.25">
      <c r="A289" s="16" t="s">
        <v>396</v>
      </c>
      <c r="B289" s="17" t="str">
        <f>VLOOKUP(A289,v_2023!A:B,2,FALSE)</f>
        <v>40.947</v>
      </c>
      <c r="C289" s="16">
        <v>0</v>
      </c>
      <c r="D289" s="18">
        <v>0</v>
      </c>
      <c r="E289" s="16">
        <v>0</v>
      </c>
      <c r="F289" s="18">
        <v>0</v>
      </c>
      <c r="G289" s="19"/>
      <c r="H289" s="16">
        <f t="shared" si="34"/>
        <v>0</v>
      </c>
      <c r="I289" s="18">
        <f t="shared" si="34"/>
        <v>0</v>
      </c>
      <c r="J289" s="16">
        <f>VLOOKUP(A289,v_2023!F:I,3,FALSE)</f>
        <v>7</v>
      </c>
      <c r="K289" s="18">
        <f>VLOOKUP(A289,v_2023!F:I,4,FALSE)</f>
        <v>71.13</v>
      </c>
      <c r="L289" s="16">
        <f t="shared" si="35"/>
        <v>0</v>
      </c>
      <c r="M289" s="14">
        <f t="shared" si="33"/>
        <v>-71.13</v>
      </c>
      <c r="N289" s="20">
        <f t="shared" si="37"/>
        <v>-1</v>
      </c>
    </row>
    <row r="290" spans="1:14" x14ac:dyDescent="0.25">
      <c r="A290" s="16" t="s">
        <v>540</v>
      </c>
      <c r="B290" s="17" t="str">
        <f>VLOOKUP(A290,v_2023!A:B,2,FALSE)</f>
        <v>40.978</v>
      </c>
      <c r="C290" s="16">
        <v>0</v>
      </c>
      <c r="D290" s="18">
        <v>0</v>
      </c>
      <c r="E290" s="16">
        <v>0</v>
      </c>
      <c r="F290" s="18">
        <v>0</v>
      </c>
      <c r="G290" s="19"/>
      <c r="H290" s="16">
        <f t="shared" si="34"/>
        <v>0</v>
      </c>
      <c r="I290" s="18">
        <f t="shared" si="34"/>
        <v>0</v>
      </c>
      <c r="J290" s="16">
        <v>0</v>
      </c>
      <c r="K290" s="18">
        <v>0</v>
      </c>
      <c r="L290" s="16">
        <f t="shared" si="35"/>
        <v>0</v>
      </c>
      <c r="M290" s="14">
        <f t="shared" si="33"/>
        <v>0</v>
      </c>
      <c r="N290" s="20"/>
    </row>
    <row r="291" spans="1:14" x14ac:dyDescent="0.25">
      <c r="A291" s="16" t="s">
        <v>474</v>
      </c>
      <c r="B291" s="17" t="str">
        <f>VLOOKUP(A291,v_2023!A:B,2,FALSE)</f>
        <v>90.605</v>
      </c>
      <c r="C291" s="16">
        <v>0</v>
      </c>
      <c r="D291" s="18">
        <v>0</v>
      </c>
      <c r="E291" s="16">
        <v>0</v>
      </c>
      <c r="F291" s="18">
        <v>0</v>
      </c>
      <c r="G291" s="19"/>
      <c r="H291" s="16">
        <f t="shared" si="34"/>
        <v>0</v>
      </c>
      <c r="I291" s="18">
        <f t="shared" si="34"/>
        <v>0</v>
      </c>
      <c r="J291" s="16">
        <v>0</v>
      </c>
      <c r="K291" s="18">
        <v>0</v>
      </c>
      <c r="L291" s="16">
        <f t="shared" si="35"/>
        <v>-7</v>
      </c>
      <c r="M291" s="14">
        <f t="shared" si="33"/>
        <v>0</v>
      </c>
      <c r="N291" s="20"/>
    </row>
    <row r="292" spans="1:14" x14ac:dyDescent="0.25">
      <c r="A292" s="16" t="s">
        <v>476</v>
      </c>
      <c r="B292" s="17" t="str">
        <f>VLOOKUP(A292,v_2023!A:B,2,FALSE)</f>
        <v>40.969</v>
      </c>
      <c r="C292" s="16">
        <v>0</v>
      </c>
      <c r="D292" s="18">
        <v>0</v>
      </c>
      <c r="E292" s="16">
        <v>0</v>
      </c>
      <c r="F292" s="18">
        <v>0</v>
      </c>
      <c r="G292" s="19"/>
      <c r="H292" s="16">
        <f t="shared" si="34"/>
        <v>0</v>
      </c>
      <c r="I292" s="18">
        <f t="shared" si="34"/>
        <v>0</v>
      </c>
      <c r="J292" s="16">
        <f>VLOOKUP(A292,v_2023!F:I,3,FALSE)</f>
        <v>4</v>
      </c>
      <c r="K292" s="18">
        <f>VLOOKUP(A292,v_2023!F:I,4,FALSE)</f>
        <v>27.55</v>
      </c>
      <c r="L292" s="16">
        <f t="shared" si="35"/>
        <v>0</v>
      </c>
      <c r="M292" s="14">
        <f t="shared" si="33"/>
        <v>-27.55</v>
      </c>
      <c r="N292" s="20">
        <f t="shared" si="37"/>
        <v>-1</v>
      </c>
    </row>
    <row r="293" spans="1:14" x14ac:dyDescent="0.25">
      <c r="A293" s="16" t="s">
        <v>596</v>
      </c>
      <c r="B293" s="17" t="str">
        <f>VLOOKUP(A293,v_2023!A:B,2,FALSE)</f>
        <v>40.996</v>
      </c>
      <c r="C293" s="16">
        <v>0</v>
      </c>
      <c r="D293" s="18">
        <v>0</v>
      </c>
      <c r="E293" s="16">
        <v>0</v>
      </c>
      <c r="F293" s="18">
        <v>0</v>
      </c>
      <c r="G293" s="19"/>
      <c r="H293" s="16">
        <f t="shared" si="34"/>
        <v>0</v>
      </c>
      <c r="I293" s="18">
        <f t="shared" si="34"/>
        <v>0</v>
      </c>
      <c r="J293" s="16">
        <v>0</v>
      </c>
      <c r="K293" s="18">
        <v>0</v>
      </c>
      <c r="L293" s="16">
        <f t="shared" si="35"/>
        <v>0</v>
      </c>
      <c r="M293" s="14">
        <f t="shared" si="33"/>
        <v>0</v>
      </c>
      <c r="N293" s="20"/>
    </row>
    <row r="294" spans="1:14" x14ac:dyDescent="0.25">
      <c r="A294" s="16" t="s">
        <v>462</v>
      </c>
      <c r="B294" s="17" t="str">
        <f>VLOOKUP(A294,v_2023!A:B,2,FALSE)</f>
        <v>90.520</v>
      </c>
      <c r="C294" s="16">
        <v>0</v>
      </c>
      <c r="D294" s="18">
        <v>0</v>
      </c>
      <c r="E294" s="16">
        <v>0</v>
      </c>
      <c r="F294" s="18">
        <v>0</v>
      </c>
      <c r="G294" s="19"/>
      <c r="H294" s="16">
        <f t="shared" si="34"/>
        <v>0</v>
      </c>
      <c r="I294" s="18">
        <f t="shared" si="34"/>
        <v>0</v>
      </c>
      <c r="J294" s="16">
        <v>0</v>
      </c>
      <c r="K294" s="18">
        <v>0</v>
      </c>
      <c r="L294" s="16">
        <f t="shared" si="35"/>
        <v>-4</v>
      </c>
      <c r="M294" s="14">
        <f t="shared" si="33"/>
        <v>0</v>
      </c>
      <c r="N294" s="20"/>
    </row>
    <row r="295" spans="1:14" x14ac:dyDescent="0.25">
      <c r="A295" s="16" t="s">
        <v>510</v>
      </c>
      <c r="B295" s="17" t="str">
        <f>VLOOKUP(A295,v_2023!A:B,2,FALSE)</f>
        <v>40.761</v>
      </c>
      <c r="C295" s="16">
        <v>0</v>
      </c>
      <c r="D295" s="18">
        <v>0</v>
      </c>
      <c r="E295" s="16">
        <v>0</v>
      </c>
      <c r="F295" s="18">
        <v>0</v>
      </c>
      <c r="G295" s="19"/>
      <c r="H295" s="16">
        <f t="shared" si="34"/>
        <v>0</v>
      </c>
      <c r="I295" s="18">
        <f t="shared" si="34"/>
        <v>0</v>
      </c>
      <c r="J295" s="16">
        <f>VLOOKUP(A295,v_2023!F:I,3,FALSE)</f>
        <v>1</v>
      </c>
      <c r="K295" s="18">
        <f>VLOOKUP(A295,v_2023!F:I,4,FALSE)</f>
        <v>11.82</v>
      </c>
      <c r="L295" s="16">
        <f t="shared" si="35"/>
        <v>0</v>
      </c>
      <c r="M295" s="14">
        <f t="shared" si="33"/>
        <v>-11.82</v>
      </c>
      <c r="N295" s="20">
        <f t="shared" si="37"/>
        <v>-1</v>
      </c>
    </row>
    <row r="296" spans="1:14" x14ac:dyDescent="0.25">
      <c r="A296" s="16" t="s">
        <v>472</v>
      </c>
      <c r="B296" s="17" t="str">
        <f>VLOOKUP(A296,v_2023!A:B,2,FALSE)</f>
        <v>90.514</v>
      </c>
      <c r="C296" s="16">
        <v>0</v>
      </c>
      <c r="D296" s="18">
        <v>0</v>
      </c>
      <c r="E296" s="16">
        <v>0</v>
      </c>
      <c r="F296" s="18">
        <v>0</v>
      </c>
      <c r="G296" s="19"/>
      <c r="H296" s="16">
        <f t="shared" si="34"/>
        <v>0</v>
      </c>
      <c r="I296" s="18">
        <f t="shared" si="34"/>
        <v>0</v>
      </c>
      <c r="J296" s="16">
        <f>VLOOKUP(A296,v_2023!F:I,3,FALSE)</f>
        <v>1</v>
      </c>
      <c r="K296" s="18">
        <f>VLOOKUP(A296,v_2023!F:I,4,FALSE)</f>
        <v>27.93</v>
      </c>
      <c r="L296" s="16">
        <f t="shared" si="35"/>
        <v>0</v>
      </c>
      <c r="M296" s="14">
        <f t="shared" si="33"/>
        <v>-27.93</v>
      </c>
      <c r="N296" s="20">
        <f t="shared" si="37"/>
        <v>-1</v>
      </c>
    </row>
    <row r="297" spans="1:14" x14ac:dyDescent="0.25">
      <c r="A297" s="16" t="s">
        <v>568</v>
      </c>
      <c r="B297" s="17" t="str">
        <f>VLOOKUP(A297,v_2023!A:B,2,FALSE)</f>
        <v>40.531</v>
      </c>
      <c r="C297" s="16">
        <v>0</v>
      </c>
      <c r="D297" s="18">
        <v>0</v>
      </c>
      <c r="E297" s="16">
        <v>0</v>
      </c>
      <c r="F297" s="18">
        <v>0</v>
      </c>
      <c r="G297" s="19"/>
      <c r="H297" s="16">
        <f t="shared" si="34"/>
        <v>0</v>
      </c>
      <c r="I297" s="18">
        <f t="shared" si="34"/>
        <v>0</v>
      </c>
      <c r="J297" s="16">
        <f>VLOOKUP(A297,v_2023!F:I,3,FALSE)</f>
        <v>0</v>
      </c>
      <c r="K297" s="18">
        <f>VLOOKUP(A297,v_2023!F:I,4,FALSE)</f>
        <v>0</v>
      </c>
      <c r="L297" s="16">
        <f t="shared" si="35"/>
        <v>-1</v>
      </c>
      <c r="M297" s="14">
        <f t="shared" si="33"/>
        <v>0</v>
      </c>
      <c r="N297" s="20"/>
    </row>
    <row r="298" spans="1:14" x14ac:dyDescent="0.25">
      <c r="A298" s="16" t="s">
        <v>520</v>
      </c>
      <c r="B298" s="17" t="str">
        <f>VLOOKUP(A298,v_2023!A:B,2,FALSE)</f>
        <v>MD.002</v>
      </c>
      <c r="C298" s="16">
        <v>0</v>
      </c>
      <c r="D298" s="18">
        <v>0</v>
      </c>
      <c r="E298" s="16">
        <v>0</v>
      </c>
      <c r="F298" s="18">
        <v>0</v>
      </c>
      <c r="G298" s="19"/>
      <c r="H298" s="16">
        <f t="shared" si="34"/>
        <v>0</v>
      </c>
      <c r="I298" s="18">
        <f t="shared" si="34"/>
        <v>0</v>
      </c>
      <c r="J298" s="16">
        <v>0</v>
      </c>
      <c r="K298" s="18">
        <v>0</v>
      </c>
      <c r="L298" s="16">
        <f t="shared" si="35"/>
        <v>-1</v>
      </c>
      <c r="M298" s="14">
        <f t="shared" si="33"/>
        <v>0</v>
      </c>
      <c r="N298" s="20"/>
    </row>
    <row r="299" spans="1:14" x14ac:dyDescent="0.25">
      <c r="A299" s="16" t="s">
        <v>350</v>
      </c>
      <c r="B299" s="17" t="str">
        <f>VLOOKUP(A299,v_2023!A:B,2,FALSE)</f>
        <v>MD.213</v>
      </c>
      <c r="C299" s="16">
        <v>0</v>
      </c>
      <c r="D299" s="18">
        <v>0</v>
      </c>
      <c r="E299" s="16">
        <v>0</v>
      </c>
      <c r="F299" s="18">
        <v>0</v>
      </c>
      <c r="G299" s="19"/>
      <c r="H299" s="16">
        <f t="shared" si="34"/>
        <v>0</v>
      </c>
      <c r="I299" s="18">
        <f t="shared" si="34"/>
        <v>0</v>
      </c>
      <c r="J299" s="16">
        <f>VLOOKUP(A299,v_2023!F:I,3,FALSE)</f>
        <v>14</v>
      </c>
      <c r="K299" s="18">
        <f>VLOOKUP(A299,v_2023!F:I,4,FALSE)</f>
        <v>117.64</v>
      </c>
      <c r="L299" s="16">
        <f t="shared" si="35"/>
        <v>0</v>
      </c>
      <c r="M299" s="14">
        <f t="shared" si="33"/>
        <v>-117.64</v>
      </c>
      <c r="N299" s="20">
        <f t="shared" si="37"/>
        <v>-1</v>
      </c>
    </row>
    <row r="300" spans="1:14" x14ac:dyDescent="0.25">
      <c r="A300" s="16" t="s">
        <v>478</v>
      </c>
      <c r="B300" s="17" t="str">
        <f>VLOOKUP(A300,v_2023!A:B,2,FALSE)</f>
        <v>PO.002</v>
      </c>
      <c r="C300" s="16">
        <v>0</v>
      </c>
      <c r="D300" s="18">
        <v>0</v>
      </c>
      <c r="E300" s="16">
        <v>0</v>
      </c>
      <c r="F300" s="18">
        <v>0</v>
      </c>
      <c r="G300" s="19"/>
      <c r="H300" s="16">
        <f t="shared" si="34"/>
        <v>0</v>
      </c>
      <c r="I300" s="18">
        <f t="shared" si="34"/>
        <v>0</v>
      </c>
      <c r="J300" s="16">
        <v>0</v>
      </c>
      <c r="K300" s="18">
        <v>0</v>
      </c>
      <c r="L300" s="16">
        <f t="shared" si="35"/>
        <v>0</v>
      </c>
      <c r="M300" s="14">
        <f t="shared" si="33"/>
        <v>0</v>
      </c>
      <c r="N300" s="20"/>
    </row>
    <row r="301" spans="1:14" x14ac:dyDescent="0.25">
      <c r="A301" s="16" t="s">
        <v>273</v>
      </c>
      <c r="B301" s="17" t="str">
        <f>VLOOKUP(A301,v_2023!A:B,2,FALSE)</f>
        <v>90.836</v>
      </c>
      <c r="C301" s="16">
        <v>0</v>
      </c>
      <c r="D301" s="18">
        <v>0</v>
      </c>
      <c r="E301" s="16">
        <v>0</v>
      </c>
      <c r="F301" s="18">
        <v>0</v>
      </c>
      <c r="G301" s="19"/>
      <c r="H301" s="16">
        <f t="shared" si="34"/>
        <v>0</v>
      </c>
      <c r="I301" s="18">
        <f t="shared" si="34"/>
        <v>0</v>
      </c>
      <c r="J301" s="16">
        <v>0</v>
      </c>
      <c r="K301" s="18">
        <v>0</v>
      </c>
      <c r="L301" s="16">
        <f t="shared" si="35"/>
        <v>-14</v>
      </c>
      <c r="M301" s="14">
        <f t="shared" si="33"/>
        <v>0</v>
      </c>
      <c r="N301" s="20"/>
    </row>
    <row r="302" spans="1:14" x14ac:dyDescent="0.25">
      <c r="A302" s="16" t="s">
        <v>594</v>
      </c>
      <c r="B302" s="17" t="str">
        <f>VLOOKUP(A302,v_2023!A:B,2,FALSE)</f>
        <v>PE.361</v>
      </c>
      <c r="C302" s="16">
        <v>0</v>
      </c>
      <c r="D302" s="18">
        <v>0</v>
      </c>
      <c r="E302" s="16">
        <v>0</v>
      </c>
      <c r="F302" s="18">
        <v>0</v>
      </c>
      <c r="G302" s="19"/>
      <c r="H302" s="16">
        <f t="shared" si="34"/>
        <v>0</v>
      </c>
      <c r="I302" s="18">
        <f t="shared" si="34"/>
        <v>0</v>
      </c>
      <c r="J302" s="16">
        <v>0</v>
      </c>
      <c r="K302" s="18">
        <v>0</v>
      </c>
      <c r="L302" s="16">
        <f t="shared" si="35"/>
        <v>0</v>
      </c>
      <c r="M302" s="14">
        <f t="shared" si="33"/>
        <v>0</v>
      </c>
      <c r="N302" s="20"/>
    </row>
    <row r="303" spans="1:14" x14ac:dyDescent="0.25">
      <c r="A303" s="16" t="s">
        <v>342</v>
      </c>
      <c r="B303" s="17" t="str">
        <f>VLOOKUP(A303,v_2023!A:B,2,FALSE)</f>
        <v>40.926</v>
      </c>
      <c r="C303" s="16">
        <v>0</v>
      </c>
      <c r="D303" s="18">
        <v>0</v>
      </c>
      <c r="E303" s="16">
        <v>0</v>
      </c>
      <c r="F303" s="18">
        <v>0</v>
      </c>
      <c r="G303" s="19"/>
      <c r="H303" s="16">
        <f t="shared" si="34"/>
        <v>0</v>
      </c>
      <c r="I303" s="18">
        <f t="shared" si="34"/>
        <v>0</v>
      </c>
      <c r="J303" s="16">
        <v>0</v>
      </c>
      <c r="K303" s="18">
        <v>0</v>
      </c>
      <c r="L303" s="16">
        <f t="shared" si="35"/>
        <v>0</v>
      </c>
      <c r="M303" s="14">
        <f t="shared" si="33"/>
        <v>0</v>
      </c>
      <c r="N303" s="20"/>
    </row>
    <row r="304" spans="1:14" x14ac:dyDescent="0.25">
      <c r="A304" s="16" t="s">
        <v>283</v>
      </c>
      <c r="B304" s="17" t="str">
        <f>VLOOKUP(A304,v_2023!A:B,2,FALSE)</f>
        <v>PE.376</v>
      </c>
      <c r="C304" s="16">
        <v>0</v>
      </c>
      <c r="D304" s="18">
        <v>0</v>
      </c>
      <c r="E304" s="16">
        <v>0</v>
      </c>
      <c r="F304" s="18">
        <v>0</v>
      </c>
      <c r="G304" s="19"/>
      <c r="H304" s="16">
        <f t="shared" si="34"/>
        <v>0</v>
      </c>
      <c r="I304" s="18">
        <f t="shared" si="34"/>
        <v>0</v>
      </c>
      <c r="J304" s="16">
        <f>VLOOKUP(A304,v_2023!F:I,3,FALSE)</f>
        <v>26</v>
      </c>
      <c r="K304" s="18">
        <f>VLOOKUP(A304,v_2023!F:I,4,FALSE)</f>
        <v>223.33</v>
      </c>
      <c r="L304" s="16">
        <f t="shared" si="35"/>
        <v>0</v>
      </c>
      <c r="M304" s="14">
        <f t="shared" si="33"/>
        <v>-223.33</v>
      </c>
      <c r="N304" s="20">
        <f t="shared" si="37"/>
        <v>-1</v>
      </c>
    </row>
    <row r="305" spans="1:14" x14ac:dyDescent="0.25">
      <c r="A305" s="16" t="s">
        <v>330</v>
      </c>
      <c r="B305" s="17" t="str">
        <f>VLOOKUP(A305,v_2023!A:B,2,FALSE)</f>
        <v>PE.377</v>
      </c>
      <c r="C305" s="16">
        <v>0</v>
      </c>
      <c r="D305" s="18">
        <v>0</v>
      </c>
      <c r="E305" s="16">
        <v>0</v>
      </c>
      <c r="F305" s="18">
        <v>0</v>
      </c>
      <c r="G305" s="19"/>
      <c r="H305" s="16">
        <f t="shared" si="34"/>
        <v>0</v>
      </c>
      <c r="I305" s="18">
        <f t="shared" si="34"/>
        <v>0</v>
      </c>
      <c r="J305" s="16">
        <f>VLOOKUP(A305,v_2023!F:I,3,FALSE)</f>
        <v>16</v>
      </c>
      <c r="K305" s="18">
        <f>VLOOKUP(A305,v_2023!F:I,4,FALSE)</f>
        <v>150.5</v>
      </c>
      <c r="L305" s="16">
        <f t="shared" si="35"/>
        <v>0</v>
      </c>
      <c r="M305" s="14">
        <f t="shared" si="33"/>
        <v>-150.5</v>
      </c>
      <c r="N305" s="20">
        <f t="shared" si="37"/>
        <v>-1</v>
      </c>
    </row>
    <row r="306" spans="1:14" x14ac:dyDescent="0.25">
      <c r="A306" s="16" t="s">
        <v>502</v>
      </c>
      <c r="B306" s="17" t="str">
        <f>VLOOKUP(A306,v_2023!A:B,2,FALSE)</f>
        <v>90.130F2</v>
      </c>
      <c r="C306" s="16">
        <v>0</v>
      </c>
      <c r="D306" s="18">
        <v>0</v>
      </c>
      <c r="E306" s="16">
        <v>0</v>
      </c>
      <c r="F306" s="18">
        <v>0</v>
      </c>
      <c r="G306" s="19"/>
      <c r="H306" s="16">
        <f t="shared" si="34"/>
        <v>0</v>
      </c>
      <c r="I306" s="18">
        <f t="shared" si="34"/>
        <v>0</v>
      </c>
      <c r="J306" s="16">
        <v>0</v>
      </c>
      <c r="K306" s="18">
        <v>0</v>
      </c>
      <c r="L306" s="16">
        <f t="shared" si="35"/>
        <v>-26</v>
      </c>
      <c r="M306" s="14">
        <f t="shared" si="33"/>
        <v>0</v>
      </c>
      <c r="N306" s="20"/>
    </row>
    <row r="307" spans="1:14" x14ac:dyDescent="0.25">
      <c r="A307" s="16" t="s">
        <v>570</v>
      </c>
      <c r="B307" s="17" t="str">
        <f>VLOOKUP(A307,v_2023!A:B,2,FALSE)</f>
        <v>90.436H</v>
      </c>
      <c r="C307" s="16">
        <v>0</v>
      </c>
      <c r="D307" s="18">
        <v>0</v>
      </c>
      <c r="E307" s="16">
        <v>0</v>
      </c>
      <c r="F307" s="18">
        <v>0</v>
      </c>
      <c r="G307" s="19"/>
      <c r="H307" s="16">
        <f t="shared" si="34"/>
        <v>0</v>
      </c>
      <c r="I307" s="18">
        <f t="shared" si="34"/>
        <v>0</v>
      </c>
      <c r="J307" s="16">
        <f>VLOOKUP(A307,v_2023!F:I,3,FALSE)</f>
        <v>0</v>
      </c>
      <c r="K307" s="18">
        <f>VLOOKUP(A307,v_2023!F:I,4,FALSE)</f>
        <v>0</v>
      </c>
      <c r="L307" s="16">
        <f t="shared" si="35"/>
        <v>-16</v>
      </c>
      <c r="M307" s="14">
        <f t="shared" si="33"/>
        <v>0</v>
      </c>
      <c r="N307" s="20"/>
    </row>
    <row r="308" spans="1:14" x14ac:dyDescent="0.25">
      <c r="A308" s="16" t="s">
        <v>588</v>
      </c>
      <c r="B308" s="17" t="str">
        <f>VLOOKUP(A308,v_2023!A:B,2,FALSE)</f>
        <v>50.920V</v>
      </c>
      <c r="C308" s="16">
        <v>0</v>
      </c>
      <c r="D308" s="18">
        <v>0</v>
      </c>
      <c r="E308" s="16">
        <v>0</v>
      </c>
      <c r="F308" s="18">
        <v>0</v>
      </c>
      <c r="G308" s="19"/>
      <c r="H308" s="16">
        <f t="shared" si="34"/>
        <v>0</v>
      </c>
      <c r="I308" s="18">
        <f t="shared" si="34"/>
        <v>0</v>
      </c>
      <c r="J308" s="16">
        <f>VLOOKUP(A308,v_2023!F:I,3,FALSE)</f>
        <v>-1</v>
      </c>
      <c r="K308" s="18">
        <f>VLOOKUP(A308,v_2023!F:I,4,FALSE)</f>
        <v>-11.39</v>
      </c>
      <c r="L308" s="16">
        <f t="shared" si="35"/>
        <v>0</v>
      </c>
      <c r="M308" s="14">
        <f t="shared" si="33"/>
        <v>11.39</v>
      </c>
      <c r="N308" s="20">
        <f t="shared" si="37"/>
        <v>-1</v>
      </c>
    </row>
    <row r="309" spans="1:14" x14ac:dyDescent="0.25">
      <c r="A309" s="16" t="s">
        <v>576</v>
      </c>
      <c r="B309" s="17" t="str">
        <f>VLOOKUP(A309,v_2023!A:B,2,FALSE)</f>
        <v>90.350V</v>
      </c>
      <c r="C309" s="16">
        <v>0</v>
      </c>
      <c r="D309" s="18">
        <v>0</v>
      </c>
      <c r="E309" s="16">
        <v>0</v>
      </c>
      <c r="F309" s="18">
        <v>0</v>
      </c>
      <c r="G309" s="19"/>
      <c r="H309" s="16">
        <f t="shared" si="34"/>
        <v>0</v>
      </c>
      <c r="I309" s="18">
        <f t="shared" si="34"/>
        <v>0</v>
      </c>
      <c r="J309" s="16">
        <v>0</v>
      </c>
      <c r="K309" s="18">
        <v>0</v>
      </c>
      <c r="L309" s="16">
        <f t="shared" si="35"/>
        <v>0</v>
      </c>
      <c r="M309" s="14">
        <f t="shared" si="33"/>
        <v>0</v>
      </c>
      <c r="N309" s="20"/>
    </row>
    <row r="310" spans="1:14" x14ac:dyDescent="0.25">
      <c r="A310" s="16" t="s">
        <v>558</v>
      </c>
      <c r="B310" s="17" t="str">
        <f>VLOOKUP(A310,v_2023!A:B,2,FALSE)</f>
        <v>BT.001R</v>
      </c>
      <c r="C310" s="16">
        <v>0</v>
      </c>
      <c r="D310" s="18">
        <v>0</v>
      </c>
      <c r="E310" s="16">
        <v>0</v>
      </c>
      <c r="F310" s="18">
        <v>0</v>
      </c>
      <c r="G310" s="19"/>
      <c r="H310" s="16">
        <f t="shared" si="34"/>
        <v>0</v>
      </c>
      <c r="I310" s="18">
        <f t="shared" si="34"/>
        <v>0</v>
      </c>
      <c r="J310" s="16">
        <f>VLOOKUP(A310,v_2023!F:I,3,FALSE)</f>
        <v>0</v>
      </c>
      <c r="K310" s="18">
        <f>VLOOKUP(A310,v_2023!F:I,4,FALSE)</f>
        <v>0</v>
      </c>
      <c r="L310" s="16">
        <f t="shared" si="35"/>
        <v>1</v>
      </c>
      <c r="M310" s="14">
        <f t="shared" si="33"/>
        <v>0</v>
      </c>
      <c r="N310" s="20"/>
    </row>
    <row r="311" spans="1:14" x14ac:dyDescent="0.25">
      <c r="A311" s="16" t="s">
        <v>486</v>
      </c>
      <c r="B311" s="17" t="str">
        <f>VLOOKUP(A311,v_2023!A:B,2,FALSE)</f>
        <v>40.957N</v>
      </c>
      <c r="C311" s="16">
        <v>0</v>
      </c>
      <c r="D311" s="18">
        <v>0</v>
      </c>
      <c r="E311" s="16">
        <v>0</v>
      </c>
      <c r="F311" s="18">
        <v>0</v>
      </c>
      <c r="G311" s="19"/>
      <c r="H311" s="16">
        <f t="shared" si="34"/>
        <v>0</v>
      </c>
      <c r="I311" s="18">
        <f t="shared" si="34"/>
        <v>0</v>
      </c>
      <c r="J311" s="16">
        <f>VLOOKUP(A311,v_2023!F:I,3,FALSE)</f>
        <v>2</v>
      </c>
      <c r="K311" s="18">
        <f>VLOOKUP(A311,v_2023!F:I,4,FALSE)</f>
        <v>23.6</v>
      </c>
      <c r="L311" s="16">
        <f t="shared" si="35"/>
        <v>0</v>
      </c>
      <c r="M311" s="14">
        <f t="shared" si="33"/>
        <v>-23.6</v>
      </c>
      <c r="N311" s="20">
        <f t="shared" si="37"/>
        <v>-1</v>
      </c>
    </row>
    <row r="312" spans="1:14" x14ac:dyDescent="0.25">
      <c r="A312" s="16" t="s">
        <v>297</v>
      </c>
      <c r="B312" s="17" t="str">
        <f>VLOOKUP(A312,v_2023!A:B,2,FALSE)</f>
        <v>90.886</v>
      </c>
      <c r="C312" s="16">
        <v>0</v>
      </c>
      <c r="D312" s="18">
        <v>0</v>
      </c>
      <c r="E312" s="16">
        <v>0</v>
      </c>
      <c r="F312" s="18">
        <v>0</v>
      </c>
      <c r="G312" s="19"/>
      <c r="H312" s="16">
        <f t="shared" si="34"/>
        <v>0</v>
      </c>
      <c r="I312" s="18">
        <f t="shared" si="34"/>
        <v>0</v>
      </c>
      <c r="J312" s="16">
        <f>VLOOKUP(A312,v_2023!F:I,3,FALSE)</f>
        <v>2</v>
      </c>
      <c r="K312" s="18">
        <f>VLOOKUP(A312,v_2023!F:I,4,FALSE)</f>
        <v>211.48</v>
      </c>
      <c r="L312" s="16">
        <f t="shared" si="35"/>
        <v>0</v>
      </c>
      <c r="M312" s="14">
        <f t="shared" si="33"/>
        <v>-211.48</v>
      </c>
      <c r="N312" s="20">
        <f t="shared" si="37"/>
        <v>-1</v>
      </c>
    </row>
    <row r="313" spans="1:14" x14ac:dyDescent="0.25">
      <c r="A313" s="16" t="s">
        <v>488</v>
      </c>
      <c r="B313" s="17" t="str">
        <f>VLOOKUP(A313,v_2023!A:B,2,FALSE)</f>
        <v>BP.600</v>
      </c>
      <c r="C313" s="16">
        <v>0</v>
      </c>
      <c r="D313" s="18">
        <v>0</v>
      </c>
      <c r="E313" s="16">
        <v>0</v>
      </c>
      <c r="F313" s="18">
        <v>0</v>
      </c>
      <c r="G313" s="19"/>
      <c r="H313" s="16">
        <f t="shared" si="34"/>
        <v>0</v>
      </c>
      <c r="I313" s="18">
        <f t="shared" si="34"/>
        <v>0</v>
      </c>
      <c r="J313" s="16">
        <f>VLOOKUP(A313,v_2023!F:I,3,FALSE)</f>
        <v>1</v>
      </c>
      <c r="K313" s="18">
        <f>VLOOKUP(A313,v_2023!F:I,4,FALSE)</f>
        <v>21.51</v>
      </c>
      <c r="L313" s="16">
        <f t="shared" si="35"/>
        <v>-2</v>
      </c>
      <c r="M313" s="14">
        <f t="shared" si="33"/>
        <v>-21.51</v>
      </c>
      <c r="N313" s="20">
        <f t="shared" si="37"/>
        <v>-1</v>
      </c>
    </row>
    <row r="314" spans="1:14" x14ac:dyDescent="0.25">
      <c r="A314" s="16" t="s">
        <v>586</v>
      </c>
      <c r="B314" s="17" t="str">
        <f>VLOOKUP(A314,v_2023!A:B,2,FALSE)</f>
        <v>BB.001</v>
      </c>
      <c r="C314" s="16">
        <v>0</v>
      </c>
      <c r="D314" s="18">
        <v>0</v>
      </c>
      <c r="E314" s="16">
        <v>0</v>
      </c>
      <c r="F314" s="18">
        <v>0</v>
      </c>
      <c r="G314" s="19"/>
      <c r="H314" s="16">
        <f t="shared" si="34"/>
        <v>0</v>
      </c>
      <c r="I314" s="18">
        <f t="shared" si="34"/>
        <v>0</v>
      </c>
      <c r="J314" s="16">
        <v>0</v>
      </c>
      <c r="K314" s="18">
        <v>0</v>
      </c>
      <c r="L314" s="16">
        <f t="shared" si="35"/>
        <v>-2</v>
      </c>
      <c r="M314" s="14">
        <f t="shared" si="33"/>
        <v>0</v>
      </c>
      <c r="N314" s="20"/>
    </row>
    <row r="315" spans="1:14" x14ac:dyDescent="0.25">
      <c r="A315" s="16" t="s">
        <v>392</v>
      </c>
      <c r="B315" s="17" t="str">
        <f>VLOOKUP(A315,v_2023!A:B,2,FALSE)</f>
        <v>40.915</v>
      </c>
      <c r="C315" s="16">
        <v>0</v>
      </c>
      <c r="D315" s="18">
        <v>0</v>
      </c>
      <c r="E315" s="16">
        <v>0</v>
      </c>
      <c r="F315" s="18">
        <v>0</v>
      </c>
      <c r="G315" s="19"/>
      <c r="H315" s="16">
        <f t="shared" si="34"/>
        <v>0</v>
      </c>
      <c r="I315" s="18">
        <f t="shared" si="34"/>
        <v>0</v>
      </c>
      <c r="J315" s="16">
        <f>VLOOKUP(A315,v_2023!F:I,3,FALSE)</f>
        <v>14</v>
      </c>
      <c r="K315" s="18">
        <f>VLOOKUP(A315,v_2023!F:I,4,FALSE)</f>
        <v>71.680000000000007</v>
      </c>
      <c r="L315" s="16">
        <f t="shared" si="35"/>
        <v>-1</v>
      </c>
      <c r="M315" s="14">
        <f t="shared" si="33"/>
        <v>-71.680000000000007</v>
      </c>
      <c r="N315" s="20">
        <f t="shared" si="37"/>
        <v>-1</v>
      </c>
    </row>
    <row r="316" spans="1:14" x14ac:dyDescent="0.25">
      <c r="A316" s="16" t="s">
        <v>408</v>
      </c>
      <c r="B316" s="17" t="str">
        <f>VLOOKUP(A316,v_2023!A:B,2,FALSE)</f>
        <v>BF.550</v>
      </c>
      <c r="C316" s="16">
        <v>0</v>
      </c>
      <c r="D316" s="18">
        <v>0</v>
      </c>
      <c r="E316" s="16">
        <v>0</v>
      </c>
      <c r="F316" s="18">
        <v>0</v>
      </c>
      <c r="G316" s="19"/>
      <c r="H316" s="16">
        <f t="shared" si="34"/>
        <v>0</v>
      </c>
      <c r="I316" s="18">
        <f t="shared" si="34"/>
        <v>0</v>
      </c>
      <c r="J316" s="16">
        <f>VLOOKUP(A316,v_2023!F:I,3,FALSE)</f>
        <v>1</v>
      </c>
      <c r="K316" s="18">
        <f>VLOOKUP(A316,v_2023!F:I,4,FALSE)</f>
        <v>64.61</v>
      </c>
      <c r="L316" s="16">
        <f t="shared" si="35"/>
        <v>0</v>
      </c>
      <c r="M316" s="14">
        <f t="shared" si="33"/>
        <v>-64.61</v>
      </c>
      <c r="N316" s="20">
        <f t="shared" si="37"/>
        <v>-1</v>
      </c>
    </row>
    <row r="317" spans="1:14" x14ac:dyDescent="0.25">
      <c r="A317" s="16" t="s">
        <v>534</v>
      </c>
      <c r="B317" s="17" t="str">
        <f>VLOOKUP(A317,v_2023!A:B,2,FALSE)</f>
        <v>VE.402</v>
      </c>
      <c r="C317" s="16">
        <v>0</v>
      </c>
      <c r="D317" s="18">
        <v>0</v>
      </c>
      <c r="E317" s="16">
        <v>0</v>
      </c>
      <c r="F317" s="18">
        <v>0</v>
      </c>
      <c r="G317" s="19"/>
      <c r="H317" s="16">
        <f t="shared" si="34"/>
        <v>0</v>
      </c>
      <c r="I317" s="18">
        <f t="shared" si="34"/>
        <v>0</v>
      </c>
      <c r="J317" s="16">
        <f>VLOOKUP(A317,v_2023!F:I,3,FALSE)</f>
        <v>0</v>
      </c>
      <c r="K317" s="18">
        <f>VLOOKUP(A317,v_2023!F:I,4,FALSE)</f>
        <v>0</v>
      </c>
      <c r="L317" s="16">
        <f t="shared" si="35"/>
        <v>-14</v>
      </c>
      <c r="M317" s="14">
        <f t="shared" si="33"/>
        <v>0</v>
      </c>
      <c r="N317" s="20"/>
    </row>
    <row r="318" spans="1:14" x14ac:dyDescent="0.25">
      <c r="A318" s="16" t="s">
        <v>334</v>
      </c>
      <c r="B318" s="17" t="str">
        <f>VLOOKUP(A318,v_2023!A:B,2,FALSE)</f>
        <v>BC.130</v>
      </c>
      <c r="C318" s="16">
        <v>0</v>
      </c>
      <c r="D318" s="18">
        <v>0</v>
      </c>
      <c r="E318" s="16">
        <v>0</v>
      </c>
      <c r="F318" s="18">
        <v>0</v>
      </c>
      <c r="G318" s="19"/>
      <c r="H318" s="16">
        <f t="shared" si="34"/>
        <v>0</v>
      </c>
      <c r="I318" s="18">
        <f t="shared" si="34"/>
        <v>0</v>
      </c>
      <c r="J318" s="16">
        <v>0</v>
      </c>
      <c r="K318" s="18">
        <v>0</v>
      </c>
      <c r="L318" s="16">
        <f t="shared" si="35"/>
        <v>-1</v>
      </c>
      <c r="M318" s="14">
        <f t="shared" si="33"/>
        <v>0</v>
      </c>
      <c r="N318" s="20"/>
    </row>
    <row r="319" spans="1:14" x14ac:dyDescent="0.25">
      <c r="A319" s="16" t="s">
        <v>420</v>
      </c>
      <c r="B319" s="17" t="str">
        <f>VLOOKUP(A319,v_2023!A:B,2,FALSE)</f>
        <v>50.940GO</v>
      </c>
      <c r="C319" s="16">
        <v>0</v>
      </c>
      <c r="D319" s="18">
        <v>0</v>
      </c>
      <c r="E319" s="16">
        <v>0</v>
      </c>
      <c r="F319" s="18">
        <v>0</v>
      </c>
      <c r="G319" s="19"/>
      <c r="H319" s="16">
        <f t="shared" si="34"/>
        <v>0</v>
      </c>
      <c r="I319" s="18">
        <f t="shared" si="34"/>
        <v>0</v>
      </c>
      <c r="J319" s="16">
        <f>VLOOKUP(A319,v_2023!F:I,3,FALSE)</f>
        <v>2</v>
      </c>
      <c r="K319" s="18">
        <f>VLOOKUP(A319,v_2023!F:I,4,FALSE)</f>
        <v>49.02</v>
      </c>
      <c r="L319" s="16">
        <f t="shared" si="35"/>
        <v>0</v>
      </c>
      <c r="M319" s="14">
        <f t="shared" si="33"/>
        <v>-49.02</v>
      </c>
      <c r="N319" s="20">
        <f t="shared" si="37"/>
        <v>-1</v>
      </c>
    </row>
    <row r="320" spans="1:14" x14ac:dyDescent="0.25">
      <c r="A320" s="16" t="s">
        <v>492</v>
      </c>
      <c r="B320" s="17" t="str">
        <f>VLOOKUP(A320,v_2023!A:B,2,FALSE)</f>
        <v>ri.093</v>
      </c>
      <c r="C320" s="16">
        <v>0</v>
      </c>
      <c r="D320" s="18">
        <v>0</v>
      </c>
      <c r="E320" s="16">
        <v>0</v>
      </c>
      <c r="F320" s="18">
        <v>0</v>
      </c>
      <c r="G320" s="19"/>
      <c r="H320" s="16">
        <f t="shared" si="34"/>
        <v>0</v>
      </c>
      <c r="I320" s="18">
        <f t="shared" si="34"/>
        <v>0</v>
      </c>
      <c r="J320" s="16">
        <f>VLOOKUP(A320,v_2023!F:I,3,FALSE)</f>
        <v>1</v>
      </c>
      <c r="K320" s="18">
        <f>VLOOKUP(A320,v_2023!F:I,4,FALSE)</f>
        <v>20.41</v>
      </c>
      <c r="L320" s="16">
        <f t="shared" si="35"/>
        <v>0</v>
      </c>
      <c r="M320" s="14">
        <f t="shared" si="33"/>
        <v>-20.41</v>
      </c>
      <c r="N320" s="20">
        <f t="shared" si="37"/>
        <v>-1</v>
      </c>
    </row>
    <row r="321" spans="1:14" x14ac:dyDescent="0.25">
      <c r="A321" s="16" t="s">
        <v>550</v>
      </c>
      <c r="B321" s="17" t="str">
        <f>VLOOKUP(A321,v_2023!A:B,2,FALSE)</f>
        <v>RI.552</v>
      </c>
      <c r="C321" s="16">
        <v>0</v>
      </c>
      <c r="D321" s="18">
        <v>0</v>
      </c>
      <c r="E321" s="16">
        <v>0</v>
      </c>
      <c r="F321" s="18">
        <v>0</v>
      </c>
      <c r="G321" s="19"/>
      <c r="H321" s="16">
        <f t="shared" si="34"/>
        <v>0</v>
      </c>
      <c r="I321" s="18">
        <f t="shared" si="34"/>
        <v>0</v>
      </c>
      <c r="J321" s="16">
        <f>VLOOKUP(A321,v_2023!F:I,3,FALSE)</f>
        <v>0</v>
      </c>
      <c r="K321" s="18">
        <f>VLOOKUP(A321,v_2023!F:I,4,FALSE)</f>
        <v>0</v>
      </c>
      <c r="L321" s="16">
        <f t="shared" si="35"/>
        <v>-2</v>
      </c>
      <c r="M321" s="14">
        <f t="shared" si="33"/>
        <v>0</v>
      </c>
      <c r="N321" s="20"/>
    </row>
    <row r="322" spans="1:14" x14ac:dyDescent="0.25">
      <c r="A322" s="16" t="s">
        <v>388</v>
      </c>
      <c r="B322" s="17" t="str">
        <f>VLOOKUP(A322,v_2023!A:B,2,FALSE)</f>
        <v>50600</v>
      </c>
      <c r="C322" s="16">
        <v>0</v>
      </c>
      <c r="D322" s="18">
        <v>0</v>
      </c>
      <c r="E322" s="16">
        <v>0</v>
      </c>
      <c r="F322" s="18">
        <v>0</v>
      </c>
      <c r="G322" s="19"/>
      <c r="H322" s="16">
        <f t="shared" si="34"/>
        <v>0</v>
      </c>
      <c r="I322" s="18">
        <f t="shared" si="34"/>
        <v>0</v>
      </c>
      <c r="J322" s="16">
        <v>0</v>
      </c>
      <c r="K322" s="18">
        <v>0</v>
      </c>
      <c r="L322" s="16">
        <f t="shared" si="35"/>
        <v>-1</v>
      </c>
      <c r="M322" s="14">
        <f t="shared" si="33"/>
        <v>0</v>
      </c>
      <c r="N322" s="20"/>
    </row>
    <row r="323" spans="1:14" x14ac:dyDescent="0.25">
      <c r="A323" s="16" t="s">
        <v>584</v>
      </c>
      <c r="B323" s="17" t="str">
        <f>VLOOKUP(A323,v_2023!A:B,2,FALSE)</f>
        <v>BT.300</v>
      </c>
      <c r="C323" s="16">
        <v>0</v>
      </c>
      <c r="D323" s="18">
        <v>0</v>
      </c>
      <c r="E323" s="16">
        <v>0</v>
      </c>
      <c r="F323" s="18">
        <v>0</v>
      </c>
      <c r="G323" s="19"/>
      <c r="H323" s="16">
        <f t="shared" si="34"/>
        <v>0</v>
      </c>
      <c r="I323" s="18">
        <f t="shared" si="34"/>
        <v>0</v>
      </c>
      <c r="J323" s="16">
        <f>VLOOKUP(A323,v_2023!F:I,3,FALSE)</f>
        <v>0</v>
      </c>
      <c r="K323" s="18">
        <f>VLOOKUP(A323,v_2023!F:I,4,FALSE)</f>
        <v>0</v>
      </c>
      <c r="L323" s="16">
        <f t="shared" si="35"/>
        <v>0</v>
      </c>
      <c r="M323" s="14">
        <f t="shared" si="33"/>
        <v>0</v>
      </c>
      <c r="N323" s="20"/>
    </row>
    <row r="324" spans="1:14" x14ac:dyDescent="0.25">
      <c r="A324" s="16" t="s">
        <v>260</v>
      </c>
      <c r="B324" s="17" t="str">
        <f>VLOOKUP(A324,v_2023!A:B,2,FALSE)</f>
        <v>BP.500</v>
      </c>
      <c r="C324" s="16">
        <v>0</v>
      </c>
      <c r="D324" s="18">
        <v>0</v>
      </c>
      <c r="E324" s="16">
        <v>0</v>
      </c>
      <c r="F324" s="18">
        <v>0</v>
      </c>
      <c r="G324" s="19"/>
      <c r="H324" s="16">
        <f t="shared" si="34"/>
        <v>0</v>
      </c>
      <c r="I324" s="18">
        <f t="shared" si="34"/>
        <v>0</v>
      </c>
      <c r="J324" s="16">
        <f>VLOOKUP(A324,v_2023!F:I,3,FALSE)</f>
        <v>5</v>
      </c>
      <c r="K324" s="18">
        <f>VLOOKUP(A324,v_2023!F:I,4,FALSE)</f>
        <v>327.45</v>
      </c>
      <c r="L324" s="16">
        <f t="shared" si="35"/>
        <v>0</v>
      </c>
      <c r="M324" s="14">
        <f t="shared" si="33"/>
        <v>-327.45</v>
      </c>
      <c r="N324" s="20">
        <f t="shared" si="37"/>
        <v>-1</v>
      </c>
    </row>
    <row r="325" spans="1:14" x14ac:dyDescent="0.25">
      <c r="A325" s="16" t="s">
        <v>466</v>
      </c>
      <c r="B325" s="17" t="str">
        <f>VLOOKUP(A325,v_2023!A:B,2,FALSE)</f>
        <v>BT.604</v>
      </c>
      <c r="C325" s="16">
        <v>0</v>
      </c>
      <c r="D325" s="18">
        <v>0</v>
      </c>
      <c r="E325" s="16">
        <v>0</v>
      </c>
      <c r="F325" s="18">
        <v>0</v>
      </c>
      <c r="G325" s="19"/>
      <c r="H325" s="16">
        <f t="shared" si="34"/>
        <v>0</v>
      </c>
      <c r="I325" s="18">
        <f t="shared" si="34"/>
        <v>0</v>
      </c>
      <c r="J325" s="16">
        <v>0</v>
      </c>
      <c r="K325" s="18">
        <v>0</v>
      </c>
      <c r="L325" s="16">
        <f t="shared" si="35"/>
        <v>0</v>
      </c>
      <c r="M325" s="14">
        <f t="shared" si="33"/>
        <v>0</v>
      </c>
      <c r="N325" s="20"/>
    </row>
    <row r="326" spans="1:14" x14ac:dyDescent="0.25">
      <c r="A326" s="16" t="s">
        <v>430</v>
      </c>
      <c r="B326" s="17" t="str">
        <f>VLOOKUP(A326,v_2023!A:B,2,FALSE)</f>
        <v>BT.450</v>
      </c>
      <c r="C326" s="16">
        <v>0</v>
      </c>
      <c r="D326" s="18">
        <v>0</v>
      </c>
      <c r="E326" s="16">
        <v>0</v>
      </c>
      <c r="F326" s="18">
        <v>0</v>
      </c>
      <c r="G326" s="19"/>
      <c r="H326" s="16">
        <f t="shared" si="34"/>
        <v>0</v>
      </c>
      <c r="I326" s="18">
        <f t="shared" si="34"/>
        <v>0</v>
      </c>
      <c r="J326" s="16">
        <f>VLOOKUP(A326,v_2023!F:I,3,FALSE)</f>
        <v>1</v>
      </c>
      <c r="K326" s="18">
        <f>VLOOKUP(A326,v_2023!F:I,4,FALSE)</f>
        <v>44.57</v>
      </c>
      <c r="L326" s="16">
        <f t="shared" si="35"/>
        <v>-5</v>
      </c>
      <c r="M326" s="14">
        <f t="shared" si="33"/>
        <v>-44.57</v>
      </c>
      <c r="N326" s="20">
        <f t="shared" si="37"/>
        <v>-1</v>
      </c>
    </row>
    <row r="327" spans="1:14" x14ac:dyDescent="0.25">
      <c r="A327" s="16" t="s">
        <v>548</v>
      </c>
      <c r="B327" s="17" t="str">
        <f>VLOOKUP(A327,v_2023!A:B,2,FALSE)</f>
        <v>BB.105</v>
      </c>
      <c r="C327" s="16">
        <v>0</v>
      </c>
      <c r="D327" s="18">
        <v>0</v>
      </c>
      <c r="E327" s="16">
        <v>0</v>
      </c>
      <c r="F327" s="18">
        <v>0</v>
      </c>
      <c r="G327" s="19"/>
      <c r="H327" s="16">
        <f t="shared" si="34"/>
        <v>0</v>
      </c>
      <c r="I327" s="18">
        <f t="shared" si="34"/>
        <v>0</v>
      </c>
      <c r="J327" s="16">
        <v>0</v>
      </c>
      <c r="K327" s="18">
        <v>0</v>
      </c>
      <c r="L327" s="16">
        <f t="shared" si="35"/>
        <v>0</v>
      </c>
      <c r="M327" s="14">
        <f t="shared" si="33"/>
        <v>0</v>
      </c>
      <c r="N327" s="20"/>
    </row>
    <row r="328" spans="1:14" x14ac:dyDescent="0.25">
      <c r="A328" s="16" t="s">
        <v>322</v>
      </c>
      <c r="B328" s="17" t="str">
        <f>VLOOKUP(A328,v_2023!A:B,2,FALSE)</f>
        <v>40.453</v>
      </c>
      <c r="C328" s="16">
        <v>0</v>
      </c>
      <c r="D328" s="18">
        <v>0</v>
      </c>
      <c r="E328" s="16">
        <v>0</v>
      </c>
      <c r="F328" s="18">
        <v>0</v>
      </c>
      <c r="G328" s="19"/>
      <c r="H328" s="16">
        <f t="shared" si="34"/>
        <v>0</v>
      </c>
      <c r="I328" s="18">
        <f t="shared" si="34"/>
        <v>0</v>
      </c>
      <c r="J328" s="16">
        <f>VLOOKUP(A328,v_2023!F:I,3,FALSE)</f>
        <v>8</v>
      </c>
      <c r="K328" s="18">
        <f>VLOOKUP(A328,v_2023!F:I,4,FALSE)</f>
        <v>156.72</v>
      </c>
      <c r="L328" s="16">
        <f t="shared" si="35"/>
        <v>-1</v>
      </c>
      <c r="M328" s="14">
        <f t="shared" si="33"/>
        <v>-156.72</v>
      </c>
      <c r="N328" s="20">
        <f t="shared" si="37"/>
        <v>-1</v>
      </c>
    </row>
    <row r="329" spans="1:14" x14ac:dyDescent="0.25">
      <c r="A329" s="16" t="s">
        <v>516</v>
      </c>
      <c r="B329" s="17" t="str">
        <f>VLOOKUP(A329,v_2023!A:B,2,FALSE)</f>
        <v>MD.127</v>
      </c>
      <c r="C329" s="16">
        <v>0</v>
      </c>
      <c r="D329" s="18">
        <v>0</v>
      </c>
      <c r="E329" s="16">
        <v>0</v>
      </c>
      <c r="F329" s="18">
        <v>0</v>
      </c>
      <c r="G329" s="19"/>
      <c r="H329" s="16">
        <f t="shared" si="34"/>
        <v>0</v>
      </c>
      <c r="I329" s="18">
        <f t="shared" si="34"/>
        <v>0</v>
      </c>
      <c r="J329" s="16">
        <v>0</v>
      </c>
      <c r="K329" s="18">
        <v>0</v>
      </c>
      <c r="L329" s="16">
        <f t="shared" si="35"/>
        <v>0</v>
      </c>
      <c r="M329" s="14">
        <f t="shared" si="33"/>
        <v>0</v>
      </c>
      <c r="N329" s="20"/>
    </row>
    <row r="330" spans="1:14" x14ac:dyDescent="0.25">
      <c r="A330" s="16" t="s">
        <v>484</v>
      </c>
      <c r="B330" s="17" t="str">
        <f>VLOOKUP(A330,v_2023!A:B,2,FALSE)</f>
        <v>BB.002</v>
      </c>
      <c r="C330" s="16">
        <v>0</v>
      </c>
      <c r="D330" s="18">
        <v>0</v>
      </c>
      <c r="E330" s="16">
        <v>0</v>
      </c>
      <c r="F330" s="18">
        <v>0</v>
      </c>
      <c r="G330" s="19"/>
      <c r="H330" s="16">
        <f t="shared" si="34"/>
        <v>0</v>
      </c>
      <c r="I330" s="18">
        <f t="shared" si="34"/>
        <v>0</v>
      </c>
      <c r="J330" s="16">
        <f>VLOOKUP(A330,v_2023!F:I,3,FALSE)</f>
        <v>1</v>
      </c>
      <c r="K330" s="18">
        <f>VLOOKUP(A330,v_2023!F:I,4,FALSE)</f>
        <v>24.51</v>
      </c>
      <c r="L330" s="16">
        <f t="shared" si="35"/>
        <v>-8</v>
      </c>
      <c r="M330" s="14">
        <f t="shared" si="33"/>
        <v>-24.51</v>
      </c>
      <c r="N330" s="20">
        <f t="shared" si="37"/>
        <v>-1</v>
      </c>
    </row>
    <row r="331" spans="1:14" x14ac:dyDescent="0.25">
      <c r="A331" s="16" t="s">
        <v>582</v>
      </c>
      <c r="B331" s="17" t="str">
        <f>VLOOKUP(A331,v_2023!A:B,2,FALSE)</f>
        <v>BP.630</v>
      </c>
      <c r="C331" s="16">
        <v>0</v>
      </c>
      <c r="D331" s="18">
        <v>0</v>
      </c>
      <c r="E331" s="16">
        <v>0</v>
      </c>
      <c r="F331" s="18">
        <v>0</v>
      </c>
      <c r="G331" s="19"/>
      <c r="H331" s="16">
        <f t="shared" si="34"/>
        <v>0</v>
      </c>
      <c r="I331" s="18">
        <f t="shared" si="34"/>
        <v>0</v>
      </c>
      <c r="J331" s="16">
        <f>VLOOKUP(A331,v_2023!F:I,3,FALSE)</f>
        <v>0</v>
      </c>
      <c r="K331" s="18">
        <f>VLOOKUP(A331,v_2023!F:I,4,FALSE)</f>
        <v>0</v>
      </c>
      <c r="L331" s="16">
        <f t="shared" si="35"/>
        <v>0</v>
      </c>
      <c r="M331" s="14">
        <f t="shared" si="33"/>
        <v>0</v>
      </c>
      <c r="N331" s="20"/>
    </row>
    <row r="332" spans="1:14" x14ac:dyDescent="0.25">
      <c r="A332" s="16" t="s">
        <v>560</v>
      </c>
      <c r="B332" s="17" t="str">
        <f>VLOOKUP(A332,v_2023!A:B,2,FALSE)</f>
        <v>CA.013</v>
      </c>
      <c r="C332" s="16">
        <v>0</v>
      </c>
      <c r="D332" s="18">
        <v>0</v>
      </c>
      <c r="E332" s="16">
        <v>0</v>
      </c>
      <c r="F332" s="18">
        <v>0</v>
      </c>
      <c r="G332" s="19"/>
      <c r="H332" s="16">
        <f t="shared" si="34"/>
        <v>0</v>
      </c>
      <c r="I332" s="18">
        <f t="shared" si="34"/>
        <v>0</v>
      </c>
      <c r="J332" s="16">
        <f>VLOOKUP(A332,v_2023!F:I,3,FALSE)</f>
        <v>0</v>
      </c>
      <c r="K332" s="18">
        <f>VLOOKUP(A332,v_2023!F:I,4,FALSE)</f>
        <v>0</v>
      </c>
      <c r="L332" s="16">
        <f t="shared" si="35"/>
        <v>-1</v>
      </c>
      <c r="M332" s="14">
        <f t="shared" si="33"/>
        <v>0</v>
      </c>
      <c r="N332" s="20"/>
    </row>
    <row r="333" spans="1:14" x14ac:dyDescent="0.25">
      <c r="A333" s="16" t="s">
        <v>368</v>
      </c>
      <c r="B333" s="17" t="str">
        <f>VLOOKUP(A333,v_2023!A:B,2,FALSE)</f>
        <v>BC.300</v>
      </c>
      <c r="C333" s="16">
        <v>0</v>
      </c>
      <c r="D333" s="18">
        <v>0</v>
      </c>
      <c r="E333" s="16">
        <v>0</v>
      </c>
      <c r="F333" s="18">
        <v>0</v>
      </c>
      <c r="G333" s="19"/>
      <c r="H333" s="16">
        <f t="shared" si="34"/>
        <v>0</v>
      </c>
      <c r="I333" s="18">
        <f t="shared" si="34"/>
        <v>0</v>
      </c>
      <c r="J333" s="16">
        <f>VLOOKUP(A333,v_2023!F:I,3,FALSE)</f>
        <v>2</v>
      </c>
      <c r="K333" s="18">
        <f>VLOOKUP(A333,v_2023!F:I,4,FALSE)</f>
        <v>98.2</v>
      </c>
      <c r="L333" s="16">
        <f t="shared" si="35"/>
        <v>0</v>
      </c>
      <c r="M333" s="14">
        <f t="shared" si="33"/>
        <v>-98.2</v>
      </c>
      <c r="N333" s="20">
        <f t="shared" si="37"/>
        <v>-1</v>
      </c>
    </row>
    <row r="334" spans="1:14" x14ac:dyDescent="0.25">
      <c r="A334" s="16" t="s">
        <v>450</v>
      </c>
      <c r="B334" s="17" t="str">
        <f>VLOOKUP(A334,v_2023!A:B,2,FALSE)</f>
        <v>40.918</v>
      </c>
      <c r="C334" s="16">
        <v>0</v>
      </c>
      <c r="D334" s="18">
        <v>0</v>
      </c>
      <c r="E334" s="16">
        <v>0</v>
      </c>
      <c r="F334" s="18">
        <v>0</v>
      </c>
      <c r="G334" s="19"/>
      <c r="H334" s="16">
        <f t="shared" si="34"/>
        <v>0</v>
      </c>
      <c r="I334" s="18">
        <f t="shared" si="34"/>
        <v>0</v>
      </c>
      <c r="J334" s="16">
        <f>VLOOKUP(A334,v_2023!F:I,3,FALSE)</f>
        <v>3</v>
      </c>
      <c r="K334" s="18">
        <f>VLOOKUP(A334,v_2023!F:I,4,FALSE)</f>
        <v>34.130000000000003</v>
      </c>
      <c r="L334" s="16">
        <f t="shared" si="35"/>
        <v>0</v>
      </c>
      <c r="M334" s="14">
        <f t="shared" si="33"/>
        <v>-34.130000000000003</v>
      </c>
      <c r="N334" s="20">
        <f t="shared" si="37"/>
        <v>-1</v>
      </c>
    </row>
    <row r="335" spans="1:14" x14ac:dyDescent="0.25">
      <c r="A335" s="16" t="s">
        <v>526</v>
      </c>
      <c r="B335" s="17" t="str">
        <f>VLOOKUP(A335,v_2023!A:B,2,FALSE)</f>
        <v>40.919</v>
      </c>
      <c r="C335" s="16">
        <v>0</v>
      </c>
      <c r="D335" s="18">
        <v>0</v>
      </c>
      <c r="E335" s="16">
        <v>0</v>
      </c>
      <c r="F335" s="18">
        <v>0</v>
      </c>
      <c r="G335" s="19"/>
      <c r="H335" s="16">
        <f t="shared" si="34"/>
        <v>0</v>
      </c>
      <c r="I335" s="18">
        <f t="shared" si="34"/>
        <v>0</v>
      </c>
      <c r="J335" s="16">
        <v>0</v>
      </c>
      <c r="K335" s="18">
        <v>0</v>
      </c>
      <c r="L335" s="16">
        <f t="shared" si="35"/>
        <v>-2</v>
      </c>
      <c r="M335" s="14">
        <f t="shared" si="33"/>
        <v>0</v>
      </c>
      <c r="N335" s="20"/>
    </row>
    <row r="336" spans="1:14" x14ac:dyDescent="0.25">
      <c r="A336" s="16" t="s">
        <v>524</v>
      </c>
      <c r="B336" s="17" t="str">
        <f>VLOOKUP(A336,v_2023!A:B,2,FALSE)</f>
        <v>BC.200</v>
      </c>
      <c r="C336" s="16">
        <v>0</v>
      </c>
      <c r="D336" s="18">
        <v>0</v>
      </c>
      <c r="E336" s="16">
        <v>0</v>
      </c>
      <c r="F336" s="18">
        <v>0</v>
      </c>
      <c r="G336" s="19"/>
      <c r="H336" s="16">
        <f t="shared" si="34"/>
        <v>0</v>
      </c>
      <c r="I336" s="18">
        <f t="shared" si="34"/>
        <v>0</v>
      </c>
      <c r="J336" s="16">
        <v>0</v>
      </c>
      <c r="K336" s="18">
        <v>0</v>
      </c>
      <c r="L336" s="16">
        <f t="shared" si="35"/>
        <v>-3</v>
      </c>
      <c r="M336" s="14">
        <f t="shared" si="33"/>
        <v>0</v>
      </c>
      <c r="N336" s="20"/>
    </row>
    <row r="337" spans="1:14" x14ac:dyDescent="0.25">
      <c r="A337" s="16" t="s">
        <v>352</v>
      </c>
      <c r="B337" s="17" t="str">
        <f>VLOOKUP(A337,v_2023!A:B,2,FALSE)</f>
        <v>1</v>
      </c>
      <c r="C337" s="16">
        <v>0</v>
      </c>
      <c r="D337" s="18">
        <v>0</v>
      </c>
      <c r="E337" s="16">
        <v>0</v>
      </c>
      <c r="F337" s="18">
        <v>0</v>
      </c>
      <c r="G337" s="19"/>
      <c r="H337" s="16">
        <f t="shared" si="34"/>
        <v>0</v>
      </c>
      <c r="I337" s="18">
        <f t="shared" si="34"/>
        <v>0</v>
      </c>
      <c r="J337" s="16">
        <v>0</v>
      </c>
      <c r="K337" s="18">
        <v>0</v>
      </c>
      <c r="L337" s="16">
        <f t="shared" si="35"/>
        <v>0</v>
      </c>
      <c r="M337" s="14">
        <f t="shared" si="33"/>
        <v>0</v>
      </c>
      <c r="N337" s="20"/>
    </row>
    <row r="338" spans="1:14" x14ac:dyDescent="0.25">
      <c r="A338" s="16" t="s">
        <v>428</v>
      </c>
      <c r="B338" s="17" t="str">
        <f>VLOOKUP(A338,v_2023!A:B,2,FALSE)</f>
        <v>RI.064</v>
      </c>
      <c r="C338" s="16">
        <v>0</v>
      </c>
      <c r="D338" s="18">
        <v>0</v>
      </c>
      <c r="E338" s="16">
        <v>0</v>
      </c>
      <c r="F338" s="18">
        <v>0</v>
      </c>
      <c r="G338" s="19"/>
      <c r="H338" s="16">
        <f t="shared" si="34"/>
        <v>0</v>
      </c>
      <c r="I338" s="18">
        <f t="shared" si="34"/>
        <v>0</v>
      </c>
      <c r="J338" s="16">
        <f>VLOOKUP(A338,v_2023!F:I,3,FALSE)</f>
        <v>1</v>
      </c>
      <c r="K338" s="18">
        <f>VLOOKUP(A338,v_2023!F:I,4,FALSE)</f>
        <v>47.98</v>
      </c>
      <c r="L338" s="16">
        <f t="shared" si="35"/>
        <v>0</v>
      </c>
      <c r="M338" s="14">
        <f t="shared" si="33"/>
        <v>-47.98</v>
      </c>
      <c r="N338" s="20">
        <f t="shared" si="37"/>
        <v>-1</v>
      </c>
    </row>
    <row r="339" spans="1:14" x14ac:dyDescent="0.25">
      <c r="A339" s="16" t="s">
        <v>556</v>
      </c>
      <c r="B339" s="17" t="str">
        <f>VLOOKUP(A339,v_2023!A:B,2,FALSE)</f>
        <v>BI.507</v>
      </c>
      <c r="C339" s="16">
        <v>0</v>
      </c>
      <c r="D339" s="18">
        <v>0</v>
      </c>
      <c r="E339" s="16">
        <v>0</v>
      </c>
      <c r="F339" s="18">
        <v>0</v>
      </c>
      <c r="G339" s="19"/>
      <c r="H339" s="16">
        <f t="shared" si="34"/>
        <v>0</v>
      </c>
      <c r="I339" s="18">
        <f t="shared" si="34"/>
        <v>0</v>
      </c>
      <c r="J339" s="16">
        <v>0</v>
      </c>
      <c r="K339" s="18">
        <v>0</v>
      </c>
      <c r="L339" s="16">
        <f t="shared" si="35"/>
        <v>0</v>
      </c>
      <c r="M339" s="14">
        <f t="shared" si="33"/>
        <v>0</v>
      </c>
      <c r="N339" s="20"/>
    </row>
    <row r="340" spans="1:14" x14ac:dyDescent="0.25">
      <c r="A340" s="16" t="s">
        <v>220</v>
      </c>
      <c r="B340" s="17" t="str">
        <f>VLOOKUP(A340,v_2023!A:B,2,FALSE)</f>
        <v>BT.800</v>
      </c>
      <c r="C340" s="16">
        <v>0</v>
      </c>
      <c r="D340" s="18">
        <v>0</v>
      </c>
      <c r="E340" s="16">
        <v>0</v>
      </c>
      <c r="F340" s="18">
        <v>0</v>
      </c>
      <c r="G340" s="19"/>
      <c r="H340" s="16">
        <f t="shared" si="34"/>
        <v>0</v>
      </c>
      <c r="I340" s="18">
        <f t="shared" si="34"/>
        <v>0</v>
      </c>
      <c r="J340" s="16">
        <f>VLOOKUP(A340,v_2023!F:I,3,FALSE)</f>
        <v>3</v>
      </c>
      <c r="K340" s="18">
        <f>VLOOKUP(A340,v_2023!F:I,4,FALSE)</f>
        <v>61.23</v>
      </c>
      <c r="L340" s="16">
        <f t="shared" si="35"/>
        <v>-1</v>
      </c>
      <c r="M340" s="14">
        <f t="shared" si="33"/>
        <v>-61.23</v>
      </c>
      <c r="N340" s="20">
        <f t="shared" si="37"/>
        <v>-1</v>
      </c>
    </row>
    <row r="341" spans="1:14" x14ac:dyDescent="0.25">
      <c r="A341" s="16" t="s">
        <v>592</v>
      </c>
      <c r="B341" s="17" t="str">
        <f>VLOOKUP(A341,v_2023!A:B,2,FALSE)</f>
        <v>RI.424</v>
      </c>
      <c r="C341" s="16">
        <v>0</v>
      </c>
      <c r="D341" s="18">
        <v>0</v>
      </c>
      <c r="E341" s="16">
        <v>0</v>
      </c>
      <c r="F341" s="18">
        <v>0</v>
      </c>
      <c r="G341" s="19"/>
      <c r="H341" s="16">
        <f t="shared" si="34"/>
        <v>0</v>
      </c>
      <c r="I341" s="18">
        <f t="shared" si="34"/>
        <v>0</v>
      </c>
      <c r="J341" s="16">
        <f>VLOOKUP(A341,v_2023!F:I,3,FALSE)</f>
        <v>-1</v>
      </c>
      <c r="K341" s="18">
        <f>VLOOKUP(A341,v_2023!F:I,4,FALSE)</f>
        <v>-16.309999999999999</v>
      </c>
      <c r="L341" s="16">
        <f t="shared" si="35"/>
        <v>0</v>
      </c>
      <c r="M341" s="14">
        <f t="shared" si="33"/>
        <v>16.309999999999999</v>
      </c>
      <c r="N341" s="20">
        <f t="shared" si="37"/>
        <v>-1</v>
      </c>
    </row>
    <row r="342" spans="1:14" x14ac:dyDescent="0.25">
      <c r="A342" s="16" t="s">
        <v>198</v>
      </c>
      <c r="B342" s="17" t="str">
        <f>VLOOKUP(A342,v_2023!A:B,2,FALSE)</f>
        <v>BC.125</v>
      </c>
      <c r="C342" s="16">
        <v>0</v>
      </c>
      <c r="D342" s="18">
        <v>0</v>
      </c>
      <c r="E342" s="16">
        <v>0</v>
      </c>
      <c r="F342" s="18">
        <v>0</v>
      </c>
      <c r="G342" s="19"/>
      <c r="H342" s="16">
        <f t="shared" si="34"/>
        <v>0</v>
      </c>
      <c r="I342" s="18">
        <f t="shared" si="34"/>
        <v>0</v>
      </c>
      <c r="J342" s="16">
        <f>VLOOKUP(A342,v_2023!F:I,3,FALSE)</f>
        <v>53</v>
      </c>
      <c r="K342" s="18">
        <f>VLOOKUP(A342,v_2023!F:I,4,FALSE)</f>
        <v>862.16</v>
      </c>
      <c r="L342" s="16">
        <f t="shared" si="35"/>
        <v>-3</v>
      </c>
      <c r="M342" s="14">
        <f t="shared" si="33"/>
        <v>-862.16</v>
      </c>
      <c r="N342" s="20">
        <f t="shared" si="37"/>
        <v>-1</v>
      </c>
    </row>
    <row r="343" spans="1:14" x14ac:dyDescent="0.25">
      <c r="A343" s="16" t="s">
        <v>295</v>
      </c>
      <c r="B343" s="17" t="str">
        <f>VLOOKUP(A343,v_2023!A:B,2,FALSE)</f>
        <v>BC.210</v>
      </c>
      <c r="C343" s="16">
        <v>0</v>
      </c>
      <c r="D343" s="18">
        <v>0</v>
      </c>
      <c r="E343" s="16">
        <v>0</v>
      </c>
      <c r="F343" s="18">
        <v>0</v>
      </c>
      <c r="G343" s="19"/>
      <c r="H343" s="16">
        <f t="shared" si="34"/>
        <v>0</v>
      </c>
      <c r="I343" s="18">
        <f t="shared" si="34"/>
        <v>0</v>
      </c>
      <c r="J343" s="16">
        <v>0</v>
      </c>
      <c r="K343" s="18">
        <v>0</v>
      </c>
      <c r="L343" s="16">
        <f t="shared" si="35"/>
        <v>1</v>
      </c>
      <c r="M343" s="14">
        <f t="shared" si="33"/>
        <v>0</v>
      </c>
      <c r="N343" s="20"/>
    </row>
    <row r="344" spans="1:14" x14ac:dyDescent="0.25">
      <c r="A344" s="16" t="s">
        <v>440</v>
      </c>
      <c r="B344" s="17" t="str">
        <f>VLOOKUP(A344,v_2023!A:B,2,FALSE)</f>
        <v>P206ZAN020</v>
      </c>
      <c r="C344" s="16">
        <v>0</v>
      </c>
      <c r="D344" s="18">
        <v>0</v>
      </c>
      <c r="E344" s="16">
        <v>0</v>
      </c>
      <c r="F344" s="18">
        <v>0</v>
      </c>
      <c r="G344" s="19"/>
      <c r="H344" s="16">
        <f t="shared" si="34"/>
        <v>0</v>
      </c>
      <c r="I344" s="18">
        <f t="shared" si="34"/>
        <v>0</v>
      </c>
      <c r="J344" s="16">
        <v>0</v>
      </c>
      <c r="K344" s="18">
        <v>0</v>
      </c>
      <c r="L344" s="16">
        <f t="shared" si="35"/>
        <v>-53</v>
      </c>
      <c r="M344" s="14">
        <f t="shared" si="33"/>
        <v>0</v>
      </c>
      <c r="N344" s="20"/>
    </row>
    <row r="345" spans="1:14" x14ac:dyDescent="0.25">
      <c r="A345" s="16" t="s">
        <v>482</v>
      </c>
      <c r="B345" s="17" t="str">
        <f>VLOOKUP(A345,v_2023!A:B,2,FALSE)</f>
        <v>P206VEN230</v>
      </c>
      <c r="C345" s="16">
        <v>0</v>
      </c>
      <c r="D345" s="18">
        <v>0</v>
      </c>
      <c r="E345" s="16">
        <v>0</v>
      </c>
      <c r="F345" s="18">
        <v>0</v>
      </c>
      <c r="G345" s="19"/>
      <c r="H345" s="16">
        <f t="shared" si="34"/>
        <v>0</v>
      </c>
      <c r="I345" s="18">
        <f t="shared" si="34"/>
        <v>0</v>
      </c>
      <c r="J345" s="16">
        <v>0</v>
      </c>
      <c r="K345" s="18">
        <v>0</v>
      </c>
      <c r="L345" s="16">
        <f t="shared" si="35"/>
        <v>0</v>
      </c>
      <c r="M345" s="14">
        <f t="shared" si="33"/>
        <v>0</v>
      </c>
      <c r="N345" s="20"/>
    </row>
    <row r="346" spans="1:14" x14ac:dyDescent="0.25">
      <c r="A346" s="16" t="s">
        <v>228</v>
      </c>
      <c r="B346" s="17" t="str">
        <f>VLOOKUP(A346,v_2023!A:B,2,FALSE)</f>
        <v>P101TOS001</v>
      </c>
      <c r="C346" s="16">
        <v>0</v>
      </c>
      <c r="D346" s="18">
        <v>0</v>
      </c>
      <c r="E346" s="16">
        <v>0</v>
      </c>
      <c r="F346" s="18">
        <v>0</v>
      </c>
      <c r="G346" s="19"/>
      <c r="H346" s="16">
        <f t="shared" si="34"/>
        <v>0</v>
      </c>
      <c r="I346" s="18">
        <f t="shared" si="34"/>
        <v>0</v>
      </c>
      <c r="J346" s="16">
        <f>VLOOKUP(A346,v_2023!F:I,3,FALSE)</f>
        <v>23</v>
      </c>
      <c r="K346" s="18">
        <f>VLOOKUP(A346,v_2023!F:I,4,FALSE)</f>
        <v>477.88</v>
      </c>
      <c r="L346" s="16">
        <f t="shared" si="35"/>
        <v>0</v>
      </c>
      <c r="M346" s="14">
        <f t="shared" ref="M346:M359" si="38">I346-K346</f>
        <v>-477.88</v>
      </c>
      <c r="N346" s="20">
        <f t="shared" si="37"/>
        <v>-1</v>
      </c>
    </row>
    <row r="347" spans="1:14" x14ac:dyDescent="0.25">
      <c r="A347" s="16" t="s">
        <v>498</v>
      </c>
      <c r="B347" s="17" t="str">
        <f>VLOOKUP(A347,v_2023!A:B,2,FALSE)</f>
        <v>XUADA010</v>
      </c>
      <c r="C347" s="16">
        <v>0</v>
      </c>
      <c r="D347" s="18">
        <v>0</v>
      </c>
      <c r="E347" s="16">
        <v>0</v>
      </c>
      <c r="F347" s="18">
        <v>0</v>
      </c>
      <c r="G347" s="19"/>
      <c r="H347" s="16">
        <f t="shared" si="34"/>
        <v>0</v>
      </c>
      <c r="I347" s="18">
        <f t="shared" si="34"/>
        <v>0</v>
      </c>
      <c r="J347" s="16">
        <v>0</v>
      </c>
      <c r="K347" s="18">
        <v>0</v>
      </c>
      <c r="L347" s="16">
        <f t="shared" si="35"/>
        <v>0</v>
      </c>
      <c r="M347" s="14">
        <f t="shared" si="38"/>
        <v>0</v>
      </c>
      <c r="N347" s="20"/>
    </row>
    <row r="348" spans="1:14" x14ac:dyDescent="0.25">
      <c r="A348" s="16" t="s">
        <v>544</v>
      </c>
      <c r="B348" s="17" t="str">
        <f>VLOOKUP(A348,v_2023!A:B,2,FALSE)</f>
        <v>P204FER001</v>
      </c>
      <c r="C348" s="16">
        <v>0</v>
      </c>
      <c r="D348" s="18">
        <v>0</v>
      </c>
      <c r="E348" s="16">
        <v>0</v>
      </c>
      <c r="F348" s="18">
        <v>0</v>
      </c>
      <c r="G348" s="19"/>
      <c r="H348" s="16">
        <f t="shared" ref="H348:I359" si="39">E348+C348</f>
        <v>0</v>
      </c>
      <c r="I348" s="18">
        <f t="shared" si="39"/>
        <v>0</v>
      </c>
      <c r="J348" s="16">
        <v>0</v>
      </c>
      <c r="K348" s="18">
        <v>0</v>
      </c>
      <c r="L348" s="16">
        <f t="shared" si="35"/>
        <v>-23</v>
      </c>
      <c r="M348" s="14">
        <f t="shared" si="38"/>
        <v>0</v>
      </c>
      <c r="N348" s="20"/>
    </row>
    <row r="349" spans="1:14" x14ac:dyDescent="0.25">
      <c r="A349" s="16" t="s">
        <v>269</v>
      </c>
      <c r="B349" s="17" t="str">
        <f>VLOOKUP(A349,v_2023!A:B,2,FALSE)</f>
        <v>RCORI552</v>
      </c>
      <c r="C349" s="16">
        <v>0</v>
      </c>
      <c r="D349" s="18">
        <v>0</v>
      </c>
      <c r="E349" s="16">
        <v>0</v>
      </c>
      <c r="F349" s="18">
        <v>0</v>
      </c>
      <c r="G349" s="19"/>
      <c r="H349" s="16">
        <f t="shared" si="39"/>
        <v>0</v>
      </c>
      <c r="I349" s="18">
        <f t="shared" si="39"/>
        <v>0</v>
      </c>
      <c r="J349" s="16">
        <v>0</v>
      </c>
      <c r="K349" s="18">
        <v>0</v>
      </c>
      <c r="L349" s="16">
        <f t="shared" ref="L349:L359" si="40">H347-J347</f>
        <v>0</v>
      </c>
      <c r="M349" s="14">
        <f t="shared" si="38"/>
        <v>0</v>
      </c>
      <c r="N349" s="20"/>
    </row>
    <row r="350" spans="1:14" x14ac:dyDescent="0.25">
      <c r="A350" s="16" t="s">
        <v>172</v>
      </c>
      <c r="B350" s="17" t="str">
        <f>VLOOKUP(A350,v_2023!A:B,2,FALSE)</f>
        <v>C206UTI001</v>
      </c>
      <c r="C350" s="16">
        <v>0</v>
      </c>
      <c r="D350" s="18">
        <v>0</v>
      </c>
      <c r="E350" s="16">
        <f>VLOOKUP(A350,s_2024!E:G,2,FALSE)</f>
        <v>21</v>
      </c>
      <c r="F350" s="18">
        <f>VLOOKUP(A350,s_2024!E:G,3,FALSE)</f>
        <v>842.89999999999975</v>
      </c>
      <c r="G350" s="19">
        <f t="shared" ref="G350" si="41">F350/I350</f>
        <v>1</v>
      </c>
      <c r="H350" s="16">
        <f t="shared" si="39"/>
        <v>21</v>
      </c>
      <c r="I350" s="18">
        <f t="shared" si="39"/>
        <v>842.89999999999975</v>
      </c>
      <c r="J350" s="16">
        <v>0</v>
      </c>
      <c r="K350" s="18">
        <v>0</v>
      </c>
      <c r="L350" s="16">
        <f t="shared" si="40"/>
        <v>0</v>
      </c>
      <c r="M350" s="14">
        <f t="shared" si="38"/>
        <v>842.89999999999975</v>
      </c>
      <c r="N350" s="20"/>
    </row>
    <row r="351" spans="1:14" x14ac:dyDescent="0.25">
      <c r="A351" s="16" t="s">
        <v>530</v>
      </c>
      <c r="B351" s="17" t="str">
        <f>VLOOKUP(A351,v_2023!A:B,2,FALSE)</f>
        <v>P204CAL201</v>
      </c>
      <c r="C351" s="16">
        <v>0</v>
      </c>
      <c r="D351" s="18">
        <v>0</v>
      </c>
      <c r="E351" s="16">
        <v>0</v>
      </c>
      <c r="F351" s="18">
        <v>0</v>
      </c>
      <c r="G351" s="19"/>
      <c r="H351" s="16">
        <f t="shared" si="39"/>
        <v>0</v>
      </c>
      <c r="I351" s="18">
        <f t="shared" si="39"/>
        <v>0</v>
      </c>
      <c r="J351" s="16">
        <f>VLOOKUP(A351,v_2023!F:I,3,FALSE)</f>
        <v>0</v>
      </c>
      <c r="K351" s="18">
        <f>VLOOKUP(A351,v_2023!F:I,4,FALSE)</f>
        <v>0</v>
      </c>
      <c r="L351" s="16">
        <f t="shared" si="40"/>
        <v>0</v>
      </c>
      <c r="M351" s="14">
        <f t="shared" si="38"/>
        <v>0</v>
      </c>
      <c r="N351" s="20"/>
    </row>
    <row r="352" spans="1:14" x14ac:dyDescent="0.25">
      <c r="A352" s="16" t="s">
        <v>566</v>
      </c>
      <c r="B352" s="17" t="str">
        <f>VLOOKUP(A352,v_2023!A:B,2,FALSE)</f>
        <v>P101TOS500</v>
      </c>
      <c r="C352" s="16">
        <v>0</v>
      </c>
      <c r="D352" s="18">
        <v>0</v>
      </c>
      <c r="E352" s="16">
        <v>0</v>
      </c>
      <c r="F352" s="18">
        <v>0</v>
      </c>
      <c r="G352" s="19"/>
      <c r="H352" s="16">
        <f t="shared" si="39"/>
        <v>0</v>
      </c>
      <c r="I352" s="18">
        <f t="shared" si="39"/>
        <v>0</v>
      </c>
      <c r="J352" s="16">
        <f>VLOOKUP(A352,v_2023!F:I,3,FALSE)</f>
        <v>0</v>
      </c>
      <c r="K352" s="18">
        <f>VLOOKUP(A352,v_2023!F:I,4,FALSE)</f>
        <v>0</v>
      </c>
      <c r="L352" s="16">
        <f t="shared" si="40"/>
        <v>21</v>
      </c>
      <c r="M352" s="14">
        <f t="shared" si="38"/>
        <v>0</v>
      </c>
      <c r="N352" s="20"/>
    </row>
    <row r="353" spans="1:14" x14ac:dyDescent="0.25">
      <c r="A353" s="16" t="s">
        <v>518</v>
      </c>
      <c r="B353" s="17" t="str">
        <f>VLOOKUP(A353,v_2023!A:B,2,FALSE)</f>
        <v>P201UTP010</v>
      </c>
      <c r="C353" s="16">
        <v>0</v>
      </c>
      <c r="D353" s="18">
        <v>0</v>
      </c>
      <c r="E353" s="16">
        <v>0</v>
      </c>
      <c r="F353" s="18">
        <v>0</v>
      </c>
      <c r="G353" s="19"/>
      <c r="H353" s="16">
        <f t="shared" si="39"/>
        <v>0</v>
      </c>
      <c r="I353" s="18">
        <f t="shared" si="39"/>
        <v>0</v>
      </c>
      <c r="J353" s="16">
        <v>0</v>
      </c>
      <c r="K353" s="18">
        <v>0</v>
      </c>
      <c r="L353" s="16">
        <f t="shared" si="40"/>
        <v>0</v>
      </c>
      <c r="M353" s="14">
        <f t="shared" si="38"/>
        <v>0</v>
      </c>
      <c r="N353" s="20"/>
    </row>
    <row r="354" spans="1:14" x14ac:dyDescent="0.25">
      <c r="A354" s="16" t="s">
        <v>162</v>
      </c>
      <c r="B354" s="17" t="str">
        <f>VLOOKUP(A354,v_2023!A:B,2,FALSE)</f>
        <v>P302MAS050</v>
      </c>
      <c r="C354" s="16">
        <v>0</v>
      </c>
      <c r="D354" s="18">
        <v>0</v>
      </c>
      <c r="E354" s="16">
        <v>0</v>
      </c>
      <c r="F354" s="18">
        <v>0</v>
      </c>
      <c r="G354" s="19"/>
      <c r="H354" s="16">
        <f t="shared" si="39"/>
        <v>0</v>
      </c>
      <c r="I354" s="18">
        <f t="shared" si="39"/>
        <v>0</v>
      </c>
      <c r="J354" s="16">
        <f>VLOOKUP(A354,v_2023!F:I,3,FALSE)</f>
        <v>11</v>
      </c>
      <c r="K354" s="18">
        <f>VLOOKUP(A354,v_2023!F:I,4,FALSE)</f>
        <v>1190.25</v>
      </c>
      <c r="L354" s="16">
        <f t="shared" si="40"/>
        <v>0</v>
      </c>
      <c r="M354" s="14">
        <f t="shared" si="38"/>
        <v>-1190.25</v>
      </c>
      <c r="N354" s="20">
        <f t="shared" ref="N354:N359" si="42">M354/K354</f>
        <v>-1</v>
      </c>
    </row>
    <row r="355" spans="1:14" x14ac:dyDescent="0.25">
      <c r="A355" s="16" t="s">
        <v>552</v>
      </c>
      <c r="B355" s="17" t="str">
        <f>VLOOKUP(A355,v_2023!A:B,2,FALSE)</f>
        <v>P203TER200</v>
      </c>
      <c r="C355" s="16">
        <v>0</v>
      </c>
      <c r="D355" s="18">
        <v>0</v>
      </c>
      <c r="E355" s="16">
        <v>0</v>
      </c>
      <c r="F355" s="18">
        <v>0</v>
      </c>
      <c r="G355" s="19"/>
      <c r="H355" s="16">
        <f t="shared" si="39"/>
        <v>0</v>
      </c>
      <c r="I355" s="18">
        <f t="shared" si="39"/>
        <v>0</v>
      </c>
      <c r="J355" s="16">
        <v>0</v>
      </c>
      <c r="K355" s="18">
        <v>0</v>
      </c>
      <c r="L355" s="16">
        <f t="shared" si="40"/>
        <v>0</v>
      </c>
      <c r="M355" s="14">
        <f t="shared" si="38"/>
        <v>0</v>
      </c>
      <c r="N355" s="20"/>
    </row>
    <row r="356" spans="1:14" x14ac:dyDescent="0.25">
      <c r="A356" s="16" t="s">
        <v>170</v>
      </c>
      <c r="B356" s="17" t="str">
        <f>VLOOKUP(A356,v_2023!A:B,2,FALSE)</f>
        <v>P101FRI012</v>
      </c>
      <c r="C356" s="16">
        <v>0</v>
      </c>
      <c r="D356" s="18">
        <v>0</v>
      </c>
      <c r="E356" s="16">
        <v>0</v>
      </c>
      <c r="F356" s="18">
        <v>0</v>
      </c>
      <c r="G356" s="19"/>
      <c r="H356" s="16">
        <f t="shared" si="39"/>
        <v>0</v>
      </c>
      <c r="I356" s="18">
        <f t="shared" si="39"/>
        <v>0</v>
      </c>
      <c r="J356" s="16">
        <f>VLOOKUP(A356,v_2023!F:I,3,FALSE)</f>
        <v>9</v>
      </c>
      <c r="K356" s="18">
        <f>VLOOKUP(A356,v_2023!F:I,4,FALSE)</f>
        <v>1073.6300000000001</v>
      </c>
      <c r="L356" s="16">
        <f t="shared" si="40"/>
        <v>-11</v>
      </c>
      <c r="M356" s="14">
        <f t="shared" si="38"/>
        <v>-1073.6300000000001</v>
      </c>
      <c r="N356" s="20">
        <f t="shared" si="42"/>
        <v>-1</v>
      </c>
    </row>
    <row r="357" spans="1:14" x14ac:dyDescent="0.25">
      <c r="A357" s="16" t="s">
        <v>538</v>
      </c>
      <c r="B357" s="17" t="str">
        <f>VLOOKUP(A357,v_2023!A:B,2,FALSE)</f>
        <v>CP.007</v>
      </c>
      <c r="C357" s="16">
        <v>0</v>
      </c>
      <c r="D357" s="18">
        <v>0</v>
      </c>
      <c r="E357" s="16">
        <v>0</v>
      </c>
      <c r="F357" s="18">
        <v>0</v>
      </c>
      <c r="G357" s="19"/>
      <c r="H357" s="16">
        <f t="shared" si="39"/>
        <v>0</v>
      </c>
      <c r="I357" s="18">
        <f t="shared" si="39"/>
        <v>0</v>
      </c>
      <c r="J357" s="16">
        <f>VLOOKUP(A357,v_2023!F:I,3,FALSE)</f>
        <v>0</v>
      </c>
      <c r="K357" s="18">
        <f>VLOOKUP(A357,v_2023!F:I,4,FALSE)</f>
        <v>0</v>
      </c>
      <c r="L357" s="16">
        <f t="shared" si="40"/>
        <v>0</v>
      </c>
      <c r="M357" s="14">
        <f t="shared" si="38"/>
        <v>0</v>
      </c>
      <c r="N357" s="20"/>
    </row>
    <row r="358" spans="1:14" x14ac:dyDescent="0.25">
      <c r="A358" s="16" t="s">
        <v>480</v>
      </c>
      <c r="B358" s="17" t="str">
        <f>VLOOKUP(A358,v_2023!A:B,2,FALSE)</f>
        <v>P302VIS003</v>
      </c>
      <c r="C358" s="16">
        <v>0</v>
      </c>
      <c r="D358" s="18">
        <v>0</v>
      </c>
      <c r="E358" s="16">
        <v>0</v>
      </c>
      <c r="F358" s="18">
        <v>0</v>
      </c>
      <c r="G358" s="19"/>
      <c r="H358" s="16">
        <f t="shared" si="39"/>
        <v>0</v>
      </c>
      <c r="I358" s="18">
        <f t="shared" si="39"/>
        <v>0</v>
      </c>
      <c r="J358" s="16">
        <v>0</v>
      </c>
      <c r="K358" s="18">
        <v>0</v>
      </c>
      <c r="L358" s="16">
        <f t="shared" si="40"/>
        <v>-9</v>
      </c>
      <c r="M358" s="14">
        <f t="shared" si="38"/>
        <v>0</v>
      </c>
      <c r="N358" s="20"/>
    </row>
    <row r="359" spans="1:14" x14ac:dyDescent="0.25">
      <c r="A359" s="16" t="s">
        <v>448</v>
      </c>
      <c r="B359" s="17" t="str">
        <f>VLOOKUP(A359,v_2023!A:B,2,FALSE)</f>
        <v>PET005</v>
      </c>
      <c r="C359" s="16">
        <v>0</v>
      </c>
      <c r="D359" s="18">
        <v>0</v>
      </c>
      <c r="E359" s="16">
        <v>0</v>
      </c>
      <c r="F359" s="18">
        <v>0</v>
      </c>
      <c r="G359" s="19"/>
      <c r="H359" s="16">
        <f t="shared" si="39"/>
        <v>0</v>
      </c>
      <c r="I359" s="18">
        <f t="shared" si="39"/>
        <v>0</v>
      </c>
      <c r="J359" s="16">
        <f>VLOOKUP(A359,v_2023!F:I,3,FALSE)</f>
        <v>9</v>
      </c>
      <c r="K359" s="18">
        <f>VLOOKUP(A359,v_2023!F:I,4,FALSE)</f>
        <v>36.18</v>
      </c>
      <c r="L359" s="16">
        <f t="shared" si="40"/>
        <v>0</v>
      </c>
      <c r="M359" s="14">
        <f t="shared" si="38"/>
        <v>-36.18</v>
      </c>
      <c r="N359" s="20">
        <f t="shared" si="42"/>
        <v>-1</v>
      </c>
    </row>
    <row r="360" spans="1:14" x14ac:dyDescent="0.25">
      <c r="A360" s="11" t="s">
        <v>10440</v>
      </c>
      <c r="B360" s="11"/>
      <c r="C360" s="21">
        <f>VLOOKUP(A360,v_2024!F:I,3,FALSE)</f>
        <v>6632</v>
      </c>
      <c r="D360" s="22">
        <f>VLOOKUP(A360,v_2024!F:I,4,FALSE)</f>
        <v>104761.64000000001</v>
      </c>
      <c r="E360" s="21">
        <f>VLOOKUP(A360,s_2024!E:G,2,FALSE)</f>
        <v>2257</v>
      </c>
      <c r="F360" s="22">
        <f>VLOOKUP(A360,s_2024!E:G,3,FALSE)</f>
        <v>67095.83999999972</v>
      </c>
      <c r="G360" s="12">
        <f>F360/I360</f>
        <v>0.39041559319966646</v>
      </c>
      <c r="H360" s="11">
        <f>E360+C360</f>
        <v>8889</v>
      </c>
      <c r="I360" s="15">
        <f>F360+D360</f>
        <v>171857.47999999975</v>
      </c>
      <c r="J360" s="21">
        <f>VLOOKUP(A360,v_2023!F:I,3,FALSE)</f>
        <v>31233</v>
      </c>
      <c r="K360" s="22">
        <f>VLOOKUP(A360,v_2023!F:I,4,FALSE)</f>
        <v>477924.76000000013</v>
      </c>
      <c r="L360" s="11">
        <f>H360-J360</f>
        <v>-22344</v>
      </c>
      <c r="M360" s="15">
        <f>I360-K360</f>
        <v>-306067.28000000038</v>
      </c>
      <c r="N360" s="12">
        <f>M360/K360</f>
        <v>-0.64040892127036964</v>
      </c>
    </row>
    <row r="361" spans="1:14" x14ac:dyDescent="0.25">
      <c r="G361"/>
      <c r="N361"/>
    </row>
    <row r="362" spans="1:14" x14ac:dyDescent="0.25">
      <c r="G362"/>
      <c r="N362"/>
    </row>
    <row r="363" spans="1:14" x14ac:dyDescent="0.25">
      <c r="G363"/>
      <c r="N363"/>
    </row>
    <row r="364" spans="1:14" x14ac:dyDescent="0.25">
      <c r="G364"/>
      <c r="N364"/>
    </row>
    <row r="365" spans="1:14" x14ac:dyDescent="0.25">
      <c r="G365"/>
      <c r="N365"/>
    </row>
    <row r="366" spans="1:14" x14ac:dyDescent="0.25">
      <c r="G366"/>
      <c r="N366"/>
    </row>
    <row r="367" spans="1:14" x14ac:dyDescent="0.25">
      <c r="G367"/>
      <c r="N367"/>
    </row>
    <row r="368" spans="1:14" x14ac:dyDescent="0.25">
      <c r="G368"/>
      <c r="N368"/>
    </row>
    <row r="369" spans="7:14" x14ac:dyDescent="0.25">
      <c r="G369"/>
      <c r="N369"/>
    </row>
    <row r="370" spans="7:14" x14ac:dyDescent="0.25">
      <c r="G370"/>
      <c r="N370"/>
    </row>
    <row r="371" spans="7:14" x14ac:dyDescent="0.25">
      <c r="G371"/>
      <c r="N371"/>
    </row>
    <row r="372" spans="7:14" x14ac:dyDescent="0.25">
      <c r="G372"/>
      <c r="N372"/>
    </row>
    <row r="373" spans="7:14" x14ac:dyDescent="0.25">
      <c r="G373"/>
      <c r="N373"/>
    </row>
    <row r="374" spans="7:14" x14ac:dyDescent="0.25">
      <c r="G374"/>
      <c r="N374"/>
    </row>
    <row r="375" spans="7:14" x14ac:dyDescent="0.25">
      <c r="G375"/>
      <c r="N375"/>
    </row>
    <row r="376" spans="7:14" x14ac:dyDescent="0.25">
      <c r="G376"/>
      <c r="N376"/>
    </row>
    <row r="377" spans="7:14" x14ac:dyDescent="0.25">
      <c r="G377"/>
      <c r="N377"/>
    </row>
    <row r="378" spans="7:14" x14ac:dyDescent="0.25">
      <c r="G378"/>
      <c r="N378"/>
    </row>
    <row r="379" spans="7:14" x14ac:dyDescent="0.25">
      <c r="G379"/>
      <c r="N379"/>
    </row>
    <row r="380" spans="7:14" x14ac:dyDescent="0.25">
      <c r="G380"/>
      <c r="N380"/>
    </row>
    <row r="381" spans="7:14" x14ac:dyDescent="0.25">
      <c r="G381"/>
      <c r="N381"/>
    </row>
    <row r="382" spans="7:14" x14ac:dyDescent="0.25">
      <c r="G382"/>
      <c r="N382"/>
    </row>
    <row r="383" spans="7:14" x14ac:dyDescent="0.25">
      <c r="G383"/>
      <c r="N383"/>
    </row>
    <row r="384" spans="7:14" x14ac:dyDescent="0.25">
      <c r="G384"/>
      <c r="N384"/>
    </row>
    <row r="385" spans="7:14" x14ac:dyDescent="0.25">
      <c r="G385"/>
      <c r="N385"/>
    </row>
    <row r="386" spans="7:14" x14ac:dyDescent="0.25">
      <c r="G386"/>
      <c r="N386"/>
    </row>
    <row r="387" spans="7:14" x14ac:dyDescent="0.25">
      <c r="G387"/>
      <c r="N387"/>
    </row>
    <row r="388" spans="7:14" x14ac:dyDescent="0.25">
      <c r="G388"/>
      <c r="N388"/>
    </row>
    <row r="389" spans="7:14" x14ac:dyDescent="0.25">
      <c r="G389"/>
      <c r="N389"/>
    </row>
    <row r="390" spans="7:14" x14ac:dyDescent="0.25">
      <c r="G390"/>
      <c r="N390"/>
    </row>
    <row r="391" spans="7:14" x14ac:dyDescent="0.25">
      <c r="G391"/>
      <c r="N391"/>
    </row>
    <row r="392" spans="7:14" x14ac:dyDescent="0.25">
      <c r="G392"/>
      <c r="N392"/>
    </row>
    <row r="393" spans="7:14" x14ac:dyDescent="0.25">
      <c r="G393"/>
      <c r="N393"/>
    </row>
    <row r="394" spans="7:14" x14ac:dyDescent="0.25">
      <c r="G394"/>
      <c r="N394"/>
    </row>
    <row r="395" spans="7:14" x14ac:dyDescent="0.25">
      <c r="G395"/>
      <c r="N395"/>
    </row>
    <row r="396" spans="7:14" x14ac:dyDescent="0.25">
      <c r="G396"/>
      <c r="N396"/>
    </row>
    <row r="397" spans="7:14" x14ac:dyDescent="0.25">
      <c r="G397"/>
      <c r="N397"/>
    </row>
    <row r="398" spans="7:14" x14ac:dyDescent="0.25">
      <c r="G398"/>
      <c r="N398"/>
    </row>
    <row r="399" spans="7:14" x14ac:dyDescent="0.25">
      <c r="G399"/>
      <c r="N399"/>
    </row>
    <row r="400" spans="7:14" x14ac:dyDescent="0.25">
      <c r="G400"/>
      <c r="N400"/>
    </row>
    <row r="401" spans="7:14" x14ac:dyDescent="0.25">
      <c r="G401"/>
      <c r="N401"/>
    </row>
    <row r="402" spans="7:14" x14ac:dyDescent="0.25">
      <c r="G402"/>
      <c r="N402"/>
    </row>
    <row r="403" spans="7:14" x14ac:dyDescent="0.25">
      <c r="G403"/>
      <c r="N403"/>
    </row>
    <row r="404" spans="7:14" x14ac:dyDescent="0.25">
      <c r="G404"/>
      <c r="N404"/>
    </row>
    <row r="405" spans="7:14" x14ac:dyDescent="0.25">
      <c r="G405"/>
      <c r="N405"/>
    </row>
    <row r="406" spans="7:14" x14ac:dyDescent="0.25">
      <c r="G406"/>
      <c r="N406"/>
    </row>
    <row r="407" spans="7:14" x14ac:dyDescent="0.25">
      <c r="G407"/>
      <c r="N407"/>
    </row>
    <row r="408" spans="7:14" x14ac:dyDescent="0.25">
      <c r="G408"/>
      <c r="N408"/>
    </row>
    <row r="409" spans="7:14" x14ac:dyDescent="0.25">
      <c r="G409"/>
      <c r="N409"/>
    </row>
    <row r="410" spans="7:14" x14ac:dyDescent="0.25">
      <c r="G410"/>
      <c r="N410"/>
    </row>
    <row r="411" spans="7:14" x14ac:dyDescent="0.25">
      <c r="G411"/>
      <c r="N411"/>
    </row>
    <row r="412" spans="7:14" x14ac:dyDescent="0.25">
      <c r="G412"/>
      <c r="N412"/>
    </row>
    <row r="413" spans="7:14" x14ac:dyDescent="0.25">
      <c r="G413"/>
      <c r="N413"/>
    </row>
    <row r="414" spans="7:14" x14ac:dyDescent="0.25">
      <c r="G414"/>
      <c r="N414"/>
    </row>
    <row r="415" spans="7:14" x14ac:dyDescent="0.25">
      <c r="G415"/>
      <c r="N415"/>
    </row>
    <row r="416" spans="7:14" x14ac:dyDescent="0.25">
      <c r="G416"/>
      <c r="N416"/>
    </row>
    <row r="417" spans="7:14" x14ac:dyDescent="0.25">
      <c r="G417"/>
      <c r="N417"/>
    </row>
    <row r="418" spans="7:14" x14ac:dyDescent="0.25">
      <c r="G418"/>
      <c r="N418"/>
    </row>
    <row r="419" spans="7:14" x14ac:dyDescent="0.25">
      <c r="G419"/>
      <c r="N419"/>
    </row>
    <row r="420" spans="7:14" x14ac:dyDescent="0.25">
      <c r="G420"/>
      <c r="N420"/>
    </row>
    <row r="421" spans="7:14" x14ac:dyDescent="0.25">
      <c r="G421"/>
      <c r="N421"/>
    </row>
    <row r="422" spans="7:14" x14ac:dyDescent="0.25">
      <c r="G422"/>
      <c r="N422"/>
    </row>
    <row r="423" spans="7:14" x14ac:dyDescent="0.25">
      <c r="G423"/>
      <c r="N423"/>
    </row>
    <row r="424" spans="7:14" x14ac:dyDescent="0.25">
      <c r="G424"/>
      <c r="N424"/>
    </row>
    <row r="425" spans="7:14" x14ac:dyDescent="0.25">
      <c r="G425"/>
      <c r="N425"/>
    </row>
    <row r="426" spans="7:14" x14ac:dyDescent="0.25">
      <c r="G426"/>
      <c r="N426"/>
    </row>
    <row r="427" spans="7:14" x14ac:dyDescent="0.25">
      <c r="G427"/>
      <c r="N427"/>
    </row>
    <row r="428" spans="7:14" x14ac:dyDescent="0.25">
      <c r="G428"/>
      <c r="N428"/>
    </row>
    <row r="429" spans="7:14" x14ac:dyDescent="0.25">
      <c r="G429"/>
      <c r="N429"/>
    </row>
    <row r="430" spans="7:14" x14ac:dyDescent="0.25">
      <c r="G430"/>
      <c r="N430"/>
    </row>
    <row r="431" spans="7:14" x14ac:dyDescent="0.25">
      <c r="G431"/>
      <c r="N431"/>
    </row>
    <row r="432" spans="7:14" x14ac:dyDescent="0.25">
      <c r="G432"/>
      <c r="N432"/>
    </row>
    <row r="433" spans="7:14" x14ac:dyDescent="0.25">
      <c r="G433"/>
      <c r="N433"/>
    </row>
    <row r="434" spans="7:14" x14ac:dyDescent="0.25">
      <c r="G434"/>
      <c r="N434"/>
    </row>
    <row r="435" spans="7:14" x14ac:dyDescent="0.25">
      <c r="G435"/>
      <c r="N435"/>
    </row>
    <row r="436" spans="7:14" x14ac:dyDescent="0.25">
      <c r="G436"/>
      <c r="N436"/>
    </row>
    <row r="437" spans="7:14" x14ac:dyDescent="0.25">
      <c r="G437"/>
      <c r="N437"/>
    </row>
    <row r="438" spans="7:14" x14ac:dyDescent="0.25">
      <c r="G438"/>
      <c r="N438"/>
    </row>
    <row r="439" spans="7:14" x14ac:dyDescent="0.25">
      <c r="G439"/>
      <c r="N439"/>
    </row>
    <row r="440" spans="7:14" x14ac:dyDescent="0.25">
      <c r="G440"/>
      <c r="N440"/>
    </row>
    <row r="441" spans="7:14" x14ac:dyDescent="0.25">
      <c r="G441"/>
      <c r="N441"/>
    </row>
    <row r="442" spans="7:14" x14ac:dyDescent="0.25">
      <c r="G442"/>
      <c r="N442"/>
    </row>
    <row r="443" spans="7:14" x14ac:dyDescent="0.25">
      <c r="G443"/>
      <c r="N443"/>
    </row>
    <row r="444" spans="7:14" x14ac:dyDescent="0.25">
      <c r="G444"/>
      <c r="N444"/>
    </row>
    <row r="445" spans="7:14" x14ac:dyDescent="0.25">
      <c r="G445"/>
      <c r="N445"/>
    </row>
    <row r="446" spans="7:14" x14ac:dyDescent="0.25">
      <c r="G446"/>
      <c r="N446"/>
    </row>
    <row r="447" spans="7:14" x14ac:dyDescent="0.25">
      <c r="G447"/>
      <c r="N447"/>
    </row>
    <row r="448" spans="7:14" x14ac:dyDescent="0.25">
      <c r="G448"/>
      <c r="N448"/>
    </row>
    <row r="449" spans="7:14" x14ac:dyDescent="0.25">
      <c r="G449"/>
      <c r="N449"/>
    </row>
    <row r="450" spans="7:14" x14ac:dyDescent="0.25">
      <c r="G450"/>
      <c r="N450"/>
    </row>
    <row r="451" spans="7:14" x14ac:dyDescent="0.25">
      <c r="G451"/>
      <c r="N451"/>
    </row>
    <row r="452" spans="7:14" x14ac:dyDescent="0.25">
      <c r="G452"/>
      <c r="N452"/>
    </row>
    <row r="453" spans="7:14" x14ac:dyDescent="0.25">
      <c r="G453"/>
      <c r="N453"/>
    </row>
    <row r="454" spans="7:14" x14ac:dyDescent="0.25">
      <c r="G454"/>
      <c r="N454"/>
    </row>
    <row r="455" spans="7:14" x14ac:dyDescent="0.25">
      <c r="G455"/>
      <c r="N455"/>
    </row>
    <row r="456" spans="7:14" x14ac:dyDescent="0.25">
      <c r="G456"/>
      <c r="N456"/>
    </row>
    <row r="457" spans="7:14" x14ac:dyDescent="0.25">
      <c r="G457"/>
      <c r="N457"/>
    </row>
    <row r="458" spans="7:14" x14ac:dyDescent="0.25">
      <c r="G458"/>
      <c r="N458"/>
    </row>
    <row r="459" spans="7:14" x14ac:dyDescent="0.25">
      <c r="G459"/>
      <c r="N459"/>
    </row>
    <row r="460" spans="7:14" x14ac:dyDescent="0.25">
      <c r="G460"/>
      <c r="N460"/>
    </row>
    <row r="461" spans="7:14" x14ac:dyDescent="0.25">
      <c r="G461"/>
      <c r="N461"/>
    </row>
    <row r="462" spans="7:14" x14ac:dyDescent="0.25">
      <c r="G462"/>
      <c r="N462"/>
    </row>
    <row r="463" spans="7:14" x14ac:dyDescent="0.25">
      <c r="G463"/>
      <c r="N463"/>
    </row>
    <row r="464" spans="7:14" x14ac:dyDescent="0.25">
      <c r="G464"/>
      <c r="N464"/>
    </row>
    <row r="465" spans="7:14" x14ac:dyDescent="0.25">
      <c r="G465"/>
      <c r="N465"/>
    </row>
    <row r="466" spans="7:14" x14ac:dyDescent="0.25">
      <c r="G466"/>
      <c r="N466"/>
    </row>
    <row r="467" spans="7:14" x14ac:dyDescent="0.25">
      <c r="G467"/>
      <c r="N467"/>
    </row>
    <row r="468" spans="7:14" x14ac:dyDescent="0.25">
      <c r="G468"/>
      <c r="N468"/>
    </row>
    <row r="469" spans="7:14" x14ac:dyDescent="0.25">
      <c r="G469"/>
      <c r="N469"/>
    </row>
    <row r="470" spans="7:14" x14ac:dyDescent="0.25">
      <c r="G470"/>
      <c r="N470"/>
    </row>
    <row r="471" spans="7:14" x14ac:dyDescent="0.25">
      <c r="G471"/>
      <c r="N471"/>
    </row>
    <row r="472" spans="7:14" x14ac:dyDescent="0.25">
      <c r="G472"/>
      <c r="N472"/>
    </row>
    <row r="473" spans="7:14" x14ac:dyDescent="0.25">
      <c r="G473"/>
      <c r="N473"/>
    </row>
    <row r="474" spans="7:14" x14ac:dyDescent="0.25">
      <c r="G474"/>
      <c r="N474"/>
    </row>
    <row r="475" spans="7:14" x14ac:dyDescent="0.25">
      <c r="G475"/>
      <c r="N475"/>
    </row>
    <row r="476" spans="7:14" x14ac:dyDescent="0.25">
      <c r="G476"/>
      <c r="N476"/>
    </row>
    <row r="477" spans="7:14" x14ac:dyDescent="0.25">
      <c r="G477"/>
      <c r="N477"/>
    </row>
    <row r="478" spans="7:14" x14ac:dyDescent="0.25">
      <c r="G478"/>
      <c r="N478"/>
    </row>
    <row r="479" spans="7:14" x14ac:dyDescent="0.25">
      <c r="G479"/>
      <c r="N479"/>
    </row>
    <row r="480" spans="7:14" x14ac:dyDescent="0.25">
      <c r="G480"/>
      <c r="N480"/>
    </row>
    <row r="481" spans="7:14" x14ac:dyDescent="0.25">
      <c r="G481"/>
      <c r="N481"/>
    </row>
    <row r="482" spans="7:14" x14ac:dyDescent="0.25">
      <c r="G482"/>
      <c r="N482"/>
    </row>
    <row r="483" spans="7:14" x14ac:dyDescent="0.25">
      <c r="G483"/>
      <c r="N483"/>
    </row>
    <row r="484" spans="7:14" x14ac:dyDescent="0.25">
      <c r="G484"/>
      <c r="N484"/>
    </row>
    <row r="485" spans="7:14" x14ac:dyDescent="0.25">
      <c r="G485"/>
      <c r="N485"/>
    </row>
    <row r="486" spans="7:14" x14ac:dyDescent="0.25">
      <c r="G486"/>
      <c r="N486"/>
    </row>
    <row r="487" spans="7:14" x14ac:dyDescent="0.25">
      <c r="G487"/>
      <c r="N487"/>
    </row>
    <row r="488" spans="7:14" x14ac:dyDescent="0.25">
      <c r="G488"/>
      <c r="N488"/>
    </row>
    <row r="489" spans="7:14" x14ac:dyDescent="0.25">
      <c r="G489"/>
      <c r="N489"/>
    </row>
    <row r="490" spans="7:14" x14ac:dyDescent="0.25">
      <c r="G490"/>
      <c r="N490"/>
    </row>
    <row r="491" spans="7:14" x14ac:dyDescent="0.25">
      <c r="G491"/>
      <c r="N491"/>
    </row>
    <row r="492" spans="7:14" x14ac:dyDescent="0.25">
      <c r="G492"/>
      <c r="N492"/>
    </row>
    <row r="493" spans="7:14" x14ac:dyDescent="0.25">
      <c r="G493"/>
      <c r="N493"/>
    </row>
    <row r="494" spans="7:14" x14ac:dyDescent="0.25">
      <c r="G494"/>
      <c r="N494"/>
    </row>
    <row r="495" spans="7:14" x14ac:dyDescent="0.25">
      <c r="G495"/>
      <c r="N495"/>
    </row>
    <row r="496" spans="7:14" x14ac:dyDescent="0.25">
      <c r="G496"/>
      <c r="N496"/>
    </row>
    <row r="497" spans="7:14" x14ac:dyDescent="0.25">
      <c r="G497"/>
      <c r="N497"/>
    </row>
    <row r="498" spans="7:14" x14ac:dyDescent="0.25">
      <c r="G498"/>
      <c r="N498"/>
    </row>
    <row r="499" spans="7:14" x14ac:dyDescent="0.25">
      <c r="G499"/>
      <c r="N499"/>
    </row>
    <row r="500" spans="7:14" x14ac:dyDescent="0.25">
      <c r="G500"/>
      <c r="N500"/>
    </row>
    <row r="501" spans="7:14" x14ac:dyDescent="0.25">
      <c r="G501"/>
      <c r="N501"/>
    </row>
    <row r="502" spans="7:14" x14ac:dyDescent="0.25">
      <c r="G502"/>
      <c r="N502"/>
    </row>
    <row r="503" spans="7:14" x14ac:dyDescent="0.25">
      <c r="G503"/>
      <c r="N503"/>
    </row>
    <row r="504" spans="7:14" x14ac:dyDescent="0.25">
      <c r="G504"/>
      <c r="N504"/>
    </row>
    <row r="505" spans="7:14" x14ac:dyDescent="0.25">
      <c r="G505"/>
      <c r="N505"/>
    </row>
    <row r="506" spans="7:14" x14ac:dyDescent="0.25">
      <c r="G506"/>
      <c r="N506"/>
    </row>
    <row r="507" spans="7:14" x14ac:dyDescent="0.25">
      <c r="G507"/>
      <c r="N507"/>
    </row>
    <row r="508" spans="7:14" x14ac:dyDescent="0.25">
      <c r="G508"/>
      <c r="N508"/>
    </row>
    <row r="509" spans="7:14" x14ac:dyDescent="0.25">
      <c r="G509"/>
      <c r="N509"/>
    </row>
    <row r="510" spans="7:14" x14ac:dyDescent="0.25">
      <c r="G510"/>
      <c r="N510"/>
    </row>
    <row r="511" spans="7:14" x14ac:dyDescent="0.25">
      <c r="G511"/>
      <c r="N511"/>
    </row>
    <row r="512" spans="7:14" x14ac:dyDescent="0.25">
      <c r="G512"/>
      <c r="N512"/>
    </row>
    <row r="513" spans="7:14" x14ac:dyDescent="0.25">
      <c r="G513"/>
      <c r="N513"/>
    </row>
    <row r="514" spans="7:14" x14ac:dyDescent="0.25">
      <c r="G514"/>
      <c r="N514"/>
    </row>
    <row r="515" spans="7:14" x14ac:dyDescent="0.25">
      <c r="G515"/>
      <c r="N515"/>
    </row>
    <row r="516" spans="7:14" x14ac:dyDescent="0.25">
      <c r="G516"/>
      <c r="N516"/>
    </row>
    <row r="517" spans="7:14" x14ac:dyDescent="0.25">
      <c r="G517"/>
      <c r="N517"/>
    </row>
    <row r="518" spans="7:14" x14ac:dyDescent="0.25">
      <c r="G518"/>
      <c r="N518"/>
    </row>
    <row r="519" spans="7:14" x14ac:dyDescent="0.25">
      <c r="G519"/>
      <c r="N519"/>
    </row>
    <row r="520" spans="7:14" x14ac:dyDescent="0.25">
      <c r="G520"/>
      <c r="N520"/>
    </row>
    <row r="521" spans="7:14" x14ac:dyDescent="0.25">
      <c r="G521"/>
      <c r="N521"/>
    </row>
    <row r="522" spans="7:14" x14ac:dyDescent="0.25">
      <c r="G522"/>
      <c r="N522"/>
    </row>
    <row r="523" spans="7:14" x14ac:dyDescent="0.25">
      <c r="G523"/>
      <c r="N523"/>
    </row>
    <row r="524" spans="7:14" x14ac:dyDescent="0.25">
      <c r="G524"/>
      <c r="N524"/>
    </row>
    <row r="525" spans="7:14" x14ac:dyDescent="0.25">
      <c r="G525"/>
      <c r="N525"/>
    </row>
    <row r="526" spans="7:14" x14ac:dyDescent="0.25">
      <c r="G526"/>
      <c r="N526"/>
    </row>
    <row r="527" spans="7:14" x14ac:dyDescent="0.25">
      <c r="G527"/>
      <c r="N527"/>
    </row>
    <row r="528" spans="7:14" x14ac:dyDescent="0.25">
      <c r="G528"/>
      <c r="N528"/>
    </row>
    <row r="529" spans="7:14" x14ac:dyDescent="0.25">
      <c r="G529"/>
      <c r="N529"/>
    </row>
    <row r="530" spans="7:14" x14ac:dyDescent="0.25">
      <c r="G530"/>
      <c r="N530"/>
    </row>
    <row r="531" spans="7:14" x14ac:dyDescent="0.25">
      <c r="G531"/>
      <c r="N531"/>
    </row>
    <row r="532" spans="7:14" x14ac:dyDescent="0.25">
      <c r="G532"/>
      <c r="N532"/>
    </row>
    <row r="533" spans="7:14" x14ac:dyDescent="0.25">
      <c r="G533"/>
      <c r="N533"/>
    </row>
    <row r="534" spans="7:14" x14ac:dyDescent="0.25">
      <c r="G534"/>
      <c r="N534"/>
    </row>
    <row r="535" spans="7:14" x14ac:dyDescent="0.25">
      <c r="G535"/>
      <c r="N535"/>
    </row>
    <row r="536" spans="7:14" x14ac:dyDescent="0.25">
      <c r="G536"/>
      <c r="N536"/>
    </row>
    <row r="537" spans="7:14" x14ac:dyDescent="0.25">
      <c r="G537"/>
      <c r="N537"/>
    </row>
    <row r="538" spans="7:14" x14ac:dyDescent="0.25">
      <c r="G538"/>
      <c r="N538"/>
    </row>
    <row r="539" spans="7:14" x14ac:dyDescent="0.25">
      <c r="G539"/>
      <c r="N539"/>
    </row>
    <row r="540" spans="7:14" x14ac:dyDescent="0.25">
      <c r="G540"/>
      <c r="N540"/>
    </row>
    <row r="541" spans="7:14" x14ac:dyDescent="0.25">
      <c r="G541"/>
      <c r="N541"/>
    </row>
    <row r="542" spans="7:14" x14ac:dyDescent="0.25">
      <c r="G542"/>
      <c r="N542"/>
    </row>
    <row r="543" spans="7:14" x14ac:dyDescent="0.25">
      <c r="G543"/>
      <c r="N543"/>
    </row>
    <row r="544" spans="7:14" x14ac:dyDescent="0.25">
      <c r="G544"/>
      <c r="N544"/>
    </row>
    <row r="545" spans="7:14" x14ac:dyDescent="0.25">
      <c r="G545"/>
      <c r="N545"/>
    </row>
    <row r="546" spans="7:14" x14ac:dyDescent="0.25">
      <c r="G546"/>
      <c r="N546"/>
    </row>
    <row r="547" spans="7:14" x14ac:dyDescent="0.25">
      <c r="G547"/>
      <c r="N547"/>
    </row>
    <row r="548" spans="7:14" x14ac:dyDescent="0.25">
      <c r="G548"/>
      <c r="N548"/>
    </row>
    <row r="549" spans="7:14" x14ac:dyDescent="0.25">
      <c r="G549"/>
      <c r="N549"/>
    </row>
    <row r="550" spans="7:14" x14ac:dyDescent="0.25">
      <c r="G550"/>
      <c r="N550"/>
    </row>
    <row r="551" spans="7:14" x14ac:dyDescent="0.25">
      <c r="G551"/>
      <c r="N551"/>
    </row>
    <row r="552" spans="7:14" x14ac:dyDescent="0.25">
      <c r="G552"/>
      <c r="N552"/>
    </row>
    <row r="553" spans="7:14" x14ac:dyDescent="0.25">
      <c r="G553"/>
      <c r="N553"/>
    </row>
    <row r="554" spans="7:14" x14ac:dyDescent="0.25">
      <c r="G554"/>
      <c r="N554"/>
    </row>
    <row r="555" spans="7:14" x14ac:dyDescent="0.25">
      <c r="G555"/>
      <c r="N555"/>
    </row>
    <row r="556" spans="7:14" x14ac:dyDescent="0.25">
      <c r="G556"/>
      <c r="N556"/>
    </row>
    <row r="557" spans="7:14" x14ac:dyDescent="0.25">
      <c r="G557"/>
      <c r="N557"/>
    </row>
    <row r="558" spans="7:14" x14ac:dyDescent="0.25">
      <c r="G558"/>
      <c r="N558"/>
    </row>
    <row r="559" spans="7:14" x14ac:dyDescent="0.25">
      <c r="G559"/>
      <c r="N559"/>
    </row>
    <row r="560" spans="7:14" x14ac:dyDescent="0.25">
      <c r="G560"/>
      <c r="N560"/>
    </row>
    <row r="561" spans="7:14" x14ac:dyDescent="0.25">
      <c r="G561"/>
      <c r="N561"/>
    </row>
    <row r="562" spans="7:14" x14ac:dyDescent="0.25">
      <c r="G562"/>
      <c r="N562"/>
    </row>
    <row r="563" spans="7:14" x14ac:dyDescent="0.25">
      <c r="G563"/>
      <c r="N563"/>
    </row>
    <row r="564" spans="7:14" x14ac:dyDescent="0.25">
      <c r="G564"/>
      <c r="N564"/>
    </row>
    <row r="565" spans="7:14" x14ac:dyDescent="0.25">
      <c r="G565"/>
      <c r="N565"/>
    </row>
    <row r="566" spans="7:14" x14ac:dyDescent="0.25">
      <c r="G566"/>
      <c r="N566"/>
    </row>
    <row r="567" spans="7:14" x14ac:dyDescent="0.25">
      <c r="G567"/>
      <c r="N567"/>
    </row>
    <row r="568" spans="7:14" x14ac:dyDescent="0.25">
      <c r="G568"/>
      <c r="N568"/>
    </row>
    <row r="569" spans="7:14" x14ac:dyDescent="0.25">
      <c r="G569"/>
      <c r="N569"/>
    </row>
    <row r="570" spans="7:14" x14ac:dyDescent="0.25">
      <c r="G570"/>
      <c r="N570"/>
    </row>
    <row r="571" spans="7:14" x14ac:dyDescent="0.25">
      <c r="G571"/>
      <c r="N571"/>
    </row>
    <row r="572" spans="7:14" x14ac:dyDescent="0.25">
      <c r="G572"/>
      <c r="N572"/>
    </row>
    <row r="573" spans="7:14" x14ac:dyDescent="0.25">
      <c r="G573"/>
      <c r="N573"/>
    </row>
    <row r="574" spans="7:14" x14ac:dyDescent="0.25">
      <c r="G574"/>
      <c r="N574"/>
    </row>
  </sheetData>
  <autoFilter ref="A1:N360" xr:uid="{B2E39C12-5C0E-4B93-BAD1-8DDBBDB55E5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C0F1-EFEF-4C2E-8ED5-CC3C10BB0A05}">
  <dimension ref="A1:N574"/>
  <sheetViews>
    <sheetView tabSelected="1" zoomScaleNormal="100" workbookViewId="0">
      <pane ySplit="1" topLeftCell="A2" activePane="bottomLeft" state="frozen"/>
      <selection pane="bottomLeft" activeCell="C1" sqref="A1:XFD2"/>
    </sheetView>
  </sheetViews>
  <sheetFormatPr defaultRowHeight="15" x14ac:dyDescent="0.25"/>
  <cols>
    <col min="1" max="3" width="20.85546875" customWidth="1"/>
    <col min="4" max="4" width="20.85546875" style="14" customWidth="1"/>
    <col min="5" max="5" width="20.85546875" customWidth="1"/>
    <col min="6" max="6" width="20.85546875" style="14" customWidth="1"/>
    <col min="7" max="7" width="20.85546875" style="10" customWidth="1"/>
    <col min="8" max="8" width="20.85546875" customWidth="1"/>
    <col min="9" max="9" width="20.85546875" style="14" customWidth="1"/>
    <col min="10" max="10" width="20.85546875" customWidth="1"/>
    <col min="11" max="11" width="20.85546875" style="14" customWidth="1"/>
    <col min="12" max="12" width="20.85546875" customWidth="1"/>
    <col min="13" max="13" width="20.85546875" style="14" customWidth="1"/>
    <col min="14" max="14" width="20.85546875" style="10" customWidth="1"/>
    <col min="15" max="15" width="22.42578125" customWidth="1"/>
  </cols>
  <sheetData>
    <row r="1" spans="1:14" x14ac:dyDescent="0.25">
      <c r="A1" s="5" t="s">
        <v>0</v>
      </c>
      <c r="B1" s="5" t="s">
        <v>10445</v>
      </c>
      <c r="C1" s="7" t="s">
        <v>10446</v>
      </c>
      <c r="D1" s="6" t="s">
        <v>10447</v>
      </c>
      <c r="E1" s="7" t="s">
        <v>10448</v>
      </c>
      <c r="F1" s="6" t="s">
        <v>10449</v>
      </c>
      <c r="G1" s="8" t="s">
        <v>10450</v>
      </c>
      <c r="H1" s="7" t="s">
        <v>10451</v>
      </c>
      <c r="I1" s="6" t="s">
        <v>10452</v>
      </c>
      <c r="J1" s="7" t="s">
        <v>10453</v>
      </c>
      <c r="K1" s="6" t="s">
        <v>10454</v>
      </c>
      <c r="L1" s="9" t="s">
        <v>10455</v>
      </c>
      <c r="M1" s="13" t="s">
        <v>10456</v>
      </c>
      <c r="N1" s="8" t="s">
        <v>10457</v>
      </c>
    </row>
    <row r="2" spans="1:14" x14ac:dyDescent="0.25">
      <c r="A2" s="16" t="s">
        <v>310</v>
      </c>
      <c r="B2" s="17" t="s">
        <v>311</v>
      </c>
      <c r="C2" s="16">
        <v>1183</v>
      </c>
      <c r="D2" s="18">
        <v>16822.21</v>
      </c>
      <c r="E2" s="16">
        <f>VLOOKUP(A2,s_2024!A:C,2,FALSE)</f>
        <v>3</v>
      </c>
      <c r="F2" s="18">
        <f>VLOOKUP(A2,s_2024!A:C,3,FALSE)</f>
        <v>60.699999999999996</v>
      </c>
      <c r="G2" s="19">
        <f>F2/I2</f>
        <v>3.5953517491948959E-3</v>
      </c>
      <c r="H2" s="16">
        <f t="shared" ref="H2:H65" si="0">E2+C2</f>
        <v>1186</v>
      </c>
      <c r="I2" s="18">
        <f t="shared" ref="I2:I65" si="1">F2+D2</f>
        <v>16882.91</v>
      </c>
      <c r="J2" s="16">
        <f>VLOOKUP(A2,v_2023!A:D,3,FALSE)</f>
        <v>14</v>
      </c>
      <c r="K2" s="18">
        <f>VLOOKUP(A2,v_2023!A:D,4,FALSE)</f>
        <v>182.42</v>
      </c>
      <c r="L2" s="16">
        <f t="shared" ref="L2:L65" si="2">H2-J2</f>
        <v>1172</v>
      </c>
      <c r="M2" s="14">
        <f t="shared" ref="M2:M65" si="3">I2-K2</f>
        <v>16700.490000000002</v>
      </c>
      <c r="N2" s="20">
        <f>M2/K2</f>
        <v>91.549665606841373</v>
      </c>
    </row>
    <row r="3" spans="1:14" x14ac:dyDescent="0.25">
      <c r="A3" s="16" t="s">
        <v>710</v>
      </c>
      <c r="B3" s="17" t="s">
        <v>711</v>
      </c>
      <c r="C3" s="16">
        <v>1</v>
      </c>
      <c r="D3" s="18">
        <v>5.03</v>
      </c>
      <c r="E3" s="16">
        <v>0</v>
      </c>
      <c r="F3" s="18">
        <v>0</v>
      </c>
      <c r="G3" s="19">
        <f>F3/I3</f>
        <v>0</v>
      </c>
      <c r="H3" s="16">
        <f t="shared" si="0"/>
        <v>1</v>
      </c>
      <c r="I3" s="18">
        <f t="shared" si="1"/>
        <v>5.03</v>
      </c>
      <c r="J3" s="16">
        <v>0</v>
      </c>
      <c r="K3" s="18">
        <v>0</v>
      </c>
      <c r="L3" s="16">
        <f t="shared" si="2"/>
        <v>1</v>
      </c>
      <c r="M3" s="14">
        <f t="shared" si="3"/>
        <v>5.03</v>
      </c>
      <c r="N3" s="20"/>
    </row>
    <row r="4" spans="1:14" x14ac:dyDescent="0.25">
      <c r="A4" s="16" t="s">
        <v>490</v>
      </c>
      <c r="B4" s="17" t="s">
        <v>491</v>
      </c>
      <c r="C4" s="16">
        <v>10</v>
      </c>
      <c r="D4" s="18">
        <v>127.35</v>
      </c>
      <c r="E4" s="16">
        <v>0</v>
      </c>
      <c r="F4" s="18">
        <v>0</v>
      </c>
      <c r="G4" s="19">
        <f>F4/I4</f>
        <v>0</v>
      </c>
      <c r="H4" s="16">
        <f t="shared" si="0"/>
        <v>10</v>
      </c>
      <c r="I4" s="18">
        <f t="shared" si="1"/>
        <v>127.35</v>
      </c>
      <c r="J4" s="16">
        <f>VLOOKUP(A4,v_2023!A:D,3,FALSE)</f>
        <v>1</v>
      </c>
      <c r="K4" s="18">
        <f>VLOOKUP(A4,v_2023!A:D,4,FALSE)</f>
        <v>20.59</v>
      </c>
      <c r="L4" s="16">
        <f t="shared" si="2"/>
        <v>9</v>
      </c>
      <c r="M4" s="14">
        <f t="shared" si="3"/>
        <v>106.75999999999999</v>
      </c>
      <c r="N4" s="20">
        <f>M4/K4</f>
        <v>5.1850412821758134</v>
      </c>
    </row>
    <row r="5" spans="1:14" x14ac:dyDescent="0.25">
      <c r="A5" s="16" t="s">
        <v>494</v>
      </c>
      <c r="B5" s="17" t="s">
        <v>495</v>
      </c>
      <c r="C5" s="16">
        <v>1</v>
      </c>
      <c r="D5" s="18">
        <v>15.18</v>
      </c>
      <c r="E5" s="16">
        <v>0</v>
      </c>
      <c r="F5" s="18">
        <v>0</v>
      </c>
      <c r="G5" s="19">
        <f>F5/I5</f>
        <v>0</v>
      </c>
      <c r="H5" s="16">
        <f t="shared" si="0"/>
        <v>1</v>
      </c>
      <c r="I5" s="18">
        <f t="shared" si="1"/>
        <v>15.18</v>
      </c>
      <c r="J5" s="16">
        <f>VLOOKUP(A5,v_2023!A:D,3,FALSE)</f>
        <v>2</v>
      </c>
      <c r="K5" s="18">
        <f>VLOOKUP(A5,v_2023!A:D,4,FALSE)</f>
        <v>34.18</v>
      </c>
      <c r="L5" s="16">
        <f t="shared" si="2"/>
        <v>-1</v>
      </c>
      <c r="M5" s="14">
        <f t="shared" si="3"/>
        <v>-19</v>
      </c>
      <c r="N5" s="20">
        <f>M5/K5</f>
        <v>-0.5558806319485079</v>
      </c>
    </row>
    <row r="6" spans="1:14" x14ac:dyDescent="0.25">
      <c r="A6" s="16" t="s">
        <v>203</v>
      </c>
      <c r="B6" s="17" t="s">
        <v>204</v>
      </c>
      <c r="C6" s="16">
        <v>48</v>
      </c>
      <c r="D6" s="18">
        <v>271.81</v>
      </c>
      <c r="E6" s="16">
        <v>0</v>
      </c>
      <c r="F6" s="18">
        <v>0</v>
      </c>
      <c r="G6" s="19">
        <f>F6/I6</f>
        <v>0</v>
      </c>
      <c r="H6" s="16">
        <f t="shared" si="0"/>
        <v>48</v>
      </c>
      <c r="I6" s="18">
        <f t="shared" si="1"/>
        <v>271.81</v>
      </c>
      <c r="J6" s="16">
        <f>VLOOKUP(A6,v_2023!A:D,3,FALSE)</f>
        <v>119</v>
      </c>
      <c r="K6" s="18">
        <f>VLOOKUP(A6,v_2023!A:D,4,FALSE)</f>
        <v>828.55000000000007</v>
      </c>
      <c r="L6" s="16">
        <f t="shared" si="2"/>
        <v>-71</v>
      </c>
      <c r="M6" s="14">
        <f t="shared" si="3"/>
        <v>-556.74</v>
      </c>
      <c r="N6" s="20">
        <f>M6/K6</f>
        <v>-0.67194496409389892</v>
      </c>
    </row>
    <row r="7" spans="1:14" x14ac:dyDescent="0.25">
      <c r="A7" s="16" t="s">
        <v>394</v>
      </c>
      <c r="B7" s="17" t="s">
        <v>395</v>
      </c>
      <c r="C7" s="16">
        <v>0</v>
      </c>
      <c r="D7" s="18">
        <v>0</v>
      </c>
      <c r="E7" s="16">
        <v>0</v>
      </c>
      <c r="F7" s="18">
        <v>0</v>
      </c>
      <c r="G7" s="19"/>
      <c r="H7" s="16">
        <f t="shared" si="0"/>
        <v>0</v>
      </c>
      <c r="I7" s="18">
        <f t="shared" si="1"/>
        <v>0</v>
      </c>
      <c r="J7" s="16">
        <f>VLOOKUP(A7,v_2023!A:D,3,FALSE)</f>
        <v>13</v>
      </c>
      <c r="K7" s="18">
        <f>VLOOKUP(A7,v_2023!A:D,4,FALSE)</f>
        <v>104.24</v>
      </c>
      <c r="L7" s="16">
        <f t="shared" si="2"/>
        <v>-13</v>
      </c>
      <c r="M7" s="14">
        <f t="shared" si="3"/>
        <v>-104.24</v>
      </c>
      <c r="N7" s="20">
        <f>M7/K7</f>
        <v>-1</v>
      </c>
    </row>
    <row r="8" spans="1:14" x14ac:dyDescent="0.25">
      <c r="A8" s="16" t="s">
        <v>714</v>
      </c>
      <c r="B8" s="17" t="s">
        <v>715</v>
      </c>
      <c r="C8" s="16">
        <v>0</v>
      </c>
      <c r="D8" s="18">
        <v>0</v>
      </c>
      <c r="E8" s="16">
        <v>0</v>
      </c>
      <c r="F8" s="18">
        <v>0</v>
      </c>
      <c r="G8" s="19"/>
      <c r="H8" s="16">
        <f t="shared" si="0"/>
        <v>0</v>
      </c>
      <c r="I8" s="18">
        <f t="shared" si="1"/>
        <v>0</v>
      </c>
      <c r="J8" s="16">
        <v>0</v>
      </c>
      <c r="K8" s="18">
        <v>0</v>
      </c>
      <c r="L8" s="16">
        <f t="shared" si="2"/>
        <v>0</v>
      </c>
      <c r="M8" s="14">
        <f t="shared" si="3"/>
        <v>0</v>
      </c>
      <c r="N8" s="20"/>
    </row>
    <row r="9" spans="1:14" x14ac:dyDescent="0.25">
      <c r="A9" s="16" t="s">
        <v>262</v>
      </c>
      <c r="B9" s="17" t="s">
        <v>263</v>
      </c>
      <c r="C9" s="16">
        <v>6</v>
      </c>
      <c r="D9" s="18">
        <v>147.9</v>
      </c>
      <c r="E9" s="16">
        <v>0</v>
      </c>
      <c r="F9" s="18">
        <v>0</v>
      </c>
      <c r="G9" s="19">
        <f t="shared" ref="G9:G33" si="4">F9/I9</f>
        <v>0</v>
      </c>
      <c r="H9" s="16">
        <f t="shared" si="0"/>
        <v>6</v>
      </c>
      <c r="I9" s="18">
        <f t="shared" si="1"/>
        <v>147.9</v>
      </c>
      <c r="J9" s="16">
        <f>VLOOKUP(A9,v_2023!A:D,3,FALSE)</f>
        <v>20</v>
      </c>
      <c r="K9" s="18">
        <f>VLOOKUP(A9,v_2023!A:D,4,FALSE)</f>
        <v>325.83999999999997</v>
      </c>
      <c r="L9" s="16">
        <f t="shared" si="2"/>
        <v>-14</v>
      </c>
      <c r="M9" s="14">
        <f t="shared" si="3"/>
        <v>-177.93999999999997</v>
      </c>
      <c r="N9" s="20">
        <f>M9/K9</f>
        <v>-0.54609624355511899</v>
      </c>
    </row>
    <row r="10" spans="1:14" x14ac:dyDescent="0.25">
      <c r="A10" s="16" t="s">
        <v>79</v>
      </c>
      <c r="B10" s="17" t="s">
        <v>80</v>
      </c>
      <c r="C10" s="16">
        <v>275</v>
      </c>
      <c r="D10" s="18">
        <v>5023.29</v>
      </c>
      <c r="E10" s="16">
        <v>0</v>
      </c>
      <c r="F10" s="18">
        <v>0</v>
      </c>
      <c r="G10" s="19">
        <f t="shared" si="4"/>
        <v>0</v>
      </c>
      <c r="H10" s="16">
        <f t="shared" si="0"/>
        <v>275</v>
      </c>
      <c r="I10" s="18">
        <f t="shared" si="1"/>
        <v>5023.29</v>
      </c>
      <c r="J10" s="16">
        <f>VLOOKUP(A10,v_2023!A:D,3,FALSE)</f>
        <v>573</v>
      </c>
      <c r="K10" s="18">
        <f>VLOOKUP(A10,v_2023!A:D,4,FALSE)</f>
        <v>9291.39</v>
      </c>
      <c r="L10" s="16">
        <f t="shared" si="2"/>
        <v>-298</v>
      </c>
      <c r="M10" s="14">
        <f t="shared" si="3"/>
        <v>-4268.0999999999995</v>
      </c>
      <c r="N10" s="20">
        <f>M10/K10</f>
        <v>-0.45936076302899781</v>
      </c>
    </row>
    <row r="11" spans="1:14" x14ac:dyDescent="0.25">
      <c r="A11" s="16" t="s">
        <v>59</v>
      </c>
      <c r="B11" s="17" t="s">
        <v>60</v>
      </c>
      <c r="C11" s="16">
        <v>1</v>
      </c>
      <c r="D11" s="18">
        <v>20.41</v>
      </c>
      <c r="E11" s="16">
        <f>VLOOKUP(A11,s_2024!A:C,2,FALSE)</f>
        <v>48</v>
      </c>
      <c r="F11" s="18">
        <f>VLOOKUP(A11,s_2024!A:C,3,FALSE)</f>
        <v>1440.2000000000007</v>
      </c>
      <c r="G11" s="19">
        <f t="shared" si="4"/>
        <v>0.98602638623588768</v>
      </c>
      <c r="H11" s="16">
        <f t="shared" si="0"/>
        <v>49</v>
      </c>
      <c r="I11" s="18">
        <f t="shared" si="1"/>
        <v>1460.6100000000008</v>
      </c>
      <c r="J11" s="16">
        <f>VLOOKUP(A11,v_2023!A:D,3,FALSE)</f>
        <v>400</v>
      </c>
      <c r="K11" s="18">
        <f>VLOOKUP(A11,v_2023!A:D,4,FALSE)</f>
        <v>8213.58</v>
      </c>
      <c r="L11" s="16">
        <f t="shared" si="2"/>
        <v>-351</v>
      </c>
      <c r="M11" s="14">
        <f t="shared" si="3"/>
        <v>-6752.9699999999993</v>
      </c>
      <c r="N11" s="20">
        <f>M11/K11</f>
        <v>-0.8221713308934715</v>
      </c>
    </row>
    <row r="12" spans="1:14" x14ac:dyDescent="0.25">
      <c r="A12" s="16" t="s">
        <v>250</v>
      </c>
      <c r="B12" s="17" t="s">
        <v>251</v>
      </c>
      <c r="C12" s="16">
        <v>2</v>
      </c>
      <c r="D12" s="18">
        <v>98.08</v>
      </c>
      <c r="E12" s="16">
        <v>0</v>
      </c>
      <c r="F12" s="18">
        <v>0</v>
      </c>
      <c r="G12" s="19">
        <f t="shared" si="4"/>
        <v>0</v>
      </c>
      <c r="H12" s="16">
        <f t="shared" si="0"/>
        <v>2</v>
      </c>
      <c r="I12" s="18">
        <f t="shared" si="1"/>
        <v>98.08</v>
      </c>
      <c r="J12" s="16">
        <f>VLOOKUP(A12,v_2023!A:D,3,FALSE)</f>
        <v>8</v>
      </c>
      <c r="K12" s="18">
        <f>VLOOKUP(A12,v_2023!A:D,4,FALSE)</f>
        <v>425.01</v>
      </c>
      <c r="L12" s="16">
        <f t="shared" si="2"/>
        <v>-6</v>
      </c>
      <c r="M12" s="14">
        <f t="shared" si="3"/>
        <v>-326.93</v>
      </c>
      <c r="N12" s="20">
        <f>M12/K12</f>
        <v>-0.76922895931860436</v>
      </c>
    </row>
    <row r="13" spans="1:14" x14ac:dyDescent="0.25">
      <c r="A13" s="16" t="s">
        <v>704</v>
      </c>
      <c r="B13" s="17" t="s">
        <v>705</v>
      </c>
      <c r="C13" s="16">
        <v>1</v>
      </c>
      <c r="D13" s="18">
        <v>7.43</v>
      </c>
      <c r="E13" s="16">
        <v>0</v>
      </c>
      <c r="F13" s="18">
        <v>0</v>
      </c>
      <c r="G13" s="19">
        <f t="shared" si="4"/>
        <v>0</v>
      </c>
      <c r="H13" s="16">
        <f t="shared" si="0"/>
        <v>1</v>
      </c>
      <c r="I13" s="18">
        <f t="shared" si="1"/>
        <v>7.43</v>
      </c>
      <c r="J13" s="16">
        <v>0</v>
      </c>
      <c r="K13" s="18">
        <v>0</v>
      </c>
      <c r="L13" s="16">
        <f t="shared" si="2"/>
        <v>1</v>
      </c>
      <c r="M13" s="14">
        <f t="shared" si="3"/>
        <v>7.43</v>
      </c>
      <c r="N13" s="20"/>
    </row>
    <row r="14" spans="1:14" x14ac:dyDescent="0.25">
      <c r="A14" s="16" t="s">
        <v>702</v>
      </c>
      <c r="B14" s="17" t="s">
        <v>703</v>
      </c>
      <c r="C14" s="16">
        <v>2</v>
      </c>
      <c r="D14" s="18">
        <v>12.96</v>
      </c>
      <c r="E14" s="16">
        <v>0</v>
      </c>
      <c r="F14" s="18">
        <v>0</v>
      </c>
      <c r="G14" s="19">
        <f t="shared" si="4"/>
        <v>0</v>
      </c>
      <c r="H14" s="16">
        <f t="shared" si="0"/>
        <v>2</v>
      </c>
      <c r="I14" s="18">
        <f t="shared" si="1"/>
        <v>12.96</v>
      </c>
      <c r="J14" s="16">
        <v>0</v>
      </c>
      <c r="K14" s="18">
        <v>0</v>
      </c>
      <c r="L14" s="16">
        <f t="shared" si="2"/>
        <v>2</v>
      </c>
      <c r="M14" s="14">
        <f t="shared" si="3"/>
        <v>12.96</v>
      </c>
      <c r="N14" s="20"/>
    </row>
    <row r="15" spans="1:14" x14ac:dyDescent="0.25">
      <c r="A15" s="16" t="s">
        <v>102</v>
      </c>
      <c r="B15" s="17" t="s">
        <v>103</v>
      </c>
      <c r="C15" s="16">
        <v>19</v>
      </c>
      <c r="D15" s="18">
        <v>686.19</v>
      </c>
      <c r="E15" s="16">
        <v>0</v>
      </c>
      <c r="F15" s="18">
        <v>0</v>
      </c>
      <c r="G15" s="19">
        <f t="shared" si="4"/>
        <v>0</v>
      </c>
      <c r="H15" s="16">
        <f t="shared" si="0"/>
        <v>19</v>
      </c>
      <c r="I15" s="18">
        <f t="shared" si="1"/>
        <v>686.19</v>
      </c>
      <c r="J15" s="16">
        <f>VLOOKUP(A15,v_2023!A:D,3,FALSE)</f>
        <v>99</v>
      </c>
      <c r="K15" s="18">
        <f>VLOOKUP(A15,v_2023!A:D,4,FALSE)</f>
        <v>2832.39</v>
      </c>
      <c r="L15" s="16">
        <f t="shared" si="2"/>
        <v>-80</v>
      </c>
      <c r="M15" s="14">
        <f t="shared" si="3"/>
        <v>-2146.1999999999998</v>
      </c>
      <c r="N15" s="20">
        <f>M15/K15</f>
        <v>-0.75773463400167351</v>
      </c>
    </row>
    <row r="16" spans="1:14" x14ac:dyDescent="0.25">
      <c r="A16" s="16" t="s">
        <v>19</v>
      </c>
      <c r="B16" s="17" t="s">
        <v>20</v>
      </c>
      <c r="C16" s="16">
        <v>15</v>
      </c>
      <c r="D16" s="18">
        <v>209.45</v>
      </c>
      <c r="E16" s="16">
        <v>0</v>
      </c>
      <c r="F16" s="18">
        <v>0</v>
      </c>
      <c r="G16" s="19">
        <f t="shared" si="4"/>
        <v>0</v>
      </c>
      <c r="H16" s="16">
        <f t="shared" si="0"/>
        <v>15</v>
      </c>
      <c r="I16" s="18">
        <f t="shared" si="1"/>
        <v>209.45</v>
      </c>
      <c r="J16" s="16">
        <f>VLOOKUP(A16,v_2023!A:D,3,FALSE)</f>
        <v>1584</v>
      </c>
      <c r="K16" s="18">
        <f>VLOOKUP(A16,v_2023!A:D,4,FALSE)</f>
        <v>20644.509999999998</v>
      </c>
      <c r="L16" s="16">
        <f t="shared" si="2"/>
        <v>-1569</v>
      </c>
      <c r="M16" s="14">
        <f t="shared" si="3"/>
        <v>-20435.059999999998</v>
      </c>
      <c r="N16" s="20">
        <f>M16/K16</f>
        <v>-0.98985444556446234</v>
      </c>
    </row>
    <row r="17" spans="1:14" x14ac:dyDescent="0.25">
      <c r="A17" s="16" t="s">
        <v>700</v>
      </c>
      <c r="B17" s="17" t="s">
        <v>701</v>
      </c>
      <c r="C17" s="16">
        <v>1</v>
      </c>
      <c r="D17" s="18">
        <v>15.05</v>
      </c>
      <c r="E17" s="16">
        <v>0</v>
      </c>
      <c r="F17" s="18">
        <v>0</v>
      </c>
      <c r="G17" s="19">
        <f t="shared" si="4"/>
        <v>0</v>
      </c>
      <c r="H17" s="16">
        <f t="shared" si="0"/>
        <v>1</v>
      </c>
      <c r="I17" s="18">
        <f t="shared" si="1"/>
        <v>15.05</v>
      </c>
      <c r="J17" s="16">
        <v>0</v>
      </c>
      <c r="K17" s="18">
        <v>0</v>
      </c>
      <c r="L17" s="16">
        <f t="shared" si="2"/>
        <v>1</v>
      </c>
      <c r="M17" s="14">
        <f t="shared" si="3"/>
        <v>15.05</v>
      </c>
      <c r="N17" s="20"/>
    </row>
    <row r="18" spans="1:14" x14ac:dyDescent="0.25">
      <c r="A18" s="16" t="s">
        <v>692</v>
      </c>
      <c r="B18" s="17" t="s">
        <v>693</v>
      </c>
      <c r="C18" s="16">
        <v>1</v>
      </c>
      <c r="D18" s="18">
        <v>18.03</v>
      </c>
      <c r="E18" s="16">
        <v>0</v>
      </c>
      <c r="F18" s="18">
        <v>0</v>
      </c>
      <c r="G18" s="19">
        <f t="shared" si="4"/>
        <v>0</v>
      </c>
      <c r="H18" s="16">
        <f t="shared" si="0"/>
        <v>1</v>
      </c>
      <c r="I18" s="18">
        <f t="shared" si="1"/>
        <v>18.03</v>
      </c>
      <c r="J18" s="16">
        <v>0</v>
      </c>
      <c r="K18" s="18">
        <v>0</v>
      </c>
      <c r="L18" s="16">
        <f t="shared" si="2"/>
        <v>1</v>
      </c>
      <c r="M18" s="14">
        <f t="shared" si="3"/>
        <v>18.03</v>
      </c>
      <c r="N18" s="20"/>
    </row>
    <row r="19" spans="1:14" x14ac:dyDescent="0.25">
      <c r="A19" s="16" t="s">
        <v>694</v>
      </c>
      <c r="B19" s="17" t="s">
        <v>695</v>
      </c>
      <c r="C19" s="16">
        <v>3</v>
      </c>
      <c r="D19" s="18">
        <v>17.190000000000001</v>
      </c>
      <c r="E19" s="16">
        <v>0</v>
      </c>
      <c r="F19" s="18">
        <v>0</v>
      </c>
      <c r="G19" s="19">
        <f t="shared" si="4"/>
        <v>0</v>
      </c>
      <c r="H19" s="16">
        <f t="shared" si="0"/>
        <v>3</v>
      </c>
      <c r="I19" s="18">
        <f t="shared" si="1"/>
        <v>17.190000000000001</v>
      </c>
      <c r="J19" s="16">
        <v>0</v>
      </c>
      <c r="K19" s="18">
        <v>0</v>
      </c>
      <c r="L19" s="16">
        <f t="shared" si="2"/>
        <v>3</v>
      </c>
      <c r="M19" s="14">
        <f t="shared" si="3"/>
        <v>17.190000000000001</v>
      </c>
      <c r="N19" s="20"/>
    </row>
    <row r="20" spans="1:14" x14ac:dyDescent="0.25">
      <c r="A20" s="16" t="s">
        <v>142</v>
      </c>
      <c r="B20" s="17" t="s">
        <v>143</v>
      </c>
      <c r="C20" s="16">
        <v>9</v>
      </c>
      <c r="D20" s="18">
        <v>199.98</v>
      </c>
      <c r="E20" s="16">
        <v>0</v>
      </c>
      <c r="F20" s="18">
        <v>0</v>
      </c>
      <c r="G20" s="19">
        <f t="shared" si="4"/>
        <v>0</v>
      </c>
      <c r="H20" s="16">
        <f t="shared" si="0"/>
        <v>9</v>
      </c>
      <c r="I20" s="18">
        <f t="shared" si="1"/>
        <v>199.98</v>
      </c>
      <c r="J20" s="16">
        <f>VLOOKUP(A20,v_2023!A:D,3,FALSE)</f>
        <v>75</v>
      </c>
      <c r="K20" s="18">
        <f>VLOOKUP(A20,v_2023!A:D,4,FALSE)</f>
        <v>1575.73</v>
      </c>
      <c r="L20" s="16">
        <f t="shared" si="2"/>
        <v>-66</v>
      </c>
      <c r="M20" s="14">
        <f t="shared" si="3"/>
        <v>-1375.75</v>
      </c>
      <c r="N20" s="20">
        <f t="shared" ref="N20:N29" si="5">M20/K20</f>
        <v>-0.87308739441401761</v>
      </c>
    </row>
    <row r="21" spans="1:14" x14ac:dyDescent="0.25">
      <c r="A21" s="16" t="s">
        <v>320</v>
      </c>
      <c r="B21" s="17" t="s">
        <v>321</v>
      </c>
      <c r="C21" s="16">
        <v>1</v>
      </c>
      <c r="D21" s="18">
        <v>22.97</v>
      </c>
      <c r="E21" s="16">
        <f>VLOOKUP(A21,s_2024!A:C,2,FALSE)</f>
        <v>6</v>
      </c>
      <c r="F21" s="18">
        <f>VLOOKUP(A21,s_2024!A:C,3,FALSE)</f>
        <v>281.39999999999998</v>
      </c>
      <c r="G21" s="19">
        <f t="shared" si="4"/>
        <v>0.92453264119328438</v>
      </c>
      <c r="H21" s="16">
        <f t="shared" si="0"/>
        <v>7</v>
      </c>
      <c r="I21" s="18">
        <f t="shared" si="1"/>
        <v>304.37</v>
      </c>
      <c r="J21" s="16">
        <f>VLOOKUP(A21,v_2023!A:D,3,FALSE)</f>
        <v>8</v>
      </c>
      <c r="K21" s="18">
        <f>VLOOKUP(A21,v_2023!A:D,4,FALSE)</f>
        <v>319.21999999999997</v>
      </c>
      <c r="L21" s="16">
        <f t="shared" si="2"/>
        <v>-1</v>
      </c>
      <c r="M21" s="14">
        <f t="shared" si="3"/>
        <v>-14.849999999999966</v>
      </c>
      <c r="N21" s="20">
        <f t="shared" si="5"/>
        <v>-4.6519641626464402E-2</v>
      </c>
    </row>
    <row r="22" spans="1:14" x14ac:dyDescent="0.25">
      <c r="A22" s="16" t="s">
        <v>205</v>
      </c>
      <c r="B22" s="17" t="s">
        <v>206</v>
      </c>
      <c r="C22" s="16">
        <v>12</v>
      </c>
      <c r="D22" s="18">
        <v>1075.69</v>
      </c>
      <c r="E22" s="16">
        <v>0</v>
      </c>
      <c r="F22" s="18">
        <v>0</v>
      </c>
      <c r="G22" s="19">
        <f t="shared" si="4"/>
        <v>0</v>
      </c>
      <c r="H22" s="16">
        <f t="shared" si="0"/>
        <v>12</v>
      </c>
      <c r="I22" s="18">
        <f t="shared" si="1"/>
        <v>1075.69</v>
      </c>
      <c r="J22" s="16">
        <f>VLOOKUP(A22,v_2023!A:D,3,FALSE)</f>
        <v>13</v>
      </c>
      <c r="K22" s="18">
        <f>VLOOKUP(A22,v_2023!A:D,4,FALSE)</f>
        <v>973.92</v>
      </c>
      <c r="L22" s="16">
        <f t="shared" si="2"/>
        <v>-1</v>
      </c>
      <c r="M22" s="14">
        <f t="shared" si="3"/>
        <v>101.7700000000001</v>
      </c>
      <c r="N22" s="20">
        <f t="shared" si="5"/>
        <v>0.10449523574831619</v>
      </c>
    </row>
    <row r="23" spans="1:14" x14ac:dyDescent="0.25">
      <c r="A23" s="16" t="s">
        <v>432</v>
      </c>
      <c r="B23" s="17" t="s">
        <v>433</v>
      </c>
      <c r="C23" s="16">
        <v>3</v>
      </c>
      <c r="D23" s="18">
        <v>10.49</v>
      </c>
      <c r="E23" s="16">
        <v>0</v>
      </c>
      <c r="F23" s="18">
        <v>0</v>
      </c>
      <c r="G23" s="19">
        <f t="shared" si="4"/>
        <v>0</v>
      </c>
      <c r="H23" s="16">
        <f t="shared" si="0"/>
        <v>3</v>
      </c>
      <c r="I23" s="18">
        <f t="shared" si="1"/>
        <v>10.49</v>
      </c>
      <c r="J23" s="16">
        <f>VLOOKUP(A23,v_2023!A:D,3,FALSE)</f>
        <v>13</v>
      </c>
      <c r="K23" s="18">
        <f>VLOOKUP(A23,v_2023!A:D,4,FALSE)</f>
        <v>44.07</v>
      </c>
      <c r="L23" s="16">
        <f t="shared" si="2"/>
        <v>-10</v>
      </c>
      <c r="M23" s="14">
        <f t="shared" si="3"/>
        <v>-33.58</v>
      </c>
      <c r="N23" s="20">
        <f t="shared" si="5"/>
        <v>-0.76196959382800089</v>
      </c>
    </row>
    <row r="24" spans="1:14" x14ac:dyDescent="0.25">
      <c r="A24" s="16" t="s">
        <v>12</v>
      </c>
      <c r="B24" s="17" t="s">
        <v>13</v>
      </c>
      <c r="C24" s="16">
        <v>23</v>
      </c>
      <c r="D24" s="18">
        <v>410.8</v>
      </c>
      <c r="E24" s="16">
        <f>VLOOKUP(A24,s_2024!A:C,2,FALSE)</f>
        <v>534</v>
      </c>
      <c r="F24" s="18">
        <f>VLOOKUP(A24,s_2024!A:C,3,FALSE)</f>
        <v>10674.529999999895</v>
      </c>
      <c r="G24" s="19">
        <f t="shared" si="4"/>
        <v>0.96294201435590976</v>
      </c>
      <c r="H24" s="16">
        <f t="shared" si="0"/>
        <v>557</v>
      </c>
      <c r="I24" s="18">
        <f t="shared" si="1"/>
        <v>11085.329999999894</v>
      </c>
      <c r="J24" s="16">
        <f>VLOOKUP(A24,v_2023!A:D,3,FALSE)</f>
        <v>3002</v>
      </c>
      <c r="K24" s="18">
        <f>VLOOKUP(A24,v_2023!A:D,4,FALSE)</f>
        <v>35627.11</v>
      </c>
      <c r="L24" s="16">
        <f t="shared" si="2"/>
        <v>-2445</v>
      </c>
      <c r="M24" s="14">
        <f t="shared" si="3"/>
        <v>-24541.780000000108</v>
      </c>
      <c r="N24" s="20">
        <f t="shared" si="5"/>
        <v>-0.68885127084403164</v>
      </c>
    </row>
    <row r="25" spans="1:14" x14ac:dyDescent="0.25">
      <c r="A25" s="16" t="s">
        <v>446</v>
      </c>
      <c r="B25" s="17" t="s">
        <v>447</v>
      </c>
      <c r="C25" s="16">
        <v>14</v>
      </c>
      <c r="D25" s="18">
        <v>58.41</v>
      </c>
      <c r="E25" s="16">
        <v>0</v>
      </c>
      <c r="F25" s="18">
        <v>0</v>
      </c>
      <c r="G25" s="19">
        <f t="shared" si="4"/>
        <v>0</v>
      </c>
      <c r="H25" s="16">
        <f t="shared" si="0"/>
        <v>14</v>
      </c>
      <c r="I25" s="18">
        <f t="shared" si="1"/>
        <v>58.41</v>
      </c>
      <c r="J25" s="16">
        <f>VLOOKUP(A25,v_2023!A:D,3,FALSE)</f>
        <v>9</v>
      </c>
      <c r="K25" s="18">
        <f>VLOOKUP(A25,v_2023!A:D,4,FALSE)</f>
        <v>37.22</v>
      </c>
      <c r="L25" s="16">
        <f t="shared" si="2"/>
        <v>5</v>
      </c>
      <c r="M25" s="14">
        <f t="shared" si="3"/>
        <v>21.189999999999998</v>
      </c>
      <c r="N25" s="20">
        <f t="shared" si="5"/>
        <v>0.56931757119828041</v>
      </c>
    </row>
    <row r="26" spans="1:14" x14ac:dyDescent="0.25">
      <c r="A26" s="16" t="s">
        <v>436</v>
      </c>
      <c r="B26" s="17" t="s">
        <v>437</v>
      </c>
      <c r="C26" s="16">
        <v>6</v>
      </c>
      <c r="D26" s="18">
        <v>36.93</v>
      </c>
      <c r="E26" s="16">
        <v>0</v>
      </c>
      <c r="F26" s="18">
        <v>0</v>
      </c>
      <c r="G26" s="19">
        <f t="shared" si="4"/>
        <v>0</v>
      </c>
      <c r="H26" s="16">
        <f t="shared" si="0"/>
        <v>6</v>
      </c>
      <c r="I26" s="18">
        <f t="shared" si="1"/>
        <v>36.93</v>
      </c>
      <c r="J26" s="16">
        <f>VLOOKUP(A26,v_2023!A:D,3,FALSE)</f>
        <v>9</v>
      </c>
      <c r="K26" s="18">
        <f>VLOOKUP(A26,v_2023!A:D,4,FALSE)</f>
        <v>54.099999999999994</v>
      </c>
      <c r="L26" s="16">
        <f t="shared" si="2"/>
        <v>-3</v>
      </c>
      <c r="M26" s="14">
        <f t="shared" si="3"/>
        <v>-17.169999999999995</v>
      </c>
      <c r="N26" s="20">
        <f t="shared" si="5"/>
        <v>-0.31737523105360438</v>
      </c>
    </row>
    <row r="27" spans="1:14" x14ac:dyDescent="0.25">
      <c r="A27" s="16" t="s">
        <v>26</v>
      </c>
      <c r="B27" s="17" t="s">
        <v>27</v>
      </c>
      <c r="C27" s="16">
        <v>9</v>
      </c>
      <c r="D27" s="18">
        <v>267.95999999999998</v>
      </c>
      <c r="E27" s="16">
        <f>VLOOKUP(A27,s_2024!A:C,2,FALSE)</f>
        <v>394</v>
      </c>
      <c r="F27" s="18">
        <f>VLOOKUP(A27,s_2024!A:C,3,FALSE)</f>
        <v>14503.529999999904</v>
      </c>
      <c r="G27" s="19">
        <f t="shared" si="4"/>
        <v>0.98185964990667829</v>
      </c>
      <c r="H27" s="16">
        <f t="shared" si="0"/>
        <v>403</v>
      </c>
      <c r="I27" s="18">
        <f t="shared" si="1"/>
        <v>14771.489999999903</v>
      </c>
      <c r="J27" s="16">
        <f>VLOOKUP(A27,v_2023!A:D,3,FALSE)</f>
        <v>1143</v>
      </c>
      <c r="K27" s="18">
        <f>VLOOKUP(A27,v_2023!A:D,4,FALSE)</f>
        <v>33655.870000000003</v>
      </c>
      <c r="L27" s="16">
        <f t="shared" si="2"/>
        <v>-740</v>
      </c>
      <c r="M27" s="14">
        <f t="shared" si="3"/>
        <v>-18884.380000000099</v>
      </c>
      <c r="N27" s="20">
        <f t="shared" si="5"/>
        <v>-0.56110211977881119</v>
      </c>
    </row>
    <row r="28" spans="1:14" x14ac:dyDescent="0.25">
      <c r="A28" s="16" t="s">
        <v>156</v>
      </c>
      <c r="B28" s="17" t="s">
        <v>157</v>
      </c>
      <c r="C28" s="16">
        <v>66</v>
      </c>
      <c r="D28" s="18">
        <v>1357.8700000000001</v>
      </c>
      <c r="E28" s="16">
        <v>0</v>
      </c>
      <c r="F28" s="18">
        <v>0</v>
      </c>
      <c r="G28" s="19">
        <f t="shared" si="4"/>
        <v>0</v>
      </c>
      <c r="H28" s="16">
        <f t="shared" si="0"/>
        <v>66</v>
      </c>
      <c r="I28" s="18">
        <f t="shared" si="1"/>
        <v>1357.8700000000001</v>
      </c>
      <c r="J28" s="16">
        <f>VLOOKUP(A28,v_2023!A:D,3,FALSE)</f>
        <v>72</v>
      </c>
      <c r="K28" s="18">
        <f>VLOOKUP(A28,v_2023!A:D,4,FALSE)</f>
        <v>1646.1000000000001</v>
      </c>
      <c r="L28" s="16">
        <f t="shared" si="2"/>
        <v>-6</v>
      </c>
      <c r="M28" s="14">
        <f t="shared" si="3"/>
        <v>-288.23</v>
      </c>
      <c r="N28" s="20">
        <f t="shared" si="5"/>
        <v>-0.17509871818237044</v>
      </c>
    </row>
    <row r="29" spans="1:14" x14ac:dyDescent="0.25">
      <c r="A29" s="16" t="s">
        <v>61</v>
      </c>
      <c r="B29" s="17" t="s">
        <v>62</v>
      </c>
      <c r="C29" s="16">
        <v>0</v>
      </c>
      <c r="D29" s="18">
        <v>0</v>
      </c>
      <c r="E29" s="16">
        <f>VLOOKUP(A29,s_2024!A:C,2,FALSE)</f>
        <v>8</v>
      </c>
      <c r="F29" s="18">
        <f>VLOOKUP(A29,s_2024!A:C,3,FALSE)</f>
        <v>432.79999999999995</v>
      </c>
      <c r="G29" s="19">
        <f t="shared" si="4"/>
        <v>1</v>
      </c>
      <c r="H29" s="16">
        <f t="shared" si="0"/>
        <v>8</v>
      </c>
      <c r="I29" s="18">
        <f t="shared" si="1"/>
        <v>432.79999999999995</v>
      </c>
      <c r="J29" s="16">
        <f>VLOOKUP(A29,v_2023!A:D,3,FALSE)</f>
        <v>266</v>
      </c>
      <c r="K29" s="18">
        <f>VLOOKUP(A29,v_2023!A:D,4,FALSE)</f>
        <v>7610.26</v>
      </c>
      <c r="L29" s="16">
        <f t="shared" si="2"/>
        <v>-258</v>
      </c>
      <c r="M29" s="14">
        <f t="shared" si="3"/>
        <v>-7177.46</v>
      </c>
      <c r="N29" s="20">
        <f t="shared" si="5"/>
        <v>-0.94312940687965985</v>
      </c>
    </row>
    <row r="30" spans="1:14" x14ac:dyDescent="0.25">
      <c r="A30" s="16" t="s">
        <v>684</v>
      </c>
      <c r="B30" s="17" t="s">
        <v>685</v>
      </c>
      <c r="C30" s="16">
        <v>11</v>
      </c>
      <c r="D30" s="18">
        <v>45.739999999999995</v>
      </c>
      <c r="E30" s="16">
        <v>0</v>
      </c>
      <c r="F30" s="18">
        <v>0</v>
      </c>
      <c r="G30" s="19">
        <f t="shared" si="4"/>
        <v>0</v>
      </c>
      <c r="H30" s="16">
        <f t="shared" si="0"/>
        <v>11</v>
      </c>
      <c r="I30" s="18">
        <f t="shared" si="1"/>
        <v>45.739999999999995</v>
      </c>
      <c r="J30" s="16">
        <v>0</v>
      </c>
      <c r="K30" s="18">
        <v>0</v>
      </c>
      <c r="L30" s="16">
        <f t="shared" si="2"/>
        <v>11</v>
      </c>
      <c r="M30" s="14">
        <f t="shared" si="3"/>
        <v>45.739999999999995</v>
      </c>
      <c r="N30" s="20"/>
    </row>
    <row r="31" spans="1:14" x14ac:dyDescent="0.25">
      <c r="A31" s="16" t="s">
        <v>360</v>
      </c>
      <c r="B31" s="17" t="s">
        <v>361</v>
      </c>
      <c r="C31" s="16">
        <v>2</v>
      </c>
      <c r="D31" s="18">
        <v>27.28</v>
      </c>
      <c r="E31" s="16">
        <v>0</v>
      </c>
      <c r="F31" s="18">
        <v>0</v>
      </c>
      <c r="G31" s="19">
        <f t="shared" si="4"/>
        <v>0</v>
      </c>
      <c r="H31" s="16">
        <f t="shared" si="0"/>
        <v>2</v>
      </c>
      <c r="I31" s="18">
        <f t="shared" si="1"/>
        <v>27.28</v>
      </c>
      <c r="J31" s="16">
        <f>VLOOKUP(A31,v_2023!A:D,3,FALSE)</f>
        <v>8</v>
      </c>
      <c r="K31" s="18">
        <f>VLOOKUP(A31,v_2023!A:D,4,FALSE)</f>
        <v>100.16</v>
      </c>
      <c r="L31" s="16">
        <f t="shared" si="2"/>
        <v>-6</v>
      </c>
      <c r="M31" s="14">
        <f t="shared" si="3"/>
        <v>-72.88</v>
      </c>
      <c r="N31" s="20">
        <f>M31/K31</f>
        <v>-0.72763578274760377</v>
      </c>
    </row>
    <row r="32" spans="1:14" x14ac:dyDescent="0.25">
      <c r="A32" s="16" t="s">
        <v>424</v>
      </c>
      <c r="B32" s="17" t="s">
        <v>425</v>
      </c>
      <c r="C32" s="16">
        <v>4</v>
      </c>
      <c r="D32" s="18">
        <v>51.29</v>
      </c>
      <c r="E32" s="16">
        <v>0</v>
      </c>
      <c r="F32" s="18">
        <v>0</v>
      </c>
      <c r="G32" s="19">
        <f t="shared" si="4"/>
        <v>0</v>
      </c>
      <c r="H32" s="16">
        <f t="shared" si="0"/>
        <v>4</v>
      </c>
      <c r="I32" s="18">
        <f t="shared" si="1"/>
        <v>51.29</v>
      </c>
      <c r="J32" s="16">
        <f>VLOOKUP(A32,v_2023!A:D,3,FALSE)</f>
        <v>6</v>
      </c>
      <c r="K32" s="18">
        <f>VLOOKUP(A32,v_2023!A:D,4,FALSE)</f>
        <v>98.39</v>
      </c>
      <c r="L32" s="16">
        <f t="shared" si="2"/>
        <v>-2</v>
      </c>
      <c r="M32" s="14">
        <f t="shared" si="3"/>
        <v>-47.1</v>
      </c>
      <c r="N32" s="20">
        <f>M32/K32</f>
        <v>-0.47870718568960263</v>
      </c>
    </row>
    <row r="33" spans="1:14" x14ac:dyDescent="0.25">
      <c r="A33" s="16" t="s">
        <v>434</v>
      </c>
      <c r="B33" s="17" t="s">
        <v>435</v>
      </c>
      <c r="C33" s="16">
        <v>36</v>
      </c>
      <c r="D33" s="18">
        <v>3.64</v>
      </c>
      <c r="E33" s="16">
        <v>0</v>
      </c>
      <c r="F33" s="18">
        <v>0</v>
      </c>
      <c r="G33" s="19">
        <f t="shared" si="4"/>
        <v>0</v>
      </c>
      <c r="H33" s="16">
        <f t="shared" si="0"/>
        <v>36</v>
      </c>
      <c r="I33" s="18">
        <f t="shared" si="1"/>
        <v>3.64</v>
      </c>
      <c r="J33" s="16">
        <f>VLOOKUP(A33,v_2023!A:D,3,FALSE)</f>
        <v>17</v>
      </c>
      <c r="K33" s="18">
        <f>VLOOKUP(A33,v_2023!A:D,4,FALSE)</f>
        <v>72.960000000000008</v>
      </c>
      <c r="L33" s="16">
        <f t="shared" si="2"/>
        <v>19</v>
      </c>
      <c r="M33" s="14">
        <f t="shared" si="3"/>
        <v>-69.320000000000007</v>
      </c>
      <c r="N33" s="20">
        <f>M33/K33</f>
        <v>-0.95010964912280704</v>
      </c>
    </row>
    <row r="34" spans="1:14" x14ac:dyDescent="0.25">
      <c r="A34" s="16" t="s">
        <v>564</v>
      </c>
      <c r="B34" s="17" t="s">
        <v>565</v>
      </c>
      <c r="C34" s="16">
        <v>0</v>
      </c>
      <c r="D34" s="18">
        <v>0</v>
      </c>
      <c r="E34" s="16">
        <v>0</v>
      </c>
      <c r="F34" s="18">
        <v>0</v>
      </c>
      <c r="G34" s="19"/>
      <c r="H34" s="16">
        <f t="shared" si="0"/>
        <v>0</v>
      </c>
      <c r="I34" s="18">
        <f t="shared" si="1"/>
        <v>0</v>
      </c>
      <c r="J34" s="16">
        <f>VLOOKUP(A34,v_2023!A:D,3,FALSE)</f>
        <v>0</v>
      </c>
      <c r="K34" s="18">
        <f>VLOOKUP(A34,v_2023!A:D,4,FALSE)</f>
        <v>0</v>
      </c>
      <c r="L34" s="16">
        <f t="shared" si="2"/>
        <v>0</v>
      </c>
      <c r="M34" s="14">
        <f t="shared" si="3"/>
        <v>0</v>
      </c>
      <c r="N34" s="20"/>
    </row>
    <row r="35" spans="1:14" x14ac:dyDescent="0.25">
      <c r="A35" s="16" t="s">
        <v>728</v>
      </c>
      <c r="B35" s="17" t="s">
        <v>729</v>
      </c>
      <c r="C35" s="16">
        <v>0</v>
      </c>
      <c r="D35" s="18">
        <v>0</v>
      </c>
      <c r="E35" s="16">
        <v>0</v>
      </c>
      <c r="F35" s="18">
        <v>0</v>
      </c>
      <c r="G35" s="19"/>
      <c r="H35" s="16">
        <f t="shared" si="0"/>
        <v>0</v>
      </c>
      <c r="I35" s="18">
        <f t="shared" si="1"/>
        <v>0</v>
      </c>
      <c r="J35" s="16">
        <v>0</v>
      </c>
      <c r="K35" s="18">
        <v>0</v>
      </c>
      <c r="L35" s="16">
        <f t="shared" si="2"/>
        <v>0</v>
      </c>
      <c r="M35" s="14">
        <f t="shared" si="3"/>
        <v>0</v>
      </c>
      <c r="N35" s="20"/>
    </row>
    <row r="36" spans="1:14" x14ac:dyDescent="0.25">
      <c r="A36" s="16" t="s">
        <v>724</v>
      </c>
      <c r="B36" s="17" t="s">
        <v>725</v>
      </c>
      <c r="C36" s="16">
        <v>0</v>
      </c>
      <c r="D36" s="18">
        <v>0</v>
      </c>
      <c r="E36" s="16">
        <v>0</v>
      </c>
      <c r="F36" s="18">
        <v>0</v>
      </c>
      <c r="G36" s="19"/>
      <c r="H36" s="16">
        <f t="shared" si="0"/>
        <v>0</v>
      </c>
      <c r="I36" s="18">
        <f t="shared" si="1"/>
        <v>0</v>
      </c>
      <c r="J36" s="16">
        <v>0</v>
      </c>
      <c r="K36" s="18">
        <v>0</v>
      </c>
      <c r="L36" s="16">
        <f t="shared" si="2"/>
        <v>0</v>
      </c>
      <c r="M36" s="14">
        <f t="shared" si="3"/>
        <v>0</v>
      </c>
      <c r="N36" s="20"/>
    </row>
    <row r="37" spans="1:14" x14ac:dyDescent="0.25">
      <c r="A37" s="16" t="s">
        <v>33</v>
      </c>
      <c r="B37" s="17" t="s">
        <v>34</v>
      </c>
      <c r="C37" s="16">
        <v>49</v>
      </c>
      <c r="D37" s="18">
        <v>1395.95</v>
      </c>
      <c r="E37" s="16">
        <f>VLOOKUP(A37,s_2024!A:C,2,FALSE)</f>
        <v>1</v>
      </c>
      <c r="F37" s="18">
        <f>VLOOKUP(A37,s_2024!A:C,3,FALSE)</f>
        <v>0</v>
      </c>
      <c r="G37" s="19">
        <f t="shared" ref="G37:G45" si="6">F37/I37</f>
        <v>0</v>
      </c>
      <c r="H37" s="16">
        <f t="shared" si="0"/>
        <v>50</v>
      </c>
      <c r="I37" s="18">
        <f t="shared" si="1"/>
        <v>1395.95</v>
      </c>
      <c r="J37" s="16">
        <f>VLOOKUP(A37,v_2023!A:D,3,FALSE)</f>
        <v>633</v>
      </c>
      <c r="K37" s="18">
        <f>VLOOKUP(A37,v_2023!A:D,4,FALSE)</f>
        <v>15925.61</v>
      </c>
      <c r="L37" s="16">
        <f t="shared" si="2"/>
        <v>-583</v>
      </c>
      <c r="M37" s="14">
        <f t="shared" si="3"/>
        <v>-14529.66</v>
      </c>
      <c r="N37" s="20">
        <f>M37/K37</f>
        <v>-0.91234558676245359</v>
      </c>
    </row>
    <row r="38" spans="1:14" x14ac:dyDescent="0.25">
      <c r="A38" s="16" t="s">
        <v>232</v>
      </c>
      <c r="B38" s="17" t="s">
        <v>233</v>
      </c>
      <c r="C38" s="16">
        <v>1</v>
      </c>
      <c r="D38" s="18">
        <v>31.06</v>
      </c>
      <c r="E38" s="16">
        <f>VLOOKUP(A38,s_2024!A:C,2,FALSE)</f>
        <v>18</v>
      </c>
      <c r="F38" s="18">
        <f>VLOOKUP(A38,s_2024!A:C,3,FALSE)</f>
        <v>898.1999999999997</v>
      </c>
      <c r="G38" s="19">
        <f t="shared" si="6"/>
        <v>0.96657555474248336</v>
      </c>
      <c r="H38" s="16">
        <f t="shared" si="0"/>
        <v>19</v>
      </c>
      <c r="I38" s="18">
        <f t="shared" si="1"/>
        <v>929.25999999999965</v>
      </c>
      <c r="J38" s="16">
        <f>VLOOKUP(A38,v_2023!A:D,3,FALSE)</f>
        <v>17</v>
      </c>
      <c r="K38" s="18">
        <f>VLOOKUP(A38,v_2023!A:D,4,FALSE)</f>
        <v>651.91000000000008</v>
      </c>
      <c r="L38" s="16">
        <f t="shared" si="2"/>
        <v>2</v>
      </c>
      <c r="M38" s="14">
        <f t="shared" si="3"/>
        <v>277.34999999999957</v>
      </c>
      <c r="N38" s="20">
        <f>M38/K38</f>
        <v>0.42544216226166115</v>
      </c>
    </row>
    <row r="39" spans="1:14" x14ac:dyDescent="0.25">
      <c r="A39" s="16" t="s">
        <v>90</v>
      </c>
      <c r="B39" s="17" t="s">
        <v>91</v>
      </c>
      <c r="C39" s="16">
        <v>15</v>
      </c>
      <c r="D39" s="18">
        <v>942.38</v>
      </c>
      <c r="E39" s="16">
        <v>0</v>
      </c>
      <c r="F39" s="18">
        <v>0</v>
      </c>
      <c r="G39" s="19">
        <f t="shared" si="6"/>
        <v>0</v>
      </c>
      <c r="H39" s="16">
        <f t="shared" si="0"/>
        <v>15</v>
      </c>
      <c r="I39" s="18">
        <f t="shared" si="1"/>
        <v>942.38</v>
      </c>
      <c r="J39" s="16">
        <f>VLOOKUP(A39,v_2023!A:D,3,FALSE)</f>
        <v>68</v>
      </c>
      <c r="K39" s="18">
        <f>VLOOKUP(A39,v_2023!A:D,4,FALSE)</f>
        <v>3790.13</v>
      </c>
      <c r="L39" s="16">
        <f t="shared" si="2"/>
        <v>-53</v>
      </c>
      <c r="M39" s="14">
        <f t="shared" si="3"/>
        <v>-2847.75</v>
      </c>
      <c r="N39" s="20">
        <f>M39/K39</f>
        <v>-0.7513594520504574</v>
      </c>
    </row>
    <row r="40" spans="1:14" x14ac:dyDescent="0.25">
      <c r="A40" s="16" t="s">
        <v>666</v>
      </c>
      <c r="B40" s="17" t="s">
        <v>667</v>
      </c>
      <c r="C40" s="16">
        <v>1</v>
      </c>
      <c r="D40" s="18">
        <v>66.58</v>
      </c>
      <c r="E40" s="16">
        <v>0</v>
      </c>
      <c r="F40" s="18">
        <v>0</v>
      </c>
      <c r="G40" s="19">
        <f t="shared" si="6"/>
        <v>0</v>
      </c>
      <c r="H40" s="16">
        <f t="shared" si="0"/>
        <v>1</v>
      </c>
      <c r="I40" s="18">
        <f t="shared" si="1"/>
        <v>66.58</v>
      </c>
      <c r="J40" s="16">
        <v>0</v>
      </c>
      <c r="K40" s="18">
        <v>0</v>
      </c>
      <c r="L40" s="16">
        <f t="shared" si="2"/>
        <v>1</v>
      </c>
      <c r="M40" s="14">
        <f t="shared" si="3"/>
        <v>66.58</v>
      </c>
      <c r="N40" s="20"/>
    </row>
    <row r="41" spans="1:14" x14ac:dyDescent="0.25">
      <c r="A41" s="16" t="s">
        <v>104</v>
      </c>
      <c r="B41" s="17" t="s">
        <v>105</v>
      </c>
      <c r="C41" s="16">
        <v>25</v>
      </c>
      <c r="D41" s="18">
        <v>1858.24</v>
      </c>
      <c r="E41" s="16">
        <v>0</v>
      </c>
      <c r="F41" s="18">
        <v>0</v>
      </c>
      <c r="G41" s="19">
        <f t="shared" si="6"/>
        <v>0</v>
      </c>
      <c r="H41" s="16">
        <f t="shared" si="0"/>
        <v>25</v>
      </c>
      <c r="I41" s="18">
        <f t="shared" si="1"/>
        <v>1858.24</v>
      </c>
      <c r="J41" s="16">
        <f>VLOOKUP(A41,v_2023!A:D,3,FALSE)</f>
        <v>43</v>
      </c>
      <c r="K41" s="18">
        <f>VLOOKUP(A41,v_2023!A:D,4,FALSE)</f>
        <v>3112.52</v>
      </c>
      <c r="L41" s="16">
        <f t="shared" si="2"/>
        <v>-18</v>
      </c>
      <c r="M41" s="14">
        <f t="shared" si="3"/>
        <v>-1254.28</v>
      </c>
      <c r="N41" s="20">
        <f t="shared" ref="N41:N52" si="7">M41/K41</f>
        <v>-0.40297893668153134</v>
      </c>
    </row>
    <row r="42" spans="1:14" x14ac:dyDescent="0.25">
      <c r="A42" s="16" t="s">
        <v>53</v>
      </c>
      <c r="B42" s="17" t="s">
        <v>54</v>
      </c>
      <c r="C42" s="16">
        <v>1</v>
      </c>
      <c r="D42" s="18">
        <v>26.97</v>
      </c>
      <c r="E42" s="16">
        <f>VLOOKUP(A42,s_2024!A:C,2,FALSE)</f>
        <v>388</v>
      </c>
      <c r="F42" s="18">
        <f>VLOOKUP(A42,s_2024!A:C,3,FALSE)</f>
        <v>12795.269999999911</v>
      </c>
      <c r="G42" s="19">
        <f t="shared" si="6"/>
        <v>0.99789662336689999</v>
      </c>
      <c r="H42" s="16">
        <f t="shared" si="0"/>
        <v>389</v>
      </c>
      <c r="I42" s="18">
        <f t="shared" si="1"/>
        <v>12822.239999999911</v>
      </c>
      <c r="J42" s="16">
        <f>VLOOKUP(A42,v_2023!A:D,3,FALSE)</f>
        <v>803</v>
      </c>
      <c r="K42" s="18">
        <f>VLOOKUP(A42,v_2023!A:D,4,FALSE)</f>
        <v>20999.620000000003</v>
      </c>
      <c r="L42" s="16">
        <f t="shared" si="2"/>
        <v>-414</v>
      </c>
      <c r="M42" s="14">
        <f t="shared" si="3"/>
        <v>-8177.380000000092</v>
      </c>
      <c r="N42" s="20">
        <f t="shared" si="7"/>
        <v>-0.38940609401503889</v>
      </c>
    </row>
    <row r="43" spans="1:14" x14ac:dyDescent="0.25">
      <c r="A43" s="16" t="s">
        <v>340</v>
      </c>
      <c r="B43" s="17" t="s">
        <v>341</v>
      </c>
      <c r="C43" s="16">
        <v>3</v>
      </c>
      <c r="D43" s="18">
        <v>101.14</v>
      </c>
      <c r="E43" s="16">
        <v>0</v>
      </c>
      <c r="F43" s="18">
        <v>0</v>
      </c>
      <c r="G43" s="19">
        <f t="shared" si="6"/>
        <v>0</v>
      </c>
      <c r="H43" s="16">
        <f t="shared" si="0"/>
        <v>3</v>
      </c>
      <c r="I43" s="18">
        <f t="shared" si="1"/>
        <v>101.14</v>
      </c>
      <c r="J43" s="16">
        <f>VLOOKUP(A43,v_2023!A:D,3,FALSE)</f>
        <v>4</v>
      </c>
      <c r="K43" s="18">
        <f>VLOOKUP(A43,v_2023!A:D,4,FALSE)</f>
        <v>139.68</v>
      </c>
      <c r="L43" s="16">
        <f t="shared" si="2"/>
        <v>-1</v>
      </c>
      <c r="M43" s="14">
        <f t="shared" si="3"/>
        <v>-38.540000000000006</v>
      </c>
      <c r="N43" s="20">
        <f t="shared" si="7"/>
        <v>-0.27591638029782362</v>
      </c>
    </row>
    <row r="44" spans="1:14" x14ac:dyDescent="0.25">
      <c r="A44" s="16" t="s">
        <v>590</v>
      </c>
      <c r="B44" s="17" t="s">
        <v>591</v>
      </c>
      <c r="C44" s="16">
        <v>2</v>
      </c>
      <c r="D44" s="18">
        <v>40.82</v>
      </c>
      <c r="E44" s="16">
        <v>0</v>
      </c>
      <c r="F44" s="18">
        <v>0</v>
      </c>
      <c r="G44" s="19">
        <f t="shared" si="6"/>
        <v>0</v>
      </c>
      <c r="H44" s="16">
        <f t="shared" si="0"/>
        <v>2</v>
      </c>
      <c r="I44" s="18">
        <f t="shared" si="1"/>
        <v>40.82</v>
      </c>
      <c r="J44" s="16">
        <f>VLOOKUP(A44,v_2023!A:D,3,FALSE)</f>
        <v>-1</v>
      </c>
      <c r="K44" s="18">
        <f>VLOOKUP(A44,v_2023!A:D,4,FALSE)</f>
        <v>-14.75</v>
      </c>
      <c r="L44" s="16">
        <f t="shared" si="2"/>
        <v>3</v>
      </c>
      <c r="M44" s="14">
        <f t="shared" si="3"/>
        <v>55.57</v>
      </c>
      <c r="N44" s="20">
        <f t="shared" si="7"/>
        <v>-3.767457627118644</v>
      </c>
    </row>
    <row r="45" spans="1:14" x14ac:dyDescent="0.25">
      <c r="A45" s="16" t="s">
        <v>230</v>
      </c>
      <c r="B45" s="17" t="s">
        <v>231</v>
      </c>
      <c r="C45" s="16">
        <v>5</v>
      </c>
      <c r="D45" s="18">
        <v>129.21</v>
      </c>
      <c r="E45" s="16">
        <v>0</v>
      </c>
      <c r="F45" s="18">
        <v>0</v>
      </c>
      <c r="G45" s="19">
        <f t="shared" si="6"/>
        <v>0</v>
      </c>
      <c r="H45" s="16">
        <f t="shared" si="0"/>
        <v>5</v>
      </c>
      <c r="I45" s="18">
        <f t="shared" si="1"/>
        <v>129.21</v>
      </c>
      <c r="J45" s="16">
        <f>VLOOKUP(A45,v_2023!A:D,3,FALSE)</f>
        <v>19</v>
      </c>
      <c r="K45" s="18">
        <f>VLOOKUP(A45,v_2023!A:D,4,FALSE)</f>
        <v>465.69</v>
      </c>
      <c r="L45" s="16">
        <f t="shared" si="2"/>
        <v>-14</v>
      </c>
      <c r="M45" s="14">
        <f t="shared" si="3"/>
        <v>-336.48</v>
      </c>
      <c r="N45" s="20">
        <f t="shared" si="7"/>
        <v>-0.72254074598982154</v>
      </c>
    </row>
    <row r="46" spans="1:14" x14ac:dyDescent="0.25">
      <c r="A46" s="16" t="s">
        <v>422</v>
      </c>
      <c r="B46" s="17" t="s">
        <v>423</v>
      </c>
      <c r="C46" s="16">
        <v>0</v>
      </c>
      <c r="D46" s="18">
        <v>0</v>
      </c>
      <c r="E46" s="16">
        <v>0</v>
      </c>
      <c r="F46" s="18">
        <v>0</v>
      </c>
      <c r="G46" s="19"/>
      <c r="H46" s="16">
        <f t="shared" si="0"/>
        <v>0</v>
      </c>
      <c r="I46" s="18">
        <f t="shared" si="1"/>
        <v>0</v>
      </c>
      <c r="J46" s="16">
        <f>VLOOKUP(A46,v_2023!A:D,3,FALSE)</f>
        <v>2</v>
      </c>
      <c r="K46" s="18">
        <f>VLOOKUP(A46,v_2023!A:D,4,FALSE)</f>
        <v>49.02</v>
      </c>
      <c r="L46" s="16">
        <f t="shared" si="2"/>
        <v>-2</v>
      </c>
      <c r="M46" s="14">
        <f t="shared" si="3"/>
        <v>-49.02</v>
      </c>
      <c r="N46" s="20">
        <f t="shared" si="7"/>
        <v>-1</v>
      </c>
    </row>
    <row r="47" spans="1:14" x14ac:dyDescent="0.25">
      <c r="A47" s="16" t="s">
        <v>302</v>
      </c>
      <c r="B47" s="17" t="s">
        <v>303</v>
      </c>
      <c r="C47" s="16">
        <v>7</v>
      </c>
      <c r="D47" s="18">
        <v>257.01</v>
      </c>
      <c r="E47" s="16">
        <v>0</v>
      </c>
      <c r="F47" s="18">
        <v>0</v>
      </c>
      <c r="G47" s="19">
        <f t="shared" ref="G47:G62" si="8">F47/I47</f>
        <v>0</v>
      </c>
      <c r="H47" s="16">
        <f t="shared" si="0"/>
        <v>7</v>
      </c>
      <c r="I47" s="18">
        <f t="shared" si="1"/>
        <v>257.01</v>
      </c>
      <c r="J47" s="16">
        <f>VLOOKUP(A47,v_2023!A:D,3,FALSE)</f>
        <v>11</v>
      </c>
      <c r="K47" s="18">
        <f>VLOOKUP(A47,v_2023!A:D,4,FALSE)</f>
        <v>311.01</v>
      </c>
      <c r="L47" s="16">
        <f t="shared" si="2"/>
        <v>-4</v>
      </c>
      <c r="M47" s="14">
        <f t="shared" si="3"/>
        <v>-54</v>
      </c>
      <c r="N47" s="20">
        <f t="shared" si="7"/>
        <v>-0.17362785762515676</v>
      </c>
    </row>
    <row r="48" spans="1:14" x14ac:dyDescent="0.25">
      <c r="A48" s="16" t="s">
        <v>190</v>
      </c>
      <c r="B48" s="17" t="s">
        <v>191</v>
      </c>
      <c r="C48" s="16">
        <v>4</v>
      </c>
      <c r="D48" s="18">
        <v>156.28</v>
      </c>
      <c r="E48" s="16">
        <f>VLOOKUP(A48,s_2024!A:C,2,FALSE)</f>
        <v>1</v>
      </c>
      <c r="F48" s="18">
        <f>VLOOKUP(A48,s_2024!A:C,3,FALSE)</f>
        <v>36.99</v>
      </c>
      <c r="G48" s="19">
        <f t="shared" si="8"/>
        <v>0.19139028302374916</v>
      </c>
      <c r="H48" s="16">
        <f t="shared" si="0"/>
        <v>5</v>
      </c>
      <c r="I48" s="18">
        <f t="shared" si="1"/>
        <v>193.27</v>
      </c>
      <c r="J48" s="16">
        <f>VLOOKUP(A48,v_2023!A:D,3,FALSE)</f>
        <v>43</v>
      </c>
      <c r="K48" s="18">
        <f>VLOOKUP(A48,v_2023!A:D,4,FALSE)</f>
        <v>1264.96</v>
      </c>
      <c r="L48" s="16">
        <f t="shared" si="2"/>
        <v>-38</v>
      </c>
      <c r="M48" s="14">
        <f t="shared" si="3"/>
        <v>-1071.69</v>
      </c>
      <c r="N48" s="20">
        <f t="shared" si="7"/>
        <v>-0.84721256008095125</v>
      </c>
    </row>
    <row r="49" spans="1:14" x14ac:dyDescent="0.25">
      <c r="A49" s="16" t="s">
        <v>386</v>
      </c>
      <c r="B49" s="17" t="s">
        <v>387</v>
      </c>
      <c r="C49" s="16">
        <v>6</v>
      </c>
      <c r="D49" s="18">
        <v>150.78</v>
      </c>
      <c r="E49" s="16">
        <v>0</v>
      </c>
      <c r="F49" s="18">
        <v>0</v>
      </c>
      <c r="G49" s="19">
        <f t="shared" si="8"/>
        <v>0</v>
      </c>
      <c r="H49" s="16">
        <f t="shared" si="0"/>
        <v>6</v>
      </c>
      <c r="I49" s="18">
        <f t="shared" si="1"/>
        <v>150.78</v>
      </c>
      <c r="J49" s="16">
        <f>VLOOKUP(A49,v_2023!A:D,3,FALSE)</f>
        <v>7</v>
      </c>
      <c r="K49" s="18">
        <f>VLOOKUP(A49,v_2023!A:D,4,FALSE)</f>
        <v>169.26</v>
      </c>
      <c r="L49" s="16">
        <f t="shared" si="2"/>
        <v>-1</v>
      </c>
      <c r="M49" s="14">
        <f t="shared" si="3"/>
        <v>-18.47999999999999</v>
      </c>
      <c r="N49" s="20">
        <f t="shared" si="7"/>
        <v>-0.1091811414392059</v>
      </c>
    </row>
    <row r="50" spans="1:14" x14ac:dyDescent="0.25">
      <c r="A50" s="16" t="s">
        <v>51</v>
      </c>
      <c r="B50" s="17" t="s">
        <v>52</v>
      </c>
      <c r="C50" s="16">
        <v>5</v>
      </c>
      <c r="D50" s="18">
        <v>103.55</v>
      </c>
      <c r="E50" s="16">
        <f>VLOOKUP(A50,s_2024!A:C,2,FALSE)</f>
        <v>36</v>
      </c>
      <c r="F50" s="18">
        <f>VLOOKUP(A50,s_2024!A:C,3,FALSE)</f>
        <v>906.39999999999952</v>
      </c>
      <c r="G50" s="19">
        <f t="shared" si="8"/>
        <v>0.89747017179068267</v>
      </c>
      <c r="H50" s="16">
        <f t="shared" si="0"/>
        <v>41</v>
      </c>
      <c r="I50" s="18">
        <f t="shared" si="1"/>
        <v>1009.9499999999995</v>
      </c>
      <c r="J50" s="16">
        <f>VLOOKUP(A50,v_2023!A:D,3,FALSE)</f>
        <v>573</v>
      </c>
      <c r="K50" s="18">
        <f>VLOOKUP(A50,v_2023!A:D,4,FALSE)</f>
        <v>11649.880000000001</v>
      </c>
      <c r="L50" s="16">
        <f t="shared" si="2"/>
        <v>-532</v>
      </c>
      <c r="M50" s="14">
        <f t="shared" si="3"/>
        <v>-10639.930000000002</v>
      </c>
      <c r="N50" s="20">
        <f t="shared" si="7"/>
        <v>-0.91330811991196481</v>
      </c>
    </row>
    <row r="51" spans="1:14" x14ac:dyDescent="0.25">
      <c r="A51" s="16" t="s">
        <v>176</v>
      </c>
      <c r="B51" s="17" t="s">
        <v>177</v>
      </c>
      <c r="C51" s="16">
        <v>19</v>
      </c>
      <c r="D51" s="18">
        <v>922.48</v>
      </c>
      <c r="E51" s="16">
        <v>0</v>
      </c>
      <c r="F51" s="18">
        <v>0</v>
      </c>
      <c r="G51" s="19">
        <f t="shared" si="8"/>
        <v>0</v>
      </c>
      <c r="H51" s="16">
        <f t="shared" si="0"/>
        <v>19</v>
      </c>
      <c r="I51" s="18">
        <f t="shared" si="1"/>
        <v>922.48</v>
      </c>
      <c r="J51" s="16">
        <f>VLOOKUP(A51,v_2023!A:D,3,FALSE)</f>
        <v>23</v>
      </c>
      <c r="K51" s="18">
        <f>VLOOKUP(A51,v_2023!A:D,4,FALSE)</f>
        <v>1319.95</v>
      </c>
      <c r="L51" s="16">
        <f t="shared" si="2"/>
        <v>-4</v>
      </c>
      <c r="M51" s="14">
        <f t="shared" si="3"/>
        <v>-397.47</v>
      </c>
      <c r="N51" s="20">
        <f t="shared" si="7"/>
        <v>-0.30112504261525058</v>
      </c>
    </row>
    <row r="52" spans="1:14" x14ac:dyDescent="0.25">
      <c r="A52" s="16" t="s">
        <v>418</v>
      </c>
      <c r="B52" s="17" t="s">
        <v>419</v>
      </c>
      <c r="C52" s="16">
        <v>1</v>
      </c>
      <c r="D52" s="18">
        <v>19.59</v>
      </c>
      <c r="E52" s="16">
        <v>0</v>
      </c>
      <c r="F52" s="18">
        <v>0</v>
      </c>
      <c r="G52" s="19">
        <f t="shared" si="8"/>
        <v>0</v>
      </c>
      <c r="H52" s="16">
        <f t="shared" si="0"/>
        <v>1</v>
      </c>
      <c r="I52" s="18">
        <f t="shared" si="1"/>
        <v>19.59</v>
      </c>
      <c r="J52" s="16">
        <f>VLOOKUP(A52,v_2023!A:D,3,FALSE)</f>
        <v>2</v>
      </c>
      <c r="K52" s="18">
        <f>VLOOKUP(A52,v_2023!A:D,4,FALSE)</f>
        <v>49.42</v>
      </c>
      <c r="L52" s="16">
        <f t="shared" si="2"/>
        <v>-1</v>
      </c>
      <c r="M52" s="14">
        <f t="shared" si="3"/>
        <v>-29.830000000000002</v>
      </c>
      <c r="N52" s="20">
        <f t="shared" si="7"/>
        <v>-0.60360178065560499</v>
      </c>
    </row>
    <row r="53" spans="1:14" x14ac:dyDescent="0.25">
      <c r="A53" s="16" t="s">
        <v>730</v>
      </c>
      <c r="B53" s="17" t="s">
        <v>731</v>
      </c>
      <c r="C53" s="16">
        <v>-1</v>
      </c>
      <c r="D53" s="18">
        <v>-5.12</v>
      </c>
      <c r="E53" s="16">
        <v>0</v>
      </c>
      <c r="F53" s="18">
        <v>0</v>
      </c>
      <c r="G53" s="19">
        <f t="shared" si="8"/>
        <v>0</v>
      </c>
      <c r="H53" s="16">
        <f t="shared" si="0"/>
        <v>-1</v>
      </c>
      <c r="I53" s="18">
        <f t="shared" si="1"/>
        <v>-5.12</v>
      </c>
      <c r="J53" s="16">
        <v>0</v>
      </c>
      <c r="K53" s="18">
        <v>0</v>
      </c>
      <c r="L53" s="16">
        <f t="shared" si="2"/>
        <v>-1</v>
      </c>
      <c r="M53" s="14">
        <f t="shared" si="3"/>
        <v>-5.12</v>
      </c>
      <c r="N53" s="20"/>
    </row>
    <row r="54" spans="1:14" x14ac:dyDescent="0.25">
      <c r="A54" s="16" t="s">
        <v>372</v>
      </c>
      <c r="B54" s="17" t="s">
        <v>373</v>
      </c>
      <c r="C54" s="16">
        <v>3</v>
      </c>
      <c r="D54" s="18">
        <v>130.44</v>
      </c>
      <c r="E54" s="16">
        <v>0</v>
      </c>
      <c r="F54" s="18">
        <v>0</v>
      </c>
      <c r="G54" s="19">
        <f t="shared" si="8"/>
        <v>0</v>
      </c>
      <c r="H54" s="16">
        <f t="shared" si="0"/>
        <v>3</v>
      </c>
      <c r="I54" s="18">
        <f t="shared" si="1"/>
        <v>130.44</v>
      </c>
      <c r="J54" s="16">
        <f>VLOOKUP(A54,v_2023!A:D,3,FALSE)</f>
        <v>4</v>
      </c>
      <c r="K54" s="18">
        <f>VLOOKUP(A54,v_2023!A:D,4,FALSE)</f>
        <v>167.39</v>
      </c>
      <c r="L54" s="16">
        <f t="shared" si="2"/>
        <v>-1</v>
      </c>
      <c r="M54" s="14">
        <f t="shared" si="3"/>
        <v>-36.949999999999989</v>
      </c>
      <c r="N54" s="20">
        <f>M54/K54</f>
        <v>-0.22074197980763482</v>
      </c>
    </row>
    <row r="55" spans="1:14" x14ac:dyDescent="0.25">
      <c r="A55" s="16" t="s">
        <v>49</v>
      </c>
      <c r="B55" s="17" t="s">
        <v>50</v>
      </c>
      <c r="C55" s="16">
        <v>43</v>
      </c>
      <c r="D55" s="18">
        <v>1896.1</v>
      </c>
      <c r="E55" s="16">
        <v>0</v>
      </c>
      <c r="F55" s="18">
        <v>0</v>
      </c>
      <c r="G55" s="19">
        <f t="shared" si="8"/>
        <v>0</v>
      </c>
      <c r="H55" s="16">
        <f t="shared" si="0"/>
        <v>43</v>
      </c>
      <c r="I55" s="18">
        <f t="shared" si="1"/>
        <v>1896.1</v>
      </c>
      <c r="J55" s="16">
        <f>VLOOKUP(A55,v_2023!A:D,3,FALSE)</f>
        <v>244</v>
      </c>
      <c r="K55" s="18">
        <f>VLOOKUP(A55,v_2023!A:D,4,FALSE)</f>
        <v>9958.3100000000013</v>
      </c>
      <c r="L55" s="16">
        <f t="shared" si="2"/>
        <v>-201</v>
      </c>
      <c r="M55" s="14">
        <f t="shared" si="3"/>
        <v>-8062.2100000000009</v>
      </c>
      <c r="N55" s="20">
        <f>M55/K55</f>
        <v>-0.80959620658525389</v>
      </c>
    </row>
    <row r="56" spans="1:14" x14ac:dyDescent="0.25">
      <c r="A56" s="16" t="s">
        <v>452</v>
      </c>
      <c r="B56" s="17" t="s">
        <v>453</v>
      </c>
      <c r="C56" s="16">
        <v>170</v>
      </c>
      <c r="D56" s="18">
        <v>2082.7000000000003</v>
      </c>
      <c r="E56" s="16">
        <v>0</v>
      </c>
      <c r="F56" s="18">
        <v>0</v>
      </c>
      <c r="G56" s="19">
        <f t="shared" si="8"/>
        <v>0</v>
      </c>
      <c r="H56" s="16">
        <f t="shared" si="0"/>
        <v>170</v>
      </c>
      <c r="I56" s="18">
        <f t="shared" si="1"/>
        <v>2082.7000000000003</v>
      </c>
      <c r="J56" s="16">
        <f>VLOOKUP(A56,v_2023!A:D,3,FALSE)</f>
        <v>4</v>
      </c>
      <c r="K56" s="18">
        <f>VLOOKUP(A56,v_2023!A:D,4,FALSE)</f>
        <v>67.509999999999991</v>
      </c>
      <c r="L56" s="16">
        <f t="shared" si="2"/>
        <v>166</v>
      </c>
      <c r="M56" s="14">
        <f t="shared" si="3"/>
        <v>2015.1900000000003</v>
      </c>
      <c r="N56" s="20">
        <f>M56/K56</f>
        <v>29.850244408235824</v>
      </c>
    </row>
    <row r="57" spans="1:14" x14ac:dyDescent="0.25">
      <c r="A57" s="16" t="s">
        <v>106</v>
      </c>
      <c r="B57" s="17" t="s">
        <v>107</v>
      </c>
      <c r="C57" s="16">
        <v>52</v>
      </c>
      <c r="D57" s="18">
        <v>763.70999999999992</v>
      </c>
      <c r="E57" s="16">
        <v>0</v>
      </c>
      <c r="F57" s="18">
        <v>0</v>
      </c>
      <c r="G57" s="19">
        <f t="shared" si="8"/>
        <v>0</v>
      </c>
      <c r="H57" s="16">
        <f t="shared" si="0"/>
        <v>52</v>
      </c>
      <c r="I57" s="18">
        <f t="shared" si="1"/>
        <v>763.70999999999992</v>
      </c>
      <c r="J57" s="16">
        <f>VLOOKUP(A57,v_2023!A:D,3,FALSE)</f>
        <v>212</v>
      </c>
      <c r="K57" s="18">
        <f>VLOOKUP(A57,v_2023!A:D,4,FALSE)</f>
        <v>3204.1000000000004</v>
      </c>
      <c r="L57" s="16">
        <f t="shared" si="2"/>
        <v>-160</v>
      </c>
      <c r="M57" s="14">
        <f t="shared" si="3"/>
        <v>-2440.3900000000003</v>
      </c>
      <c r="N57" s="20">
        <f>M57/K57</f>
        <v>-0.76164601604194626</v>
      </c>
    </row>
    <row r="58" spans="1:14" x14ac:dyDescent="0.25">
      <c r="A58" s="16" t="s">
        <v>37</v>
      </c>
      <c r="B58" s="17" t="s">
        <v>38</v>
      </c>
      <c r="C58" s="16">
        <v>7</v>
      </c>
      <c r="D58" s="18">
        <v>325.84000000000003</v>
      </c>
      <c r="E58" s="16">
        <v>0</v>
      </c>
      <c r="F58" s="18">
        <v>0</v>
      </c>
      <c r="G58" s="19">
        <f t="shared" si="8"/>
        <v>0</v>
      </c>
      <c r="H58" s="16">
        <f t="shared" si="0"/>
        <v>7</v>
      </c>
      <c r="I58" s="18">
        <f t="shared" si="1"/>
        <v>325.84000000000003</v>
      </c>
      <c r="J58" s="16">
        <f>VLOOKUP(A58,v_2023!A:D,3,FALSE)</f>
        <v>401</v>
      </c>
      <c r="K58" s="18">
        <f>VLOOKUP(A58,v_2023!A:D,4,FALSE)</f>
        <v>13128.1</v>
      </c>
      <c r="L58" s="16">
        <f t="shared" si="2"/>
        <v>-394</v>
      </c>
      <c r="M58" s="14">
        <f t="shared" si="3"/>
        <v>-12802.26</v>
      </c>
      <c r="N58" s="20">
        <f>M58/K58</f>
        <v>-0.97517995749575337</v>
      </c>
    </row>
    <row r="59" spans="1:14" x14ac:dyDescent="0.25">
      <c r="A59" s="16" t="s">
        <v>648</v>
      </c>
      <c r="B59" s="17" t="s">
        <v>649</v>
      </c>
      <c r="C59" s="16">
        <v>1</v>
      </c>
      <c r="D59" s="18">
        <v>117.41</v>
      </c>
      <c r="E59" s="16">
        <v>0</v>
      </c>
      <c r="F59" s="18">
        <v>0</v>
      </c>
      <c r="G59" s="19">
        <f t="shared" si="8"/>
        <v>0</v>
      </c>
      <c r="H59" s="16">
        <f t="shared" si="0"/>
        <v>1</v>
      </c>
      <c r="I59" s="18">
        <f t="shared" si="1"/>
        <v>117.41</v>
      </c>
      <c r="J59" s="16">
        <v>0</v>
      </c>
      <c r="K59" s="18">
        <v>0</v>
      </c>
      <c r="L59" s="16">
        <f t="shared" si="2"/>
        <v>1</v>
      </c>
      <c r="M59" s="14">
        <f t="shared" si="3"/>
        <v>117.41</v>
      </c>
      <c r="N59" s="20"/>
    </row>
    <row r="60" spans="1:14" x14ac:dyDescent="0.25">
      <c r="A60" s="16" t="s">
        <v>164</v>
      </c>
      <c r="B60" s="17" t="s">
        <v>165</v>
      </c>
      <c r="C60" s="16">
        <v>46</v>
      </c>
      <c r="D60" s="18">
        <v>2537.23</v>
      </c>
      <c r="E60" s="16">
        <v>0</v>
      </c>
      <c r="F60" s="18">
        <v>0</v>
      </c>
      <c r="G60" s="19">
        <f t="shared" si="8"/>
        <v>0</v>
      </c>
      <c r="H60" s="16">
        <f t="shared" si="0"/>
        <v>46</v>
      </c>
      <c r="I60" s="18">
        <f t="shared" si="1"/>
        <v>2537.23</v>
      </c>
      <c r="J60" s="16">
        <f>VLOOKUP(A60,v_2023!A:D,3,FALSE)</f>
        <v>30</v>
      </c>
      <c r="K60" s="18">
        <f>VLOOKUP(A60,v_2023!A:D,4,FALSE)</f>
        <v>1541.3400000000001</v>
      </c>
      <c r="L60" s="16">
        <f t="shared" si="2"/>
        <v>16</v>
      </c>
      <c r="M60" s="14">
        <f t="shared" si="3"/>
        <v>995.88999999999987</v>
      </c>
      <c r="N60" s="20">
        <f>M60/K60</f>
        <v>0.64611961020929831</v>
      </c>
    </row>
    <row r="61" spans="1:14" x14ac:dyDescent="0.25">
      <c r="A61" s="16" t="s">
        <v>186</v>
      </c>
      <c r="B61" s="17" t="s">
        <v>187</v>
      </c>
      <c r="C61" s="16">
        <v>47</v>
      </c>
      <c r="D61" s="18">
        <v>1409.6499999999999</v>
      </c>
      <c r="E61" s="16">
        <f>VLOOKUP(A61,s_2024!A:C,2,FALSE)</f>
        <v>13</v>
      </c>
      <c r="F61" s="18">
        <f>VLOOKUP(A61,s_2024!A:C,3,FALSE)</f>
        <v>626.89999999999986</v>
      </c>
      <c r="G61" s="19">
        <f t="shared" si="8"/>
        <v>0.30782450713215975</v>
      </c>
      <c r="H61" s="16">
        <f t="shared" si="0"/>
        <v>60</v>
      </c>
      <c r="I61" s="18">
        <f t="shared" si="1"/>
        <v>2036.5499999999997</v>
      </c>
      <c r="J61" s="16">
        <f>VLOOKUP(A61,v_2023!A:D,3,FALSE)</f>
        <v>67</v>
      </c>
      <c r="K61" s="18">
        <f>VLOOKUP(A61,v_2023!A:D,4,FALSE)</f>
        <v>1995.43</v>
      </c>
      <c r="L61" s="16">
        <f t="shared" si="2"/>
        <v>-7</v>
      </c>
      <c r="M61" s="14">
        <f t="shared" si="3"/>
        <v>41.119999999999663</v>
      </c>
      <c r="N61" s="20">
        <f>M61/K61</f>
        <v>2.0607087194238666E-2</v>
      </c>
    </row>
    <row r="62" spans="1:14" x14ac:dyDescent="0.25">
      <c r="A62" s="16" t="s">
        <v>293</v>
      </c>
      <c r="B62" s="17" t="s">
        <v>294</v>
      </c>
      <c r="C62" s="16">
        <v>32</v>
      </c>
      <c r="D62" s="18">
        <v>372.1</v>
      </c>
      <c r="E62" s="16">
        <v>0</v>
      </c>
      <c r="F62" s="18">
        <v>0</v>
      </c>
      <c r="G62" s="19">
        <f t="shared" si="8"/>
        <v>0</v>
      </c>
      <c r="H62" s="16">
        <f t="shared" si="0"/>
        <v>32</v>
      </c>
      <c r="I62" s="18">
        <f t="shared" si="1"/>
        <v>372.1</v>
      </c>
      <c r="J62" s="16">
        <f>VLOOKUP(A62,v_2023!A:D,3,FALSE)</f>
        <v>32</v>
      </c>
      <c r="K62" s="18">
        <f>VLOOKUP(A62,v_2023!A:D,4,FALSE)</f>
        <v>241.24</v>
      </c>
      <c r="L62" s="16">
        <f t="shared" si="2"/>
        <v>0</v>
      </c>
      <c r="M62" s="14">
        <f t="shared" si="3"/>
        <v>130.86000000000001</v>
      </c>
      <c r="N62" s="20">
        <f>M62/K62</f>
        <v>0.54244735533079091</v>
      </c>
    </row>
    <row r="63" spans="1:14" x14ac:dyDescent="0.25">
      <c r="A63" s="16" t="s">
        <v>722</v>
      </c>
      <c r="B63" s="17" t="s">
        <v>723</v>
      </c>
      <c r="C63" s="16">
        <v>0</v>
      </c>
      <c r="D63" s="18">
        <v>0</v>
      </c>
      <c r="E63" s="16">
        <v>0</v>
      </c>
      <c r="F63" s="18">
        <v>0</v>
      </c>
      <c r="G63" s="19"/>
      <c r="H63" s="16">
        <f t="shared" si="0"/>
        <v>0</v>
      </c>
      <c r="I63" s="18">
        <f t="shared" si="1"/>
        <v>0</v>
      </c>
      <c r="J63" s="16">
        <v>0</v>
      </c>
      <c r="K63" s="18">
        <v>0</v>
      </c>
      <c r="L63" s="16">
        <f t="shared" si="2"/>
        <v>0</v>
      </c>
      <c r="M63" s="14">
        <f t="shared" si="3"/>
        <v>0</v>
      </c>
      <c r="N63" s="20"/>
    </row>
    <row r="64" spans="1:14" x14ac:dyDescent="0.25">
      <c r="A64" s="16" t="s">
        <v>658</v>
      </c>
      <c r="B64" s="17" t="s">
        <v>659</v>
      </c>
      <c r="C64" s="16">
        <v>9</v>
      </c>
      <c r="D64" s="18">
        <v>206.62</v>
      </c>
      <c r="E64" s="16">
        <v>0</v>
      </c>
      <c r="F64" s="18">
        <v>0</v>
      </c>
      <c r="G64" s="19">
        <f>F64/I64</f>
        <v>0</v>
      </c>
      <c r="H64" s="16">
        <f t="shared" si="0"/>
        <v>9</v>
      </c>
      <c r="I64" s="18">
        <f t="shared" si="1"/>
        <v>206.62</v>
      </c>
      <c r="J64" s="16">
        <v>0</v>
      </c>
      <c r="K64" s="18">
        <v>0</v>
      </c>
      <c r="L64" s="16">
        <f t="shared" si="2"/>
        <v>9</v>
      </c>
      <c r="M64" s="14">
        <f t="shared" si="3"/>
        <v>206.62</v>
      </c>
      <c r="N64" s="20"/>
    </row>
    <row r="65" spans="1:14" x14ac:dyDescent="0.25">
      <c r="A65" s="16" t="s">
        <v>706</v>
      </c>
      <c r="B65" s="17" t="s">
        <v>707</v>
      </c>
      <c r="C65" s="16">
        <v>3</v>
      </c>
      <c r="D65" s="18">
        <v>14.35</v>
      </c>
      <c r="E65" s="16">
        <v>0</v>
      </c>
      <c r="F65" s="18">
        <v>0</v>
      </c>
      <c r="G65" s="19">
        <f>F65/I65</f>
        <v>0</v>
      </c>
      <c r="H65" s="16">
        <f t="shared" si="0"/>
        <v>3</v>
      </c>
      <c r="I65" s="18">
        <f t="shared" si="1"/>
        <v>14.35</v>
      </c>
      <c r="J65" s="16">
        <v>0</v>
      </c>
      <c r="K65" s="18">
        <v>0</v>
      </c>
      <c r="L65" s="16">
        <f t="shared" si="2"/>
        <v>3</v>
      </c>
      <c r="M65" s="14">
        <f t="shared" si="3"/>
        <v>14.35</v>
      </c>
      <c r="N65" s="20"/>
    </row>
    <row r="66" spans="1:14" x14ac:dyDescent="0.25">
      <c r="A66" s="16" t="s">
        <v>554</v>
      </c>
      <c r="B66" s="17" t="s">
        <v>555</v>
      </c>
      <c r="C66" s="16">
        <v>1</v>
      </c>
      <c r="D66" s="18">
        <v>29.03</v>
      </c>
      <c r="E66" s="16">
        <v>0</v>
      </c>
      <c r="F66" s="18">
        <v>0</v>
      </c>
      <c r="G66" s="19">
        <f>F66/I66</f>
        <v>0</v>
      </c>
      <c r="H66" s="16">
        <f t="shared" ref="H66:H129" si="9">E66+C66</f>
        <v>1</v>
      </c>
      <c r="I66" s="18">
        <f t="shared" ref="I66:I129" si="10">F66+D66</f>
        <v>29.03</v>
      </c>
      <c r="J66" s="16">
        <f>VLOOKUP(A66,v_2023!A:D,3,FALSE)</f>
        <v>0</v>
      </c>
      <c r="K66" s="18">
        <f>VLOOKUP(A66,v_2023!A:D,4,FALSE)</f>
        <v>0</v>
      </c>
      <c r="L66" s="16">
        <f t="shared" ref="L66:L129" si="11">H66-J66</f>
        <v>1</v>
      </c>
      <c r="M66" s="14">
        <f t="shared" ref="M66:M129" si="12">I66-K66</f>
        <v>29.03</v>
      </c>
      <c r="N66" s="20"/>
    </row>
    <row r="67" spans="1:14" x14ac:dyDescent="0.25">
      <c r="A67" s="16" t="s">
        <v>676</v>
      </c>
      <c r="B67" s="17" t="s">
        <v>677</v>
      </c>
      <c r="C67" s="16">
        <v>1</v>
      </c>
      <c r="D67" s="18">
        <v>55.62</v>
      </c>
      <c r="E67" s="16">
        <v>0</v>
      </c>
      <c r="F67" s="18">
        <v>0</v>
      </c>
      <c r="G67" s="19">
        <f>F67/I67</f>
        <v>0</v>
      </c>
      <c r="H67" s="16">
        <f t="shared" si="9"/>
        <v>1</v>
      </c>
      <c r="I67" s="18">
        <f t="shared" si="10"/>
        <v>55.62</v>
      </c>
      <c r="J67" s="16">
        <v>0</v>
      </c>
      <c r="K67" s="18">
        <v>0</v>
      </c>
      <c r="L67" s="16">
        <f t="shared" si="11"/>
        <v>1</v>
      </c>
      <c r="M67" s="14">
        <f t="shared" si="12"/>
        <v>55.62</v>
      </c>
      <c r="N67" s="20"/>
    </row>
    <row r="68" spans="1:14" x14ac:dyDescent="0.25">
      <c r="A68" s="16" t="s">
        <v>214</v>
      </c>
      <c r="B68" s="17" t="s">
        <v>215</v>
      </c>
      <c r="C68" s="16">
        <v>1</v>
      </c>
      <c r="D68" s="18">
        <v>41.58</v>
      </c>
      <c r="E68" s="16">
        <v>0</v>
      </c>
      <c r="F68" s="18">
        <v>0</v>
      </c>
      <c r="G68" s="19">
        <f>F68/I68</f>
        <v>0</v>
      </c>
      <c r="H68" s="16">
        <f t="shared" si="9"/>
        <v>1</v>
      </c>
      <c r="I68" s="18">
        <f t="shared" si="10"/>
        <v>41.58</v>
      </c>
      <c r="J68" s="16">
        <f>VLOOKUP(A68,v_2023!A:D,3,FALSE)</f>
        <v>15</v>
      </c>
      <c r="K68" s="18">
        <f>VLOOKUP(A68,v_2023!A:D,4,FALSE)</f>
        <v>623.70000000000005</v>
      </c>
      <c r="L68" s="16">
        <f t="shared" si="11"/>
        <v>-14</v>
      </c>
      <c r="M68" s="14">
        <f t="shared" si="12"/>
        <v>-582.12</v>
      </c>
      <c r="N68" s="20">
        <f>M68/K68</f>
        <v>-0.93333333333333324</v>
      </c>
    </row>
    <row r="69" spans="1:14" x14ac:dyDescent="0.25">
      <c r="A69" s="16" t="s">
        <v>718</v>
      </c>
      <c r="B69" s="17" t="s">
        <v>719</v>
      </c>
      <c r="C69" s="16">
        <v>0</v>
      </c>
      <c r="D69" s="18">
        <v>0</v>
      </c>
      <c r="E69" s="16">
        <v>0</v>
      </c>
      <c r="F69" s="18">
        <v>0</v>
      </c>
      <c r="G69" s="19"/>
      <c r="H69" s="16">
        <f t="shared" si="9"/>
        <v>0</v>
      </c>
      <c r="I69" s="18">
        <f t="shared" si="10"/>
        <v>0</v>
      </c>
      <c r="J69" s="16">
        <v>0</v>
      </c>
      <c r="K69" s="18">
        <v>0</v>
      </c>
      <c r="L69" s="16">
        <f t="shared" si="11"/>
        <v>0</v>
      </c>
      <c r="M69" s="14">
        <f t="shared" si="12"/>
        <v>0</v>
      </c>
      <c r="N69" s="20"/>
    </row>
    <row r="70" spans="1:14" x14ac:dyDescent="0.25">
      <c r="A70" s="16" t="s">
        <v>122</v>
      </c>
      <c r="B70" s="17" t="s">
        <v>123</v>
      </c>
      <c r="C70" s="16">
        <v>10</v>
      </c>
      <c r="D70" s="18">
        <v>253.92</v>
      </c>
      <c r="E70" s="16">
        <f>VLOOKUP(A70,s_2024!A:C,2,FALSE)</f>
        <v>17</v>
      </c>
      <c r="F70" s="18">
        <f>VLOOKUP(A70,s_2024!A:C,3,FALSE)</f>
        <v>542.9899999999999</v>
      </c>
      <c r="G70" s="19">
        <f t="shared" ref="G70:G93" si="13">F70/I70</f>
        <v>0.6813692888782924</v>
      </c>
      <c r="H70" s="16">
        <f t="shared" si="9"/>
        <v>27</v>
      </c>
      <c r="I70" s="18">
        <f t="shared" si="10"/>
        <v>796.90999999999985</v>
      </c>
      <c r="J70" s="16">
        <f>VLOOKUP(A70,v_2023!A:D,3,FALSE)</f>
        <v>100</v>
      </c>
      <c r="K70" s="18">
        <f>VLOOKUP(A70,v_2023!A:D,4,FALSE)</f>
        <v>2466.4</v>
      </c>
      <c r="L70" s="16">
        <f t="shared" si="11"/>
        <v>-73</v>
      </c>
      <c r="M70" s="14">
        <f t="shared" si="12"/>
        <v>-1669.4900000000002</v>
      </c>
      <c r="N70" s="20">
        <f>M70/K70</f>
        <v>-0.67689344794031792</v>
      </c>
    </row>
    <row r="71" spans="1:14" x14ac:dyDescent="0.25">
      <c r="A71" s="16" t="s">
        <v>300</v>
      </c>
      <c r="B71" s="17" t="s">
        <v>301</v>
      </c>
      <c r="C71" s="16">
        <v>199</v>
      </c>
      <c r="D71" s="18">
        <v>2973.83</v>
      </c>
      <c r="E71" s="16">
        <v>0</v>
      </c>
      <c r="F71" s="18">
        <v>0</v>
      </c>
      <c r="G71" s="19">
        <f t="shared" si="13"/>
        <v>0</v>
      </c>
      <c r="H71" s="16">
        <f t="shared" si="9"/>
        <v>199</v>
      </c>
      <c r="I71" s="18">
        <f t="shared" si="10"/>
        <v>2973.83</v>
      </c>
      <c r="J71" s="16">
        <f>VLOOKUP(A71,v_2023!A:D,3,FALSE)</f>
        <v>17</v>
      </c>
      <c r="K71" s="18">
        <f>VLOOKUP(A71,v_2023!A:D,4,FALSE)</f>
        <v>261.64999999999998</v>
      </c>
      <c r="L71" s="16">
        <f t="shared" si="11"/>
        <v>182</v>
      </c>
      <c r="M71" s="14">
        <f t="shared" si="12"/>
        <v>2712.18</v>
      </c>
      <c r="N71" s="20">
        <f>M71/K71</f>
        <v>10.365679342633289</v>
      </c>
    </row>
    <row r="72" spans="1:14" x14ac:dyDescent="0.25">
      <c r="A72" s="16" t="s">
        <v>196</v>
      </c>
      <c r="B72" s="17" t="s">
        <v>197</v>
      </c>
      <c r="C72" s="16">
        <v>30</v>
      </c>
      <c r="D72" s="18">
        <v>665.80000000000007</v>
      </c>
      <c r="E72" s="16">
        <v>0</v>
      </c>
      <c r="F72" s="18">
        <v>0</v>
      </c>
      <c r="G72" s="19">
        <f t="shared" si="13"/>
        <v>0</v>
      </c>
      <c r="H72" s="16">
        <f t="shared" si="9"/>
        <v>30</v>
      </c>
      <c r="I72" s="18">
        <f t="shared" si="10"/>
        <v>665.80000000000007</v>
      </c>
      <c r="J72" s="16">
        <f>VLOOKUP(A72,v_2023!A:D,3,FALSE)</f>
        <v>37</v>
      </c>
      <c r="K72" s="18">
        <f>VLOOKUP(A72,v_2023!A:D,4,FALSE)</f>
        <v>878.32</v>
      </c>
      <c r="L72" s="16">
        <f t="shared" si="11"/>
        <v>-7</v>
      </c>
      <c r="M72" s="14">
        <f t="shared" si="12"/>
        <v>-212.51999999999998</v>
      </c>
      <c r="N72" s="20">
        <f>M72/K72</f>
        <v>-0.24196192731578464</v>
      </c>
    </row>
    <row r="73" spans="1:14" x14ac:dyDescent="0.25">
      <c r="A73" s="16" t="s">
        <v>634</v>
      </c>
      <c r="B73" s="17" t="s">
        <v>635</v>
      </c>
      <c r="C73" s="16">
        <v>8</v>
      </c>
      <c r="D73" s="18">
        <v>196.7</v>
      </c>
      <c r="E73" s="16">
        <v>0</v>
      </c>
      <c r="F73" s="18">
        <v>0</v>
      </c>
      <c r="G73" s="19">
        <f t="shared" si="13"/>
        <v>0</v>
      </c>
      <c r="H73" s="16">
        <f t="shared" si="9"/>
        <v>8</v>
      </c>
      <c r="I73" s="18">
        <f t="shared" si="10"/>
        <v>196.7</v>
      </c>
      <c r="J73" s="16">
        <v>0</v>
      </c>
      <c r="K73" s="18">
        <v>0</v>
      </c>
      <c r="L73" s="16">
        <f t="shared" si="11"/>
        <v>8</v>
      </c>
      <c r="M73" s="14">
        <f t="shared" si="12"/>
        <v>196.7</v>
      </c>
      <c r="N73" s="20"/>
    </row>
    <row r="74" spans="1:14" x14ac:dyDescent="0.25">
      <c r="A74" s="16" t="s">
        <v>202</v>
      </c>
      <c r="B74" s="17" t="s">
        <v>197</v>
      </c>
      <c r="C74" s="16">
        <v>2</v>
      </c>
      <c r="D74" s="18">
        <v>22.14</v>
      </c>
      <c r="E74" s="16">
        <f>VLOOKUP(A74,s_2024!A:C,2,FALSE)</f>
        <v>45</v>
      </c>
      <c r="F74" s="18">
        <f>VLOOKUP(A74,s_2024!A:C,3,FALSE)</f>
        <v>672.80999999999949</v>
      </c>
      <c r="G74" s="19">
        <f t="shared" si="13"/>
        <v>0.96814159292035395</v>
      </c>
      <c r="H74" s="16">
        <f t="shared" si="9"/>
        <v>47</v>
      </c>
      <c r="I74" s="18">
        <f t="shared" si="10"/>
        <v>694.94999999999948</v>
      </c>
      <c r="J74" s="16">
        <f>VLOOKUP(A74,v_2023!A:D,3,FALSE)</f>
        <v>85</v>
      </c>
      <c r="K74" s="18">
        <f>VLOOKUP(A74,v_2023!A:D,4,FALSE)</f>
        <v>1021.69</v>
      </c>
      <c r="L74" s="16">
        <f t="shared" si="11"/>
        <v>-38</v>
      </c>
      <c r="M74" s="14">
        <f t="shared" si="12"/>
        <v>-326.74000000000058</v>
      </c>
      <c r="N74" s="20">
        <f>M74/K74</f>
        <v>-0.31980346288991823</v>
      </c>
    </row>
    <row r="75" spans="1:14" x14ac:dyDescent="0.25">
      <c r="A75" s="16" t="s">
        <v>682</v>
      </c>
      <c r="B75" s="17" t="s">
        <v>683</v>
      </c>
      <c r="C75" s="16">
        <v>4</v>
      </c>
      <c r="D75" s="18">
        <v>64.509999999999991</v>
      </c>
      <c r="E75" s="16">
        <v>0</v>
      </c>
      <c r="F75" s="18">
        <v>0</v>
      </c>
      <c r="G75" s="19">
        <f t="shared" si="13"/>
        <v>0</v>
      </c>
      <c r="H75" s="16">
        <f t="shared" si="9"/>
        <v>4</v>
      </c>
      <c r="I75" s="18">
        <f t="shared" si="10"/>
        <v>64.509999999999991</v>
      </c>
      <c r="J75" s="16">
        <v>0</v>
      </c>
      <c r="K75" s="18">
        <v>0</v>
      </c>
      <c r="L75" s="16">
        <f t="shared" si="11"/>
        <v>4</v>
      </c>
      <c r="M75" s="14">
        <f t="shared" si="12"/>
        <v>64.509999999999991</v>
      </c>
      <c r="N75" s="20"/>
    </row>
    <row r="76" spans="1:14" x14ac:dyDescent="0.25">
      <c r="A76" s="16" t="s">
        <v>562</v>
      </c>
      <c r="B76" s="17" t="s">
        <v>563</v>
      </c>
      <c r="C76" s="16">
        <v>1</v>
      </c>
      <c r="D76" s="18">
        <v>91.6</v>
      </c>
      <c r="E76" s="16">
        <v>0</v>
      </c>
      <c r="F76" s="18">
        <v>0</v>
      </c>
      <c r="G76" s="19">
        <f t="shared" si="13"/>
        <v>0</v>
      </c>
      <c r="H76" s="16">
        <f t="shared" si="9"/>
        <v>1</v>
      </c>
      <c r="I76" s="18">
        <f t="shared" si="10"/>
        <v>91.6</v>
      </c>
      <c r="J76" s="16">
        <f>VLOOKUP(A76,v_2023!A:D,3,FALSE)</f>
        <v>0</v>
      </c>
      <c r="K76" s="18">
        <f>VLOOKUP(A76,v_2023!A:D,4,FALSE)</f>
        <v>0</v>
      </c>
      <c r="L76" s="16">
        <f t="shared" si="11"/>
        <v>1</v>
      </c>
      <c r="M76" s="14">
        <f t="shared" si="12"/>
        <v>91.6</v>
      </c>
      <c r="N76" s="20"/>
    </row>
    <row r="77" spans="1:14" x14ac:dyDescent="0.25">
      <c r="A77" s="16" t="s">
        <v>128</v>
      </c>
      <c r="B77" s="17" t="s">
        <v>129</v>
      </c>
      <c r="C77" s="16">
        <v>203</v>
      </c>
      <c r="D77" s="18">
        <v>2645.87</v>
      </c>
      <c r="E77" s="16">
        <v>0</v>
      </c>
      <c r="F77" s="18">
        <v>0</v>
      </c>
      <c r="G77" s="19">
        <f t="shared" si="13"/>
        <v>0</v>
      </c>
      <c r="H77" s="16">
        <f t="shared" si="9"/>
        <v>203</v>
      </c>
      <c r="I77" s="18">
        <f t="shared" si="10"/>
        <v>2645.87</v>
      </c>
      <c r="J77" s="16">
        <f>VLOOKUP(A77,v_2023!A:D,3,FALSE)</f>
        <v>164</v>
      </c>
      <c r="K77" s="18">
        <f>VLOOKUP(A77,v_2023!A:D,4,FALSE)</f>
        <v>2010.57</v>
      </c>
      <c r="L77" s="16">
        <f t="shared" si="11"/>
        <v>39</v>
      </c>
      <c r="M77" s="14">
        <f t="shared" si="12"/>
        <v>635.29999999999995</v>
      </c>
      <c r="N77" s="20">
        <f t="shared" ref="N77:N82" si="14">M77/K77</f>
        <v>0.31598004545974523</v>
      </c>
    </row>
    <row r="78" spans="1:14" x14ac:dyDescent="0.25">
      <c r="A78" s="16" t="s">
        <v>65</v>
      </c>
      <c r="B78" s="17" t="s">
        <v>66</v>
      </c>
      <c r="C78" s="16">
        <v>72</v>
      </c>
      <c r="D78" s="18">
        <v>2028.94</v>
      </c>
      <c r="E78" s="16">
        <f>VLOOKUP(A78,s_2024!A:C,2,FALSE)</f>
        <v>365</v>
      </c>
      <c r="F78" s="18">
        <f>VLOOKUP(A78,s_2024!A:C,3,FALSE)</f>
        <v>12257.319999999916</v>
      </c>
      <c r="G78" s="19">
        <f t="shared" si="13"/>
        <v>0.85797962517831727</v>
      </c>
      <c r="H78" s="16">
        <f t="shared" si="9"/>
        <v>437</v>
      </c>
      <c r="I78" s="18">
        <f t="shared" si="10"/>
        <v>14286.259999999917</v>
      </c>
      <c r="J78" s="16">
        <f>VLOOKUP(A78,v_2023!A:D,3,FALSE)</f>
        <v>375</v>
      </c>
      <c r="K78" s="18">
        <f>VLOOKUP(A78,v_2023!A:D,4,FALSE)</f>
        <v>11812.32</v>
      </c>
      <c r="L78" s="16">
        <f t="shared" si="11"/>
        <v>62</v>
      </c>
      <c r="M78" s="14">
        <f t="shared" si="12"/>
        <v>2473.9399999999168</v>
      </c>
      <c r="N78" s="20">
        <f t="shared" si="14"/>
        <v>0.20943726549906511</v>
      </c>
    </row>
    <row r="79" spans="1:14" x14ac:dyDescent="0.25">
      <c r="A79" s="16" t="s">
        <v>75</v>
      </c>
      <c r="B79" s="17" t="s">
        <v>76</v>
      </c>
      <c r="C79" s="16">
        <v>5</v>
      </c>
      <c r="D79" s="18">
        <v>186.48000000000002</v>
      </c>
      <c r="E79" s="16">
        <f>VLOOKUP(A79,s_2024!A:C,2,FALSE)</f>
        <v>20</v>
      </c>
      <c r="F79" s="18">
        <f>VLOOKUP(A79,s_2024!A:C,3,FALSE)</f>
        <v>1037.9999999999998</v>
      </c>
      <c r="G79" s="19">
        <f t="shared" si="13"/>
        <v>0.84770678165425317</v>
      </c>
      <c r="H79" s="16">
        <f t="shared" si="9"/>
        <v>25</v>
      </c>
      <c r="I79" s="18">
        <f t="shared" si="10"/>
        <v>1224.4799999999998</v>
      </c>
      <c r="J79" s="16">
        <f>VLOOKUP(A79,v_2023!A:D,3,FALSE)</f>
        <v>287</v>
      </c>
      <c r="K79" s="18">
        <f>VLOOKUP(A79,v_2023!A:D,4,FALSE)</f>
        <v>10625.77</v>
      </c>
      <c r="L79" s="16">
        <f t="shared" si="11"/>
        <v>-262</v>
      </c>
      <c r="M79" s="14">
        <f t="shared" si="12"/>
        <v>-9401.2900000000009</v>
      </c>
      <c r="N79" s="20">
        <f t="shared" si="14"/>
        <v>-0.88476317480991973</v>
      </c>
    </row>
    <row r="80" spans="1:14" x14ac:dyDescent="0.25">
      <c r="A80" s="16" t="s">
        <v>134</v>
      </c>
      <c r="B80" s="17" t="s">
        <v>135</v>
      </c>
      <c r="C80" s="16">
        <v>62</v>
      </c>
      <c r="D80" s="18">
        <v>2621.2599999999998</v>
      </c>
      <c r="E80" s="16">
        <f>VLOOKUP(A80,s_2024!A:C,2,FALSE)</f>
        <v>19</v>
      </c>
      <c r="F80" s="18">
        <f>VLOOKUP(A80,s_2024!A:C,3,FALSE)</f>
        <v>1138.0999999999999</v>
      </c>
      <c r="G80" s="19">
        <f t="shared" si="13"/>
        <v>0.30273770003404837</v>
      </c>
      <c r="H80" s="16">
        <f t="shared" si="9"/>
        <v>81</v>
      </c>
      <c r="I80" s="18">
        <f t="shared" si="10"/>
        <v>3759.3599999999997</v>
      </c>
      <c r="J80" s="16">
        <f>VLOOKUP(A80,v_2023!A:D,3,FALSE)</f>
        <v>62</v>
      </c>
      <c r="K80" s="18">
        <f>VLOOKUP(A80,v_2023!A:D,4,FALSE)</f>
        <v>2954.2999999999997</v>
      </c>
      <c r="L80" s="16">
        <f t="shared" si="11"/>
        <v>19</v>
      </c>
      <c r="M80" s="14">
        <f t="shared" si="12"/>
        <v>805.06</v>
      </c>
      <c r="N80" s="20">
        <f t="shared" si="14"/>
        <v>0.27250448498798363</v>
      </c>
    </row>
    <row r="81" spans="1:14" x14ac:dyDescent="0.25">
      <c r="A81" s="16" t="s">
        <v>496</v>
      </c>
      <c r="B81" s="17" t="s">
        <v>497</v>
      </c>
      <c r="C81" s="16">
        <v>1</v>
      </c>
      <c r="D81" s="18">
        <v>13.81</v>
      </c>
      <c r="E81" s="16">
        <v>0</v>
      </c>
      <c r="F81" s="18">
        <v>0</v>
      </c>
      <c r="G81" s="19">
        <f t="shared" si="13"/>
        <v>0</v>
      </c>
      <c r="H81" s="16">
        <f t="shared" si="9"/>
        <v>1</v>
      </c>
      <c r="I81" s="18">
        <f t="shared" si="10"/>
        <v>13.81</v>
      </c>
      <c r="J81" s="16">
        <f>VLOOKUP(A81,v_2023!A:D,3,FALSE)</f>
        <v>1</v>
      </c>
      <c r="K81" s="18">
        <f>VLOOKUP(A81,v_2023!A:D,4,FALSE)</f>
        <v>18.239999999999998</v>
      </c>
      <c r="L81" s="16">
        <f t="shared" si="11"/>
        <v>0</v>
      </c>
      <c r="M81" s="14">
        <f t="shared" si="12"/>
        <v>-4.4299999999999979</v>
      </c>
      <c r="N81" s="20">
        <f t="shared" si="14"/>
        <v>-0.24287280701754377</v>
      </c>
    </row>
    <row r="82" spans="1:14" x14ac:dyDescent="0.25">
      <c r="A82" s="16" t="s">
        <v>398</v>
      </c>
      <c r="B82" s="17" t="s">
        <v>399</v>
      </c>
      <c r="C82" s="16">
        <v>1</v>
      </c>
      <c r="D82" s="18">
        <v>33.25</v>
      </c>
      <c r="E82" s="16">
        <v>0</v>
      </c>
      <c r="F82" s="18">
        <v>0</v>
      </c>
      <c r="G82" s="19">
        <f t="shared" si="13"/>
        <v>0</v>
      </c>
      <c r="H82" s="16">
        <f t="shared" si="9"/>
        <v>1</v>
      </c>
      <c r="I82" s="18">
        <f t="shared" si="10"/>
        <v>33.25</v>
      </c>
      <c r="J82" s="16">
        <f>VLOOKUP(A82,v_2023!A:D,3,FALSE)</f>
        <v>2</v>
      </c>
      <c r="K82" s="18">
        <f>VLOOKUP(A82,v_2023!A:D,4,FALSE)</f>
        <v>71.099999999999994</v>
      </c>
      <c r="L82" s="16">
        <f t="shared" si="11"/>
        <v>-1</v>
      </c>
      <c r="M82" s="14">
        <f t="shared" si="12"/>
        <v>-37.849999999999994</v>
      </c>
      <c r="N82" s="20">
        <f t="shared" si="14"/>
        <v>-0.53234880450070321</v>
      </c>
    </row>
    <row r="83" spans="1:14" x14ac:dyDescent="0.25">
      <c r="A83" s="16" t="s">
        <v>678</v>
      </c>
      <c r="B83" s="17" t="s">
        <v>679</v>
      </c>
      <c r="C83" s="16">
        <v>1</v>
      </c>
      <c r="D83" s="18">
        <v>54.9</v>
      </c>
      <c r="E83" s="16">
        <v>0</v>
      </c>
      <c r="F83" s="18">
        <v>0</v>
      </c>
      <c r="G83" s="19">
        <f t="shared" si="13"/>
        <v>0</v>
      </c>
      <c r="H83" s="16">
        <f t="shared" si="9"/>
        <v>1</v>
      </c>
      <c r="I83" s="18">
        <f t="shared" si="10"/>
        <v>54.9</v>
      </c>
      <c r="J83" s="16">
        <v>0</v>
      </c>
      <c r="K83" s="18">
        <v>0</v>
      </c>
      <c r="L83" s="16">
        <f t="shared" si="11"/>
        <v>1</v>
      </c>
      <c r="M83" s="14">
        <f t="shared" si="12"/>
        <v>54.9</v>
      </c>
      <c r="N83" s="20"/>
    </row>
    <row r="84" spans="1:14" x14ac:dyDescent="0.25">
      <c r="A84" s="16" t="s">
        <v>47</v>
      </c>
      <c r="B84" s="17" t="s">
        <v>48</v>
      </c>
      <c r="C84" s="16">
        <v>178</v>
      </c>
      <c r="D84" s="18">
        <v>3604.5600000000004</v>
      </c>
      <c r="E84" s="16">
        <v>0</v>
      </c>
      <c r="F84" s="18">
        <v>0</v>
      </c>
      <c r="G84" s="19">
        <f t="shared" si="13"/>
        <v>0</v>
      </c>
      <c r="H84" s="16">
        <f t="shared" si="9"/>
        <v>178</v>
      </c>
      <c r="I84" s="18">
        <f t="shared" si="10"/>
        <v>3604.5600000000004</v>
      </c>
      <c r="J84" s="16">
        <f>VLOOKUP(A84,v_2023!A:D,3,FALSE)</f>
        <v>491</v>
      </c>
      <c r="K84" s="18">
        <f>VLOOKUP(A84,v_2023!A:D,4,FALSE)</f>
        <v>10102.950000000001</v>
      </c>
      <c r="L84" s="16">
        <f t="shared" si="11"/>
        <v>-313</v>
      </c>
      <c r="M84" s="14">
        <f t="shared" si="12"/>
        <v>-6498.39</v>
      </c>
      <c r="N84" s="20">
        <f>M84/K84</f>
        <v>-0.64321708015975532</v>
      </c>
    </row>
    <row r="85" spans="1:14" x14ac:dyDescent="0.25">
      <c r="A85" s="16" t="s">
        <v>358</v>
      </c>
      <c r="B85" s="17" t="s">
        <v>359</v>
      </c>
      <c r="C85" s="16">
        <v>3</v>
      </c>
      <c r="D85" s="18">
        <v>72.88</v>
      </c>
      <c r="E85" s="16">
        <v>0</v>
      </c>
      <c r="F85" s="18">
        <v>0</v>
      </c>
      <c r="G85" s="19">
        <f t="shared" si="13"/>
        <v>0</v>
      </c>
      <c r="H85" s="16">
        <f t="shared" si="9"/>
        <v>3</v>
      </c>
      <c r="I85" s="18">
        <f t="shared" si="10"/>
        <v>72.88</v>
      </c>
      <c r="J85" s="16">
        <f>VLOOKUP(A85,v_2023!A:D,3,FALSE)</f>
        <v>6</v>
      </c>
      <c r="K85" s="18">
        <f>VLOOKUP(A85,v_2023!A:D,4,FALSE)</f>
        <v>134.09</v>
      </c>
      <c r="L85" s="16">
        <f t="shared" si="11"/>
        <v>-3</v>
      </c>
      <c r="M85" s="14">
        <f t="shared" si="12"/>
        <v>-61.210000000000008</v>
      </c>
      <c r="N85" s="20">
        <f>M85/K85</f>
        <v>-0.45648445074203897</v>
      </c>
    </row>
    <row r="86" spans="1:14" x14ac:dyDescent="0.25">
      <c r="A86" s="16" t="s">
        <v>696</v>
      </c>
      <c r="B86" s="17" t="s">
        <v>697</v>
      </c>
      <c r="C86" s="16">
        <v>1</v>
      </c>
      <c r="D86" s="18">
        <v>17.07</v>
      </c>
      <c r="E86" s="16">
        <v>0</v>
      </c>
      <c r="F86" s="18">
        <v>0</v>
      </c>
      <c r="G86" s="19">
        <f t="shared" si="13"/>
        <v>0</v>
      </c>
      <c r="H86" s="16">
        <f t="shared" si="9"/>
        <v>1</v>
      </c>
      <c r="I86" s="18">
        <f t="shared" si="10"/>
        <v>17.07</v>
      </c>
      <c r="J86" s="16">
        <v>0</v>
      </c>
      <c r="K86" s="18">
        <v>0</v>
      </c>
      <c r="L86" s="16">
        <f t="shared" si="11"/>
        <v>1</v>
      </c>
      <c r="M86" s="14">
        <f t="shared" si="12"/>
        <v>17.07</v>
      </c>
      <c r="N86" s="20"/>
    </row>
    <row r="87" spans="1:14" x14ac:dyDescent="0.25">
      <c r="A87" s="16" t="s">
        <v>324</v>
      </c>
      <c r="B87" s="17" t="s">
        <v>325</v>
      </c>
      <c r="C87" s="16">
        <v>93</v>
      </c>
      <c r="D87" s="18">
        <v>687.96</v>
      </c>
      <c r="E87" s="16">
        <v>0</v>
      </c>
      <c r="F87" s="18">
        <v>0</v>
      </c>
      <c r="G87" s="19">
        <f t="shared" si="13"/>
        <v>0</v>
      </c>
      <c r="H87" s="16">
        <f t="shared" si="9"/>
        <v>93</v>
      </c>
      <c r="I87" s="18">
        <f t="shared" si="10"/>
        <v>687.96</v>
      </c>
      <c r="J87" s="16">
        <f>VLOOKUP(A87,v_2023!A:D,3,FALSE)</f>
        <v>31</v>
      </c>
      <c r="K87" s="18">
        <f>VLOOKUP(A87,v_2023!A:D,4,FALSE)</f>
        <v>255.23999999999998</v>
      </c>
      <c r="L87" s="16">
        <f t="shared" si="11"/>
        <v>62</v>
      </c>
      <c r="M87" s="14">
        <f t="shared" si="12"/>
        <v>432.72</v>
      </c>
      <c r="N87" s="20">
        <f t="shared" ref="N87:N96" si="15">M87/K87</f>
        <v>1.6953455571227083</v>
      </c>
    </row>
    <row r="88" spans="1:14" x14ac:dyDescent="0.25">
      <c r="A88" s="16" t="s">
        <v>370</v>
      </c>
      <c r="B88" s="17" t="s">
        <v>371</v>
      </c>
      <c r="C88" s="16">
        <v>24</v>
      </c>
      <c r="D88" s="18">
        <v>339.75</v>
      </c>
      <c r="E88" s="16">
        <v>0</v>
      </c>
      <c r="F88" s="18">
        <v>0</v>
      </c>
      <c r="G88" s="19">
        <f t="shared" si="13"/>
        <v>0</v>
      </c>
      <c r="H88" s="16">
        <f t="shared" si="9"/>
        <v>24</v>
      </c>
      <c r="I88" s="18">
        <f t="shared" si="10"/>
        <v>339.75</v>
      </c>
      <c r="J88" s="16">
        <f>VLOOKUP(A88,v_2023!A:D,3,FALSE)</f>
        <v>3</v>
      </c>
      <c r="K88" s="18">
        <f>VLOOKUP(A88,v_2023!A:D,4,FALSE)</f>
        <v>86.73</v>
      </c>
      <c r="L88" s="16">
        <f t="shared" si="11"/>
        <v>21</v>
      </c>
      <c r="M88" s="14">
        <f t="shared" si="12"/>
        <v>253.01999999999998</v>
      </c>
      <c r="N88" s="20">
        <f t="shared" si="15"/>
        <v>2.9173296437218954</v>
      </c>
    </row>
    <row r="89" spans="1:14" x14ac:dyDescent="0.25">
      <c r="A89" s="16" t="s">
        <v>318</v>
      </c>
      <c r="B89" s="17" t="s">
        <v>319</v>
      </c>
      <c r="C89" s="16">
        <v>2</v>
      </c>
      <c r="D89" s="18">
        <v>151.86000000000001</v>
      </c>
      <c r="E89" s="16">
        <v>0</v>
      </c>
      <c r="F89" s="18">
        <v>0</v>
      </c>
      <c r="G89" s="19">
        <f t="shared" si="13"/>
        <v>0</v>
      </c>
      <c r="H89" s="16">
        <f t="shared" si="9"/>
        <v>2</v>
      </c>
      <c r="I89" s="18">
        <f t="shared" si="10"/>
        <v>151.86000000000001</v>
      </c>
      <c r="J89" s="16">
        <f>VLOOKUP(A89,v_2023!A:D,3,FALSE)</f>
        <v>2</v>
      </c>
      <c r="K89" s="18">
        <f>VLOOKUP(A89,v_2023!A:D,4,FALSE)</f>
        <v>162.30000000000001</v>
      </c>
      <c r="L89" s="16">
        <f t="shared" si="11"/>
        <v>0</v>
      </c>
      <c r="M89" s="14">
        <f t="shared" si="12"/>
        <v>-10.439999999999998</v>
      </c>
      <c r="N89" s="20">
        <f t="shared" si="15"/>
        <v>-6.4325323475046187E-2</v>
      </c>
    </row>
    <row r="90" spans="1:14" x14ac:dyDescent="0.25">
      <c r="A90" s="16" t="s">
        <v>240</v>
      </c>
      <c r="B90" s="17" t="s">
        <v>241</v>
      </c>
      <c r="C90" s="16">
        <v>7</v>
      </c>
      <c r="D90" s="18">
        <v>332.73</v>
      </c>
      <c r="E90" s="16">
        <v>0</v>
      </c>
      <c r="F90" s="18">
        <v>0</v>
      </c>
      <c r="G90" s="19">
        <f t="shared" si="13"/>
        <v>0</v>
      </c>
      <c r="H90" s="16">
        <f t="shared" si="9"/>
        <v>7</v>
      </c>
      <c r="I90" s="18">
        <f t="shared" si="10"/>
        <v>332.73</v>
      </c>
      <c r="J90" s="16">
        <f>VLOOKUP(A90,v_2023!A:D,3,FALSE)</f>
        <v>11</v>
      </c>
      <c r="K90" s="18">
        <f>VLOOKUP(A90,v_2023!A:D,4,FALSE)</f>
        <v>525.08000000000004</v>
      </c>
      <c r="L90" s="16">
        <f t="shared" si="11"/>
        <v>-4</v>
      </c>
      <c r="M90" s="14">
        <f t="shared" si="12"/>
        <v>-192.35000000000002</v>
      </c>
      <c r="N90" s="20">
        <f t="shared" si="15"/>
        <v>-0.36632513140854728</v>
      </c>
    </row>
    <row r="91" spans="1:14" x14ac:dyDescent="0.25">
      <c r="A91" s="16" t="s">
        <v>132</v>
      </c>
      <c r="B91" s="17" t="s">
        <v>133</v>
      </c>
      <c r="C91" s="16">
        <v>361</v>
      </c>
      <c r="D91" s="18">
        <v>5152.8799999999992</v>
      </c>
      <c r="E91" s="16">
        <v>0</v>
      </c>
      <c r="F91" s="18">
        <v>0</v>
      </c>
      <c r="G91" s="19">
        <f t="shared" si="13"/>
        <v>0</v>
      </c>
      <c r="H91" s="16">
        <f t="shared" si="9"/>
        <v>361</v>
      </c>
      <c r="I91" s="18">
        <f t="shared" si="10"/>
        <v>5152.8799999999992</v>
      </c>
      <c r="J91" s="16">
        <f>VLOOKUP(A91,v_2023!A:D,3,FALSE)</f>
        <v>187</v>
      </c>
      <c r="K91" s="18">
        <f>VLOOKUP(A91,v_2023!A:D,4,FALSE)</f>
        <v>2564.1999999999998</v>
      </c>
      <c r="L91" s="16">
        <f t="shared" si="11"/>
        <v>174</v>
      </c>
      <c r="M91" s="14">
        <f t="shared" si="12"/>
        <v>2588.6799999999994</v>
      </c>
      <c r="N91" s="20">
        <f t="shared" si="15"/>
        <v>1.0095468372201855</v>
      </c>
    </row>
    <row r="92" spans="1:14" x14ac:dyDescent="0.25">
      <c r="A92" s="16" t="s">
        <v>456</v>
      </c>
      <c r="B92" s="17" t="s">
        <v>457</v>
      </c>
      <c r="C92" s="16">
        <v>5</v>
      </c>
      <c r="D92" s="18">
        <v>97.62</v>
      </c>
      <c r="E92" s="16">
        <v>0</v>
      </c>
      <c r="F92" s="18">
        <v>0</v>
      </c>
      <c r="G92" s="19">
        <f t="shared" si="13"/>
        <v>0</v>
      </c>
      <c r="H92" s="16">
        <f t="shared" si="9"/>
        <v>5</v>
      </c>
      <c r="I92" s="18">
        <f t="shared" si="10"/>
        <v>97.62</v>
      </c>
      <c r="J92" s="16">
        <f>VLOOKUP(A92,v_2023!A:D,3,FALSE)</f>
        <v>2</v>
      </c>
      <c r="K92" s="18">
        <f>VLOOKUP(A92,v_2023!A:D,4,FALSE)</f>
        <v>32.659999999999997</v>
      </c>
      <c r="L92" s="16">
        <f t="shared" si="11"/>
        <v>3</v>
      </c>
      <c r="M92" s="14">
        <f t="shared" si="12"/>
        <v>64.960000000000008</v>
      </c>
      <c r="N92" s="20">
        <f t="shared" si="15"/>
        <v>1.9889773423147585</v>
      </c>
    </row>
    <row r="93" spans="1:14" x14ac:dyDescent="0.25">
      <c r="A93" s="16" t="s">
        <v>244</v>
      </c>
      <c r="B93" s="17" t="s">
        <v>245</v>
      </c>
      <c r="C93" s="16">
        <v>8</v>
      </c>
      <c r="D93" s="18">
        <v>198.65</v>
      </c>
      <c r="E93" s="16">
        <v>0</v>
      </c>
      <c r="F93" s="18">
        <v>0</v>
      </c>
      <c r="G93" s="19">
        <f t="shared" si="13"/>
        <v>0</v>
      </c>
      <c r="H93" s="16">
        <f t="shared" si="9"/>
        <v>8</v>
      </c>
      <c r="I93" s="18">
        <f t="shared" si="10"/>
        <v>198.65</v>
      </c>
      <c r="J93" s="16">
        <f>VLOOKUP(A93,v_2023!A:D,3,FALSE)</f>
        <v>22</v>
      </c>
      <c r="K93" s="18">
        <f>VLOOKUP(A93,v_2023!A:D,4,FALSE)</f>
        <v>544.95000000000005</v>
      </c>
      <c r="L93" s="16">
        <f t="shared" si="11"/>
        <v>-14</v>
      </c>
      <c r="M93" s="14">
        <f t="shared" si="12"/>
        <v>-346.30000000000007</v>
      </c>
      <c r="N93" s="20">
        <f t="shared" si="15"/>
        <v>-0.63547114414166439</v>
      </c>
    </row>
    <row r="94" spans="1:14" x14ac:dyDescent="0.25">
      <c r="A94" s="16" t="s">
        <v>45</v>
      </c>
      <c r="B94" s="17" t="s">
        <v>46</v>
      </c>
      <c r="C94" s="16">
        <v>0</v>
      </c>
      <c r="D94" s="18">
        <v>0</v>
      </c>
      <c r="E94" s="16">
        <v>0</v>
      </c>
      <c r="F94" s="18">
        <v>0</v>
      </c>
      <c r="G94" s="19"/>
      <c r="H94" s="16">
        <f t="shared" si="9"/>
        <v>0</v>
      </c>
      <c r="I94" s="18">
        <f t="shared" si="10"/>
        <v>0</v>
      </c>
      <c r="J94" s="16">
        <f>VLOOKUP(A94,v_2023!A:D,3,FALSE)</f>
        <v>835</v>
      </c>
      <c r="K94" s="18">
        <f>VLOOKUP(A94,v_2023!A:D,4,FALSE)</f>
        <v>10271.709999999999</v>
      </c>
      <c r="L94" s="16">
        <f t="shared" si="11"/>
        <v>-835</v>
      </c>
      <c r="M94" s="14">
        <f t="shared" si="12"/>
        <v>-10271.709999999999</v>
      </c>
      <c r="N94" s="20">
        <f t="shared" si="15"/>
        <v>-1</v>
      </c>
    </row>
    <row r="95" spans="1:14" x14ac:dyDescent="0.25">
      <c r="A95" s="16" t="s">
        <v>216</v>
      </c>
      <c r="B95" s="17" t="s">
        <v>217</v>
      </c>
      <c r="C95" s="16">
        <v>40</v>
      </c>
      <c r="D95" s="18">
        <v>465.02000000000004</v>
      </c>
      <c r="E95" s="16">
        <v>0</v>
      </c>
      <c r="F95" s="18">
        <v>0</v>
      </c>
      <c r="G95" s="19">
        <f>F95/I95</f>
        <v>0</v>
      </c>
      <c r="H95" s="16">
        <f t="shared" si="9"/>
        <v>40</v>
      </c>
      <c r="I95" s="18">
        <f t="shared" si="10"/>
        <v>465.02000000000004</v>
      </c>
      <c r="J95" s="16">
        <f>VLOOKUP(A95,v_2023!A:D,3,FALSE)</f>
        <v>54</v>
      </c>
      <c r="K95" s="18">
        <f>VLOOKUP(A95,v_2023!A:D,4,FALSE)</f>
        <v>620.82000000000005</v>
      </c>
      <c r="L95" s="16">
        <f t="shared" si="11"/>
        <v>-14</v>
      </c>
      <c r="M95" s="14">
        <f t="shared" si="12"/>
        <v>-155.80000000000001</v>
      </c>
      <c r="N95" s="20">
        <f t="shared" si="15"/>
        <v>-0.25095840984504364</v>
      </c>
    </row>
    <row r="96" spans="1:14" x14ac:dyDescent="0.25">
      <c r="A96" s="16" t="s">
        <v>308</v>
      </c>
      <c r="B96" s="17" t="s">
        <v>309</v>
      </c>
      <c r="C96" s="16">
        <v>8</v>
      </c>
      <c r="D96" s="18">
        <v>198.73000000000002</v>
      </c>
      <c r="E96" s="16">
        <v>0</v>
      </c>
      <c r="F96" s="18">
        <v>0</v>
      </c>
      <c r="G96" s="19">
        <f>F96/I96</f>
        <v>0</v>
      </c>
      <c r="H96" s="16">
        <f t="shared" si="9"/>
        <v>8</v>
      </c>
      <c r="I96" s="18">
        <f t="shared" si="10"/>
        <v>198.73000000000002</v>
      </c>
      <c r="J96" s="16">
        <f>VLOOKUP(A96,v_2023!A:D,3,FALSE)</f>
        <v>10</v>
      </c>
      <c r="K96" s="18">
        <f>VLOOKUP(A96,v_2023!A:D,4,FALSE)</f>
        <v>245.4</v>
      </c>
      <c r="L96" s="16">
        <f t="shared" si="11"/>
        <v>-2</v>
      </c>
      <c r="M96" s="14">
        <f t="shared" si="12"/>
        <v>-46.669999999999987</v>
      </c>
      <c r="N96" s="20">
        <f t="shared" si="15"/>
        <v>-0.19017929910350442</v>
      </c>
    </row>
    <row r="97" spans="1:14" x14ac:dyDescent="0.25">
      <c r="A97" s="16" t="s">
        <v>572</v>
      </c>
      <c r="B97" s="17" t="s">
        <v>573</v>
      </c>
      <c r="C97" s="16">
        <v>0</v>
      </c>
      <c r="D97" s="18">
        <v>0</v>
      </c>
      <c r="E97" s="16">
        <f>VLOOKUP(A97,s_2024!A:C,2,FALSE)</f>
        <v>1</v>
      </c>
      <c r="F97" s="18">
        <f>VLOOKUP(A97,s_2024!A:C,3,FALSE)</f>
        <v>15.9</v>
      </c>
      <c r="G97" s="19">
        <f>F97/I97</f>
        <v>1</v>
      </c>
      <c r="H97" s="16">
        <f t="shared" si="9"/>
        <v>1</v>
      </c>
      <c r="I97" s="18">
        <f t="shared" si="10"/>
        <v>15.9</v>
      </c>
      <c r="J97" s="16">
        <f>VLOOKUP(A97,v_2023!A:D,3,FALSE)</f>
        <v>0</v>
      </c>
      <c r="K97" s="18">
        <f>VLOOKUP(A97,v_2023!A:D,4,FALSE)</f>
        <v>0</v>
      </c>
      <c r="L97" s="16">
        <f t="shared" si="11"/>
        <v>1</v>
      </c>
      <c r="M97" s="14">
        <f t="shared" si="12"/>
        <v>15.9</v>
      </c>
      <c r="N97" s="20"/>
    </row>
    <row r="98" spans="1:14" x14ac:dyDescent="0.25">
      <c r="A98" s="16" t="s">
        <v>314</v>
      </c>
      <c r="B98" s="17" t="s">
        <v>315</v>
      </c>
      <c r="C98" s="16">
        <v>0</v>
      </c>
      <c r="D98" s="18">
        <v>0</v>
      </c>
      <c r="E98" s="16">
        <v>0</v>
      </c>
      <c r="F98" s="18">
        <v>0</v>
      </c>
      <c r="G98" s="19"/>
      <c r="H98" s="16">
        <f t="shared" si="9"/>
        <v>0</v>
      </c>
      <c r="I98" s="18">
        <f t="shared" si="10"/>
        <v>0</v>
      </c>
      <c r="J98" s="16">
        <f>VLOOKUP(A98,v_2023!A:D,3,FALSE)</f>
        <v>24</v>
      </c>
      <c r="K98" s="18">
        <f>VLOOKUP(A98,v_2023!A:D,4,FALSE)</f>
        <v>184.5</v>
      </c>
      <c r="L98" s="16">
        <f t="shared" si="11"/>
        <v>-24</v>
      </c>
      <c r="M98" s="14">
        <f t="shared" si="12"/>
        <v>-184.5</v>
      </c>
      <c r="N98" s="20">
        <f>M98/K98</f>
        <v>-1</v>
      </c>
    </row>
    <row r="99" spans="1:14" x14ac:dyDescent="0.25">
      <c r="A99" s="16" t="s">
        <v>71</v>
      </c>
      <c r="B99" s="17" t="s">
        <v>72</v>
      </c>
      <c r="C99" s="16">
        <v>172</v>
      </c>
      <c r="D99" s="18">
        <v>4167.01</v>
      </c>
      <c r="E99" s="16">
        <f>VLOOKUP(A99,s_2024!A:C,2,FALSE)</f>
        <v>104</v>
      </c>
      <c r="F99" s="18">
        <f>VLOOKUP(A99,s_2024!A:C,3,FALSE)</f>
        <v>3109.6000000000017</v>
      </c>
      <c r="G99" s="19">
        <f>F99/I99</f>
        <v>0.42734185286830001</v>
      </c>
      <c r="H99" s="16">
        <f t="shared" si="9"/>
        <v>276</v>
      </c>
      <c r="I99" s="18">
        <f t="shared" si="10"/>
        <v>7276.6100000000024</v>
      </c>
      <c r="J99" s="16">
        <f>VLOOKUP(A99,v_2023!A:D,3,FALSE)</f>
        <v>352</v>
      </c>
      <c r="K99" s="18">
        <f>VLOOKUP(A99,v_2023!A:D,4,FALSE)</f>
        <v>8344.1</v>
      </c>
      <c r="L99" s="16">
        <f t="shared" si="11"/>
        <v>-76</v>
      </c>
      <c r="M99" s="14">
        <f t="shared" si="12"/>
        <v>-1067.489999999998</v>
      </c>
      <c r="N99" s="20">
        <f>M99/K99</f>
        <v>-0.12793350990520222</v>
      </c>
    </row>
    <row r="100" spans="1:14" x14ac:dyDescent="0.25">
      <c r="A100" s="16" t="s">
        <v>180</v>
      </c>
      <c r="B100" s="17" t="s">
        <v>181</v>
      </c>
      <c r="C100" s="16">
        <v>25</v>
      </c>
      <c r="D100" s="18">
        <v>993.72</v>
      </c>
      <c r="E100" s="16">
        <v>0</v>
      </c>
      <c r="F100" s="18">
        <v>0</v>
      </c>
      <c r="G100" s="19">
        <f>F100/I100</f>
        <v>0</v>
      </c>
      <c r="H100" s="16">
        <f t="shared" si="9"/>
        <v>25</v>
      </c>
      <c r="I100" s="18">
        <f t="shared" si="10"/>
        <v>993.72</v>
      </c>
      <c r="J100" s="16">
        <f>VLOOKUP(A100,v_2023!A:D,3,FALSE)</f>
        <v>21</v>
      </c>
      <c r="K100" s="18">
        <f>VLOOKUP(A100,v_2023!A:D,4,FALSE)</f>
        <v>998.34</v>
      </c>
      <c r="L100" s="16">
        <f t="shared" si="11"/>
        <v>4</v>
      </c>
      <c r="M100" s="14">
        <f t="shared" si="12"/>
        <v>-4.6200000000000045</v>
      </c>
      <c r="N100" s="20">
        <f>M100/K100</f>
        <v>-4.6276819520403916E-3</v>
      </c>
    </row>
    <row r="101" spans="1:14" x14ac:dyDescent="0.25">
      <c r="A101" s="16" t="s">
        <v>638</v>
      </c>
      <c r="B101" s="17" t="s">
        <v>639</v>
      </c>
      <c r="C101" s="16">
        <v>1</v>
      </c>
      <c r="D101" s="18">
        <v>157.5</v>
      </c>
      <c r="E101" s="16">
        <v>0</v>
      </c>
      <c r="F101" s="18">
        <v>0</v>
      </c>
      <c r="G101" s="19">
        <f>F101/I101</f>
        <v>0</v>
      </c>
      <c r="H101" s="16">
        <f t="shared" si="9"/>
        <v>1</v>
      </c>
      <c r="I101" s="18">
        <f t="shared" si="10"/>
        <v>157.5</v>
      </c>
      <c r="J101" s="16">
        <v>0</v>
      </c>
      <c r="K101" s="18">
        <v>0</v>
      </c>
      <c r="L101" s="16">
        <f t="shared" si="11"/>
        <v>1</v>
      </c>
      <c r="M101" s="14">
        <f t="shared" si="12"/>
        <v>157.5</v>
      </c>
      <c r="N101" s="20"/>
    </row>
    <row r="102" spans="1:14" x14ac:dyDescent="0.25">
      <c r="A102" s="16" t="s">
        <v>285</v>
      </c>
      <c r="B102" s="17" t="s">
        <v>286</v>
      </c>
      <c r="C102" s="16">
        <v>16</v>
      </c>
      <c r="D102" s="18">
        <v>317.03000000000003</v>
      </c>
      <c r="E102" s="16">
        <v>0</v>
      </c>
      <c r="F102" s="18">
        <v>0</v>
      </c>
      <c r="G102" s="19">
        <f>F102/I102</f>
        <v>0</v>
      </c>
      <c r="H102" s="16">
        <f t="shared" si="9"/>
        <v>16</v>
      </c>
      <c r="I102" s="18">
        <f t="shared" si="10"/>
        <v>317.03000000000003</v>
      </c>
      <c r="J102" s="16">
        <f>VLOOKUP(A102,v_2023!A:D,3,FALSE)</f>
        <v>20</v>
      </c>
      <c r="K102" s="18">
        <f>VLOOKUP(A102,v_2023!A:D,4,FALSE)</f>
        <v>398.11</v>
      </c>
      <c r="L102" s="16">
        <f t="shared" si="11"/>
        <v>-4</v>
      </c>
      <c r="M102" s="14">
        <f t="shared" si="12"/>
        <v>-81.079999999999984</v>
      </c>
      <c r="N102" s="20">
        <f>M102/K102</f>
        <v>-0.20366230438823435</v>
      </c>
    </row>
    <row r="103" spans="1:14" x14ac:dyDescent="0.25">
      <c r="A103" s="16" t="s">
        <v>468</v>
      </c>
      <c r="B103" s="17" t="s">
        <v>469</v>
      </c>
      <c r="C103" s="16">
        <v>0</v>
      </c>
      <c r="D103" s="18">
        <v>0</v>
      </c>
      <c r="E103" s="16">
        <v>0</v>
      </c>
      <c r="F103" s="18">
        <v>0</v>
      </c>
      <c r="G103" s="19"/>
      <c r="H103" s="16">
        <f t="shared" si="9"/>
        <v>0</v>
      </c>
      <c r="I103" s="18">
        <f t="shared" si="10"/>
        <v>0</v>
      </c>
      <c r="J103" s="16">
        <f>VLOOKUP(A103,v_2023!A:D,3,FALSE)</f>
        <v>2</v>
      </c>
      <c r="K103" s="18">
        <f>VLOOKUP(A103,v_2023!A:D,4,FALSE)</f>
        <v>54.879999999999995</v>
      </c>
      <c r="L103" s="16">
        <f t="shared" si="11"/>
        <v>-2</v>
      </c>
      <c r="M103" s="14">
        <f t="shared" si="12"/>
        <v>-54.879999999999995</v>
      </c>
      <c r="N103" s="20">
        <f>M103/K103</f>
        <v>-1</v>
      </c>
    </row>
    <row r="104" spans="1:14" x14ac:dyDescent="0.25">
      <c r="A104" s="16" t="s">
        <v>542</v>
      </c>
      <c r="B104" s="17" t="s">
        <v>543</v>
      </c>
      <c r="C104" s="16">
        <v>0</v>
      </c>
      <c r="D104" s="18">
        <v>0</v>
      </c>
      <c r="E104" s="16">
        <v>0</v>
      </c>
      <c r="F104" s="18">
        <v>0</v>
      </c>
      <c r="G104" s="19"/>
      <c r="H104" s="16">
        <f t="shared" si="9"/>
        <v>0</v>
      </c>
      <c r="I104" s="18">
        <f t="shared" si="10"/>
        <v>0</v>
      </c>
      <c r="J104" s="16">
        <f>VLOOKUP(A104,v_2023!A:D,3,FALSE)</f>
        <v>0</v>
      </c>
      <c r="K104" s="18">
        <f>VLOOKUP(A104,v_2023!A:D,4,FALSE)</f>
        <v>0</v>
      </c>
      <c r="L104" s="16">
        <f t="shared" si="11"/>
        <v>0</v>
      </c>
      <c r="M104" s="14">
        <f t="shared" si="12"/>
        <v>0</v>
      </c>
      <c r="N104" s="20"/>
    </row>
    <row r="105" spans="1:14" x14ac:dyDescent="0.25">
      <c r="A105" s="16" t="s">
        <v>208</v>
      </c>
      <c r="B105" s="17" t="s">
        <v>209</v>
      </c>
      <c r="C105" s="16">
        <v>0</v>
      </c>
      <c r="D105" s="18">
        <v>0</v>
      </c>
      <c r="E105" s="16">
        <f>VLOOKUP(A105,s_2024!A:C,2,FALSE)</f>
        <v>28</v>
      </c>
      <c r="F105" s="18">
        <f>VLOOKUP(A105,s_2024!A:C,3,FALSE)</f>
        <v>2275.400000000001</v>
      </c>
      <c r="G105" s="19">
        <f t="shared" ref="G105:G120" si="16">F105/I105</f>
        <v>1</v>
      </c>
      <c r="H105" s="16">
        <f t="shared" si="9"/>
        <v>28</v>
      </c>
      <c r="I105" s="18">
        <f t="shared" si="10"/>
        <v>2275.400000000001</v>
      </c>
      <c r="J105" s="16">
        <f>VLOOKUP(A105,v_2023!A:D,3,FALSE)</f>
        <v>10</v>
      </c>
      <c r="K105" s="18">
        <f>VLOOKUP(A105,v_2023!A:D,4,FALSE)</f>
        <v>710.11</v>
      </c>
      <c r="L105" s="16">
        <f t="shared" si="11"/>
        <v>18</v>
      </c>
      <c r="M105" s="14">
        <f t="shared" si="12"/>
        <v>1565.2900000000009</v>
      </c>
      <c r="N105" s="20">
        <f t="shared" ref="N105:N120" si="17">M105/K105</f>
        <v>2.204292292743379</v>
      </c>
    </row>
    <row r="106" spans="1:14" x14ac:dyDescent="0.25">
      <c r="A106" s="16" t="s">
        <v>114</v>
      </c>
      <c r="B106" s="17" t="s">
        <v>115</v>
      </c>
      <c r="C106" s="16">
        <v>9</v>
      </c>
      <c r="D106" s="18">
        <v>384.04</v>
      </c>
      <c r="E106" s="16">
        <f>VLOOKUP(A106,s_2024!A:C,2,FALSE)</f>
        <v>3</v>
      </c>
      <c r="F106" s="18">
        <f>VLOOKUP(A106,s_2024!A:C,3,FALSE)</f>
        <v>149.69999999999999</v>
      </c>
      <c r="G106" s="19">
        <f t="shared" si="16"/>
        <v>0.28047363885037657</v>
      </c>
      <c r="H106" s="16">
        <f t="shared" si="9"/>
        <v>12</v>
      </c>
      <c r="I106" s="18">
        <f t="shared" si="10"/>
        <v>533.74</v>
      </c>
      <c r="J106" s="16">
        <f>VLOOKUP(A106,v_2023!A:D,3,FALSE)</f>
        <v>69</v>
      </c>
      <c r="K106" s="18">
        <f>VLOOKUP(A106,v_2023!A:D,4,FALSE)</f>
        <v>3127.7400000000002</v>
      </c>
      <c r="L106" s="16">
        <f t="shared" si="11"/>
        <v>-57</v>
      </c>
      <c r="M106" s="14">
        <f t="shared" si="12"/>
        <v>-2594</v>
      </c>
      <c r="N106" s="20">
        <f t="shared" si="17"/>
        <v>-0.82935282344440386</v>
      </c>
    </row>
    <row r="107" spans="1:14" x14ac:dyDescent="0.25">
      <c r="A107" s="16" t="s">
        <v>188</v>
      </c>
      <c r="B107" s="17" t="s">
        <v>189</v>
      </c>
      <c r="C107" s="16">
        <v>6</v>
      </c>
      <c r="D107" s="18">
        <v>165.58</v>
      </c>
      <c r="E107" s="16">
        <v>0</v>
      </c>
      <c r="F107" s="18">
        <v>0</v>
      </c>
      <c r="G107" s="19">
        <f t="shared" si="16"/>
        <v>0</v>
      </c>
      <c r="H107" s="16">
        <f t="shared" si="9"/>
        <v>6</v>
      </c>
      <c r="I107" s="18">
        <f t="shared" si="10"/>
        <v>165.58</v>
      </c>
      <c r="J107" s="16">
        <f>VLOOKUP(A107,v_2023!A:D,3,FALSE)</f>
        <v>48</v>
      </c>
      <c r="K107" s="18">
        <f>VLOOKUP(A107,v_2023!A:D,4,FALSE)</f>
        <v>1180.17</v>
      </c>
      <c r="L107" s="16">
        <f t="shared" si="11"/>
        <v>-42</v>
      </c>
      <c r="M107" s="14">
        <f t="shared" si="12"/>
        <v>-1014.59</v>
      </c>
      <c r="N107" s="20">
        <f t="shared" si="17"/>
        <v>-0.85969817907589585</v>
      </c>
    </row>
    <row r="108" spans="1:14" x14ac:dyDescent="0.25">
      <c r="A108" s="16" t="s">
        <v>77</v>
      </c>
      <c r="B108" s="17" t="s">
        <v>78</v>
      </c>
      <c r="C108" s="16">
        <v>-4</v>
      </c>
      <c r="D108" s="18">
        <v>-230.16</v>
      </c>
      <c r="E108" s="16">
        <v>0</v>
      </c>
      <c r="F108" s="18">
        <v>0</v>
      </c>
      <c r="G108" s="19">
        <f t="shared" si="16"/>
        <v>0</v>
      </c>
      <c r="H108" s="16">
        <f t="shared" si="9"/>
        <v>-4</v>
      </c>
      <c r="I108" s="18">
        <f t="shared" si="10"/>
        <v>-230.16</v>
      </c>
      <c r="J108" s="16">
        <f>VLOOKUP(A108,v_2023!A:D,3,FALSE)</f>
        <v>180</v>
      </c>
      <c r="K108" s="18">
        <f>VLOOKUP(A108,v_2023!A:D,4,FALSE)</f>
        <v>10892.220000000001</v>
      </c>
      <c r="L108" s="16">
        <f t="shared" si="11"/>
        <v>-184</v>
      </c>
      <c r="M108" s="14">
        <f t="shared" si="12"/>
        <v>-11122.380000000001</v>
      </c>
      <c r="N108" s="20">
        <f t="shared" si="17"/>
        <v>-1.0211306785944463</v>
      </c>
    </row>
    <row r="109" spans="1:14" x14ac:dyDescent="0.25">
      <c r="A109" s="16" t="s">
        <v>444</v>
      </c>
      <c r="B109" s="17" t="s">
        <v>445</v>
      </c>
      <c r="C109" s="16">
        <v>1</v>
      </c>
      <c r="D109" s="18">
        <v>78.16</v>
      </c>
      <c r="E109" s="16">
        <v>0</v>
      </c>
      <c r="F109" s="18">
        <v>0</v>
      </c>
      <c r="G109" s="19">
        <f t="shared" si="16"/>
        <v>0</v>
      </c>
      <c r="H109" s="16">
        <f t="shared" si="9"/>
        <v>1</v>
      </c>
      <c r="I109" s="18">
        <f t="shared" si="10"/>
        <v>78.16</v>
      </c>
      <c r="J109" s="16">
        <f>VLOOKUP(A109,v_2023!A:D,3,FALSE)</f>
        <v>1</v>
      </c>
      <c r="K109" s="18">
        <f>VLOOKUP(A109,v_2023!A:D,4,FALSE)</f>
        <v>37.97</v>
      </c>
      <c r="L109" s="16">
        <f t="shared" si="11"/>
        <v>0</v>
      </c>
      <c r="M109" s="14">
        <f t="shared" si="12"/>
        <v>40.19</v>
      </c>
      <c r="N109" s="20">
        <f t="shared" si="17"/>
        <v>1.0584672109560178</v>
      </c>
    </row>
    <row r="110" spans="1:14" x14ac:dyDescent="0.25">
      <c r="A110" s="16" t="s">
        <v>130</v>
      </c>
      <c r="B110" s="17" t="s">
        <v>131</v>
      </c>
      <c r="C110" s="16">
        <v>41</v>
      </c>
      <c r="D110" s="18">
        <v>2246.3200000000002</v>
      </c>
      <c r="E110" s="16">
        <v>0</v>
      </c>
      <c r="F110" s="18">
        <v>0</v>
      </c>
      <c r="G110" s="19">
        <f t="shared" si="16"/>
        <v>0</v>
      </c>
      <c r="H110" s="16">
        <f t="shared" si="9"/>
        <v>41</v>
      </c>
      <c r="I110" s="18">
        <f t="shared" si="10"/>
        <v>2246.3200000000002</v>
      </c>
      <c r="J110" s="16">
        <f>VLOOKUP(A110,v_2023!A:D,3,FALSE)</f>
        <v>45</v>
      </c>
      <c r="K110" s="18">
        <f>VLOOKUP(A110,v_2023!A:D,4,FALSE)</f>
        <v>2654.8399999999997</v>
      </c>
      <c r="L110" s="16">
        <f t="shared" si="11"/>
        <v>-4</v>
      </c>
      <c r="M110" s="14">
        <f t="shared" si="12"/>
        <v>-408.51999999999953</v>
      </c>
      <c r="N110" s="20">
        <f t="shared" si="17"/>
        <v>-0.15387744647511697</v>
      </c>
    </row>
    <row r="111" spans="1:14" x14ac:dyDescent="0.25">
      <c r="A111" s="16" t="s">
        <v>9</v>
      </c>
      <c r="B111" s="17" t="s">
        <v>10</v>
      </c>
      <c r="C111" s="16">
        <v>120</v>
      </c>
      <c r="D111" s="18">
        <v>1506.88</v>
      </c>
      <c r="E111" s="16">
        <v>0</v>
      </c>
      <c r="F111" s="18">
        <v>0</v>
      </c>
      <c r="G111" s="19">
        <f t="shared" si="16"/>
        <v>0</v>
      </c>
      <c r="H111" s="16">
        <f t="shared" si="9"/>
        <v>120</v>
      </c>
      <c r="I111" s="18">
        <f t="shared" si="10"/>
        <v>1506.88</v>
      </c>
      <c r="J111" s="16">
        <f>VLOOKUP(A111,v_2023!A:D,3,FALSE)</f>
        <v>3622</v>
      </c>
      <c r="K111" s="18">
        <f>VLOOKUP(A111,v_2023!A:D,4,FALSE)</f>
        <v>44366.180000000008</v>
      </c>
      <c r="L111" s="16">
        <f t="shared" si="11"/>
        <v>-3502</v>
      </c>
      <c r="M111" s="14">
        <f t="shared" si="12"/>
        <v>-42859.30000000001</v>
      </c>
      <c r="N111" s="20">
        <f t="shared" si="17"/>
        <v>-0.9660353900200559</v>
      </c>
    </row>
    <row r="112" spans="1:14" x14ac:dyDescent="0.25">
      <c r="A112" s="16" t="s">
        <v>374</v>
      </c>
      <c r="B112" s="17" t="s">
        <v>375</v>
      </c>
      <c r="C112" s="16">
        <v>5</v>
      </c>
      <c r="D112" s="18">
        <v>100.64000000000001</v>
      </c>
      <c r="E112" s="16">
        <v>0</v>
      </c>
      <c r="F112" s="18">
        <v>0</v>
      </c>
      <c r="G112" s="19">
        <f t="shared" si="16"/>
        <v>0</v>
      </c>
      <c r="H112" s="16">
        <f t="shared" si="9"/>
        <v>5</v>
      </c>
      <c r="I112" s="18">
        <f t="shared" si="10"/>
        <v>100.64000000000001</v>
      </c>
      <c r="J112" s="16">
        <f>VLOOKUP(A112,v_2023!A:D,3,FALSE)</f>
        <v>5</v>
      </c>
      <c r="K112" s="18">
        <f>VLOOKUP(A112,v_2023!A:D,4,FALSE)</f>
        <v>102.22</v>
      </c>
      <c r="L112" s="16">
        <f t="shared" si="11"/>
        <v>0</v>
      </c>
      <c r="M112" s="14">
        <f t="shared" si="12"/>
        <v>-1.5799999999999841</v>
      </c>
      <c r="N112" s="20">
        <f t="shared" si="17"/>
        <v>-1.5456857757777187E-2</v>
      </c>
    </row>
    <row r="113" spans="1:14" x14ac:dyDescent="0.25">
      <c r="A113" s="16" t="s">
        <v>88</v>
      </c>
      <c r="B113" s="17" t="s">
        <v>89</v>
      </c>
      <c r="C113" s="16">
        <v>0</v>
      </c>
      <c r="D113" s="18">
        <v>0</v>
      </c>
      <c r="E113" s="16">
        <f>VLOOKUP(A113,s_2024!A:C,2,FALSE)</f>
        <v>31</v>
      </c>
      <c r="F113" s="18">
        <f>VLOOKUP(A113,s_2024!A:C,3,FALSE)</f>
        <v>1866.900000000001</v>
      </c>
      <c r="G113" s="19">
        <f t="shared" si="16"/>
        <v>1</v>
      </c>
      <c r="H113" s="16">
        <f t="shared" si="9"/>
        <v>31</v>
      </c>
      <c r="I113" s="18">
        <f t="shared" si="10"/>
        <v>1866.900000000001</v>
      </c>
      <c r="J113" s="16">
        <f>VLOOKUP(A113,v_2023!A:D,3,FALSE)</f>
        <v>98</v>
      </c>
      <c r="K113" s="18">
        <f>VLOOKUP(A113,v_2023!A:D,4,FALSE)</f>
        <v>5258.27</v>
      </c>
      <c r="L113" s="16">
        <f t="shared" si="11"/>
        <v>-67</v>
      </c>
      <c r="M113" s="14">
        <f t="shared" si="12"/>
        <v>-3391.3699999999994</v>
      </c>
      <c r="N113" s="20">
        <f t="shared" si="17"/>
        <v>-0.64495927367746408</v>
      </c>
    </row>
    <row r="114" spans="1:14" x14ac:dyDescent="0.25">
      <c r="A114" s="16" t="s">
        <v>21</v>
      </c>
      <c r="B114" s="17" t="s">
        <v>22</v>
      </c>
      <c r="C114" s="16">
        <v>1</v>
      </c>
      <c r="D114" s="18">
        <v>24.88</v>
      </c>
      <c r="E114" s="16">
        <f>VLOOKUP(A114,s_2024!A:C,2,FALSE)</f>
        <v>42</v>
      </c>
      <c r="F114" s="18">
        <f>VLOOKUP(A114,s_2024!A:C,3,FALSE)</f>
        <v>1333.8200000000004</v>
      </c>
      <c r="G114" s="19">
        <f t="shared" si="16"/>
        <v>0.98168837859718838</v>
      </c>
      <c r="H114" s="16">
        <f t="shared" si="9"/>
        <v>43</v>
      </c>
      <c r="I114" s="18">
        <f t="shared" si="10"/>
        <v>1358.7000000000005</v>
      </c>
      <c r="J114" s="16">
        <f>VLOOKUP(A114,v_2023!A:D,3,FALSE)</f>
        <v>955</v>
      </c>
      <c r="K114" s="18">
        <f>VLOOKUP(A114,v_2023!A:D,4,FALSE)</f>
        <v>20195.070000000003</v>
      </c>
      <c r="L114" s="16">
        <f t="shared" si="11"/>
        <v>-912</v>
      </c>
      <c r="M114" s="14">
        <f t="shared" si="12"/>
        <v>-18836.370000000003</v>
      </c>
      <c r="N114" s="20">
        <f t="shared" si="17"/>
        <v>-0.93272120373932843</v>
      </c>
    </row>
    <row r="115" spans="1:14" x14ac:dyDescent="0.25">
      <c r="A115" s="16" t="s">
        <v>69</v>
      </c>
      <c r="B115" s="17" t="s">
        <v>70</v>
      </c>
      <c r="C115" s="16">
        <v>30</v>
      </c>
      <c r="D115" s="18">
        <v>726.79</v>
      </c>
      <c r="E115" s="16">
        <v>0</v>
      </c>
      <c r="F115" s="18">
        <v>0</v>
      </c>
      <c r="G115" s="19">
        <f t="shared" si="16"/>
        <v>0</v>
      </c>
      <c r="H115" s="16">
        <f t="shared" si="9"/>
        <v>30</v>
      </c>
      <c r="I115" s="18">
        <f t="shared" si="10"/>
        <v>726.79</v>
      </c>
      <c r="J115" s="16">
        <f>VLOOKUP(A115,v_2023!A:D,3,FALSE)</f>
        <v>427</v>
      </c>
      <c r="K115" s="18">
        <f>VLOOKUP(A115,v_2023!A:D,4,FALSE)</f>
        <v>10551.099999999999</v>
      </c>
      <c r="L115" s="16">
        <f t="shared" si="11"/>
        <v>-397</v>
      </c>
      <c r="M115" s="14">
        <f t="shared" si="12"/>
        <v>-9824.3099999999977</v>
      </c>
      <c r="N115" s="20">
        <f t="shared" si="17"/>
        <v>-0.93111713470633384</v>
      </c>
    </row>
    <row r="116" spans="1:14" x14ac:dyDescent="0.25">
      <c r="A116" s="16" t="s">
        <v>438</v>
      </c>
      <c r="B116" s="17" t="s">
        <v>439</v>
      </c>
      <c r="C116" s="16">
        <v>6</v>
      </c>
      <c r="D116" s="18">
        <v>31</v>
      </c>
      <c r="E116" s="16">
        <v>0</v>
      </c>
      <c r="F116" s="18">
        <v>0</v>
      </c>
      <c r="G116" s="19">
        <f t="shared" si="16"/>
        <v>0</v>
      </c>
      <c r="H116" s="16">
        <f t="shared" si="9"/>
        <v>6</v>
      </c>
      <c r="I116" s="18">
        <f t="shared" si="10"/>
        <v>31</v>
      </c>
      <c r="J116" s="16">
        <f>VLOOKUP(A116,v_2023!A:D,3,FALSE)</f>
        <v>7</v>
      </c>
      <c r="K116" s="18">
        <f>VLOOKUP(A116,v_2023!A:D,4,FALSE)</f>
        <v>41.82</v>
      </c>
      <c r="L116" s="16">
        <f t="shared" si="11"/>
        <v>-1</v>
      </c>
      <c r="M116" s="14">
        <f t="shared" si="12"/>
        <v>-10.82</v>
      </c>
      <c r="N116" s="20">
        <f t="shared" si="17"/>
        <v>-0.25872788139646102</v>
      </c>
    </row>
    <row r="117" spans="1:14" x14ac:dyDescent="0.25">
      <c r="A117" s="16" t="s">
        <v>226</v>
      </c>
      <c r="B117" s="17" t="s">
        <v>227</v>
      </c>
      <c r="C117" s="16">
        <v>1</v>
      </c>
      <c r="D117" s="18">
        <v>7.62</v>
      </c>
      <c r="E117" s="16">
        <v>0</v>
      </c>
      <c r="F117" s="18">
        <v>0</v>
      </c>
      <c r="G117" s="19">
        <f t="shared" si="16"/>
        <v>0</v>
      </c>
      <c r="H117" s="16">
        <f t="shared" si="9"/>
        <v>1</v>
      </c>
      <c r="I117" s="18">
        <f t="shared" si="10"/>
        <v>7.62</v>
      </c>
      <c r="J117" s="16">
        <f>VLOOKUP(A117,v_2023!A:D,3,FALSE)</f>
        <v>94</v>
      </c>
      <c r="K117" s="18">
        <f>VLOOKUP(A117,v_2023!A:D,4,FALSE)</f>
        <v>642.25000000000011</v>
      </c>
      <c r="L117" s="16">
        <f t="shared" si="11"/>
        <v>-93</v>
      </c>
      <c r="M117" s="14">
        <f t="shared" si="12"/>
        <v>-634.63000000000011</v>
      </c>
      <c r="N117" s="20">
        <f t="shared" si="17"/>
        <v>-0.98813546126897622</v>
      </c>
    </row>
    <row r="118" spans="1:14" x14ac:dyDescent="0.25">
      <c r="A118" s="16" t="s">
        <v>376</v>
      </c>
      <c r="B118" s="17" t="s">
        <v>377</v>
      </c>
      <c r="C118" s="16">
        <v>62</v>
      </c>
      <c r="D118" s="18">
        <v>393.92</v>
      </c>
      <c r="E118" s="16">
        <v>0</v>
      </c>
      <c r="F118" s="18">
        <v>0</v>
      </c>
      <c r="G118" s="19">
        <f t="shared" si="16"/>
        <v>0</v>
      </c>
      <c r="H118" s="16">
        <f t="shared" si="9"/>
        <v>62</v>
      </c>
      <c r="I118" s="18">
        <f t="shared" si="10"/>
        <v>393.92</v>
      </c>
      <c r="J118" s="16">
        <f>VLOOKUP(A118,v_2023!A:D,3,FALSE)</f>
        <v>17</v>
      </c>
      <c r="K118" s="18">
        <f>VLOOKUP(A118,v_2023!A:D,4,FALSE)</f>
        <v>112.24</v>
      </c>
      <c r="L118" s="16">
        <f t="shared" si="11"/>
        <v>45</v>
      </c>
      <c r="M118" s="14">
        <f t="shared" si="12"/>
        <v>281.68</v>
      </c>
      <c r="N118" s="20">
        <f t="shared" si="17"/>
        <v>2.5096222380612976</v>
      </c>
    </row>
    <row r="119" spans="1:14" x14ac:dyDescent="0.25">
      <c r="A119" s="16" t="s">
        <v>218</v>
      </c>
      <c r="B119" s="17" t="s">
        <v>219</v>
      </c>
      <c r="C119" s="16">
        <v>82</v>
      </c>
      <c r="D119" s="18">
        <v>542.86000000000013</v>
      </c>
      <c r="E119" s="16">
        <v>0</v>
      </c>
      <c r="F119" s="18">
        <v>0</v>
      </c>
      <c r="G119" s="19">
        <f t="shared" si="16"/>
        <v>0</v>
      </c>
      <c r="H119" s="16">
        <f t="shared" si="9"/>
        <v>82</v>
      </c>
      <c r="I119" s="18">
        <f t="shared" si="10"/>
        <v>542.86000000000013</v>
      </c>
      <c r="J119" s="16">
        <f>VLOOKUP(A119,v_2023!A:D,3,FALSE)</f>
        <v>126</v>
      </c>
      <c r="K119" s="18">
        <f>VLOOKUP(A119,v_2023!A:D,4,FALSE)</f>
        <v>754.6</v>
      </c>
      <c r="L119" s="16">
        <f t="shared" si="11"/>
        <v>-44</v>
      </c>
      <c r="M119" s="14">
        <f t="shared" si="12"/>
        <v>-211.7399999999999</v>
      </c>
      <c r="N119" s="20">
        <f t="shared" si="17"/>
        <v>-0.28059899284389067</v>
      </c>
    </row>
    <row r="120" spans="1:14" x14ac:dyDescent="0.25">
      <c r="A120" s="16" t="s">
        <v>254</v>
      </c>
      <c r="B120" s="17" t="s">
        <v>255</v>
      </c>
      <c r="C120" s="16">
        <v>110</v>
      </c>
      <c r="D120" s="18">
        <v>709.19</v>
      </c>
      <c r="E120" s="16">
        <v>0</v>
      </c>
      <c r="F120" s="18">
        <v>0</v>
      </c>
      <c r="G120" s="19">
        <f t="shared" si="16"/>
        <v>0</v>
      </c>
      <c r="H120" s="16">
        <f t="shared" si="9"/>
        <v>110</v>
      </c>
      <c r="I120" s="18">
        <f t="shared" si="10"/>
        <v>709.19</v>
      </c>
      <c r="J120" s="16">
        <f>VLOOKUP(A120,v_2023!A:D,3,FALSE)</f>
        <v>73</v>
      </c>
      <c r="K120" s="18">
        <f>VLOOKUP(A120,v_2023!A:D,4,FALSE)</f>
        <v>467.90000000000003</v>
      </c>
      <c r="L120" s="16">
        <f t="shared" si="11"/>
        <v>37</v>
      </c>
      <c r="M120" s="14">
        <f t="shared" si="12"/>
        <v>241.29000000000002</v>
      </c>
      <c r="N120" s="20">
        <f t="shared" si="17"/>
        <v>0.51568711263090405</v>
      </c>
    </row>
    <row r="121" spans="1:14" x14ac:dyDescent="0.25">
      <c r="A121" s="16" t="s">
        <v>712</v>
      </c>
      <c r="B121" s="17" t="s">
        <v>713</v>
      </c>
      <c r="C121" s="16">
        <v>0</v>
      </c>
      <c r="D121" s="18">
        <v>0</v>
      </c>
      <c r="E121" s="16">
        <v>0</v>
      </c>
      <c r="F121" s="18">
        <v>0</v>
      </c>
      <c r="G121" s="19"/>
      <c r="H121" s="16">
        <f t="shared" si="9"/>
        <v>0</v>
      </c>
      <c r="I121" s="18">
        <f t="shared" si="10"/>
        <v>0</v>
      </c>
      <c r="J121" s="16">
        <v>0</v>
      </c>
      <c r="K121" s="18">
        <v>0</v>
      </c>
      <c r="L121" s="16">
        <f t="shared" si="11"/>
        <v>0</v>
      </c>
      <c r="M121" s="14">
        <f t="shared" si="12"/>
        <v>0</v>
      </c>
      <c r="N121" s="20"/>
    </row>
    <row r="122" spans="1:14" x14ac:dyDescent="0.25">
      <c r="A122" s="16" t="s">
        <v>200</v>
      </c>
      <c r="B122" s="17" t="s">
        <v>201</v>
      </c>
      <c r="C122" s="16">
        <v>95</v>
      </c>
      <c r="D122" s="18">
        <v>1248.69</v>
      </c>
      <c r="E122" s="16">
        <v>0</v>
      </c>
      <c r="F122" s="18">
        <v>0</v>
      </c>
      <c r="G122" s="19">
        <f>F122/I122</f>
        <v>0</v>
      </c>
      <c r="H122" s="16">
        <f t="shared" si="9"/>
        <v>95</v>
      </c>
      <c r="I122" s="18">
        <f t="shared" si="10"/>
        <v>1248.69</v>
      </c>
      <c r="J122" s="16">
        <f>VLOOKUP(A122,v_2023!A:D,3,FALSE)</f>
        <v>52</v>
      </c>
      <c r="K122" s="18">
        <f>VLOOKUP(A122,v_2023!A:D,4,FALSE)</f>
        <v>818.72</v>
      </c>
      <c r="L122" s="16">
        <f t="shared" si="11"/>
        <v>43</v>
      </c>
      <c r="M122" s="14">
        <f t="shared" si="12"/>
        <v>429.97</v>
      </c>
      <c r="N122" s="20">
        <f>M122/K122</f>
        <v>0.52517344146961109</v>
      </c>
    </row>
    <row r="123" spans="1:14" x14ac:dyDescent="0.25">
      <c r="A123" s="16" t="s">
        <v>708</v>
      </c>
      <c r="B123" s="17" t="s">
        <v>709</v>
      </c>
      <c r="C123" s="16">
        <v>1</v>
      </c>
      <c r="D123" s="18">
        <v>5.98</v>
      </c>
      <c r="E123" s="16">
        <v>0</v>
      </c>
      <c r="F123" s="18">
        <v>0</v>
      </c>
      <c r="G123" s="19">
        <f>F123/I123</f>
        <v>0</v>
      </c>
      <c r="H123" s="16">
        <f t="shared" si="9"/>
        <v>1</v>
      </c>
      <c r="I123" s="18">
        <f t="shared" si="10"/>
        <v>5.98</v>
      </c>
      <c r="J123" s="16">
        <v>0</v>
      </c>
      <c r="K123" s="18">
        <v>0</v>
      </c>
      <c r="L123" s="16">
        <f t="shared" si="11"/>
        <v>1</v>
      </c>
      <c r="M123" s="14">
        <f t="shared" si="12"/>
        <v>5.98</v>
      </c>
      <c r="N123" s="20"/>
    </row>
    <row r="124" spans="1:14" x14ac:dyDescent="0.25">
      <c r="A124" s="16" t="s">
        <v>136</v>
      </c>
      <c r="B124" s="17" t="s">
        <v>137</v>
      </c>
      <c r="C124" s="16">
        <v>51</v>
      </c>
      <c r="D124" s="18">
        <v>1264.3</v>
      </c>
      <c r="E124" s="16">
        <f>VLOOKUP(A124,s_2024!A:C,2,FALSE)</f>
        <v>1</v>
      </c>
      <c r="F124" s="18">
        <f>VLOOKUP(A124,s_2024!A:C,3,FALSE)</f>
        <v>29.9</v>
      </c>
      <c r="G124" s="19">
        <f>F124/I124</f>
        <v>2.3103075258847163E-2</v>
      </c>
      <c r="H124" s="16">
        <f t="shared" si="9"/>
        <v>52</v>
      </c>
      <c r="I124" s="18">
        <f t="shared" si="10"/>
        <v>1294.2</v>
      </c>
      <c r="J124" s="16">
        <f>VLOOKUP(A124,v_2023!A:D,3,FALSE)</f>
        <v>110</v>
      </c>
      <c r="K124" s="18">
        <f>VLOOKUP(A124,v_2023!A:D,4,FALSE)</f>
        <v>2772.9399999999996</v>
      </c>
      <c r="L124" s="16">
        <f t="shared" si="11"/>
        <v>-58</v>
      </c>
      <c r="M124" s="14">
        <f t="shared" si="12"/>
        <v>-1478.7399999999996</v>
      </c>
      <c r="N124" s="20">
        <f>M124/K124</f>
        <v>-0.53327515200473141</v>
      </c>
    </row>
    <row r="125" spans="1:14" x14ac:dyDescent="0.25">
      <c r="A125" s="16" t="s">
        <v>660</v>
      </c>
      <c r="B125" s="17" t="s">
        <v>661</v>
      </c>
      <c r="C125" s="16">
        <v>8</v>
      </c>
      <c r="D125" s="18">
        <v>131.02999999999997</v>
      </c>
      <c r="E125" s="16">
        <v>0</v>
      </c>
      <c r="F125" s="18">
        <v>0</v>
      </c>
      <c r="G125" s="19">
        <f>F125/I125</f>
        <v>0</v>
      </c>
      <c r="H125" s="16">
        <f t="shared" si="9"/>
        <v>8</v>
      </c>
      <c r="I125" s="18">
        <f t="shared" si="10"/>
        <v>131.02999999999997</v>
      </c>
      <c r="J125" s="16">
        <v>0</v>
      </c>
      <c r="K125" s="18">
        <v>0</v>
      </c>
      <c r="L125" s="16">
        <f t="shared" si="11"/>
        <v>8</v>
      </c>
      <c r="M125" s="14">
        <f t="shared" si="12"/>
        <v>131.02999999999997</v>
      </c>
      <c r="N125" s="20"/>
    </row>
    <row r="126" spans="1:14" x14ac:dyDescent="0.25">
      <c r="A126" s="16" t="s">
        <v>716</v>
      </c>
      <c r="B126" s="17" t="s">
        <v>717</v>
      </c>
      <c r="C126" s="16">
        <v>0</v>
      </c>
      <c r="D126" s="18">
        <v>0</v>
      </c>
      <c r="E126" s="16">
        <v>0</v>
      </c>
      <c r="F126" s="18">
        <v>0</v>
      </c>
      <c r="G126" s="19"/>
      <c r="H126" s="16">
        <f t="shared" si="9"/>
        <v>0</v>
      </c>
      <c r="I126" s="18">
        <f t="shared" si="10"/>
        <v>0</v>
      </c>
      <c r="J126" s="16">
        <v>0</v>
      </c>
      <c r="K126" s="18">
        <v>0</v>
      </c>
      <c r="L126" s="16">
        <f t="shared" si="11"/>
        <v>0</v>
      </c>
      <c r="M126" s="14">
        <f t="shared" si="12"/>
        <v>0</v>
      </c>
      <c r="N126" s="20"/>
    </row>
    <row r="127" spans="1:14" x14ac:dyDescent="0.25">
      <c r="A127" s="16" t="s">
        <v>138</v>
      </c>
      <c r="B127" s="17" t="s">
        <v>139</v>
      </c>
      <c r="C127" s="16">
        <v>65</v>
      </c>
      <c r="D127" s="18">
        <v>429.35999999999996</v>
      </c>
      <c r="E127" s="16">
        <v>0</v>
      </c>
      <c r="F127" s="18">
        <v>0</v>
      </c>
      <c r="G127" s="19">
        <f t="shared" ref="G127:G137" si="18">F127/I127</f>
        <v>0</v>
      </c>
      <c r="H127" s="16">
        <f t="shared" si="9"/>
        <v>65</v>
      </c>
      <c r="I127" s="18">
        <f t="shared" si="10"/>
        <v>429.35999999999996</v>
      </c>
      <c r="J127" s="16">
        <f>VLOOKUP(A127,v_2023!A:D,3,FALSE)</f>
        <v>240</v>
      </c>
      <c r="K127" s="18">
        <f>VLOOKUP(A127,v_2023!A:D,4,FALSE)</f>
        <v>1751.42</v>
      </c>
      <c r="L127" s="16">
        <f t="shared" si="11"/>
        <v>-175</v>
      </c>
      <c r="M127" s="14">
        <f t="shared" si="12"/>
        <v>-1322.0600000000002</v>
      </c>
      <c r="N127" s="20">
        <f>M127/K127</f>
        <v>-0.75485035000171297</v>
      </c>
    </row>
    <row r="128" spans="1:14" x14ac:dyDescent="0.25">
      <c r="A128" s="16" t="s">
        <v>41</v>
      </c>
      <c r="B128" s="17" t="s">
        <v>42</v>
      </c>
      <c r="C128" s="16">
        <v>99</v>
      </c>
      <c r="D128" s="18">
        <v>1328.46</v>
      </c>
      <c r="E128" s="16">
        <v>0</v>
      </c>
      <c r="F128" s="18">
        <v>0</v>
      </c>
      <c r="G128" s="19">
        <f t="shared" si="18"/>
        <v>0</v>
      </c>
      <c r="H128" s="16">
        <f t="shared" si="9"/>
        <v>99</v>
      </c>
      <c r="I128" s="18">
        <f t="shared" si="10"/>
        <v>1328.46</v>
      </c>
      <c r="J128" s="16">
        <f>VLOOKUP(A128,v_2023!A:D,3,FALSE)</f>
        <v>1211</v>
      </c>
      <c r="K128" s="18">
        <f>VLOOKUP(A128,v_2023!A:D,4,FALSE)</f>
        <v>15347.37</v>
      </c>
      <c r="L128" s="16">
        <f t="shared" si="11"/>
        <v>-1112</v>
      </c>
      <c r="M128" s="14">
        <f t="shared" si="12"/>
        <v>-14018.91</v>
      </c>
      <c r="N128" s="20">
        <f>M128/K128</f>
        <v>-0.91344054388471763</v>
      </c>
    </row>
    <row r="129" spans="1:14" x14ac:dyDescent="0.25">
      <c r="A129" s="16" t="s">
        <v>630</v>
      </c>
      <c r="B129" s="17" t="s">
        <v>631</v>
      </c>
      <c r="C129" s="16">
        <v>18</v>
      </c>
      <c r="D129" s="18">
        <v>414.31</v>
      </c>
      <c r="E129" s="16">
        <v>0</v>
      </c>
      <c r="F129" s="18">
        <v>0</v>
      </c>
      <c r="G129" s="19">
        <f t="shared" si="18"/>
        <v>0</v>
      </c>
      <c r="H129" s="16">
        <f t="shared" si="9"/>
        <v>18</v>
      </c>
      <c r="I129" s="18">
        <f t="shared" si="10"/>
        <v>414.31</v>
      </c>
      <c r="J129" s="16">
        <v>0</v>
      </c>
      <c r="K129" s="18">
        <v>0</v>
      </c>
      <c r="L129" s="16">
        <f t="shared" si="11"/>
        <v>18</v>
      </c>
      <c r="M129" s="14">
        <f t="shared" si="12"/>
        <v>414.31</v>
      </c>
      <c r="N129" s="20"/>
    </row>
    <row r="130" spans="1:14" x14ac:dyDescent="0.25">
      <c r="A130" s="16" t="s">
        <v>168</v>
      </c>
      <c r="B130" s="17" t="s">
        <v>169</v>
      </c>
      <c r="C130" s="16">
        <v>55</v>
      </c>
      <c r="D130" s="18">
        <v>269.98</v>
      </c>
      <c r="E130" s="16">
        <v>0</v>
      </c>
      <c r="F130" s="18">
        <v>0</v>
      </c>
      <c r="G130" s="19">
        <f t="shared" si="18"/>
        <v>0</v>
      </c>
      <c r="H130" s="16">
        <f t="shared" ref="H130:H193" si="19">E130+C130</f>
        <v>55</v>
      </c>
      <c r="I130" s="18">
        <f t="shared" ref="I130:I193" si="20">F130+D130</f>
        <v>269.98</v>
      </c>
      <c r="J130" s="16">
        <f>VLOOKUP(A130,v_2023!A:D,3,FALSE)</f>
        <v>223</v>
      </c>
      <c r="K130" s="18">
        <f>VLOOKUP(A130,v_2023!A:D,4,FALSE)</f>
        <v>1083.48</v>
      </c>
      <c r="L130" s="16">
        <f t="shared" ref="L130:L193" si="21">H130-J130</f>
        <v>-168</v>
      </c>
      <c r="M130" s="14">
        <f t="shared" ref="M130:M193" si="22">I130-K130</f>
        <v>-813.5</v>
      </c>
      <c r="N130" s="20">
        <f>M130/K130</f>
        <v>-0.75082142725292578</v>
      </c>
    </row>
    <row r="131" spans="1:14" x14ac:dyDescent="0.25">
      <c r="A131" s="16" t="s">
        <v>378</v>
      </c>
      <c r="B131" s="17" t="s">
        <v>379</v>
      </c>
      <c r="C131" s="16">
        <v>4</v>
      </c>
      <c r="D131" s="18">
        <v>42.46</v>
      </c>
      <c r="E131" s="16">
        <v>0</v>
      </c>
      <c r="F131" s="18">
        <v>0</v>
      </c>
      <c r="G131" s="19">
        <f t="shared" si="18"/>
        <v>0</v>
      </c>
      <c r="H131" s="16">
        <f t="shared" si="19"/>
        <v>4</v>
      </c>
      <c r="I131" s="18">
        <f t="shared" si="20"/>
        <v>42.46</v>
      </c>
      <c r="J131" s="16">
        <f>VLOOKUP(A131,v_2023!A:D,3,FALSE)</f>
        <v>9</v>
      </c>
      <c r="K131" s="18">
        <f>VLOOKUP(A131,v_2023!A:D,4,FALSE)</f>
        <v>107.09</v>
      </c>
      <c r="L131" s="16">
        <f t="shared" si="21"/>
        <v>-5</v>
      </c>
      <c r="M131" s="14">
        <f t="shared" si="22"/>
        <v>-64.63</v>
      </c>
      <c r="N131" s="20">
        <f>M131/K131</f>
        <v>-0.60351106545895972</v>
      </c>
    </row>
    <row r="132" spans="1:14" x14ac:dyDescent="0.25">
      <c r="A132" s="16" t="s">
        <v>92</v>
      </c>
      <c r="B132" s="17" t="s">
        <v>93</v>
      </c>
      <c r="C132" s="16">
        <v>83</v>
      </c>
      <c r="D132" s="18">
        <v>1386.3000000000002</v>
      </c>
      <c r="E132" s="16">
        <v>0</v>
      </c>
      <c r="F132" s="18">
        <v>0</v>
      </c>
      <c r="G132" s="19">
        <f t="shared" si="18"/>
        <v>0</v>
      </c>
      <c r="H132" s="16">
        <f t="shared" si="19"/>
        <v>83</v>
      </c>
      <c r="I132" s="18">
        <f t="shared" si="20"/>
        <v>1386.3000000000002</v>
      </c>
      <c r="J132" s="16">
        <f>VLOOKUP(A132,v_2023!A:D,3,FALSE)</f>
        <v>497</v>
      </c>
      <c r="K132" s="18">
        <f>VLOOKUP(A132,v_2023!A:D,4,FALSE)</f>
        <v>7835.1800000000012</v>
      </c>
      <c r="L132" s="16">
        <f t="shared" si="21"/>
        <v>-414</v>
      </c>
      <c r="M132" s="14">
        <f t="shared" si="22"/>
        <v>-6448.880000000001</v>
      </c>
      <c r="N132" s="20">
        <f>M132/K132</f>
        <v>-0.82306724287125499</v>
      </c>
    </row>
    <row r="133" spans="1:14" x14ac:dyDescent="0.25">
      <c r="A133" s="16" t="s">
        <v>412</v>
      </c>
      <c r="B133" s="17" t="s">
        <v>413</v>
      </c>
      <c r="C133" s="16">
        <v>17</v>
      </c>
      <c r="D133" s="18">
        <v>336.87</v>
      </c>
      <c r="E133" s="16">
        <v>0</v>
      </c>
      <c r="F133" s="18">
        <v>0</v>
      </c>
      <c r="G133" s="19">
        <f t="shared" si="18"/>
        <v>0</v>
      </c>
      <c r="H133" s="16">
        <f t="shared" si="19"/>
        <v>17</v>
      </c>
      <c r="I133" s="18">
        <f t="shared" si="20"/>
        <v>336.87</v>
      </c>
      <c r="J133" s="16">
        <f>VLOOKUP(A133,v_2023!A:D,3,FALSE)</f>
        <v>4</v>
      </c>
      <c r="K133" s="18">
        <f>VLOOKUP(A133,v_2023!A:D,4,FALSE)</f>
        <v>71.260000000000005</v>
      </c>
      <c r="L133" s="16">
        <f t="shared" si="21"/>
        <v>13</v>
      </c>
      <c r="M133" s="14">
        <f t="shared" si="22"/>
        <v>265.61</v>
      </c>
      <c r="N133" s="20">
        <f>M133/K133</f>
        <v>3.7273365141734494</v>
      </c>
    </row>
    <row r="134" spans="1:14" x14ac:dyDescent="0.25">
      <c r="A134" s="16" t="s">
        <v>528</v>
      </c>
      <c r="B134" s="17" t="s">
        <v>529</v>
      </c>
      <c r="C134" s="16">
        <v>4</v>
      </c>
      <c r="D134" s="18">
        <v>103.27</v>
      </c>
      <c r="E134" s="16">
        <v>0</v>
      </c>
      <c r="F134" s="18">
        <v>0</v>
      </c>
      <c r="G134" s="19">
        <f t="shared" si="18"/>
        <v>0</v>
      </c>
      <c r="H134" s="16">
        <f t="shared" si="19"/>
        <v>4</v>
      </c>
      <c r="I134" s="18">
        <f t="shared" si="20"/>
        <v>103.27</v>
      </c>
      <c r="J134" s="16">
        <f>VLOOKUP(A134,v_2023!A:D,3,FALSE)</f>
        <v>0</v>
      </c>
      <c r="K134" s="18">
        <f>VLOOKUP(A134,v_2023!A:D,4,FALSE)</f>
        <v>0</v>
      </c>
      <c r="L134" s="16">
        <f t="shared" si="21"/>
        <v>4</v>
      </c>
      <c r="M134" s="14">
        <f t="shared" si="22"/>
        <v>103.27</v>
      </c>
      <c r="N134" s="20"/>
    </row>
    <row r="135" spans="1:14" x14ac:dyDescent="0.25">
      <c r="A135" s="16" t="s">
        <v>618</v>
      </c>
      <c r="B135" s="17" t="s">
        <v>619</v>
      </c>
      <c r="C135" s="16">
        <v>13</v>
      </c>
      <c r="D135" s="18">
        <v>685.82999999999993</v>
      </c>
      <c r="E135" s="16">
        <v>0</v>
      </c>
      <c r="F135" s="18">
        <v>0</v>
      </c>
      <c r="G135" s="19">
        <f t="shared" si="18"/>
        <v>0</v>
      </c>
      <c r="H135" s="16">
        <f t="shared" si="19"/>
        <v>13</v>
      </c>
      <c r="I135" s="18">
        <f t="shared" si="20"/>
        <v>685.82999999999993</v>
      </c>
      <c r="J135" s="16">
        <v>0</v>
      </c>
      <c r="K135" s="18">
        <v>0</v>
      </c>
      <c r="L135" s="16">
        <f t="shared" si="21"/>
        <v>13</v>
      </c>
      <c r="M135" s="14">
        <f t="shared" si="22"/>
        <v>685.82999999999993</v>
      </c>
      <c r="N135" s="20"/>
    </row>
    <row r="136" spans="1:14" x14ac:dyDescent="0.25">
      <c r="A136" s="16" t="s">
        <v>642</v>
      </c>
      <c r="B136" s="17" t="s">
        <v>643</v>
      </c>
      <c r="C136" s="16">
        <v>5</v>
      </c>
      <c r="D136" s="18">
        <v>165.45</v>
      </c>
      <c r="E136" s="16">
        <v>0</v>
      </c>
      <c r="F136" s="18">
        <v>0</v>
      </c>
      <c r="G136" s="19">
        <f t="shared" si="18"/>
        <v>0</v>
      </c>
      <c r="H136" s="16">
        <f t="shared" si="19"/>
        <v>5</v>
      </c>
      <c r="I136" s="18">
        <f t="shared" si="20"/>
        <v>165.45</v>
      </c>
      <c r="J136" s="16">
        <v>0</v>
      </c>
      <c r="K136" s="18">
        <v>0</v>
      </c>
      <c r="L136" s="16">
        <f t="shared" si="21"/>
        <v>5</v>
      </c>
      <c r="M136" s="14">
        <f t="shared" si="22"/>
        <v>165.45</v>
      </c>
      <c r="N136" s="20"/>
    </row>
    <row r="137" spans="1:14" x14ac:dyDescent="0.25">
      <c r="A137" s="16" t="s">
        <v>306</v>
      </c>
      <c r="B137" s="17" t="s">
        <v>307</v>
      </c>
      <c r="C137" s="16">
        <v>37</v>
      </c>
      <c r="D137" s="18">
        <v>452.17</v>
      </c>
      <c r="E137" s="16">
        <v>0</v>
      </c>
      <c r="F137" s="18">
        <v>0</v>
      </c>
      <c r="G137" s="19">
        <f t="shared" si="18"/>
        <v>0</v>
      </c>
      <c r="H137" s="16">
        <f t="shared" si="19"/>
        <v>37</v>
      </c>
      <c r="I137" s="18">
        <f t="shared" si="20"/>
        <v>452.17</v>
      </c>
      <c r="J137" s="16">
        <f>VLOOKUP(A137,v_2023!A:D,3,FALSE)</f>
        <v>20</v>
      </c>
      <c r="K137" s="18">
        <f>VLOOKUP(A137,v_2023!A:D,4,FALSE)</f>
        <v>300.42</v>
      </c>
      <c r="L137" s="16">
        <f t="shared" si="21"/>
        <v>17</v>
      </c>
      <c r="M137" s="14">
        <f t="shared" si="22"/>
        <v>151.75</v>
      </c>
      <c r="N137" s="20">
        <f t="shared" ref="N137:N175" si="23">M137/K137</f>
        <v>0.50512615671393379</v>
      </c>
    </row>
    <row r="138" spans="1:14" x14ac:dyDescent="0.25">
      <c r="A138" s="16" t="s">
        <v>258</v>
      </c>
      <c r="B138" s="17" t="s">
        <v>259</v>
      </c>
      <c r="C138" s="16">
        <v>0</v>
      </c>
      <c r="D138" s="18">
        <v>0</v>
      </c>
      <c r="E138" s="16">
        <v>0</v>
      </c>
      <c r="F138" s="18">
        <v>0</v>
      </c>
      <c r="G138" s="19"/>
      <c r="H138" s="16">
        <f t="shared" si="19"/>
        <v>0</v>
      </c>
      <c r="I138" s="18">
        <f t="shared" si="20"/>
        <v>0</v>
      </c>
      <c r="J138" s="16">
        <f>VLOOKUP(A138,v_2023!A:D,3,FALSE)</f>
        <v>27</v>
      </c>
      <c r="K138" s="18">
        <f>VLOOKUP(A138,v_2023!A:D,4,FALSE)</f>
        <v>637.74000000000012</v>
      </c>
      <c r="L138" s="16">
        <f t="shared" si="21"/>
        <v>-27</v>
      </c>
      <c r="M138" s="14">
        <f t="shared" si="22"/>
        <v>-637.74000000000012</v>
      </c>
      <c r="N138" s="20">
        <f t="shared" si="23"/>
        <v>-1</v>
      </c>
    </row>
    <row r="139" spans="1:14" x14ac:dyDescent="0.25">
      <c r="A139" s="16" t="s">
        <v>84</v>
      </c>
      <c r="B139" s="17" t="s">
        <v>85</v>
      </c>
      <c r="C139" s="16">
        <v>0</v>
      </c>
      <c r="D139" s="18">
        <v>0</v>
      </c>
      <c r="E139" s="16">
        <v>0</v>
      </c>
      <c r="F139" s="18">
        <v>0</v>
      </c>
      <c r="G139" s="19"/>
      <c r="H139" s="16">
        <f t="shared" si="19"/>
        <v>0</v>
      </c>
      <c r="I139" s="18">
        <f t="shared" si="20"/>
        <v>0</v>
      </c>
      <c r="J139" s="16">
        <f>VLOOKUP(A139,v_2023!A:D,3,FALSE)</f>
        <v>454</v>
      </c>
      <c r="K139" s="18">
        <f>VLOOKUP(A139,v_2023!A:D,4,FALSE)</f>
        <v>5565.4</v>
      </c>
      <c r="L139" s="16">
        <f t="shared" si="21"/>
        <v>-454</v>
      </c>
      <c r="M139" s="14">
        <f t="shared" si="22"/>
        <v>-5565.4</v>
      </c>
      <c r="N139" s="20">
        <f t="shared" si="23"/>
        <v>-1</v>
      </c>
    </row>
    <row r="140" spans="1:14" x14ac:dyDescent="0.25">
      <c r="A140" s="16" t="s">
        <v>234</v>
      </c>
      <c r="B140" s="17" t="s">
        <v>235</v>
      </c>
      <c r="C140" s="16">
        <v>10</v>
      </c>
      <c r="D140" s="18">
        <v>327.83000000000004</v>
      </c>
      <c r="E140" s="16">
        <v>0</v>
      </c>
      <c r="F140" s="18">
        <v>0</v>
      </c>
      <c r="G140" s="19">
        <f t="shared" ref="G140:G150" si="24">F140/I140</f>
        <v>0</v>
      </c>
      <c r="H140" s="16">
        <f t="shared" si="19"/>
        <v>10</v>
      </c>
      <c r="I140" s="18">
        <f t="shared" si="20"/>
        <v>327.83000000000004</v>
      </c>
      <c r="J140" s="16">
        <f>VLOOKUP(A140,v_2023!A:D,3,FALSE)</f>
        <v>19</v>
      </c>
      <c r="K140" s="18">
        <f>VLOOKUP(A140,v_2023!A:D,4,FALSE)</f>
        <v>624.26</v>
      </c>
      <c r="L140" s="16">
        <f t="shared" si="21"/>
        <v>-9</v>
      </c>
      <c r="M140" s="14">
        <f t="shared" si="22"/>
        <v>-296.42999999999995</v>
      </c>
      <c r="N140" s="20">
        <f t="shared" si="23"/>
        <v>-0.47485022266363369</v>
      </c>
    </row>
    <row r="141" spans="1:14" x14ac:dyDescent="0.25">
      <c r="A141" s="16" t="s">
        <v>210</v>
      </c>
      <c r="B141" s="17" t="s">
        <v>211</v>
      </c>
      <c r="C141" s="16">
        <v>35</v>
      </c>
      <c r="D141" s="18">
        <v>465.99</v>
      </c>
      <c r="E141" s="16">
        <v>0</v>
      </c>
      <c r="F141" s="18">
        <v>0</v>
      </c>
      <c r="G141" s="19">
        <f t="shared" si="24"/>
        <v>0</v>
      </c>
      <c r="H141" s="16">
        <f t="shared" si="19"/>
        <v>35</v>
      </c>
      <c r="I141" s="18">
        <f t="shared" si="20"/>
        <v>465.99</v>
      </c>
      <c r="J141" s="16">
        <f>VLOOKUP(A141,v_2023!A:D,3,FALSE)</f>
        <v>58</v>
      </c>
      <c r="K141" s="18">
        <f>VLOOKUP(A141,v_2023!A:D,4,FALSE)</f>
        <v>708.18</v>
      </c>
      <c r="L141" s="16">
        <f t="shared" si="21"/>
        <v>-23</v>
      </c>
      <c r="M141" s="14">
        <f t="shared" si="22"/>
        <v>-242.18999999999994</v>
      </c>
      <c r="N141" s="20">
        <f t="shared" si="23"/>
        <v>-0.34198932474794536</v>
      </c>
    </row>
    <row r="142" spans="1:14" x14ac:dyDescent="0.25">
      <c r="A142" s="16" t="s">
        <v>328</v>
      </c>
      <c r="B142" s="17" t="s">
        <v>329</v>
      </c>
      <c r="C142" s="16">
        <v>6</v>
      </c>
      <c r="D142" s="18">
        <v>133.04000000000002</v>
      </c>
      <c r="E142" s="16">
        <v>0</v>
      </c>
      <c r="F142" s="18">
        <v>0</v>
      </c>
      <c r="G142" s="19">
        <f t="shared" si="24"/>
        <v>0</v>
      </c>
      <c r="H142" s="16">
        <f t="shared" si="19"/>
        <v>6</v>
      </c>
      <c r="I142" s="18">
        <f t="shared" si="20"/>
        <v>133.04000000000002</v>
      </c>
      <c r="J142" s="16">
        <f>VLOOKUP(A142,v_2023!A:D,3,FALSE)</f>
        <v>23</v>
      </c>
      <c r="K142" s="18">
        <f>VLOOKUP(A142,v_2023!A:D,4,FALSE)</f>
        <v>292.07</v>
      </c>
      <c r="L142" s="16">
        <f t="shared" si="21"/>
        <v>-17</v>
      </c>
      <c r="M142" s="14">
        <f t="shared" si="22"/>
        <v>-159.02999999999997</v>
      </c>
      <c r="N142" s="20">
        <f t="shared" si="23"/>
        <v>-0.54449275858527058</v>
      </c>
    </row>
    <row r="143" spans="1:14" x14ac:dyDescent="0.25">
      <c r="A143" s="16" t="s">
        <v>458</v>
      </c>
      <c r="B143" s="17" t="s">
        <v>459</v>
      </c>
      <c r="C143" s="16">
        <v>2</v>
      </c>
      <c r="D143" s="18">
        <v>19.579999999999998</v>
      </c>
      <c r="E143" s="16">
        <v>0</v>
      </c>
      <c r="F143" s="18">
        <v>0</v>
      </c>
      <c r="G143" s="19">
        <f t="shared" si="24"/>
        <v>0</v>
      </c>
      <c r="H143" s="16">
        <f t="shared" si="19"/>
        <v>2</v>
      </c>
      <c r="I143" s="18">
        <f t="shared" si="20"/>
        <v>19.579999999999998</v>
      </c>
      <c r="J143" s="16">
        <f>VLOOKUP(A143,v_2023!A:D,3,FALSE)</f>
        <v>3</v>
      </c>
      <c r="K143" s="18">
        <f>VLOOKUP(A143,v_2023!A:D,4,FALSE)</f>
        <v>32.47</v>
      </c>
      <c r="L143" s="16">
        <f t="shared" si="21"/>
        <v>-1</v>
      </c>
      <c r="M143" s="14">
        <f t="shared" si="22"/>
        <v>-12.89</v>
      </c>
      <c r="N143" s="20">
        <f t="shared" si="23"/>
        <v>-0.3969818293809671</v>
      </c>
    </row>
    <row r="144" spans="1:14" x14ac:dyDescent="0.25">
      <c r="A144" s="16" t="s">
        <v>279</v>
      </c>
      <c r="B144" s="17" t="s">
        <v>280</v>
      </c>
      <c r="C144" s="16">
        <v>11</v>
      </c>
      <c r="D144" s="18">
        <v>229.16</v>
      </c>
      <c r="E144" s="16">
        <v>0</v>
      </c>
      <c r="F144" s="18">
        <v>0</v>
      </c>
      <c r="G144" s="19">
        <f t="shared" si="24"/>
        <v>0</v>
      </c>
      <c r="H144" s="16">
        <f t="shared" si="19"/>
        <v>11</v>
      </c>
      <c r="I144" s="18">
        <f t="shared" si="20"/>
        <v>229.16</v>
      </c>
      <c r="J144" s="16">
        <f>VLOOKUP(A144,v_2023!A:D,3,FALSE)</f>
        <v>11</v>
      </c>
      <c r="K144" s="18">
        <f>VLOOKUP(A144,v_2023!A:D,4,FALSE)</f>
        <v>250.83999999999997</v>
      </c>
      <c r="L144" s="16">
        <f t="shared" si="21"/>
        <v>0</v>
      </c>
      <c r="M144" s="14">
        <f t="shared" si="22"/>
        <v>-21.679999999999978</v>
      </c>
      <c r="N144" s="20">
        <f t="shared" si="23"/>
        <v>-8.6429596555573196E-2</v>
      </c>
    </row>
    <row r="145" spans="1:14" x14ac:dyDescent="0.25">
      <c r="A145" s="16" t="s">
        <v>384</v>
      </c>
      <c r="B145" s="17" t="s">
        <v>385</v>
      </c>
      <c r="C145" s="16">
        <v>1</v>
      </c>
      <c r="D145" s="18">
        <v>10.45</v>
      </c>
      <c r="E145" s="16">
        <v>0</v>
      </c>
      <c r="F145" s="18">
        <v>0</v>
      </c>
      <c r="G145" s="19">
        <f t="shared" si="24"/>
        <v>0</v>
      </c>
      <c r="H145" s="16">
        <f t="shared" si="19"/>
        <v>1</v>
      </c>
      <c r="I145" s="18">
        <f t="shared" si="20"/>
        <v>10.45</v>
      </c>
      <c r="J145" s="16">
        <f>VLOOKUP(A145,v_2023!A:D,3,FALSE)</f>
        <v>9</v>
      </c>
      <c r="K145" s="18">
        <f>VLOOKUP(A145,v_2023!A:D,4,FALSE)</f>
        <v>111.46</v>
      </c>
      <c r="L145" s="16">
        <f t="shared" si="21"/>
        <v>-8</v>
      </c>
      <c r="M145" s="14">
        <f t="shared" si="22"/>
        <v>-101.00999999999999</v>
      </c>
      <c r="N145" s="20">
        <f t="shared" si="23"/>
        <v>-0.90624439260721334</v>
      </c>
    </row>
    <row r="146" spans="1:14" x14ac:dyDescent="0.25">
      <c r="A146" s="16" t="s">
        <v>382</v>
      </c>
      <c r="B146" s="17" t="s">
        <v>383</v>
      </c>
      <c r="C146" s="16">
        <v>1</v>
      </c>
      <c r="D146" s="18">
        <v>74.430000000000007</v>
      </c>
      <c r="E146" s="16">
        <v>0</v>
      </c>
      <c r="F146" s="18">
        <v>0</v>
      </c>
      <c r="G146" s="19">
        <f t="shared" si="24"/>
        <v>0</v>
      </c>
      <c r="H146" s="16">
        <f t="shared" si="19"/>
        <v>1</v>
      </c>
      <c r="I146" s="18">
        <f t="shared" si="20"/>
        <v>74.430000000000007</v>
      </c>
      <c r="J146" s="16">
        <f>VLOOKUP(A146,v_2023!A:D,3,FALSE)</f>
        <v>1</v>
      </c>
      <c r="K146" s="18">
        <f>VLOOKUP(A146,v_2023!A:D,4,FALSE)</f>
        <v>75.790000000000006</v>
      </c>
      <c r="L146" s="16">
        <f t="shared" si="21"/>
        <v>0</v>
      </c>
      <c r="M146" s="14">
        <f t="shared" si="22"/>
        <v>-1.3599999999999994</v>
      </c>
      <c r="N146" s="20">
        <f t="shared" si="23"/>
        <v>-1.7944319831112276E-2</v>
      </c>
    </row>
    <row r="147" spans="1:14" x14ac:dyDescent="0.25">
      <c r="A147" s="16" t="s">
        <v>94</v>
      </c>
      <c r="B147" s="17" t="s">
        <v>95</v>
      </c>
      <c r="C147" s="16">
        <v>65</v>
      </c>
      <c r="D147" s="18">
        <v>1892.39</v>
      </c>
      <c r="E147" s="16">
        <f>VLOOKUP(A147,s_2024!A:C,2,FALSE)</f>
        <v>2</v>
      </c>
      <c r="F147" s="18">
        <f>VLOOKUP(A147,s_2024!A:C,3,FALSE)</f>
        <v>74.8</v>
      </c>
      <c r="G147" s="19">
        <f t="shared" si="24"/>
        <v>3.8023780112749657E-2</v>
      </c>
      <c r="H147" s="16">
        <f t="shared" si="19"/>
        <v>67</v>
      </c>
      <c r="I147" s="18">
        <f t="shared" si="20"/>
        <v>1967.19</v>
      </c>
      <c r="J147" s="16">
        <f>VLOOKUP(A147,v_2023!A:D,3,FALSE)</f>
        <v>160</v>
      </c>
      <c r="K147" s="18">
        <f>VLOOKUP(A147,v_2023!A:D,4,FALSE)</f>
        <v>4868.08</v>
      </c>
      <c r="L147" s="16">
        <f t="shared" si="21"/>
        <v>-93</v>
      </c>
      <c r="M147" s="14">
        <f t="shared" si="22"/>
        <v>-2900.89</v>
      </c>
      <c r="N147" s="20">
        <f t="shared" si="23"/>
        <v>-0.59590023171352979</v>
      </c>
    </row>
    <row r="148" spans="1:14" x14ac:dyDescent="0.25">
      <c r="A148" s="16" t="s">
        <v>326</v>
      </c>
      <c r="B148" s="17" t="s">
        <v>327</v>
      </c>
      <c r="C148" s="16">
        <v>2</v>
      </c>
      <c r="D148" s="18">
        <v>54.55</v>
      </c>
      <c r="E148" s="16">
        <v>0</v>
      </c>
      <c r="F148" s="18">
        <v>0</v>
      </c>
      <c r="G148" s="19">
        <f t="shared" si="24"/>
        <v>0</v>
      </c>
      <c r="H148" s="16">
        <f t="shared" si="19"/>
        <v>2</v>
      </c>
      <c r="I148" s="18">
        <f t="shared" si="20"/>
        <v>54.55</v>
      </c>
      <c r="J148" s="16">
        <f>VLOOKUP(A148,v_2023!A:D,3,FALSE)</f>
        <v>6</v>
      </c>
      <c r="K148" s="18">
        <f>VLOOKUP(A148,v_2023!A:D,4,FALSE)</f>
        <v>154.09</v>
      </c>
      <c r="L148" s="16">
        <f t="shared" si="21"/>
        <v>-4</v>
      </c>
      <c r="M148" s="14">
        <f t="shared" si="22"/>
        <v>-99.54</v>
      </c>
      <c r="N148" s="20">
        <f t="shared" si="23"/>
        <v>-0.64598611201246026</v>
      </c>
    </row>
    <row r="149" spans="1:14" x14ac:dyDescent="0.25">
      <c r="A149" s="16" t="s">
        <v>312</v>
      </c>
      <c r="B149" s="17" t="s">
        <v>313</v>
      </c>
      <c r="C149" s="16">
        <v>19</v>
      </c>
      <c r="D149" s="18">
        <v>152.1</v>
      </c>
      <c r="E149" s="16">
        <v>0</v>
      </c>
      <c r="F149" s="18">
        <v>0</v>
      </c>
      <c r="G149" s="19">
        <f t="shared" si="24"/>
        <v>0</v>
      </c>
      <c r="H149" s="16">
        <f t="shared" si="19"/>
        <v>19</v>
      </c>
      <c r="I149" s="18">
        <f t="shared" si="20"/>
        <v>152.1</v>
      </c>
      <c r="J149" s="16">
        <f>VLOOKUP(A149,v_2023!A:D,3,FALSE)</f>
        <v>13</v>
      </c>
      <c r="K149" s="18">
        <f>VLOOKUP(A149,v_2023!A:D,4,FALSE)</f>
        <v>190.86</v>
      </c>
      <c r="L149" s="16">
        <f t="shared" si="21"/>
        <v>6</v>
      </c>
      <c r="M149" s="14">
        <f t="shared" si="22"/>
        <v>-38.760000000000019</v>
      </c>
      <c r="N149" s="20">
        <f t="shared" si="23"/>
        <v>-0.20308079220370961</v>
      </c>
    </row>
    <row r="150" spans="1:14" x14ac:dyDescent="0.25">
      <c r="A150" s="16" t="s">
        <v>110</v>
      </c>
      <c r="B150" s="17" t="s">
        <v>111</v>
      </c>
      <c r="C150" s="16">
        <v>80</v>
      </c>
      <c r="D150" s="18">
        <v>1377.6699999999998</v>
      </c>
      <c r="E150" s="16">
        <v>0</v>
      </c>
      <c r="F150" s="18">
        <v>0</v>
      </c>
      <c r="G150" s="19">
        <f t="shared" si="24"/>
        <v>0</v>
      </c>
      <c r="H150" s="16">
        <f t="shared" si="19"/>
        <v>80</v>
      </c>
      <c r="I150" s="18">
        <f t="shared" si="20"/>
        <v>1377.6699999999998</v>
      </c>
      <c r="J150" s="16">
        <f>VLOOKUP(A150,v_2023!A:D,3,FALSE)</f>
        <v>210</v>
      </c>
      <c r="K150" s="18">
        <f>VLOOKUP(A150,v_2023!A:D,4,FALSE)</f>
        <v>4153.5599999999995</v>
      </c>
      <c r="L150" s="16">
        <f t="shared" si="21"/>
        <v>-130</v>
      </c>
      <c r="M150" s="14">
        <f t="shared" si="22"/>
        <v>-2775.8899999999994</v>
      </c>
      <c r="N150" s="20">
        <f t="shared" si="23"/>
        <v>-0.6683158543514478</v>
      </c>
    </row>
    <row r="151" spans="1:14" x14ac:dyDescent="0.25">
      <c r="A151" s="16" t="s">
        <v>598</v>
      </c>
      <c r="B151" s="17" t="s">
        <v>599</v>
      </c>
      <c r="C151" s="16">
        <v>0</v>
      </c>
      <c r="D151" s="18">
        <v>0</v>
      </c>
      <c r="E151" s="16">
        <v>0</v>
      </c>
      <c r="F151" s="18">
        <v>0</v>
      </c>
      <c r="G151" s="19"/>
      <c r="H151" s="16">
        <f t="shared" si="19"/>
        <v>0</v>
      </c>
      <c r="I151" s="18">
        <f t="shared" si="20"/>
        <v>0</v>
      </c>
      <c r="J151" s="16">
        <f>VLOOKUP(A151,v_2023!A:D,3,FALSE)</f>
        <v>-3</v>
      </c>
      <c r="K151" s="18">
        <f>VLOOKUP(A151,v_2023!A:D,4,FALSE)</f>
        <v>-55.37</v>
      </c>
      <c r="L151" s="16">
        <f t="shared" si="21"/>
        <v>3</v>
      </c>
      <c r="M151" s="14">
        <f t="shared" si="22"/>
        <v>55.37</v>
      </c>
      <c r="N151" s="20">
        <f t="shared" si="23"/>
        <v>-1</v>
      </c>
    </row>
    <row r="152" spans="1:14" x14ac:dyDescent="0.25">
      <c r="A152" s="16" t="s">
        <v>118</v>
      </c>
      <c r="B152" s="17" t="s">
        <v>119</v>
      </c>
      <c r="C152" s="16">
        <v>133</v>
      </c>
      <c r="D152" s="18">
        <v>2198.2800000000002</v>
      </c>
      <c r="E152" s="16">
        <v>0</v>
      </c>
      <c r="F152" s="18">
        <v>0</v>
      </c>
      <c r="G152" s="19">
        <f>F152/I152</f>
        <v>0</v>
      </c>
      <c r="H152" s="16">
        <f t="shared" si="19"/>
        <v>133</v>
      </c>
      <c r="I152" s="18">
        <f t="shared" si="20"/>
        <v>2198.2800000000002</v>
      </c>
      <c r="J152" s="16">
        <f>VLOOKUP(A152,v_2023!A:D,3,FALSE)</f>
        <v>317</v>
      </c>
      <c r="K152" s="18">
        <f>VLOOKUP(A152,v_2023!A:D,4,FALSE)</f>
        <v>5750.16</v>
      </c>
      <c r="L152" s="16">
        <f t="shared" si="21"/>
        <v>-184</v>
      </c>
      <c r="M152" s="14">
        <f t="shared" si="22"/>
        <v>-3551.8799999999997</v>
      </c>
      <c r="N152" s="20">
        <f t="shared" si="23"/>
        <v>-0.61770107266580399</v>
      </c>
    </row>
    <row r="153" spans="1:14" x14ac:dyDescent="0.25">
      <c r="A153" s="16" t="s">
        <v>362</v>
      </c>
      <c r="B153" s="17" t="s">
        <v>363</v>
      </c>
      <c r="C153" s="16">
        <v>0</v>
      </c>
      <c r="D153" s="18">
        <v>0</v>
      </c>
      <c r="E153" s="16">
        <v>0</v>
      </c>
      <c r="F153" s="18">
        <v>0</v>
      </c>
      <c r="G153" s="19"/>
      <c r="H153" s="16">
        <f t="shared" si="19"/>
        <v>0</v>
      </c>
      <c r="I153" s="18">
        <f t="shared" si="20"/>
        <v>0</v>
      </c>
      <c r="J153" s="16">
        <f>VLOOKUP(A153,v_2023!A:D,3,FALSE)</f>
        <v>10</v>
      </c>
      <c r="K153" s="18">
        <f>VLOOKUP(A153,v_2023!A:D,4,FALSE)</f>
        <v>166.36</v>
      </c>
      <c r="L153" s="16">
        <f t="shared" si="21"/>
        <v>-10</v>
      </c>
      <c r="M153" s="14">
        <f t="shared" si="22"/>
        <v>-166.36</v>
      </c>
      <c r="N153" s="20">
        <f t="shared" si="23"/>
        <v>-1</v>
      </c>
    </row>
    <row r="154" spans="1:14" x14ac:dyDescent="0.25">
      <c r="A154" s="16" t="s">
        <v>336</v>
      </c>
      <c r="B154" s="17" t="s">
        <v>337</v>
      </c>
      <c r="C154" s="16">
        <v>45</v>
      </c>
      <c r="D154" s="18">
        <v>749.53</v>
      </c>
      <c r="E154" s="16">
        <v>0</v>
      </c>
      <c r="F154" s="18">
        <v>0</v>
      </c>
      <c r="G154" s="19">
        <f t="shared" ref="G154:G159" si="25">F154/I154</f>
        <v>0</v>
      </c>
      <c r="H154" s="16">
        <f t="shared" si="19"/>
        <v>45</v>
      </c>
      <c r="I154" s="18">
        <f t="shared" si="20"/>
        <v>749.53</v>
      </c>
      <c r="J154" s="16">
        <f>VLOOKUP(A154,v_2023!A:D,3,FALSE)</f>
        <v>14</v>
      </c>
      <c r="K154" s="18">
        <f>VLOOKUP(A154,v_2023!A:D,4,FALSE)</f>
        <v>292.45999999999998</v>
      </c>
      <c r="L154" s="16">
        <f t="shared" si="21"/>
        <v>31</v>
      </c>
      <c r="M154" s="14">
        <f t="shared" si="22"/>
        <v>457.07</v>
      </c>
      <c r="N154" s="20">
        <f t="shared" si="23"/>
        <v>1.5628462011899065</v>
      </c>
    </row>
    <row r="155" spans="1:14" x14ac:dyDescent="0.25">
      <c r="A155" s="16" t="s">
        <v>17</v>
      </c>
      <c r="B155" s="17" t="s">
        <v>18</v>
      </c>
      <c r="C155" s="16">
        <v>311</v>
      </c>
      <c r="D155" s="18">
        <v>4353.78</v>
      </c>
      <c r="E155" s="16">
        <f>VLOOKUP(A155,s_2024!A:C,2,FALSE)</f>
        <v>94</v>
      </c>
      <c r="F155" s="18">
        <f>VLOOKUP(A155,s_2024!A:C,3,FALSE)</f>
        <v>2171.3700000000031</v>
      </c>
      <c r="G155" s="19">
        <f t="shared" si="25"/>
        <v>0.332769361623871</v>
      </c>
      <c r="H155" s="16">
        <f t="shared" si="19"/>
        <v>405</v>
      </c>
      <c r="I155" s="18">
        <f t="shared" si="20"/>
        <v>6525.1500000000033</v>
      </c>
      <c r="J155" s="16">
        <f>VLOOKUP(A155,v_2023!A:D,3,FALSE)</f>
        <v>1816</v>
      </c>
      <c r="K155" s="18">
        <f>VLOOKUP(A155,v_2023!A:D,4,FALSE)</f>
        <v>34974.229999999996</v>
      </c>
      <c r="L155" s="16">
        <f t="shared" si="21"/>
        <v>-1411</v>
      </c>
      <c r="M155" s="14">
        <f t="shared" si="22"/>
        <v>-28449.079999999994</v>
      </c>
      <c r="N155" s="20">
        <f t="shared" si="23"/>
        <v>-0.81342977386492854</v>
      </c>
    </row>
    <row r="156" spans="1:14" x14ac:dyDescent="0.25">
      <c r="A156" s="16" t="s">
        <v>144</v>
      </c>
      <c r="B156" s="17" t="s">
        <v>145</v>
      </c>
      <c r="C156" s="16">
        <v>29</v>
      </c>
      <c r="D156" s="18">
        <v>308.87</v>
      </c>
      <c r="E156" s="16">
        <v>0</v>
      </c>
      <c r="F156" s="18">
        <v>0</v>
      </c>
      <c r="G156" s="19">
        <f t="shared" si="25"/>
        <v>0</v>
      </c>
      <c r="H156" s="16">
        <f t="shared" si="19"/>
        <v>29</v>
      </c>
      <c r="I156" s="18">
        <f t="shared" si="20"/>
        <v>308.87</v>
      </c>
      <c r="J156" s="16">
        <f>VLOOKUP(A156,v_2023!A:D,3,FALSE)</f>
        <v>152</v>
      </c>
      <c r="K156" s="18">
        <f>VLOOKUP(A156,v_2023!A:D,4,FALSE)</f>
        <v>2186.64</v>
      </c>
      <c r="L156" s="16">
        <f t="shared" si="21"/>
        <v>-123</v>
      </c>
      <c r="M156" s="14">
        <f t="shared" si="22"/>
        <v>-1877.77</v>
      </c>
      <c r="N156" s="20">
        <f t="shared" si="23"/>
        <v>-0.85874675300918313</v>
      </c>
    </row>
    <row r="157" spans="1:14" x14ac:dyDescent="0.25">
      <c r="A157" s="16" t="s">
        <v>267</v>
      </c>
      <c r="B157" s="17" t="s">
        <v>268</v>
      </c>
      <c r="C157" s="16">
        <v>2</v>
      </c>
      <c r="D157" s="18">
        <v>24.9</v>
      </c>
      <c r="E157" s="16">
        <v>0</v>
      </c>
      <c r="F157" s="18">
        <v>0</v>
      </c>
      <c r="G157" s="19">
        <f t="shared" si="25"/>
        <v>0</v>
      </c>
      <c r="H157" s="16">
        <f t="shared" si="19"/>
        <v>2</v>
      </c>
      <c r="I157" s="18">
        <f t="shared" si="20"/>
        <v>24.9</v>
      </c>
      <c r="J157" s="16">
        <f>VLOOKUP(A157,v_2023!A:D,3,FALSE)</f>
        <v>34</v>
      </c>
      <c r="K157" s="18">
        <f>VLOOKUP(A157,v_2023!A:D,4,FALSE)</f>
        <v>451.27000000000004</v>
      </c>
      <c r="L157" s="16">
        <f t="shared" si="21"/>
        <v>-32</v>
      </c>
      <c r="M157" s="14">
        <f t="shared" si="22"/>
        <v>-426.37000000000006</v>
      </c>
      <c r="N157" s="20">
        <f t="shared" si="23"/>
        <v>-0.94482239014337321</v>
      </c>
    </row>
    <row r="158" spans="1:14" x14ac:dyDescent="0.25">
      <c r="A158" s="16" t="s">
        <v>73</v>
      </c>
      <c r="B158" s="17" t="s">
        <v>74</v>
      </c>
      <c r="C158" s="16">
        <v>2</v>
      </c>
      <c r="D158" s="18">
        <v>21.14</v>
      </c>
      <c r="E158" s="16">
        <f>VLOOKUP(A158,s_2024!A:C,2,FALSE)</f>
        <v>66</v>
      </c>
      <c r="F158" s="18">
        <f>VLOOKUP(A158,s_2024!A:C,3,FALSE)</f>
        <v>1051.3999999999994</v>
      </c>
      <c r="G158" s="19">
        <f t="shared" si="25"/>
        <v>0.98028977940216677</v>
      </c>
      <c r="H158" s="16">
        <f t="shared" si="19"/>
        <v>68</v>
      </c>
      <c r="I158" s="18">
        <f t="shared" si="20"/>
        <v>1072.5399999999995</v>
      </c>
      <c r="J158" s="16">
        <f>VLOOKUP(A158,v_2023!A:D,3,FALSE)</f>
        <v>536</v>
      </c>
      <c r="K158" s="18">
        <f>VLOOKUP(A158,v_2023!A:D,4,FALSE)</f>
        <v>6360.58</v>
      </c>
      <c r="L158" s="16">
        <f t="shared" si="21"/>
        <v>-468</v>
      </c>
      <c r="M158" s="14">
        <f t="shared" si="22"/>
        <v>-5288.0400000000009</v>
      </c>
      <c r="N158" s="20">
        <f t="shared" si="23"/>
        <v>-0.83137701278814213</v>
      </c>
    </row>
    <row r="159" spans="1:14" x14ac:dyDescent="0.25">
      <c r="A159" s="16" t="s">
        <v>108</v>
      </c>
      <c r="B159" s="17" t="s">
        <v>109</v>
      </c>
      <c r="C159" s="16">
        <v>164</v>
      </c>
      <c r="D159" s="18">
        <v>1414.3200000000002</v>
      </c>
      <c r="E159" s="16">
        <v>0</v>
      </c>
      <c r="F159" s="18">
        <v>0</v>
      </c>
      <c r="G159" s="19">
        <f t="shared" si="25"/>
        <v>0</v>
      </c>
      <c r="H159" s="16">
        <f t="shared" si="19"/>
        <v>164</v>
      </c>
      <c r="I159" s="18">
        <f t="shared" si="20"/>
        <v>1414.3200000000002</v>
      </c>
      <c r="J159" s="16">
        <f>VLOOKUP(A159,v_2023!A:D,3,FALSE)</f>
        <v>459</v>
      </c>
      <c r="K159" s="18">
        <f>VLOOKUP(A159,v_2023!A:D,4,FALSE)</f>
        <v>4360.58</v>
      </c>
      <c r="L159" s="16">
        <f t="shared" si="21"/>
        <v>-295</v>
      </c>
      <c r="M159" s="14">
        <f t="shared" si="22"/>
        <v>-2946.2599999999998</v>
      </c>
      <c r="N159" s="20">
        <f t="shared" si="23"/>
        <v>-0.67565782533516183</v>
      </c>
    </row>
    <row r="160" spans="1:14" x14ac:dyDescent="0.25">
      <c r="A160" s="16" t="s">
        <v>281</v>
      </c>
      <c r="B160" s="17" t="s">
        <v>282</v>
      </c>
      <c r="C160" s="16">
        <v>0</v>
      </c>
      <c r="D160" s="18">
        <v>0</v>
      </c>
      <c r="E160" s="16">
        <v>0</v>
      </c>
      <c r="F160" s="18">
        <v>0</v>
      </c>
      <c r="G160" s="19"/>
      <c r="H160" s="16">
        <f t="shared" si="19"/>
        <v>0</v>
      </c>
      <c r="I160" s="18">
        <f t="shared" si="20"/>
        <v>0</v>
      </c>
      <c r="J160" s="16">
        <f>VLOOKUP(A160,v_2023!A:D,3,FALSE)</f>
        <v>18</v>
      </c>
      <c r="K160" s="18">
        <f>VLOOKUP(A160,v_2023!A:D,4,FALSE)</f>
        <v>239.75</v>
      </c>
      <c r="L160" s="16">
        <f t="shared" si="21"/>
        <v>-18</v>
      </c>
      <c r="M160" s="14">
        <f t="shared" si="22"/>
        <v>-239.75</v>
      </c>
      <c r="N160" s="20">
        <f t="shared" si="23"/>
        <v>-1</v>
      </c>
    </row>
    <row r="161" spans="1:14" x14ac:dyDescent="0.25">
      <c r="A161" s="16" t="s">
        <v>212</v>
      </c>
      <c r="B161" s="17" t="s">
        <v>213</v>
      </c>
      <c r="C161" s="16">
        <v>0</v>
      </c>
      <c r="D161" s="18">
        <v>0</v>
      </c>
      <c r="E161" s="16">
        <f>VLOOKUP(A161,s_2024!A:C,2,FALSE)</f>
        <v>22</v>
      </c>
      <c r="F161" s="18">
        <f>VLOOKUP(A161,s_2024!A:C,3,FALSE)</f>
        <v>887.79999999999973</v>
      </c>
      <c r="G161" s="19">
        <f t="shared" ref="G161:G170" si="26">F161/I161</f>
        <v>1</v>
      </c>
      <c r="H161" s="16">
        <f t="shared" si="19"/>
        <v>22</v>
      </c>
      <c r="I161" s="18">
        <f t="shared" si="20"/>
        <v>887.79999999999973</v>
      </c>
      <c r="J161" s="16">
        <f>VLOOKUP(A161,v_2023!A:D,3,FALSE)</f>
        <v>44</v>
      </c>
      <c r="K161" s="18">
        <f>VLOOKUP(A161,v_2023!A:D,4,FALSE)</f>
        <v>1196.7399999999998</v>
      </c>
      <c r="L161" s="16">
        <f t="shared" si="21"/>
        <v>-22</v>
      </c>
      <c r="M161" s="14">
        <f t="shared" si="22"/>
        <v>-308.94000000000005</v>
      </c>
      <c r="N161" s="20">
        <f t="shared" si="23"/>
        <v>-0.25815131106171774</v>
      </c>
    </row>
    <row r="162" spans="1:14" x14ac:dyDescent="0.25">
      <c r="A162" s="16" t="s">
        <v>67</v>
      </c>
      <c r="B162" s="17" t="s">
        <v>68</v>
      </c>
      <c r="C162" s="16">
        <v>12</v>
      </c>
      <c r="D162" s="18">
        <v>509.98</v>
      </c>
      <c r="E162" s="16">
        <v>0</v>
      </c>
      <c r="F162" s="18">
        <v>0</v>
      </c>
      <c r="G162" s="19">
        <f t="shared" si="26"/>
        <v>0</v>
      </c>
      <c r="H162" s="16">
        <f t="shared" si="19"/>
        <v>12</v>
      </c>
      <c r="I162" s="18">
        <f t="shared" si="20"/>
        <v>509.98</v>
      </c>
      <c r="J162" s="16">
        <f>VLOOKUP(A162,v_2023!A:D,3,FALSE)</f>
        <v>236</v>
      </c>
      <c r="K162" s="18">
        <f>VLOOKUP(A162,v_2023!A:D,4,FALSE)</f>
        <v>10072.67</v>
      </c>
      <c r="L162" s="16">
        <f t="shared" si="21"/>
        <v>-224</v>
      </c>
      <c r="M162" s="14">
        <f t="shared" si="22"/>
        <v>-9562.69</v>
      </c>
      <c r="N162" s="20">
        <f t="shared" si="23"/>
        <v>-0.94936992872793413</v>
      </c>
    </row>
    <row r="163" spans="1:14" x14ac:dyDescent="0.25">
      <c r="A163" s="16" t="s">
        <v>57</v>
      </c>
      <c r="B163" s="17" t="s">
        <v>58</v>
      </c>
      <c r="C163" s="16">
        <v>46</v>
      </c>
      <c r="D163" s="18">
        <v>2711.67</v>
      </c>
      <c r="E163" s="16">
        <f>VLOOKUP(A163,s_2024!A:C,2,FALSE)</f>
        <v>5</v>
      </c>
      <c r="F163" s="18">
        <f>VLOOKUP(A163,s_2024!A:C,3,FALSE)</f>
        <v>349.5</v>
      </c>
      <c r="G163" s="19">
        <f t="shared" si="26"/>
        <v>0.11417203226217426</v>
      </c>
      <c r="H163" s="16">
        <f t="shared" si="19"/>
        <v>51</v>
      </c>
      <c r="I163" s="18">
        <f t="shared" si="20"/>
        <v>3061.17</v>
      </c>
      <c r="J163" s="16">
        <f>VLOOKUP(A163,v_2023!A:D,3,FALSE)</f>
        <v>154</v>
      </c>
      <c r="K163" s="18">
        <f>VLOOKUP(A163,v_2023!A:D,4,FALSE)</f>
        <v>8345.619999999999</v>
      </c>
      <c r="L163" s="16">
        <f t="shared" si="21"/>
        <v>-103</v>
      </c>
      <c r="M163" s="14">
        <f t="shared" si="22"/>
        <v>-5284.4499999999989</v>
      </c>
      <c r="N163" s="20">
        <f t="shared" si="23"/>
        <v>-0.63320040931650368</v>
      </c>
    </row>
    <row r="164" spans="1:14" x14ac:dyDescent="0.25">
      <c r="A164" s="16" t="s">
        <v>402</v>
      </c>
      <c r="B164" s="17" t="s">
        <v>403</v>
      </c>
      <c r="C164" s="16">
        <v>2</v>
      </c>
      <c r="D164" s="18">
        <v>9.82</v>
      </c>
      <c r="E164" s="16">
        <v>0</v>
      </c>
      <c r="F164" s="18">
        <v>0</v>
      </c>
      <c r="G164" s="19">
        <f t="shared" si="26"/>
        <v>0</v>
      </c>
      <c r="H164" s="16">
        <f t="shared" si="19"/>
        <v>2</v>
      </c>
      <c r="I164" s="18">
        <f t="shared" si="20"/>
        <v>9.82</v>
      </c>
      <c r="J164" s="16">
        <f>VLOOKUP(A164,v_2023!A:D,3,FALSE)</f>
        <v>17</v>
      </c>
      <c r="K164" s="18">
        <f>VLOOKUP(A164,v_2023!A:D,4,FALSE)</f>
        <v>68.34</v>
      </c>
      <c r="L164" s="16">
        <f t="shared" si="21"/>
        <v>-15</v>
      </c>
      <c r="M164" s="14">
        <f t="shared" si="22"/>
        <v>-58.52</v>
      </c>
      <c r="N164" s="20">
        <f t="shared" si="23"/>
        <v>-0.85630670178519164</v>
      </c>
    </row>
    <row r="165" spans="1:14" x14ac:dyDescent="0.25">
      <c r="A165" s="16" t="s">
        <v>442</v>
      </c>
      <c r="B165" s="17" t="s">
        <v>443</v>
      </c>
      <c r="C165" s="16">
        <v>7</v>
      </c>
      <c r="D165" s="18">
        <v>114.85</v>
      </c>
      <c r="E165" s="16">
        <v>0</v>
      </c>
      <c r="F165" s="18">
        <v>0</v>
      </c>
      <c r="G165" s="19">
        <f t="shared" si="26"/>
        <v>0</v>
      </c>
      <c r="H165" s="16">
        <f t="shared" si="19"/>
        <v>7</v>
      </c>
      <c r="I165" s="18">
        <f t="shared" si="20"/>
        <v>114.85</v>
      </c>
      <c r="J165" s="16">
        <f>VLOOKUP(A165,v_2023!A:D,3,FALSE)</f>
        <v>4</v>
      </c>
      <c r="K165" s="18">
        <f>VLOOKUP(A165,v_2023!A:D,4,FALSE)</f>
        <v>73</v>
      </c>
      <c r="L165" s="16">
        <f t="shared" si="21"/>
        <v>3</v>
      </c>
      <c r="M165" s="14">
        <f t="shared" si="22"/>
        <v>41.849999999999994</v>
      </c>
      <c r="N165" s="20">
        <f t="shared" si="23"/>
        <v>0.57328767123287661</v>
      </c>
    </row>
    <row r="166" spans="1:14" x14ac:dyDescent="0.25">
      <c r="A166" s="16" t="s">
        <v>63</v>
      </c>
      <c r="B166" s="17" t="s">
        <v>64</v>
      </c>
      <c r="C166" s="16">
        <v>9</v>
      </c>
      <c r="D166" s="18">
        <v>527.06999999999994</v>
      </c>
      <c r="E166" s="16">
        <f>VLOOKUP(A166,s_2024!A:C,2,FALSE)</f>
        <v>23</v>
      </c>
      <c r="F166" s="18">
        <f>VLOOKUP(A166,s_2024!A:C,3,FALSE)</f>
        <v>1820.7000000000005</v>
      </c>
      <c r="G166" s="19">
        <f t="shared" si="26"/>
        <v>0.77550185921108117</v>
      </c>
      <c r="H166" s="16">
        <f t="shared" si="19"/>
        <v>32</v>
      </c>
      <c r="I166" s="18">
        <f t="shared" si="20"/>
        <v>2347.7700000000004</v>
      </c>
      <c r="J166" s="16">
        <f>VLOOKUP(A166,v_2023!A:D,3,FALSE)</f>
        <v>189</v>
      </c>
      <c r="K166" s="18">
        <f>VLOOKUP(A166,v_2023!A:D,4,FALSE)</f>
        <v>12965.4</v>
      </c>
      <c r="L166" s="16">
        <f t="shared" si="21"/>
        <v>-157</v>
      </c>
      <c r="M166" s="14">
        <f t="shared" si="22"/>
        <v>-10617.63</v>
      </c>
      <c r="N166" s="20">
        <f t="shared" si="23"/>
        <v>-0.81892035725854961</v>
      </c>
    </row>
    <row r="167" spans="1:14" x14ac:dyDescent="0.25">
      <c r="A167" s="16" t="s">
        <v>271</v>
      </c>
      <c r="B167" s="17" t="s">
        <v>272</v>
      </c>
      <c r="C167" s="16">
        <v>5</v>
      </c>
      <c r="D167" s="18">
        <v>103.59</v>
      </c>
      <c r="E167" s="16">
        <v>0</v>
      </c>
      <c r="F167" s="18">
        <v>0</v>
      </c>
      <c r="G167" s="19">
        <f t="shared" si="26"/>
        <v>0</v>
      </c>
      <c r="H167" s="16">
        <f t="shared" si="19"/>
        <v>5</v>
      </c>
      <c r="I167" s="18">
        <f t="shared" si="20"/>
        <v>103.59</v>
      </c>
      <c r="J167" s="16">
        <f>VLOOKUP(A167,v_2023!A:D,3,FALSE)</f>
        <v>13</v>
      </c>
      <c r="K167" s="18">
        <f>VLOOKUP(A167,v_2023!A:D,4,FALSE)</f>
        <v>376.60999999999996</v>
      </c>
      <c r="L167" s="16">
        <f t="shared" si="21"/>
        <v>-8</v>
      </c>
      <c r="M167" s="14">
        <f t="shared" si="22"/>
        <v>-273.02</v>
      </c>
      <c r="N167" s="20">
        <f t="shared" si="23"/>
        <v>-0.72494092031544577</v>
      </c>
    </row>
    <row r="168" spans="1:14" x14ac:dyDescent="0.25">
      <c r="A168" s="16" t="s">
        <v>160</v>
      </c>
      <c r="B168" s="17" t="s">
        <v>161</v>
      </c>
      <c r="C168" s="16">
        <v>34</v>
      </c>
      <c r="D168" s="18">
        <v>389.38999999999993</v>
      </c>
      <c r="E168" s="16">
        <v>0</v>
      </c>
      <c r="F168" s="18">
        <v>0</v>
      </c>
      <c r="G168" s="19">
        <f t="shared" si="26"/>
        <v>0</v>
      </c>
      <c r="H168" s="16">
        <f t="shared" si="19"/>
        <v>34</v>
      </c>
      <c r="I168" s="18">
        <f t="shared" si="20"/>
        <v>389.38999999999993</v>
      </c>
      <c r="J168" s="16">
        <f>VLOOKUP(A168,v_2023!A:D,3,FALSE)</f>
        <v>154</v>
      </c>
      <c r="K168" s="18">
        <f>VLOOKUP(A168,v_2023!A:D,4,FALSE)</f>
        <v>1887.5</v>
      </c>
      <c r="L168" s="16">
        <f t="shared" si="21"/>
        <v>-120</v>
      </c>
      <c r="M168" s="14">
        <f t="shared" si="22"/>
        <v>-1498.1100000000001</v>
      </c>
      <c r="N168" s="20">
        <f t="shared" si="23"/>
        <v>-0.7937006622516557</v>
      </c>
    </row>
    <row r="169" spans="1:14" x14ac:dyDescent="0.25">
      <c r="A169" s="16" t="s">
        <v>182</v>
      </c>
      <c r="B169" s="17" t="s">
        <v>183</v>
      </c>
      <c r="C169" s="16">
        <v>1</v>
      </c>
      <c r="D169" s="18">
        <v>21.6</v>
      </c>
      <c r="E169" s="16">
        <v>0</v>
      </c>
      <c r="F169" s="18">
        <v>0</v>
      </c>
      <c r="G169" s="19">
        <f t="shared" si="26"/>
        <v>0</v>
      </c>
      <c r="H169" s="16">
        <f t="shared" si="19"/>
        <v>1</v>
      </c>
      <c r="I169" s="18">
        <f t="shared" si="20"/>
        <v>21.6</v>
      </c>
      <c r="J169" s="16">
        <f>VLOOKUP(A169,v_2023!A:D,3,FALSE)</f>
        <v>35</v>
      </c>
      <c r="K169" s="18">
        <f>VLOOKUP(A169,v_2023!A:D,4,FALSE)</f>
        <v>1010.8199999999999</v>
      </c>
      <c r="L169" s="16">
        <f t="shared" si="21"/>
        <v>-34</v>
      </c>
      <c r="M169" s="14">
        <f t="shared" si="22"/>
        <v>-989.21999999999991</v>
      </c>
      <c r="N169" s="20">
        <f t="shared" si="23"/>
        <v>-0.97863121030450528</v>
      </c>
    </row>
    <row r="170" spans="1:14" x14ac:dyDescent="0.25">
      <c r="A170" s="16" t="s">
        <v>289</v>
      </c>
      <c r="B170" s="17" t="s">
        <v>290</v>
      </c>
      <c r="C170" s="16">
        <v>16</v>
      </c>
      <c r="D170" s="18">
        <v>360.32000000000005</v>
      </c>
      <c r="E170" s="16">
        <v>0</v>
      </c>
      <c r="F170" s="18">
        <v>0</v>
      </c>
      <c r="G170" s="19">
        <f t="shared" si="26"/>
        <v>0</v>
      </c>
      <c r="H170" s="16">
        <f t="shared" si="19"/>
        <v>16</v>
      </c>
      <c r="I170" s="18">
        <f t="shared" si="20"/>
        <v>360.32000000000005</v>
      </c>
      <c r="J170" s="16">
        <f>VLOOKUP(A170,v_2023!A:D,3,FALSE)</f>
        <v>9</v>
      </c>
      <c r="K170" s="18">
        <f>VLOOKUP(A170,v_2023!A:D,4,FALSE)</f>
        <v>220.59</v>
      </c>
      <c r="L170" s="16">
        <f t="shared" si="21"/>
        <v>7</v>
      </c>
      <c r="M170" s="14">
        <f t="shared" si="22"/>
        <v>139.73000000000005</v>
      </c>
      <c r="N170" s="20">
        <f t="shared" si="23"/>
        <v>0.6334375991658735</v>
      </c>
    </row>
    <row r="171" spans="1:14" x14ac:dyDescent="0.25">
      <c r="A171" s="16" t="s">
        <v>356</v>
      </c>
      <c r="B171" s="17" t="s">
        <v>357</v>
      </c>
      <c r="C171" s="16">
        <v>0</v>
      </c>
      <c r="D171" s="18">
        <v>0</v>
      </c>
      <c r="E171" s="16">
        <v>0</v>
      </c>
      <c r="F171" s="18">
        <v>0</v>
      </c>
      <c r="G171" s="19"/>
      <c r="H171" s="16">
        <f t="shared" si="19"/>
        <v>0</v>
      </c>
      <c r="I171" s="18">
        <f t="shared" si="20"/>
        <v>0</v>
      </c>
      <c r="J171" s="16">
        <f>VLOOKUP(A171,v_2023!A:D,3,FALSE)</f>
        <v>21</v>
      </c>
      <c r="K171" s="18">
        <f>VLOOKUP(A171,v_2023!A:D,4,FALSE)</f>
        <v>172.9</v>
      </c>
      <c r="L171" s="16">
        <f t="shared" si="21"/>
        <v>-21</v>
      </c>
      <c r="M171" s="14">
        <f t="shared" si="22"/>
        <v>-172.9</v>
      </c>
      <c r="N171" s="20">
        <f t="shared" si="23"/>
        <v>-1</v>
      </c>
    </row>
    <row r="172" spans="1:14" x14ac:dyDescent="0.25">
      <c r="A172" s="16" t="s">
        <v>316</v>
      </c>
      <c r="B172" s="17" t="s">
        <v>317</v>
      </c>
      <c r="C172" s="16">
        <v>11</v>
      </c>
      <c r="D172" s="18">
        <v>55.180000000000007</v>
      </c>
      <c r="E172" s="16">
        <v>0</v>
      </c>
      <c r="F172" s="18">
        <v>0</v>
      </c>
      <c r="G172" s="19">
        <f>F172/I172</f>
        <v>0</v>
      </c>
      <c r="H172" s="16">
        <f t="shared" si="19"/>
        <v>11</v>
      </c>
      <c r="I172" s="18">
        <f t="shared" si="20"/>
        <v>55.180000000000007</v>
      </c>
      <c r="J172" s="16">
        <f>VLOOKUP(A172,v_2023!A:D,3,FALSE)</f>
        <v>27</v>
      </c>
      <c r="K172" s="18">
        <f>VLOOKUP(A172,v_2023!A:D,4,FALSE)</f>
        <v>191.08</v>
      </c>
      <c r="L172" s="16">
        <f t="shared" si="21"/>
        <v>-16</v>
      </c>
      <c r="M172" s="14">
        <f t="shared" si="22"/>
        <v>-135.9</v>
      </c>
      <c r="N172" s="20">
        <f t="shared" si="23"/>
        <v>-0.71122043123299139</v>
      </c>
    </row>
    <row r="173" spans="1:14" x14ac:dyDescent="0.25">
      <c r="A173" s="16" t="s">
        <v>514</v>
      </c>
      <c r="B173" s="17" t="s">
        <v>515</v>
      </c>
      <c r="C173" s="16">
        <v>0</v>
      </c>
      <c r="D173" s="18">
        <v>0</v>
      </c>
      <c r="E173" s="16">
        <v>0</v>
      </c>
      <c r="F173" s="18">
        <v>0</v>
      </c>
      <c r="G173" s="19"/>
      <c r="H173" s="16">
        <f t="shared" si="19"/>
        <v>0</v>
      </c>
      <c r="I173" s="18">
        <f t="shared" si="20"/>
        <v>0</v>
      </c>
      <c r="J173" s="16">
        <f>VLOOKUP(A173,v_2023!A:D,3,FALSE)</f>
        <v>1</v>
      </c>
      <c r="K173" s="18">
        <f>VLOOKUP(A173,v_2023!A:D,4,FALSE)</f>
        <v>10.57</v>
      </c>
      <c r="L173" s="16">
        <f t="shared" si="21"/>
        <v>-1</v>
      </c>
      <c r="M173" s="14">
        <f t="shared" si="22"/>
        <v>-10.57</v>
      </c>
      <c r="N173" s="20">
        <f t="shared" si="23"/>
        <v>-1</v>
      </c>
    </row>
    <row r="174" spans="1:14" x14ac:dyDescent="0.25">
      <c r="A174" s="16" t="s">
        <v>354</v>
      </c>
      <c r="B174" s="17" t="s">
        <v>355</v>
      </c>
      <c r="C174" s="16">
        <v>3</v>
      </c>
      <c r="D174" s="18">
        <v>135.37</v>
      </c>
      <c r="E174" s="16">
        <v>0</v>
      </c>
      <c r="F174" s="18">
        <v>0</v>
      </c>
      <c r="G174" s="19">
        <f>F174/I174</f>
        <v>0</v>
      </c>
      <c r="H174" s="16">
        <f t="shared" si="19"/>
        <v>3</v>
      </c>
      <c r="I174" s="18">
        <f t="shared" si="20"/>
        <v>135.37</v>
      </c>
      <c r="J174" s="16">
        <f>VLOOKUP(A174,v_2023!A:D,3,FALSE)</f>
        <v>5</v>
      </c>
      <c r="K174" s="18">
        <f>VLOOKUP(A174,v_2023!A:D,4,FALSE)</f>
        <v>194.29</v>
      </c>
      <c r="L174" s="16">
        <f t="shared" si="21"/>
        <v>-2</v>
      </c>
      <c r="M174" s="14">
        <f t="shared" si="22"/>
        <v>-58.919999999999987</v>
      </c>
      <c r="N174" s="20">
        <f t="shared" si="23"/>
        <v>-0.30325801636728594</v>
      </c>
    </row>
    <row r="175" spans="1:14" x14ac:dyDescent="0.25">
      <c r="A175" s="16" t="s">
        <v>512</v>
      </c>
      <c r="B175" s="17" t="s">
        <v>513</v>
      </c>
      <c r="C175" s="16">
        <v>3</v>
      </c>
      <c r="D175" s="18">
        <v>47.239999999999995</v>
      </c>
      <c r="E175" s="16">
        <v>0</v>
      </c>
      <c r="F175" s="18">
        <v>0</v>
      </c>
      <c r="G175" s="19">
        <f>F175/I175</f>
        <v>0</v>
      </c>
      <c r="H175" s="16">
        <f t="shared" si="19"/>
        <v>3</v>
      </c>
      <c r="I175" s="18">
        <f t="shared" si="20"/>
        <v>47.239999999999995</v>
      </c>
      <c r="J175" s="16">
        <f>VLOOKUP(A175,v_2023!A:D,3,FALSE)</f>
        <v>4</v>
      </c>
      <c r="K175" s="18">
        <f>VLOOKUP(A175,v_2023!A:D,4,FALSE)</f>
        <v>45</v>
      </c>
      <c r="L175" s="16">
        <f t="shared" si="21"/>
        <v>-1</v>
      </c>
      <c r="M175" s="14">
        <f t="shared" si="22"/>
        <v>2.2399999999999949</v>
      </c>
      <c r="N175" s="20">
        <f t="shared" si="23"/>
        <v>4.9777777777777664E-2</v>
      </c>
    </row>
    <row r="176" spans="1:14" x14ac:dyDescent="0.25">
      <c r="A176" s="16" t="s">
        <v>720</v>
      </c>
      <c r="B176" s="17" t="s">
        <v>721</v>
      </c>
      <c r="C176" s="16">
        <v>0</v>
      </c>
      <c r="D176" s="18">
        <v>0</v>
      </c>
      <c r="E176" s="16">
        <v>0</v>
      </c>
      <c r="F176" s="18">
        <v>0</v>
      </c>
      <c r="G176" s="19"/>
      <c r="H176" s="16">
        <f t="shared" si="19"/>
        <v>0</v>
      </c>
      <c r="I176" s="18">
        <f t="shared" si="20"/>
        <v>0</v>
      </c>
      <c r="J176" s="16">
        <v>0</v>
      </c>
      <c r="K176" s="18">
        <v>0</v>
      </c>
      <c r="L176" s="16">
        <f t="shared" si="21"/>
        <v>0</v>
      </c>
      <c r="M176" s="14">
        <f t="shared" si="22"/>
        <v>0</v>
      </c>
      <c r="N176" s="20"/>
    </row>
    <row r="177" spans="1:14" x14ac:dyDescent="0.25">
      <c r="A177" s="16" t="s">
        <v>626</v>
      </c>
      <c r="B177" s="17" t="s">
        <v>627</v>
      </c>
      <c r="C177" s="16">
        <v>8</v>
      </c>
      <c r="D177" s="18">
        <v>464.51</v>
      </c>
      <c r="E177" s="16">
        <v>0</v>
      </c>
      <c r="F177" s="18">
        <v>0</v>
      </c>
      <c r="G177" s="19">
        <f>F177/I177</f>
        <v>0</v>
      </c>
      <c r="H177" s="16">
        <f t="shared" si="19"/>
        <v>8</v>
      </c>
      <c r="I177" s="18">
        <f t="shared" si="20"/>
        <v>464.51</v>
      </c>
      <c r="J177" s="16">
        <v>0</v>
      </c>
      <c r="K177" s="18">
        <v>0</v>
      </c>
      <c r="L177" s="16">
        <f t="shared" si="21"/>
        <v>8</v>
      </c>
      <c r="M177" s="14">
        <f t="shared" si="22"/>
        <v>464.51</v>
      </c>
      <c r="N177" s="20"/>
    </row>
    <row r="178" spans="1:14" x14ac:dyDescent="0.25">
      <c r="A178" s="16" t="s">
        <v>686</v>
      </c>
      <c r="B178" s="17" t="s">
        <v>687</v>
      </c>
      <c r="C178" s="16">
        <v>2</v>
      </c>
      <c r="D178" s="18">
        <v>35.200000000000003</v>
      </c>
      <c r="E178" s="16">
        <v>0</v>
      </c>
      <c r="F178" s="18">
        <v>0</v>
      </c>
      <c r="G178" s="19">
        <f>F178/I178</f>
        <v>0</v>
      </c>
      <c r="H178" s="16">
        <f t="shared" si="19"/>
        <v>2</v>
      </c>
      <c r="I178" s="18">
        <f t="shared" si="20"/>
        <v>35.200000000000003</v>
      </c>
      <c r="J178" s="16">
        <v>0</v>
      </c>
      <c r="K178" s="18">
        <v>0</v>
      </c>
      <c r="L178" s="16">
        <f t="shared" si="21"/>
        <v>2</v>
      </c>
      <c r="M178" s="14">
        <f t="shared" si="22"/>
        <v>35.200000000000003</v>
      </c>
      <c r="N178" s="20"/>
    </row>
    <row r="179" spans="1:14" x14ac:dyDescent="0.25">
      <c r="A179" s="16" t="s">
        <v>726</v>
      </c>
      <c r="B179" s="17" t="s">
        <v>727</v>
      </c>
      <c r="C179" s="16">
        <v>0</v>
      </c>
      <c r="D179" s="18">
        <v>0</v>
      </c>
      <c r="E179" s="16">
        <v>0</v>
      </c>
      <c r="F179" s="18">
        <v>0</v>
      </c>
      <c r="G179" s="19"/>
      <c r="H179" s="16">
        <f t="shared" si="19"/>
        <v>0</v>
      </c>
      <c r="I179" s="18">
        <f t="shared" si="20"/>
        <v>0</v>
      </c>
      <c r="J179" s="16">
        <v>0</v>
      </c>
      <c r="K179" s="18">
        <v>0</v>
      </c>
      <c r="L179" s="16">
        <f t="shared" si="21"/>
        <v>0</v>
      </c>
      <c r="M179" s="14">
        <f t="shared" si="22"/>
        <v>0</v>
      </c>
      <c r="N179" s="20"/>
    </row>
    <row r="180" spans="1:14" x14ac:dyDescent="0.25">
      <c r="A180" s="16" t="s">
        <v>31</v>
      </c>
      <c r="B180" s="17" t="s">
        <v>32</v>
      </c>
      <c r="C180" s="16">
        <v>648</v>
      </c>
      <c r="D180" s="18">
        <v>6687.3600000000015</v>
      </c>
      <c r="E180" s="16">
        <v>0</v>
      </c>
      <c r="F180" s="18">
        <v>0</v>
      </c>
      <c r="G180" s="19">
        <f>F180/I180</f>
        <v>0</v>
      </c>
      <c r="H180" s="16">
        <f t="shared" si="19"/>
        <v>648</v>
      </c>
      <c r="I180" s="18">
        <f t="shared" si="20"/>
        <v>6687.3600000000015</v>
      </c>
      <c r="J180" s="16">
        <f>VLOOKUP(A180,v_2023!A:D,3,FALSE)</f>
        <v>4056</v>
      </c>
      <c r="K180" s="18">
        <f>VLOOKUP(A180,v_2023!A:D,4,FALSE)</f>
        <v>33322.03</v>
      </c>
      <c r="L180" s="16">
        <f t="shared" si="21"/>
        <v>-3408</v>
      </c>
      <c r="M180" s="14">
        <f t="shared" si="22"/>
        <v>-26634.67</v>
      </c>
      <c r="N180" s="20">
        <f>M180/K180</f>
        <v>-0.79931114640974754</v>
      </c>
    </row>
    <row r="181" spans="1:14" x14ac:dyDescent="0.25">
      <c r="A181" s="16" t="s">
        <v>390</v>
      </c>
      <c r="B181" s="17" t="s">
        <v>391</v>
      </c>
      <c r="C181" s="16">
        <v>0</v>
      </c>
      <c r="D181" s="18">
        <v>0</v>
      </c>
      <c r="E181" s="16">
        <v>0</v>
      </c>
      <c r="F181" s="18">
        <v>0</v>
      </c>
      <c r="G181" s="19"/>
      <c r="H181" s="16">
        <f t="shared" si="19"/>
        <v>0</v>
      </c>
      <c r="I181" s="18">
        <f t="shared" si="20"/>
        <v>0</v>
      </c>
      <c r="J181" s="16">
        <f>VLOOKUP(A181,v_2023!A:D,3,FALSE)</f>
        <v>3</v>
      </c>
      <c r="K181" s="18">
        <f>VLOOKUP(A181,v_2023!A:D,4,FALSE)</f>
        <v>168.63</v>
      </c>
      <c r="L181" s="16">
        <f t="shared" si="21"/>
        <v>-3</v>
      </c>
      <c r="M181" s="14">
        <f t="shared" si="22"/>
        <v>-168.63</v>
      </c>
      <c r="N181" s="20">
        <f>M181/K181</f>
        <v>-1</v>
      </c>
    </row>
    <row r="182" spans="1:14" x14ac:dyDescent="0.25">
      <c r="A182" s="16" t="s">
        <v>100</v>
      </c>
      <c r="B182" s="17" t="s">
        <v>101</v>
      </c>
      <c r="C182" s="16">
        <v>9</v>
      </c>
      <c r="D182" s="18">
        <v>536.88</v>
      </c>
      <c r="E182" s="16">
        <v>0</v>
      </c>
      <c r="F182" s="18">
        <v>0</v>
      </c>
      <c r="G182" s="19">
        <f t="shared" ref="G182:G187" si="27">F182/I182</f>
        <v>0</v>
      </c>
      <c r="H182" s="16">
        <f t="shared" si="19"/>
        <v>9</v>
      </c>
      <c r="I182" s="18">
        <f t="shared" si="20"/>
        <v>536.88</v>
      </c>
      <c r="J182" s="16">
        <f>VLOOKUP(A182,v_2023!A:D,3,FALSE)</f>
        <v>66</v>
      </c>
      <c r="K182" s="18">
        <f>VLOOKUP(A182,v_2023!A:D,4,FALSE)</f>
        <v>4251.6399999999994</v>
      </c>
      <c r="L182" s="16">
        <f t="shared" si="21"/>
        <v>-57</v>
      </c>
      <c r="M182" s="14">
        <f t="shared" si="22"/>
        <v>-3714.7599999999993</v>
      </c>
      <c r="N182" s="20">
        <f>M182/K182</f>
        <v>-0.87372402178923891</v>
      </c>
    </row>
    <row r="183" spans="1:14" x14ac:dyDescent="0.25">
      <c r="A183" s="16" t="s">
        <v>578</v>
      </c>
      <c r="B183" s="17" t="s">
        <v>579</v>
      </c>
      <c r="C183" s="16">
        <v>2</v>
      </c>
      <c r="D183" s="18">
        <v>28.38</v>
      </c>
      <c r="E183" s="16">
        <v>0</v>
      </c>
      <c r="F183" s="18">
        <v>0</v>
      </c>
      <c r="G183" s="19">
        <f t="shared" si="27"/>
        <v>0</v>
      </c>
      <c r="H183" s="16">
        <f t="shared" si="19"/>
        <v>2</v>
      </c>
      <c r="I183" s="18">
        <f t="shared" si="20"/>
        <v>28.38</v>
      </c>
      <c r="J183" s="16">
        <f>VLOOKUP(A183,v_2023!A:D,3,FALSE)</f>
        <v>0</v>
      </c>
      <c r="K183" s="18">
        <f>VLOOKUP(A183,v_2023!A:D,4,FALSE)</f>
        <v>0</v>
      </c>
      <c r="L183" s="16">
        <f t="shared" si="21"/>
        <v>2</v>
      </c>
      <c r="M183" s="14">
        <f t="shared" si="22"/>
        <v>28.38</v>
      </c>
      <c r="N183" s="20"/>
    </row>
    <row r="184" spans="1:14" x14ac:dyDescent="0.25">
      <c r="A184" s="16" t="s">
        <v>426</v>
      </c>
      <c r="B184" s="17" t="s">
        <v>427</v>
      </c>
      <c r="C184" s="16">
        <v>3</v>
      </c>
      <c r="D184" s="18">
        <v>48.129999999999995</v>
      </c>
      <c r="E184" s="16">
        <v>0</v>
      </c>
      <c r="F184" s="18">
        <v>0</v>
      </c>
      <c r="G184" s="19">
        <f t="shared" si="27"/>
        <v>0</v>
      </c>
      <c r="H184" s="16">
        <f t="shared" si="19"/>
        <v>3</v>
      </c>
      <c r="I184" s="18">
        <f t="shared" si="20"/>
        <v>48.129999999999995</v>
      </c>
      <c r="J184" s="16">
        <f>VLOOKUP(A184,v_2023!A:D,3,FALSE)</f>
        <v>5</v>
      </c>
      <c r="K184" s="18">
        <f>VLOOKUP(A184,v_2023!A:D,4,FALSE)</f>
        <v>81.96</v>
      </c>
      <c r="L184" s="16">
        <f t="shared" si="21"/>
        <v>-2</v>
      </c>
      <c r="M184" s="14">
        <f t="shared" si="22"/>
        <v>-33.83</v>
      </c>
      <c r="N184" s="20">
        <f>M184/K184</f>
        <v>-0.41276232308443145</v>
      </c>
    </row>
    <row r="185" spans="1:14" x14ac:dyDescent="0.25">
      <c r="A185" s="16" t="s">
        <v>532</v>
      </c>
      <c r="B185" s="17" t="s">
        <v>533</v>
      </c>
      <c r="C185" s="16">
        <v>14</v>
      </c>
      <c r="D185" s="18">
        <v>154.4</v>
      </c>
      <c r="E185" s="16">
        <v>0</v>
      </c>
      <c r="F185" s="18">
        <v>0</v>
      </c>
      <c r="G185" s="19">
        <f t="shared" si="27"/>
        <v>0</v>
      </c>
      <c r="H185" s="16">
        <f t="shared" si="19"/>
        <v>14</v>
      </c>
      <c r="I185" s="18">
        <f t="shared" si="20"/>
        <v>154.4</v>
      </c>
      <c r="J185" s="16">
        <f>VLOOKUP(A185,v_2023!A:D,3,FALSE)</f>
        <v>0</v>
      </c>
      <c r="K185" s="18">
        <f>VLOOKUP(A185,v_2023!A:D,4,FALSE)</f>
        <v>0</v>
      </c>
      <c r="L185" s="16">
        <f t="shared" si="21"/>
        <v>14</v>
      </c>
      <c r="M185" s="14">
        <f t="shared" si="22"/>
        <v>154.4</v>
      </c>
      <c r="N185" s="20"/>
    </row>
    <row r="186" spans="1:14" x14ac:dyDescent="0.25">
      <c r="A186" s="16" t="s">
        <v>662</v>
      </c>
      <c r="B186" s="17" t="s">
        <v>663</v>
      </c>
      <c r="C186" s="16">
        <v>9</v>
      </c>
      <c r="D186" s="18">
        <v>145.46</v>
      </c>
      <c r="E186" s="16">
        <v>0</v>
      </c>
      <c r="F186" s="18">
        <v>0</v>
      </c>
      <c r="G186" s="19">
        <f t="shared" si="27"/>
        <v>0</v>
      </c>
      <c r="H186" s="16">
        <f t="shared" si="19"/>
        <v>9</v>
      </c>
      <c r="I186" s="18">
        <f t="shared" si="20"/>
        <v>145.46</v>
      </c>
      <c r="J186" s="16">
        <v>0</v>
      </c>
      <c r="K186" s="18">
        <v>0</v>
      </c>
      <c r="L186" s="16">
        <f t="shared" si="21"/>
        <v>9</v>
      </c>
      <c r="M186" s="14">
        <f t="shared" si="22"/>
        <v>145.46</v>
      </c>
      <c r="N186" s="20"/>
    </row>
    <row r="187" spans="1:14" x14ac:dyDescent="0.25">
      <c r="A187" s="16" t="s">
        <v>454</v>
      </c>
      <c r="B187" s="17" t="s">
        <v>455</v>
      </c>
      <c r="C187" s="16">
        <v>3</v>
      </c>
      <c r="D187" s="18">
        <v>18.72</v>
      </c>
      <c r="E187" s="16">
        <v>0</v>
      </c>
      <c r="F187" s="18">
        <v>0</v>
      </c>
      <c r="G187" s="19">
        <f t="shared" si="27"/>
        <v>0</v>
      </c>
      <c r="H187" s="16">
        <f t="shared" si="19"/>
        <v>3</v>
      </c>
      <c r="I187" s="18">
        <f t="shared" si="20"/>
        <v>18.72</v>
      </c>
      <c r="J187" s="16">
        <f>VLOOKUP(A187,v_2023!A:D,3,FALSE)</f>
        <v>4</v>
      </c>
      <c r="K187" s="18">
        <f>VLOOKUP(A187,v_2023!A:D,4,FALSE)</f>
        <v>33</v>
      </c>
      <c r="L187" s="16">
        <f t="shared" si="21"/>
        <v>-1</v>
      </c>
      <c r="M187" s="14">
        <f t="shared" si="22"/>
        <v>-14.280000000000001</v>
      </c>
      <c r="N187" s="20">
        <f t="shared" ref="N187:N200" si="28">M187/K187</f>
        <v>-0.43272727272727274</v>
      </c>
    </row>
    <row r="188" spans="1:14" x14ac:dyDescent="0.25">
      <c r="A188" s="16" t="s">
        <v>264</v>
      </c>
      <c r="B188" s="17" t="s">
        <v>265</v>
      </c>
      <c r="C188" s="16">
        <v>0</v>
      </c>
      <c r="D188" s="18">
        <v>0</v>
      </c>
      <c r="E188" s="16">
        <v>0</v>
      </c>
      <c r="F188" s="18">
        <v>0</v>
      </c>
      <c r="G188" s="19"/>
      <c r="H188" s="16">
        <f t="shared" si="19"/>
        <v>0</v>
      </c>
      <c r="I188" s="18">
        <f t="shared" si="20"/>
        <v>0</v>
      </c>
      <c r="J188" s="16">
        <f>VLOOKUP(A188,v_2023!A:D,3,FALSE)</f>
        <v>40</v>
      </c>
      <c r="K188" s="18">
        <f>VLOOKUP(A188,v_2023!A:D,4,FALSE)</f>
        <v>324.39999999999998</v>
      </c>
      <c r="L188" s="16">
        <f t="shared" si="21"/>
        <v>-40</v>
      </c>
      <c r="M188" s="14">
        <f t="shared" si="22"/>
        <v>-324.39999999999998</v>
      </c>
      <c r="N188" s="20">
        <f t="shared" si="28"/>
        <v>-1</v>
      </c>
    </row>
    <row r="189" spans="1:14" x14ac:dyDescent="0.25">
      <c r="A189" s="16" t="s">
        <v>224</v>
      </c>
      <c r="B189" s="17" t="s">
        <v>225</v>
      </c>
      <c r="C189" s="16">
        <v>42</v>
      </c>
      <c r="D189" s="18">
        <v>608.13</v>
      </c>
      <c r="E189" s="16">
        <v>0</v>
      </c>
      <c r="F189" s="18">
        <v>0</v>
      </c>
      <c r="G189" s="19">
        <f t="shared" ref="G189:G211" si="29">F189/I189</f>
        <v>0</v>
      </c>
      <c r="H189" s="16">
        <f t="shared" si="19"/>
        <v>42</v>
      </c>
      <c r="I189" s="18">
        <f t="shared" si="20"/>
        <v>608.13</v>
      </c>
      <c r="J189" s="16">
        <f>VLOOKUP(A189,v_2023!A:D,3,FALSE)</f>
        <v>71</v>
      </c>
      <c r="K189" s="18">
        <f>VLOOKUP(A189,v_2023!A:D,4,FALSE)</f>
        <v>1141.3999999999999</v>
      </c>
      <c r="L189" s="16">
        <f t="shared" si="21"/>
        <v>-29</v>
      </c>
      <c r="M189" s="14">
        <f t="shared" si="22"/>
        <v>-533.26999999999987</v>
      </c>
      <c r="N189" s="20">
        <f t="shared" si="28"/>
        <v>-0.46720693884702991</v>
      </c>
    </row>
    <row r="190" spans="1:14" x14ac:dyDescent="0.25">
      <c r="A190" s="16" t="s">
        <v>116</v>
      </c>
      <c r="B190" s="17" t="s">
        <v>117</v>
      </c>
      <c r="C190" s="16">
        <v>4</v>
      </c>
      <c r="D190" s="18">
        <v>65.52</v>
      </c>
      <c r="E190" s="16">
        <v>0</v>
      </c>
      <c r="F190" s="18">
        <v>0</v>
      </c>
      <c r="G190" s="19">
        <f t="shared" si="29"/>
        <v>0</v>
      </c>
      <c r="H190" s="16">
        <f t="shared" si="19"/>
        <v>4</v>
      </c>
      <c r="I190" s="18">
        <f t="shared" si="20"/>
        <v>65.52</v>
      </c>
      <c r="J190" s="16">
        <f>VLOOKUP(A190,v_2023!A:D,3,FALSE)</f>
        <v>204</v>
      </c>
      <c r="K190" s="18">
        <f>VLOOKUP(A190,v_2023!A:D,4,FALSE)</f>
        <v>3245.7499999999995</v>
      </c>
      <c r="L190" s="16">
        <f t="shared" si="21"/>
        <v>-200</v>
      </c>
      <c r="M190" s="14">
        <f t="shared" si="22"/>
        <v>-3180.2299999999996</v>
      </c>
      <c r="N190" s="20">
        <f t="shared" si="28"/>
        <v>-0.97981360240314253</v>
      </c>
    </row>
    <row r="191" spans="1:14" x14ac:dyDescent="0.25">
      <c r="A191" s="16" t="s">
        <v>150</v>
      </c>
      <c r="B191" s="17" t="s">
        <v>151</v>
      </c>
      <c r="C191" s="16">
        <v>30</v>
      </c>
      <c r="D191" s="18">
        <v>418.83</v>
      </c>
      <c r="E191" s="16">
        <v>0</v>
      </c>
      <c r="F191" s="18">
        <v>0</v>
      </c>
      <c r="G191" s="19">
        <f t="shared" si="29"/>
        <v>0</v>
      </c>
      <c r="H191" s="16">
        <f t="shared" si="19"/>
        <v>30</v>
      </c>
      <c r="I191" s="18">
        <f t="shared" si="20"/>
        <v>418.83</v>
      </c>
      <c r="J191" s="16">
        <f>VLOOKUP(A191,v_2023!A:D,3,FALSE)</f>
        <v>183</v>
      </c>
      <c r="K191" s="18">
        <f>VLOOKUP(A191,v_2023!A:D,4,FALSE)</f>
        <v>2226.5799999999995</v>
      </c>
      <c r="L191" s="16">
        <f t="shared" si="21"/>
        <v>-153</v>
      </c>
      <c r="M191" s="14">
        <f t="shared" si="22"/>
        <v>-1807.7499999999995</v>
      </c>
      <c r="N191" s="20">
        <f t="shared" si="28"/>
        <v>-0.81189537317320737</v>
      </c>
    </row>
    <row r="192" spans="1:14" x14ac:dyDescent="0.25">
      <c r="A192" s="16" t="s">
        <v>332</v>
      </c>
      <c r="B192" s="17" t="s">
        <v>333</v>
      </c>
      <c r="C192" s="16">
        <v>5</v>
      </c>
      <c r="D192" s="18">
        <v>112.74000000000001</v>
      </c>
      <c r="E192" s="16">
        <v>0</v>
      </c>
      <c r="F192" s="18">
        <v>0</v>
      </c>
      <c r="G192" s="19">
        <f t="shared" si="29"/>
        <v>0</v>
      </c>
      <c r="H192" s="16">
        <f t="shared" si="19"/>
        <v>5</v>
      </c>
      <c r="I192" s="18">
        <f t="shared" si="20"/>
        <v>112.74000000000001</v>
      </c>
      <c r="J192" s="16">
        <f>VLOOKUP(A192,v_2023!A:D,3,FALSE)</f>
        <v>6</v>
      </c>
      <c r="K192" s="18">
        <f>VLOOKUP(A192,v_2023!A:D,4,FALSE)</f>
        <v>148.26</v>
      </c>
      <c r="L192" s="16">
        <f t="shared" si="21"/>
        <v>-1</v>
      </c>
      <c r="M192" s="14">
        <f t="shared" si="22"/>
        <v>-35.519999999999982</v>
      </c>
      <c r="N192" s="20">
        <f t="shared" si="28"/>
        <v>-0.23957911776608651</v>
      </c>
    </row>
    <row r="193" spans="1:14" x14ac:dyDescent="0.25">
      <c r="A193" s="16" t="s">
        <v>23</v>
      </c>
      <c r="B193" s="17" t="s">
        <v>24</v>
      </c>
      <c r="C193" s="16">
        <v>343</v>
      </c>
      <c r="D193" s="18">
        <v>3486.6300000000006</v>
      </c>
      <c r="E193" s="16">
        <v>0</v>
      </c>
      <c r="F193" s="18">
        <v>0</v>
      </c>
      <c r="G193" s="19">
        <f t="shared" si="29"/>
        <v>0</v>
      </c>
      <c r="H193" s="16">
        <f t="shared" si="19"/>
        <v>343</v>
      </c>
      <c r="I193" s="18">
        <f t="shared" si="20"/>
        <v>3486.6300000000006</v>
      </c>
      <c r="J193" s="16">
        <f>VLOOKUP(A193,v_2023!A:D,3,FALSE)</f>
        <v>3244</v>
      </c>
      <c r="K193" s="18">
        <f>VLOOKUP(A193,v_2023!A:D,4,FALSE)</f>
        <v>26543.63</v>
      </c>
      <c r="L193" s="16">
        <f t="shared" si="21"/>
        <v>-2901</v>
      </c>
      <c r="M193" s="14">
        <f t="shared" si="22"/>
        <v>-23057</v>
      </c>
      <c r="N193" s="20">
        <f t="shared" si="28"/>
        <v>-0.86864532093010638</v>
      </c>
    </row>
    <row r="194" spans="1:14" x14ac:dyDescent="0.25">
      <c r="A194" s="16" t="s">
        <v>174</v>
      </c>
      <c r="B194" s="17" t="s">
        <v>175</v>
      </c>
      <c r="C194" s="16">
        <v>29</v>
      </c>
      <c r="D194" s="18">
        <v>234.67000000000002</v>
      </c>
      <c r="E194" s="16">
        <v>0</v>
      </c>
      <c r="F194" s="18">
        <v>0</v>
      </c>
      <c r="G194" s="19">
        <f t="shared" si="29"/>
        <v>0</v>
      </c>
      <c r="H194" s="16">
        <f t="shared" ref="H194:H257" si="30">E194+C194</f>
        <v>29</v>
      </c>
      <c r="I194" s="18">
        <f t="shared" ref="I194:I257" si="31">F194+D194</f>
        <v>234.67000000000002</v>
      </c>
      <c r="J194" s="16">
        <f>VLOOKUP(A194,v_2023!A:D,3,FALSE)</f>
        <v>268</v>
      </c>
      <c r="K194" s="18">
        <f>VLOOKUP(A194,v_2023!A:D,4,FALSE)</f>
        <v>2067.6999999999998</v>
      </c>
      <c r="L194" s="16">
        <f t="shared" ref="L194:L257" si="32">H194-J194</f>
        <v>-239</v>
      </c>
      <c r="M194" s="14">
        <f t="shared" ref="M194:M257" si="33">I194-K194</f>
        <v>-1833.0299999999997</v>
      </c>
      <c r="N194" s="20">
        <f t="shared" si="28"/>
        <v>-0.8865067466266866</v>
      </c>
    </row>
    <row r="195" spans="1:14" x14ac:dyDescent="0.25">
      <c r="A195" s="16" t="s">
        <v>55</v>
      </c>
      <c r="B195" s="17" t="s">
        <v>56</v>
      </c>
      <c r="C195" s="16">
        <v>1</v>
      </c>
      <c r="D195" s="18">
        <v>9.51</v>
      </c>
      <c r="E195" s="16">
        <v>0</v>
      </c>
      <c r="F195" s="18">
        <v>0</v>
      </c>
      <c r="G195" s="19">
        <f t="shared" si="29"/>
        <v>0</v>
      </c>
      <c r="H195" s="16">
        <f t="shared" si="30"/>
        <v>1</v>
      </c>
      <c r="I195" s="18">
        <f t="shared" si="31"/>
        <v>9.51</v>
      </c>
      <c r="J195" s="16">
        <f>VLOOKUP(A195,v_2023!A:D,3,FALSE)</f>
        <v>854</v>
      </c>
      <c r="K195" s="18">
        <f>VLOOKUP(A195,v_2023!A:D,4,FALSE)</f>
        <v>11391.91</v>
      </c>
      <c r="L195" s="16">
        <f t="shared" si="32"/>
        <v>-853</v>
      </c>
      <c r="M195" s="14">
        <f t="shared" si="33"/>
        <v>-11382.4</v>
      </c>
      <c r="N195" s="20">
        <f t="shared" si="28"/>
        <v>-0.99916519705650764</v>
      </c>
    </row>
    <row r="196" spans="1:14" x14ac:dyDescent="0.25">
      <c r="A196" s="16" t="s">
        <v>275</v>
      </c>
      <c r="B196" s="17" t="s">
        <v>276</v>
      </c>
      <c r="C196" s="16">
        <v>1</v>
      </c>
      <c r="D196" s="18">
        <v>16.45</v>
      </c>
      <c r="E196" s="16">
        <v>0</v>
      </c>
      <c r="F196" s="18">
        <v>0</v>
      </c>
      <c r="G196" s="19">
        <f t="shared" si="29"/>
        <v>0</v>
      </c>
      <c r="H196" s="16">
        <f t="shared" si="30"/>
        <v>1</v>
      </c>
      <c r="I196" s="18">
        <f t="shared" si="31"/>
        <v>16.45</v>
      </c>
      <c r="J196" s="16">
        <f>VLOOKUP(A196,v_2023!A:D,3,FALSE)</f>
        <v>26</v>
      </c>
      <c r="K196" s="18">
        <f>VLOOKUP(A196,v_2023!A:D,4,FALSE)</f>
        <v>259.92</v>
      </c>
      <c r="L196" s="16">
        <f t="shared" si="32"/>
        <v>-25</v>
      </c>
      <c r="M196" s="14">
        <f t="shared" si="33"/>
        <v>-243.47000000000003</v>
      </c>
      <c r="N196" s="20">
        <f t="shared" si="28"/>
        <v>-0.93671129578331802</v>
      </c>
    </row>
    <row r="197" spans="1:14" x14ac:dyDescent="0.25">
      <c r="A197" s="16" t="s">
        <v>14</v>
      </c>
      <c r="B197" s="17" t="s">
        <v>15</v>
      </c>
      <c r="C197" s="16">
        <v>678</v>
      </c>
      <c r="D197" s="18">
        <v>8596.59</v>
      </c>
      <c r="E197" s="16">
        <f>VLOOKUP(A197,s_2024!A:C,2,FALSE)</f>
        <v>71</v>
      </c>
      <c r="F197" s="18">
        <f>VLOOKUP(A197,s_2024!A:C,3,FALSE)</f>
        <v>1077.8999999999992</v>
      </c>
      <c r="G197" s="19">
        <f t="shared" si="29"/>
        <v>0.11141672584291257</v>
      </c>
      <c r="H197" s="16">
        <f t="shared" si="30"/>
        <v>749</v>
      </c>
      <c r="I197" s="18">
        <f t="shared" si="31"/>
        <v>9674.49</v>
      </c>
      <c r="J197" s="16">
        <f>VLOOKUP(A197,v_2023!A:D,3,FALSE)</f>
        <v>3859</v>
      </c>
      <c r="K197" s="18">
        <f>VLOOKUP(A197,v_2023!A:D,4,FALSE)</f>
        <v>47676.079999999994</v>
      </c>
      <c r="L197" s="16">
        <f t="shared" si="32"/>
        <v>-3110</v>
      </c>
      <c r="M197" s="14">
        <f t="shared" si="33"/>
        <v>-38001.589999999997</v>
      </c>
      <c r="N197" s="20">
        <f t="shared" si="28"/>
        <v>-0.79707874472901297</v>
      </c>
    </row>
    <row r="198" spans="1:14" x14ac:dyDescent="0.25">
      <c r="A198" s="16" t="s">
        <v>344</v>
      </c>
      <c r="B198" s="17" t="s">
        <v>345</v>
      </c>
      <c r="C198" s="16">
        <v>24</v>
      </c>
      <c r="D198" s="18">
        <v>276.97000000000003</v>
      </c>
      <c r="E198" s="16">
        <v>0</v>
      </c>
      <c r="F198" s="18">
        <v>0</v>
      </c>
      <c r="G198" s="19">
        <f t="shared" si="29"/>
        <v>0</v>
      </c>
      <c r="H198" s="16">
        <f t="shared" si="30"/>
        <v>24</v>
      </c>
      <c r="I198" s="18">
        <f t="shared" si="31"/>
        <v>276.97000000000003</v>
      </c>
      <c r="J198" s="16">
        <f>VLOOKUP(A198,v_2023!A:D,3,FALSE)</f>
        <v>13</v>
      </c>
      <c r="K198" s="18">
        <f>VLOOKUP(A198,v_2023!A:D,4,FALSE)</f>
        <v>146.68</v>
      </c>
      <c r="L198" s="16">
        <f t="shared" si="32"/>
        <v>11</v>
      </c>
      <c r="M198" s="14">
        <f t="shared" si="33"/>
        <v>130.29000000000002</v>
      </c>
      <c r="N198" s="20">
        <f t="shared" si="28"/>
        <v>0.88826015816743942</v>
      </c>
    </row>
    <row r="199" spans="1:14" x14ac:dyDescent="0.25">
      <c r="A199" s="16" t="s">
        <v>504</v>
      </c>
      <c r="B199" s="17" t="s">
        <v>505</v>
      </c>
      <c r="C199" s="16">
        <v>1</v>
      </c>
      <c r="D199" s="18">
        <v>5.42</v>
      </c>
      <c r="E199" s="16">
        <v>0</v>
      </c>
      <c r="F199" s="18">
        <v>0</v>
      </c>
      <c r="G199" s="19">
        <f t="shared" si="29"/>
        <v>0</v>
      </c>
      <c r="H199" s="16">
        <f t="shared" si="30"/>
        <v>1</v>
      </c>
      <c r="I199" s="18">
        <f t="shared" si="31"/>
        <v>5.42</v>
      </c>
      <c r="J199" s="16">
        <f>VLOOKUP(A199,v_2023!A:D,3,FALSE)</f>
        <v>1</v>
      </c>
      <c r="K199" s="18">
        <f>VLOOKUP(A199,v_2023!A:D,4,FALSE)</f>
        <v>12.65</v>
      </c>
      <c r="L199" s="16">
        <f t="shared" si="32"/>
        <v>0</v>
      </c>
      <c r="M199" s="14">
        <f t="shared" si="33"/>
        <v>-7.23</v>
      </c>
      <c r="N199" s="20">
        <f t="shared" si="28"/>
        <v>-0.57154150197628462</v>
      </c>
    </row>
    <row r="200" spans="1:14" x14ac:dyDescent="0.25">
      <c r="A200" s="16" t="s">
        <v>246</v>
      </c>
      <c r="B200" s="17" t="s">
        <v>247</v>
      </c>
      <c r="C200" s="16">
        <v>35</v>
      </c>
      <c r="D200" s="18">
        <v>428.14</v>
      </c>
      <c r="E200" s="16">
        <v>0</v>
      </c>
      <c r="F200" s="18">
        <v>0</v>
      </c>
      <c r="G200" s="19">
        <f t="shared" si="29"/>
        <v>0</v>
      </c>
      <c r="H200" s="16">
        <f t="shared" si="30"/>
        <v>35</v>
      </c>
      <c r="I200" s="18">
        <f t="shared" si="31"/>
        <v>428.14</v>
      </c>
      <c r="J200" s="16">
        <f>VLOOKUP(A200,v_2023!A:D,3,FALSE)</f>
        <v>47</v>
      </c>
      <c r="K200" s="18">
        <f>VLOOKUP(A200,v_2023!A:D,4,FALSE)</f>
        <v>561.33000000000004</v>
      </c>
      <c r="L200" s="16">
        <f t="shared" si="32"/>
        <v>-12</v>
      </c>
      <c r="M200" s="14">
        <f t="shared" si="33"/>
        <v>-133.19000000000005</v>
      </c>
      <c r="N200" s="20">
        <f t="shared" si="28"/>
        <v>-0.2372757557942744</v>
      </c>
    </row>
    <row r="201" spans="1:14" x14ac:dyDescent="0.25">
      <c r="A201" s="16" t="s">
        <v>670</v>
      </c>
      <c r="B201" s="17" t="s">
        <v>671</v>
      </c>
      <c r="C201" s="16">
        <v>2</v>
      </c>
      <c r="D201" s="18">
        <v>65.400000000000006</v>
      </c>
      <c r="E201" s="16">
        <v>0</v>
      </c>
      <c r="F201" s="18">
        <v>0</v>
      </c>
      <c r="G201" s="19">
        <f t="shared" si="29"/>
        <v>0</v>
      </c>
      <c r="H201" s="16">
        <f t="shared" si="30"/>
        <v>2</v>
      </c>
      <c r="I201" s="18">
        <f t="shared" si="31"/>
        <v>65.400000000000006</v>
      </c>
      <c r="J201" s="16">
        <v>0</v>
      </c>
      <c r="K201" s="18">
        <v>0</v>
      </c>
      <c r="L201" s="16">
        <f t="shared" si="32"/>
        <v>2</v>
      </c>
      <c r="M201" s="14">
        <f t="shared" si="33"/>
        <v>65.400000000000006</v>
      </c>
      <c r="N201" s="20"/>
    </row>
    <row r="202" spans="1:14" x14ac:dyDescent="0.25">
      <c r="A202" s="16" t="s">
        <v>86</v>
      </c>
      <c r="B202" s="17" t="s">
        <v>87</v>
      </c>
      <c r="C202" s="16">
        <v>5</v>
      </c>
      <c r="D202" s="18">
        <v>150.29</v>
      </c>
      <c r="E202" s="16">
        <f>VLOOKUP(A202,s_2024!A:C,2,FALSE)</f>
        <v>8</v>
      </c>
      <c r="F202" s="18">
        <f>VLOOKUP(A202,s_2024!A:C,3,FALSE)</f>
        <v>291.2</v>
      </c>
      <c r="G202" s="19">
        <f t="shared" si="29"/>
        <v>0.6595845885524021</v>
      </c>
      <c r="H202" s="16">
        <f t="shared" si="30"/>
        <v>13</v>
      </c>
      <c r="I202" s="18">
        <f t="shared" si="31"/>
        <v>441.49</v>
      </c>
      <c r="J202" s="16">
        <f>VLOOKUP(A202,v_2023!A:D,3,FALSE)</f>
        <v>220</v>
      </c>
      <c r="K202" s="18">
        <f>VLOOKUP(A202,v_2023!A:D,4,FALSE)</f>
        <v>6861.18</v>
      </c>
      <c r="L202" s="16">
        <f t="shared" si="32"/>
        <v>-207</v>
      </c>
      <c r="M202" s="14">
        <f t="shared" si="33"/>
        <v>-6419.6900000000005</v>
      </c>
      <c r="N202" s="20">
        <f>M202/K202</f>
        <v>-0.93565392541807679</v>
      </c>
    </row>
    <row r="203" spans="1:14" x14ac:dyDescent="0.25">
      <c r="A203" s="16" t="s">
        <v>304</v>
      </c>
      <c r="B203" s="17" t="s">
        <v>305</v>
      </c>
      <c r="C203" s="16">
        <v>22</v>
      </c>
      <c r="D203" s="18">
        <v>1103.1299999999999</v>
      </c>
      <c r="E203" s="16">
        <v>0</v>
      </c>
      <c r="F203" s="18">
        <v>0</v>
      </c>
      <c r="G203" s="19">
        <f t="shared" si="29"/>
        <v>0</v>
      </c>
      <c r="H203" s="16">
        <f t="shared" si="30"/>
        <v>22</v>
      </c>
      <c r="I203" s="18">
        <f t="shared" si="31"/>
        <v>1103.1299999999999</v>
      </c>
      <c r="J203" s="16">
        <f>VLOOKUP(A203,v_2023!A:D,3,FALSE)</f>
        <v>3</v>
      </c>
      <c r="K203" s="18">
        <f>VLOOKUP(A203,v_2023!A:D,4,FALSE)</f>
        <v>196.47</v>
      </c>
      <c r="L203" s="16">
        <f t="shared" si="32"/>
        <v>19</v>
      </c>
      <c r="M203" s="14">
        <f t="shared" si="33"/>
        <v>906.65999999999985</v>
      </c>
      <c r="N203" s="20">
        <f>M203/K203</f>
        <v>4.6147503435639026</v>
      </c>
    </row>
    <row r="204" spans="1:14" x14ac:dyDescent="0.25">
      <c r="A204" s="16" t="s">
        <v>574</v>
      </c>
      <c r="B204" s="17" t="s">
        <v>575</v>
      </c>
      <c r="C204" s="16">
        <v>21</v>
      </c>
      <c r="D204" s="18">
        <v>2.93</v>
      </c>
      <c r="E204" s="16">
        <v>0</v>
      </c>
      <c r="F204" s="18">
        <v>0</v>
      </c>
      <c r="G204" s="19">
        <f t="shared" si="29"/>
        <v>0</v>
      </c>
      <c r="H204" s="16">
        <f t="shared" si="30"/>
        <v>21</v>
      </c>
      <c r="I204" s="18">
        <f t="shared" si="31"/>
        <v>2.93</v>
      </c>
      <c r="J204" s="16">
        <f>VLOOKUP(A204,v_2023!A:D,3,FALSE)</f>
        <v>0</v>
      </c>
      <c r="K204" s="18">
        <f>VLOOKUP(A204,v_2023!A:D,4,FALSE)</f>
        <v>0</v>
      </c>
      <c r="L204" s="16">
        <f t="shared" si="32"/>
        <v>21</v>
      </c>
      <c r="M204" s="14">
        <f t="shared" si="33"/>
        <v>2.93</v>
      </c>
      <c r="N204" s="20"/>
    </row>
    <row r="205" spans="1:14" x14ac:dyDescent="0.25">
      <c r="A205" s="16" t="s">
        <v>256</v>
      </c>
      <c r="B205" s="17" t="s">
        <v>257</v>
      </c>
      <c r="C205" s="16">
        <v>5</v>
      </c>
      <c r="D205" s="18">
        <v>208.96</v>
      </c>
      <c r="E205" s="16">
        <v>0</v>
      </c>
      <c r="F205" s="18">
        <v>0</v>
      </c>
      <c r="G205" s="19">
        <f t="shared" si="29"/>
        <v>0</v>
      </c>
      <c r="H205" s="16">
        <f t="shared" si="30"/>
        <v>5</v>
      </c>
      <c r="I205" s="18">
        <f t="shared" si="31"/>
        <v>208.96</v>
      </c>
      <c r="J205" s="16">
        <f>VLOOKUP(A205,v_2023!A:D,3,FALSE)</f>
        <v>17</v>
      </c>
      <c r="K205" s="18">
        <f>VLOOKUP(A205,v_2023!A:D,4,FALSE)</f>
        <v>535.31000000000006</v>
      </c>
      <c r="L205" s="16">
        <f t="shared" si="32"/>
        <v>-12</v>
      </c>
      <c r="M205" s="14">
        <f t="shared" si="33"/>
        <v>-326.35000000000002</v>
      </c>
      <c r="N205" s="20">
        <f t="shared" ref="N205:N218" si="34">M205/K205</f>
        <v>-0.60964674674487673</v>
      </c>
    </row>
    <row r="206" spans="1:14" x14ac:dyDescent="0.25">
      <c r="A206" s="16" t="s">
        <v>277</v>
      </c>
      <c r="B206" s="17" t="s">
        <v>278</v>
      </c>
      <c r="C206" s="16">
        <v>243</v>
      </c>
      <c r="D206" s="18">
        <v>3443.5699999999997</v>
      </c>
      <c r="E206" s="16">
        <v>0</v>
      </c>
      <c r="F206" s="18">
        <v>0</v>
      </c>
      <c r="G206" s="19">
        <f t="shared" si="29"/>
        <v>0</v>
      </c>
      <c r="H206" s="16">
        <f t="shared" si="30"/>
        <v>243</v>
      </c>
      <c r="I206" s="18">
        <f t="shared" si="31"/>
        <v>3443.5699999999997</v>
      </c>
      <c r="J206" s="16">
        <f>VLOOKUP(A206,v_2023!A:D,3,FALSE)</f>
        <v>24</v>
      </c>
      <c r="K206" s="18">
        <f>VLOOKUP(A206,v_2023!A:D,4,FALSE)</f>
        <v>369.42999999999995</v>
      </c>
      <c r="L206" s="16">
        <f t="shared" si="32"/>
        <v>219</v>
      </c>
      <c r="M206" s="14">
        <f t="shared" si="33"/>
        <v>3074.14</v>
      </c>
      <c r="N206" s="20">
        <f t="shared" si="34"/>
        <v>8.3213057954145579</v>
      </c>
    </row>
    <row r="207" spans="1:14" x14ac:dyDescent="0.25">
      <c r="A207" s="16" t="s">
        <v>404</v>
      </c>
      <c r="B207" s="17" t="s">
        <v>405</v>
      </c>
      <c r="C207" s="16">
        <v>6</v>
      </c>
      <c r="D207" s="18">
        <v>91.74</v>
      </c>
      <c r="E207" s="16">
        <v>0</v>
      </c>
      <c r="F207" s="18">
        <v>0</v>
      </c>
      <c r="G207" s="19">
        <f t="shared" si="29"/>
        <v>0</v>
      </c>
      <c r="H207" s="16">
        <f t="shared" si="30"/>
        <v>6</v>
      </c>
      <c r="I207" s="18">
        <f t="shared" si="31"/>
        <v>91.74</v>
      </c>
      <c r="J207" s="16">
        <f>VLOOKUP(A207,v_2023!A:D,3,FALSE)</f>
        <v>5</v>
      </c>
      <c r="K207" s="18">
        <f>VLOOKUP(A207,v_2023!A:D,4,FALSE)</f>
        <v>123.59</v>
      </c>
      <c r="L207" s="16">
        <f t="shared" si="32"/>
        <v>1</v>
      </c>
      <c r="M207" s="14">
        <f t="shared" si="33"/>
        <v>-31.850000000000009</v>
      </c>
      <c r="N207" s="20">
        <f t="shared" si="34"/>
        <v>-0.25770693421797886</v>
      </c>
    </row>
    <row r="208" spans="1:14" x14ac:dyDescent="0.25">
      <c r="A208" s="16" t="s">
        <v>178</v>
      </c>
      <c r="B208" s="17" t="s">
        <v>179</v>
      </c>
      <c r="C208" s="16">
        <v>9</v>
      </c>
      <c r="D208" s="18">
        <v>194.04</v>
      </c>
      <c r="E208" s="16">
        <v>0</v>
      </c>
      <c r="F208" s="18">
        <v>0</v>
      </c>
      <c r="G208" s="19">
        <f t="shared" si="29"/>
        <v>0</v>
      </c>
      <c r="H208" s="16">
        <f t="shared" si="30"/>
        <v>9</v>
      </c>
      <c r="I208" s="18">
        <f t="shared" si="31"/>
        <v>194.04</v>
      </c>
      <c r="J208" s="16">
        <f>VLOOKUP(A208,v_2023!A:D,3,FALSE)</f>
        <v>41</v>
      </c>
      <c r="K208" s="18">
        <f>VLOOKUP(A208,v_2023!A:D,4,FALSE)</f>
        <v>1357.55</v>
      </c>
      <c r="L208" s="16">
        <f t="shared" si="32"/>
        <v>-32</v>
      </c>
      <c r="M208" s="14">
        <f t="shared" si="33"/>
        <v>-1163.51</v>
      </c>
      <c r="N208" s="20">
        <f t="shared" si="34"/>
        <v>-0.85706603808331183</v>
      </c>
    </row>
    <row r="209" spans="1:14" x14ac:dyDescent="0.25">
      <c r="A209" s="16" t="s">
        <v>120</v>
      </c>
      <c r="B209" s="17" t="s">
        <v>121</v>
      </c>
      <c r="C209" s="16">
        <v>79</v>
      </c>
      <c r="D209" s="18">
        <v>2302.19</v>
      </c>
      <c r="E209" s="16">
        <v>0</v>
      </c>
      <c r="F209" s="18">
        <v>0</v>
      </c>
      <c r="G209" s="19">
        <f t="shared" si="29"/>
        <v>0</v>
      </c>
      <c r="H209" s="16">
        <f t="shared" si="30"/>
        <v>79</v>
      </c>
      <c r="I209" s="18">
        <f t="shared" si="31"/>
        <v>2302.19</v>
      </c>
      <c r="J209" s="16">
        <f>VLOOKUP(A209,v_2023!A:D,3,FALSE)</f>
        <v>166</v>
      </c>
      <c r="K209" s="18">
        <f>VLOOKUP(A209,v_2023!A:D,4,FALSE)</f>
        <v>4824.88</v>
      </c>
      <c r="L209" s="16">
        <f t="shared" si="32"/>
        <v>-87</v>
      </c>
      <c r="M209" s="14">
        <f t="shared" si="33"/>
        <v>-2522.69</v>
      </c>
      <c r="N209" s="20">
        <f t="shared" si="34"/>
        <v>-0.52285030923048859</v>
      </c>
    </row>
    <row r="210" spans="1:14" x14ac:dyDescent="0.25">
      <c r="A210" s="16" t="s">
        <v>410</v>
      </c>
      <c r="B210" s="17" t="s">
        <v>411</v>
      </c>
      <c r="C210" s="16">
        <v>1</v>
      </c>
      <c r="D210" s="18">
        <v>61.57</v>
      </c>
      <c r="E210" s="16">
        <v>0</v>
      </c>
      <c r="F210" s="18">
        <v>0</v>
      </c>
      <c r="G210" s="19">
        <f t="shared" si="29"/>
        <v>0</v>
      </c>
      <c r="H210" s="16">
        <f t="shared" si="30"/>
        <v>1</v>
      </c>
      <c r="I210" s="18">
        <f t="shared" si="31"/>
        <v>61.57</v>
      </c>
      <c r="J210" s="16">
        <f>VLOOKUP(A210,v_2023!A:D,3,FALSE)</f>
        <v>1</v>
      </c>
      <c r="K210" s="18">
        <f>VLOOKUP(A210,v_2023!A:D,4,FALSE)</f>
        <v>56.23</v>
      </c>
      <c r="L210" s="16">
        <f t="shared" si="32"/>
        <v>0</v>
      </c>
      <c r="M210" s="14">
        <f t="shared" si="33"/>
        <v>5.3400000000000034</v>
      </c>
      <c r="N210" s="20">
        <f t="shared" si="34"/>
        <v>9.4967099413124728E-2</v>
      </c>
    </row>
    <row r="211" spans="1:14" x14ac:dyDescent="0.25">
      <c r="A211" s="16" t="s">
        <v>238</v>
      </c>
      <c r="B211" s="17" t="s">
        <v>239</v>
      </c>
      <c r="C211" s="16">
        <v>188</v>
      </c>
      <c r="D211" s="18">
        <v>2349.3199999999997</v>
      </c>
      <c r="E211" s="16">
        <v>0</v>
      </c>
      <c r="F211" s="18">
        <v>0</v>
      </c>
      <c r="G211" s="19">
        <f t="shared" si="29"/>
        <v>0</v>
      </c>
      <c r="H211" s="16">
        <f t="shared" si="30"/>
        <v>188</v>
      </c>
      <c r="I211" s="18">
        <f t="shared" si="31"/>
        <v>2349.3199999999997</v>
      </c>
      <c r="J211" s="16">
        <f>VLOOKUP(A211,v_2023!A:D,3,FALSE)</f>
        <v>57</v>
      </c>
      <c r="K211" s="18">
        <f>VLOOKUP(A211,v_2023!A:D,4,FALSE)</f>
        <v>851.27</v>
      </c>
      <c r="L211" s="16">
        <f t="shared" si="32"/>
        <v>131</v>
      </c>
      <c r="M211" s="14">
        <f t="shared" si="33"/>
        <v>1498.0499999999997</v>
      </c>
      <c r="N211" s="20">
        <f t="shared" si="34"/>
        <v>1.7597824427032549</v>
      </c>
    </row>
    <row r="212" spans="1:14" x14ac:dyDescent="0.25">
      <c r="A212" s="16" t="s">
        <v>414</v>
      </c>
      <c r="B212" s="17" t="s">
        <v>415</v>
      </c>
      <c r="C212" s="16">
        <v>0</v>
      </c>
      <c r="D212" s="18">
        <v>0</v>
      </c>
      <c r="E212" s="16">
        <v>0</v>
      </c>
      <c r="F212" s="18">
        <v>0</v>
      </c>
      <c r="G212" s="19"/>
      <c r="H212" s="16">
        <f t="shared" si="30"/>
        <v>0</v>
      </c>
      <c r="I212" s="18">
        <f t="shared" si="31"/>
        <v>0</v>
      </c>
      <c r="J212" s="16">
        <f>VLOOKUP(A212,v_2023!A:D,3,FALSE)</f>
        <v>2</v>
      </c>
      <c r="K212" s="18">
        <f>VLOOKUP(A212,v_2023!A:D,4,FALSE)</f>
        <v>51.28</v>
      </c>
      <c r="L212" s="16">
        <f t="shared" si="32"/>
        <v>-2</v>
      </c>
      <c r="M212" s="14">
        <f t="shared" si="33"/>
        <v>-51.28</v>
      </c>
      <c r="N212" s="20">
        <f t="shared" si="34"/>
        <v>-1</v>
      </c>
    </row>
    <row r="213" spans="1:14" x14ac:dyDescent="0.25">
      <c r="A213" s="16" t="s">
        <v>222</v>
      </c>
      <c r="B213" s="17" t="s">
        <v>223</v>
      </c>
      <c r="C213" s="16">
        <v>16</v>
      </c>
      <c r="D213" s="18">
        <v>1706.5</v>
      </c>
      <c r="E213" s="16">
        <v>0</v>
      </c>
      <c r="F213" s="18">
        <v>0</v>
      </c>
      <c r="G213" s="19">
        <f t="shared" ref="G213:G219" si="35">F213/I213</f>
        <v>0</v>
      </c>
      <c r="H213" s="16">
        <f t="shared" si="30"/>
        <v>16</v>
      </c>
      <c r="I213" s="18">
        <f t="shared" si="31"/>
        <v>1706.5</v>
      </c>
      <c r="J213" s="16">
        <f>VLOOKUP(A213,v_2023!A:D,3,FALSE)</f>
        <v>12</v>
      </c>
      <c r="K213" s="18">
        <f>VLOOKUP(A213,v_2023!A:D,4,FALSE)</f>
        <v>1164.5</v>
      </c>
      <c r="L213" s="16">
        <f t="shared" si="32"/>
        <v>4</v>
      </c>
      <c r="M213" s="14">
        <f t="shared" si="33"/>
        <v>542</v>
      </c>
      <c r="N213" s="20">
        <f t="shared" si="34"/>
        <v>0.46543580936024043</v>
      </c>
    </row>
    <row r="214" spans="1:14" x14ac:dyDescent="0.25">
      <c r="A214" s="16" t="s">
        <v>146</v>
      </c>
      <c r="B214" s="17" t="s">
        <v>147</v>
      </c>
      <c r="C214" s="16">
        <v>10</v>
      </c>
      <c r="D214" s="18">
        <v>852.7</v>
      </c>
      <c r="E214" s="16">
        <v>0</v>
      </c>
      <c r="F214" s="18">
        <v>0</v>
      </c>
      <c r="G214" s="19">
        <f t="shared" si="35"/>
        <v>0</v>
      </c>
      <c r="H214" s="16">
        <f t="shared" si="30"/>
        <v>10</v>
      </c>
      <c r="I214" s="18">
        <f t="shared" si="31"/>
        <v>852.7</v>
      </c>
      <c r="J214" s="16">
        <f>VLOOKUP(A214,v_2023!A:D,3,FALSE)</f>
        <v>20</v>
      </c>
      <c r="K214" s="18">
        <f>VLOOKUP(A214,v_2023!A:D,4,FALSE)</f>
        <v>1474.56</v>
      </c>
      <c r="L214" s="16">
        <f t="shared" si="32"/>
        <v>-10</v>
      </c>
      <c r="M214" s="14">
        <f t="shared" si="33"/>
        <v>-621.8599999999999</v>
      </c>
      <c r="N214" s="20">
        <f t="shared" si="34"/>
        <v>-0.42172580295138884</v>
      </c>
    </row>
    <row r="215" spans="1:14" x14ac:dyDescent="0.25">
      <c r="A215" s="16" t="s">
        <v>242</v>
      </c>
      <c r="B215" s="17" t="s">
        <v>243</v>
      </c>
      <c r="C215" s="16">
        <v>1</v>
      </c>
      <c r="D215" s="18">
        <v>58.2</v>
      </c>
      <c r="E215" s="16">
        <v>0</v>
      </c>
      <c r="F215" s="18">
        <v>0</v>
      </c>
      <c r="G215" s="19">
        <f t="shared" si="35"/>
        <v>0</v>
      </c>
      <c r="H215" s="16">
        <f t="shared" si="30"/>
        <v>1</v>
      </c>
      <c r="I215" s="18">
        <f t="shared" si="31"/>
        <v>58.2</v>
      </c>
      <c r="J215" s="16">
        <f>VLOOKUP(A215,v_2023!A:D,3,FALSE)</f>
        <v>7</v>
      </c>
      <c r="K215" s="18">
        <f>VLOOKUP(A215,v_2023!A:D,4,FALSE)</f>
        <v>401.1</v>
      </c>
      <c r="L215" s="16">
        <f t="shared" si="32"/>
        <v>-6</v>
      </c>
      <c r="M215" s="14">
        <f t="shared" si="33"/>
        <v>-342.90000000000003</v>
      </c>
      <c r="N215" s="20">
        <f t="shared" si="34"/>
        <v>-0.85489902767389681</v>
      </c>
    </row>
    <row r="216" spans="1:14" x14ac:dyDescent="0.25">
      <c r="A216" s="16" t="s">
        <v>124</v>
      </c>
      <c r="B216" s="17" t="s">
        <v>125</v>
      </c>
      <c r="C216" s="16">
        <v>28</v>
      </c>
      <c r="D216" s="18">
        <v>720.15000000000009</v>
      </c>
      <c r="E216" s="16">
        <v>0</v>
      </c>
      <c r="F216" s="18">
        <v>0</v>
      </c>
      <c r="G216" s="19">
        <f t="shared" si="35"/>
        <v>0</v>
      </c>
      <c r="H216" s="16">
        <f t="shared" si="30"/>
        <v>28</v>
      </c>
      <c r="I216" s="18">
        <f t="shared" si="31"/>
        <v>720.15000000000009</v>
      </c>
      <c r="J216" s="16">
        <f>VLOOKUP(A216,v_2023!A:D,3,FALSE)</f>
        <v>211</v>
      </c>
      <c r="K216" s="18">
        <f>VLOOKUP(A216,v_2023!A:D,4,FALSE)</f>
        <v>4333.54</v>
      </c>
      <c r="L216" s="16">
        <f t="shared" si="32"/>
        <v>-183</v>
      </c>
      <c r="M216" s="14">
        <f t="shared" si="33"/>
        <v>-3613.39</v>
      </c>
      <c r="N216" s="20">
        <f t="shared" si="34"/>
        <v>-0.83381946399479412</v>
      </c>
    </row>
    <row r="217" spans="1:14" x14ac:dyDescent="0.25">
      <c r="A217" s="16" t="s">
        <v>154</v>
      </c>
      <c r="B217" s="17" t="s">
        <v>155</v>
      </c>
      <c r="C217" s="16">
        <v>20</v>
      </c>
      <c r="D217" s="18">
        <v>490.2</v>
      </c>
      <c r="E217" s="16">
        <v>0</v>
      </c>
      <c r="F217" s="18">
        <v>0</v>
      </c>
      <c r="G217" s="19">
        <f t="shared" si="35"/>
        <v>0</v>
      </c>
      <c r="H217" s="16">
        <f t="shared" si="30"/>
        <v>20</v>
      </c>
      <c r="I217" s="18">
        <f t="shared" si="31"/>
        <v>490.2</v>
      </c>
      <c r="J217" s="16">
        <f>VLOOKUP(A217,v_2023!A:D,3,FALSE)</f>
        <v>54</v>
      </c>
      <c r="K217" s="18">
        <f>VLOOKUP(A217,v_2023!A:D,4,FALSE)</f>
        <v>1323.3999999999999</v>
      </c>
      <c r="L217" s="16">
        <f t="shared" si="32"/>
        <v>-34</v>
      </c>
      <c r="M217" s="14">
        <f t="shared" si="33"/>
        <v>-833.19999999999982</v>
      </c>
      <c r="N217" s="20">
        <f t="shared" si="34"/>
        <v>-0.62959044884388693</v>
      </c>
    </row>
    <row r="218" spans="1:14" x14ac:dyDescent="0.25">
      <c r="A218" s="16" t="s">
        <v>140</v>
      </c>
      <c r="B218" s="17" t="s">
        <v>141</v>
      </c>
      <c r="C218" s="16">
        <v>121</v>
      </c>
      <c r="D218" s="18">
        <v>2369.2999999999997</v>
      </c>
      <c r="E218" s="16">
        <v>0</v>
      </c>
      <c r="F218" s="18">
        <v>0</v>
      </c>
      <c r="G218" s="19">
        <f t="shared" si="35"/>
        <v>0</v>
      </c>
      <c r="H218" s="16">
        <f t="shared" si="30"/>
        <v>121</v>
      </c>
      <c r="I218" s="18">
        <f t="shared" si="31"/>
        <v>2369.2999999999997</v>
      </c>
      <c r="J218" s="16">
        <f>VLOOKUP(A218,v_2023!A:D,3,FALSE)</f>
        <v>179</v>
      </c>
      <c r="K218" s="18">
        <f>VLOOKUP(A218,v_2023!A:D,4,FALSE)</f>
        <v>2927.3399999999997</v>
      </c>
      <c r="L218" s="16">
        <f t="shared" si="32"/>
        <v>-58</v>
      </c>
      <c r="M218" s="14">
        <f t="shared" si="33"/>
        <v>-558.04</v>
      </c>
      <c r="N218" s="20">
        <f t="shared" si="34"/>
        <v>-0.19063040166157674</v>
      </c>
    </row>
    <row r="219" spans="1:14" x14ac:dyDescent="0.25">
      <c r="A219" s="16" t="s">
        <v>522</v>
      </c>
      <c r="B219" s="17" t="s">
        <v>523</v>
      </c>
      <c r="C219" s="16">
        <v>1</v>
      </c>
      <c r="D219" s="18">
        <v>49.1</v>
      </c>
      <c r="E219" s="16">
        <v>0</v>
      </c>
      <c r="F219" s="18">
        <v>0</v>
      </c>
      <c r="G219" s="19">
        <f t="shared" si="35"/>
        <v>0</v>
      </c>
      <c r="H219" s="16">
        <f t="shared" si="30"/>
        <v>1</v>
      </c>
      <c r="I219" s="18">
        <f t="shared" si="31"/>
        <v>49.1</v>
      </c>
      <c r="J219" s="16">
        <f>VLOOKUP(A219,v_2023!A:D,3,FALSE)</f>
        <v>0</v>
      </c>
      <c r="K219" s="18">
        <f>VLOOKUP(A219,v_2023!A:D,4,FALSE)</f>
        <v>0</v>
      </c>
      <c r="L219" s="16">
        <f t="shared" si="32"/>
        <v>1</v>
      </c>
      <c r="M219" s="14">
        <f t="shared" si="33"/>
        <v>49.1</v>
      </c>
      <c r="N219" s="20"/>
    </row>
    <row r="220" spans="1:14" x14ac:dyDescent="0.25">
      <c r="A220" s="16" t="s">
        <v>166</v>
      </c>
      <c r="B220" s="17" t="s">
        <v>167</v>
      </c>
      <c r="C220" s="16">
        <v>0</v>
      </c>
      <c r="D220" s="18">
        <v>0</v>
      </c>
      <c r="E220" s="16">
        <v>0</v>
      </c>
      <c r="F220" s="18">
        <v>0</v>
      </c>
      <c r="G220" s="19"/>
      <c r="H220" s="16">
        <f t="shared" si="30"/>
        <v>0</v>
      </c>
      <c r="I220" s="18">
        <f t="shared" si="31"/>
        <v>0</v>
      </c>
      <c r="J220" s="16">
        <f>VLOOKUP(A220,v_2023!A:D,3,FALSE)</f>
        <v>55</v>
      </c>
      <c r="K220" s="18">
        <f>VLOOKUP(A220,v_2023!A:D,4,FALSE)</f>
        <v>1090.33</v>
      </c>
      <c r="L220" s="16">
        <f t="shared" si="32"/>
        <v>-55</v>
      </c>
      <c r="M220" s="14">
        <f t="shared" si="33"/>
        <v>-1090.33</v>
      </c>
      <c r="N220" s="20">
        <f t="shared" ref="N220:N225" si="36">M220/K220</f>
        <v>-1</v>
      </c>
    </row>
    <row r="221" spans="1:14" x14ac:dyDescent="0.25">
      <c r="A221" s="16" t="s">
        <v>508</v>
      </c>
      <c r="B221" s="17" t="s">
        <v>509</v>
      </c>
      <c r="C221" s="16">
        <v>2</v>
      </c>
      <c r="D221" s="18">
        <v>12.32</v>
      </c>
      <c r="E221" s="16">
        <v>0</v>
      </c>
      <c r="F221" s="18">
        <v>0</v>
      </c>
      <c r="G221" s="19">
        <f>F221/I221</f>
        <v>0</v>
      </c>
      <c r="H221" s="16">
        <f t="shared" si="30"/>
        <v>2</v>
      </c>
      <c r="I221" s="18">
        <f t="shared" si="31"/>
        <v>12.32</v>
      </c>
      <c r="J221" s="16">
        <f>VLOOKUP(A221,v_2023!A:D,3,FALSE)</f>
        <v>1</v>
      </c>
      <c r="K221" s="18">
        <f>VLOOKUP(A221,v_2023!A:D,4,FALSE)</f>
        <v>11.83</v>
      </c>
      <c r="L221" s="16">
        <f t="shared" si="32"/>
        <v>1</v>
      </c>
      <c r="M221" s="14">
        <f t="shared" si="33"/>
        <v>0.49000000000000021</v>
      </c>
      <c r="N221" s="20">
        <f t="shared" si="36"/>
        <v>4.1420118343195284E-2</v>
      </c>
    </row>
    <row r="222" spans="1:14" x14ac:dyDescent="0.25">
      <c r="A222" s="16" t="s">
        <v>338</v>
      </c>
      <c r="B222" s="17" t="s">
        <v>339</v>
      </c>
      <c r="C222" s="16">
        <v>8</v>
      </c>
      <c r="D222" s="18">
        <v>115.44</v>
      </c>
      <c r="E222" s="16">
        <v>0</v>
      </c>
      <c r="F222" s="18">
        <v>0</v>
      </c>
      <c r="G222" s="19">
        <f>F222/I222</f>
        <v>0</v>
      </c>
      <c r="H222" s="16">
        <f t="shared" si="30"/>
        <v>8</v>
      </c>
      <c r="I222" s="18">
        <f t="shared" si="31"/>
        <v>115.44</v>
      </c>
      <c r="J222" s="16">
        <f>VLOOKUP(A222,v_2023!A:D,3,FALSE)</f>
        <v>12</v>
      </c>
      <c r="K222" s="18">
        <f>VLOOKUP(A222,v_2023!A:D,4,FALSE)</f>
        <v>173.94</v>
      </c>
      <c r="L222" s="16">
        <f t="shared" si="32"/>
        <v>-4</v>
      </c>
      <c r="M222" s="14">
        <f t="shared" si="33"/>
        <v>-58.5</v>
      </c>
      <c r="N222" s="20">
        <f t="shared" si="36"/>
        <v>-0.33632286995515698</v>
      </c>
    </row>
    <row r="223" spans="1:14" x14ac:dyDescent="0.25">
      <c r="A223" s="16" t="s">
        <v>400</v>
      </c>
      <c r="B223" s="17" t="s">
        <v>401</v>
      </c>
      <c r="C223" s="16">
        <v>0</v>
      </c>
      <c r="D223" s="18">
        <v>0</v>
      </c>
      <c r="E223" s="16">
        <v>0</v>
      </c>
      <c r="F223" s="18">
        <v>0</v>
      </c>
      <c r="G223" s="19"/>
      <c r="H223" s="16">
        <f t="shared" si="30"/>
        <v>0</v>
      </c>
      <c r="I223" s="18">
        <f t="shared" si="31"/>
        <v>0</v>
      </c>
      <c r="J223" s="16">
        <f>VLOOKUP(A223,v_2023!A:D,3,FALSE)</f>
        <v>1</v>
      </c>
      <c r="K223" s="18">
        <f>VLOOKUP(A223,v_2023!A:D,4,FALSE)</f>
        <v>70.88</v>
      </c>
      <c r="L223" s="16">
        <f t="shared" si="32"/>
        <v>-1</v>
      </c>
      <c r="M223" s="14">
        <f t="shared" si="33"/>
        <v>-70.88</v>
      </c>
      <c r="N223" s="20">
        <f t="shared" si="36"/>
        <v>-1</v>
      </c>
    </row>
    <row r="224" spans="1:14" x14ac:dyDescent="0.25">
      <c r="A224" s="16" t="s">
        <v>464</v>
      </c>
      <c r="B224" s="17" t="s">
        <v>465</v>
      </c>
      <c r="C224" s="16">
        <v>0</v>
      </c>
      <c r="D224" s="18">
        <v>0</v>
      </c>
      <c r="E224" s="16">
        <v>0</v>
      </c>
      <c r="F224" s="18">
        <v>0</v>
      </c>
      <c r="G224" s="19"/>
      <c r="H224" s="16">
        <f t="shared" si="30"/>
        <v>0</v>
      </c>
      <c r="I224" s="18">
        <f t="shared" si="31"/>
        <v>0</v>
      </c>
      <c r="J224" s="16">
        <f>VLOOKUP(A224,v_2023!A:D,3,FALSE)</f>
        <v>1</v>
      </c>
      <c r="K224" s="18">
        <f>VLOOKUP(A224,v_2023!A:D,4,FALSE)</f>
        <v>30.37</v>
      </c>
      <c r="L224" s="16">
        <f t="shared" si="32"/>
        <v>-1</v>
      </c>
      <c r="M224" s="14">
        <f t="shared" si="33"/>
        <v>-30.37</v>
      </c>
      <c r="N224" s="20">
        <f t="shared" si="36"/>
        <v>-1</v>
      </c>
    </row>
    <row r="225" spans="1:14" x14ac:dyDescent="0.25">
      <c r="A225" s="16" t="s">
        <v>192</v>
      </c>
      <c r="B225" s="17" t="s">
        <v>193</v>
      </c>
      <c r="C225" s="16">
        <v>5</v>
      </c>
      <c r="D225" s="18">
        <v>425.66999999999996</v>
      </c>
      <c r="E225" s="16">
        <v>0</v>
      </c>
      <c r="F225" s="18">
        <v>0</v>
      </c>
      <c r="G225" s="19">
        <f t="shared" ref="G225:G256" si="37">F225/I225</f>
        <v>0</v>
      </c>
      <c r="H225" s="16">
        <f t="shared" si="30"/>
        <v>5</v>
      </c>
      <c r="I225" s="18">
        <f t="shared" si="31"/>
        <v>425.66999999999996</v>
      </c>
      <c r="J225" s="16">
        <f>VLOOKUP(A225,v_2023!A:D,3,FALSE)</f>
        <v>16</v>
      </c>
      <c r="K225" s="18">
        <f>VLOOKUP(A225,v_2023!A:D,4,FALSE)</f>
        <v>1195.8599999999999</v>
      </c>
      <c r="L225" s="16">
        <f t="shared" si="32"/>
        <v>-11</v>
      </c>
      <c r="M225" s="14">
        <f t="shared" si="33"/>
        <v>-770.18999999999994</v>
      </c>
      <c r="N225" s="20">
        <f t="shared" si="36"/>
        <v>-0.64404696201896539</v>
      </c>
    </row>
    <row r="226" spans="1:14" x14ac:dyDescent="0.25">
      <c r="A226" s="16" t="s">
        <v>656</v>
      </c>
      <c r="B226" s="17" t="s">
        <v>657</v>
      </c>
      <c r="C226" s="16">
        <v>3</v>
      </c>
      <c r="D226" s="18">
        <v>106.26</v>
      </c>
      <c r="E226" s="16">
        <v>0</v>
      </c>
      <c r="F226" s="18">
        <v>0</v>
      </c>
      <c r="G226" s="19">
        <f t="shared" si="37"/>
        <v>0</v>
      </c>
      <c r="H226" s="16">
        <f t="shared" si="30"/>
        <v>3</v>
      </c>
      <c r="I226" s="18">
        <f t="shared" si="31"/>
        <v>106.26</v>
      </c>
      <c r="J226" s="16">
        <v>0</v>
      </c>
      <c r="K226" s="18">
        <v>0</v>
      </c>
      <c r="L226" s="16">
        <f t="shared" si="32"/>
        <v>3</v>
      </c>
      <c r="M226" s="14">
        <f t="shared" si="33"/>
        <v>106.26</v>
      </c>
      <c r="N226" s="20"/>
    </row>
    <row r="227" spans="1:14" x14ac:dyDescent="0.25">
      <c r="A227" s="16" t="s">
        <v>96</v>
      </c>
      <c r="B227" s="17" t="s">
        <v>97</v>
      </c>
      <c r="C227" s="16">
        <v>110</v>
      </c>
      <c r="D227" s="18">
        <v>1527.2000000000003</v>
      </c>
      <c r="E227" s="16">
        <f>VLOOKUP(A227,s_2024!A:C,2,FALSE)</f>
        <v>1</v>
      </c>
      <c r="F227" s="18">
        <f>VLOOKUP(A227,s_2024!A:C,3,FALSE)</f>
        <v>24.9</v>
      </c>
      <c r="G227" s="19">
        <f t="shared" si="37"/>
        <v>1.6042780748663096E-2</v>
      </c>
      <c r="H227" s="16">
        <f t="shared" si="30"/>
        <v>111</v>
      </c>
      <c r="I227" s="18">
        <f t="shared" si="31"/>
        <v>1552.1000000000004</v>
      </c>
      <c r="J227" s="16">
        <f>VLOOKUP(A227,v_2023!A:D,3,FALSE)</f>
        <v>354</v>
      </c>
      <c r="K227" s="18">
        <f>VLOOKUP(A227,v_2023!A:D,4,FALSE)</f>
        <v>5782.91</v>
      </c>
      <c r="L227" s="16">
        <f t="shared" si="32"/>
        <v>-243</v>
      </c>
      <c r="M227" s="14">
        <f t="shared" si="33"/>
        <v>-4230.8099999999995</v>
      </c>
      <c r="N227" s="20">
        <f t="shared" ref="N227:N244" si="38">M227/K227</f>
        <v>-0.73160571407820618</v>
      </c>
    </row>
    <row r="228" spans="1:14" x14ac:dyDescent="0.25">
      <c r="A228" s="16" t="s">
        <v>500</v>
      </c>
      <c r="B228" s="17" t="s">
        <v>501</v>
      </c>
      <c r="C228" s="16">
        <v>2</v>
      </c>
      <c r="D228" s="18">
        <v>21.41</v>
      </c>
      <c r="E228" s="16">
        <v>0</v>
      </c>
      <c r="F228" s="18">
        <v>0</v>
      </c>
      <c r="G228" s="19">
        <f t="shared" si="37"/>
        <v>0</v>
      </c>
      <c r="H228" s="16">
        <f t="shared" si="30"/>
        <v>2</v>
      </c>
      <c r="I228" s="18">
        <f t="shared" si="31"/>
        <v>21.41</v>
      </c>
      <c r="J228" s="16">
        <f>VLOOKUP(A228,v_2023!A:D,3,FALSE)</f>
        <v>3</v>
      </c>
      <c r="K228" s="18">
        <f>VLOOKUP(A228,v_2023!A:D,4,FALSE)</f>
        <v>37.090000000000003</v>
      </c>
      <c r="L228" s="16">
        <f t="shared" si="32"/>
        <v>-1</v>
      </c>
      <c r="M228" s="14">
        <f t="shared" si="33"/>
        <v>-15.680000000000003</v>
      </c>
      <c r="N228" s="20">
        <f t="shared" si="38"/>
        <v>-0.42275545969263956</v>
      </c>
    </row>
    <row r="229" spans="1:14" x14ac:dyDescent="0.25">
      <c r="A229" s="16" t="s">
        <v>194</v>
      </c>
      <c r="B229" s="17" t="s">
        <v>195</v>
      </c>
      <c r="C229" s="16">
        <v>44</v>
      </c>
      <c r="D229" s="18">
        <v>1593.6399999999999</v>
      </c>
      <c r="E229" s="16">
        <v>0</v>
      </c>
      <c r="F229" s="18">
        <v>0</v>
      </c>
      <c r="G229" s="19">
        <f t="shared" si="37"/>
        <v>0</v>
      </c>
      <c r="H229" s="16">
        <f t="shared" si="30"/>
        <v>44</v>
      </c>
      <c r="I229" s="18">
        <f t="shared" si="31"/>
        <v>1593.6399999999999</v>
      </c>
      <c r="J229" s="16">
        <f>VLOOKUP(A229,v_2023!A:D,3,FALSE)</f>
        <v>69</v>
      </c>
      <c r="K229" s="18">
        <f>VLOOKUP(A229,v_2023!A:D,4,FALSE)</f>
        <v>2737.92</v>
      </c>
      <c r="L229" s="16">
        <f t="shared" si="32"/>
        <v>-25</v>
      </c>
      <c r="M229" s="14">
        <f t="shared" si="33"/>
        <v>-1144.2800000000002</v>
      </c>
      <c r="N229" s="20">
        <f t="shared" si="38"/>
        <v>-0.41793770453482942</v>
      </c>
    </row>
    <row r="230" spans="1:14" x14ac:dyDescent="0.25">
      <c r="A230" s="16" t="s">
        <v>248</v>
      </c>
      <c r="B230" s="17" t="s">
        <v>249</v>
      </c>
      <c r="C230" s="16">
        <v>15</v>
      </c>
      <c r="D230" s="18">
        <v>379.73999999999995</v>
      </c>
      <c r="E230" s="16">
        <v>0</v>
      </c>
      <c r="F230" s="18">
        <v>0</v>
      </c>
      <c r="G230" s="19">
        <f t="shared" si="37"/>
        <v>0</v>
      </c>
      <c r="H230" s="16">
        <f t="shared" si="30"/>
        <v>15</v>
      </c>
      <c r="I230" s="18">
        <f t="shared" si="31"/>
        <v>379.73999999999995</v>
      </c>
      <c r="J230" s="16">
        <f>VLOOKUP(A230,v_2023!A:D,3,FALSE)</f>
        <v>23</v>
      </c>
      <c r="K230" s="18">
        <f>VLOOKUP(A230,v_2023!A:D,4,FALSE)</f>
        <v>567.01</v>
      </c>
      <c r="L230" s="16">
        <f t="shared" si="32"/>
        <v>-8</v>
      </c>
      <c r="M230" s="14">
        <f t="shared" si="33"/>
        <v>-187.27000000000004</v>
      </c>
      <c r="N230" s="20">
        <f t="shared" si="38"/>
        <v>-0.33027636196892479</v>
      </c>
    </row>
    <row r="231" spans="1:14" x14ac:dyDescent="0.25">
      <c r="A231" s="16" t="s">
        <v>39</v>
      </c>
      <c r="B231" s="17" t="s">
        <v>40</v>
      </c>
      <c r="C231" s="16">
        <v>520</v>
      </c>
      <c r="D231" s="18">
        <v>5611.14</v>
      </c>
      <c r="E231" s="16">
        <v>0</v>
      </c>
      <c r="F231" s="18">
        <v>0</v>
      </c>
      <c r="G231" s="19">
        <f t="shared" si="37"/>
        <v>0</v>
      </c>
      <c r="H231" s="16">
        <f t="shared" si="30"/>
        <v>520</v>
      </c>
      <c r="I231" s="18">
        <f t="shared" si="31"/>
        <v>5611.14</v>
      </c>
      <c r="J231" s="16">
        <f>VLOOKUP(A231,v_2023!A:D,3,FALSE)</f>
        <v>2093</v>
      </c>
      <c r="K231" s="18">
        <f>VLOOKUP(A231,v_2023!A:D,4,FALSE)</f>
        <v>17037.66</v>
      </c>
      <c r="L231" s="16">
        <f t="shared" si="32"/>
        <v>-1573</v>
      </c>
      <c r="M231" s="14">
        <f t="shared" si="33"/>
        <v>-11426.52</v>
      </c>
      <c r="N231" s="20">
        <f t="shared" si="38"/>
        <v>-0.6706625205574005</v>
      </c>
    </row>
    <row r="232" spans="1:14" x14ac:dyDescent="0.25">
      <c r="A232" s="16" t="s">
        <v>148</v>
      </c>
      <c r="B232" s="17" t="s">
        <v>149</v>
      </c>
      <c r="C232" s="16">
        <v>16</v>
      </c>
      <c r="D232" s="18">
        <v>526.41</v>
      </c>
      <c r="E232" s="16">
        <v>0</v>
      </c>
      <c r="F232" s="18">
        <v>0</v>
      </c>
      <c r="G232" s="19">
        <f t="shared" si="37"/>
        <v>0</v>
      </c>
      <c r="H232" s="16">
        <f t="shared" si="30"/>
        <v>16</v>
      </c>
      <c r="I232" s="18">
        <f t="shared" si="31"/>
        <v>526.41</v>
      </c>
      <c r="J232" s="16">
        <f>VLOOKUP(A232,v_2023!A:D,3,FALSE)</f>
        <v>81</v>
      </c>
      <c r="K232" s="18">
        <f>VLOOKUP(A232,v_2023!A:D,4,FALSE)</f>
        <v>2664.8700000000003</v>
      </c>
      <c r="L232" s="16">
        <f t="shared" si="32"/>
        <v>-65</v>
      </c>
      <c r="M232" s="14">
        <f t="shared" si="33"/>
        <v>-2138.4600000000005</v>
      </c>
      <c r="N232" s="20">
        <f t="shared" si="38"/>
        <v>-0.80246315955374947</v>
      </c>
    </row>
    <row r="233" spans="1:14" x14ac:dyDescent="0.25">
      <c r="A233" s="16" t="s">
        <v>416</v>
      </c>
      <c r="B233" s="17" t="s">
        <v>417</v>
      </c>
      <c r="C233" s="16">
        <v>4</v>
      </c>
      <c r="D233" s="18">
        <v>187.86</v>
      </c>
      <c r="E233" s="16">
        <v>0</v>
      </c>
      <c r="F233" s="18">
        <v>0</v>
      </c>
      <c r="G233" s="19">
        <f t="shared" si="37"/>
        <v>0</v>
      </c>
      <c r="H233" s="16">
        <f t="shared" si="30"/>
        <v>4</v>
      </c>
      <c r="I233" s="18">
        <f t="shared" si="31"/>
        <v>187.86</v>
      </c>
      <c r="J233" s="16">
        <f>VLOOKUP(A233,v_2023!A:D,3,FALSE)</f>
        <v>2</v>
      </c>
      <c r="K233" s="18">
        <f>VLOOKUP(A233,v_2023!A:D,4,FALSE)</f>
        <v>97.539999999999992</v>
      </c>
      <c r="L233" s="16">
        <f t="shared" si="32"/>
        <v>2</v>
      </c>
      <c r="M233" s="14">
        <f t="shared" si="33"/>
        <v>90.320000000000022</v>
      </c>
      <c r="N233" s="20">
        <f t="shared" si="38"/>
        <v>0.92597908550338348</v>
      </c>
    </row>
    <row r="234" spans="1:14" x14ac:dyDescent="0.25">
      <c r="A234" s="16" t="s">
        <v>184</v>
      </c>
      <c r="B234" s="17" t="s">
        <v>185</v>
      </c>
      <c r="C234" s="16">
        <v>12</v>
      </c>
      <c r="D234" s="18">
        <v>236.48000000000002</v>
      </c>
      <c r="E234" s="16">
        <v>0</v>
      </c>
      <c r="F234" s="18">
        <v>0</v>
      </c>
      <c r="G234" s="19">
        <f t="shared" si="37"/>
        <v>0</v>
      </c>
      <c r="H234" s="16">
        <f t="shared" si="30"/>
        <v>12</v>
      </c>
      <c r="I234" s="18">
        <f t="shared" si="31"/>
        <v>236.48000000000002</v>
      </c>
      <c r="J234" s="16">
        <f>VLOOKUP(A234,v_2023!A:D,3,FALSE)</f>
        <v>61</v>
      </c>
      <c r="K234" s="18">
        <f>VLOOKUP(A234,v_2023!A:D,4,FALSE)</f>
        <v>1012.73</v>
      </c>
      <c r="L234" s="16">
        <f t="shared" si="32"/>
        <v>-49</v>
      </c>
      <c r="M234" s="14">
        <f t="shared" si="33"/>
        <v>-776.25</v>
      </c>
      <c r="N234" s="20">
        <f t="shared" si="38"/>
        <v>-0.76649254984053006</v>
      </c>
    </row>
    <row r="235" spans="1:14" x14ac:dyDescent="0.25">
      <c r="A235" s="16" t="s">
        <v>252</v>
      </c>
      <c r="B235" s="17" t="s">
        <v>253</v>
      </c>
      <c r="C235" s="16">
        <v>20</v>
      </c>
      <c r="D235" s="18">
        <v>366.40999999999997</v>
      </c>
      <c r="E235" s="16">
        <v>0</v>
      </c>
      <c r="F235" s="18">
        <v>0</v>
      </c>
      <c r="G235" s="19">
        <f t="shared" si="37"/>
        <v>0</v>
      </c>
      <c r="H235" s="16">
        <f t="shared" si="30"/>
        <v>20</v>
      </c>
      <c r="I235" s="18">
        <f t="shared" si="31"/>
        <v>366.40999999999997</v>
      </c>
      <c r="J235" s="16">
        <f>VLOOKUP(A235,v_2023!A:D,3,FALSE)</f>
        <v>58</v>
      </c>
      <c r="K235" s="18">
        <f>VLOOKUP(A235,v_2023!A:D,4,FALSE)</f>
        <v>961.99</v>
      </c>
      <c r="L235" s="16">
        <f t="shared" si="32"/>
        <v>-38</v>
      </c>
      <c r="M235" s="14">
        <f t="shared" si="33"/>
        <v>-595.58000000000004</v>
      </c>
      <c r="N235" s="20">
        <f t="shared" si="38"/>
        <v>-0.61911246478653625</v>
      </c>
    </row>
    <row r="236" spans="1:14" x14ac:dyDescent="0.25">
      <c r="A236" s="16" t="s">
        <v>152</v>
      </c>
      <c r="B236" s="17" t="s">
        <v>153</v>
      </c>
      <c r="C236" s="16">
        <v>32</v>
      </c>
      <c r="D236" s="18">
        <v>608.34</v>
      </c>
      <c r="E236" s="16">
        <f>VLOOKUP(A236,s_2024!A:C,2,FALSE)</f>
        <v>14</v>
      </c>
      <c r="F236" s="18">
        <f>VLOOKUP(A236,s_2024!A:C,3,FALSE)</f>
        <v>348.6</v>
      </c>
      <c r="G236" s="19">
        <f t="shared" si="37"/>
        <v>0.36428616214182707</v>
      </c>
      <c r="H236" s="16">
        <f t="shared" si="30"/>
        <v>46</v>
      </c>
      <c r="I236" s="18">
        <f t="shared" si="31"/>
        <v>956.94</v>
      </c>
      <c r="J236" s="16">
        <f>VLOOKUP(A236,v_2023!A:D,3,FALSE)</f>
        <v>232</v>
      </c>
      <c r="K236" s="18">
        <f>VLOOKUP(A236,v_2023!A:D,4,FALSE)</f>
        <v>3824.8900000000003</v>
      </c>
      <c r="L236" s="16">
        <f t="shared" si="32"/>
        <v>-186</v>
      </c>
      <c r="M236" s="14">
        <f t="shared" si="33"/>
        <v>-2867.9500000000003</v>
      </c>
      <c r="N236" s="20">
        <f t="shared" si="38"/>
        <v>-0.7498124129059921</v>
      </c>
    </row>
    <row r="237" spans="1:14" x14ac:dyDescent="0.25">
      <c r="A237" s="16" t="s">
        <v>236</v>
      </c>
      <c r="B237" s="17" t="s">
        <v>237</v>
      </c>
      <c r="C237" s="16">
        <v>3</v>
      </c>
      <c r="D237" s="18">
        <v>123.25999999999999</v>
      </c>
      <c r="E237" s="16">
        <v>0</v>
      </c>
      <c r="F237" s="18">
        <v>0</v>
      </c>
      <c r="G237" s="19">
        <f t="shared" si="37"/>
        <v>0</v>
      </c>
      <c r="H237" s="16">
        <f t="shared" si="30"/>
        <v>3</v>
      </c>
      <c r="I237" s="18">
        <f t="shared" si="31"/>
        <v>123.25999999999999</v>
      </c>
      <c r="J237" s="16">
        <f>VLOOKUP(A237,v_2023!A:D,3,FALSE)</f>
        <v>17</v>
      </c>
      <c r="K237" s="18">
        <f>VLOOKUP(A237,v_2023!A:D,4,FALSE)</f>
        <v>692.5</v>
      </c>
      <c r="L237" s="16">
        <f t="shared" si="32"/>
        <v>-14</v>
      </c>
      <c r="M237" s="14">
        <f t="shared" si="33"/>
        <v>-569.24</v>
      </c>
      <c r="N237" s="20">
        <f t="shared" si="38"/>
        <v>-0.82200722021660655</v>
      </c>
    </row>
    <row r="238" spans="1:14" x14ac:dyDescent="0.25">
      <c r="A238" s="16" t="s">
        <v>406</v>
      </c>
      <c r="B238" s="17" t="s">
        <v>407</v>
      </c>
      <c r="C238" s="16">
        <v>10</v>
      </c>
      <c r="D238" s="18">
        <v>136.38999999999999</v>
      </c>
      <c r="E238" s="16">
        <v>0</v>
      </c>
      <c r="F238" s="18">
        <v>0</v>
      </c>
      <c r="G238" s="19">
        <f t="shared" si="37"/>
        <v>0</v>
      </c>
      <c r="H238" s="16">
        <f t="shared" si="30"/>
        <v>10</v>
      </c>
      <c r="I238" s="18">
        <f t="shared" si="31"/>
        <v>136.38999999999999</v>
      </c>
      <c r="J238" s="16">
        <f>VLOOKUP(A238,v_2023!A:D,3,FALSE)</f>
        <v>5</v>
      </c>
      <c r="K238" s="18">
        <f>VLOOKUP(A238,v_2023!A:D,4,FALSE)</f>
        <v>86.449999999999989</v>
      </c>
      <c r="L238" s="16">
        <f t="shared" si="32"/>
        <v>5</v>
      </c>
      <c r="M238" s="14">
        <f t="shared" si="33"/>
        <v>49.94</v>
      </c>
      <c r="N238" s="20">
        <f t="shared" si="38"/>
        <v>0.57767495662232504</v>
      </c>
    </row>
    <row r="239" spans="1:14" x14ac:dyDescent="0.25">
      <c r="A239" s="16" t="s">
        <v>35</v>
      </c>
      <c r="B239" s="17" t="s">
        <v>36</v>
      </c>
      <c r="C239" s="16">
        <v>114</v>
      </c>
      <c r="D239" s="18">
        <v>1866.3</v>
      </c>
      <c r="E239" s="16">
        <f>VLOOKUP(A239,s_2024!A:C,2,FALSE)</f>
        <v>17</v>
      </c>
      <c r="F239" s="18">
        <f>VLOOKUP(A239,s_2024!A:C,3,FALSE)</f>
        <v>418.80999999999989</v>
      </c>
      <c r="G239" s="19">
        <f t="shared" si="37"/>
        <v>0.18327782907606197</v>
      </c>
      <c r="H239" s="16">
        <f t="shared" si="30"/>
        <v>131</v>
      </c>
      <c r="I239" s="18">
        <f t="shared" si="31"/>
        <v>2285.1099999999997</v>
      </c>
      <c r="J239" s="16">
        <f>VLOOKUP(A239,v_2023!A:D,3,FALSE)</f>
        <v>1061</v>
      </c>
      <c r="K239" s="18">
        <f>VLOOKUP(A239,v_2023!A:D,4,FALSE)</f>
        <v>17733.79</v>
      </c>
      <c r="L239" s="16">
        <f t="shared" si="32"/>
        <v>-930</v>
      </c>
      <c r="M239" s="14">
        <f t="shared" si="33"/>
        <v>-15448.68</v>
      </c>
      <c r="N239" s="20">
        <f t="shared" si="38"/>
        <v>-0.87114373182495108</v>
      </c>
    </row>
    <row r="240" spans="1:14" x14ac:dyDescent="0.25">
      <c r="A240" s="16" t="s">
        <v>346</v>
      </c>
      <c r="B240" s="17" t="s">
        <v>347</v>
      </c>
      <c r="C240" s="16">
        <v>88</v>
      </c>
      <c r="D240" s="18">
        <v>3901.1</v>
      </c>
      <c r="E240" s="16">
        <v>0</v>
      </c>
      <c r="F240" s="18">
        <v>0</v>
      </c>
      <c r="G240" s="19">
        <f t="shared" si="37"/>
        <v>0</v>
      </c>
      <c r="H240" s="16">
        <f t="shared" si="30"/>
        <v>88</v>
      </c>
      <c r="I240" s="18">
        <f t="shared" si="31"/>
        <v>3901.1</v>
      </c>
      <c r="J240" s="16">
        <f>VLOOKUP(A240,v_2023!A:D,3,FALSE)</f>
        <v>3</v>
      </c>
      <c r="K240" s="18">
        <f>VLOOKUP(A240,v_2023!A:D,4,FALSE)</f>
        <v>122.7</v>
      </c>
      <c r="L240" s="16">
        <f t="shared" si="32"/>
        <v>85</v>
      </c>
      <c r="M240" s="14">
        <f t="shared" si="33"/>
        <v>3778.4</v>
      </c>
      <c r="N240" s="20">
        <f t="shared" si="38"/>
        <v>30.793806030969844</v>
      </c>
    </row>
    <row r="241" spans="1:14" x14ac:dyDescent="0.25">
      <c r="A241" s="16" t="s">
        <v>291</v>
      </c>
      <c r="B241" s="17" t="s">
        <v>292</v>
      </c>
      <c r="C241" s="16">
        <v>9</v>
      </c>
      <c r="D241" s="18">
        <v>72.989999999999995</v>
      </c>
      <c r="E241" s="16">
        <v>0</v>
      </c>
      <c r="F241" s="18">
        <v>0</v>
      </c>
      <c r="G241" s="19">
        <f t="shared" si="37"/>
        <v>0</v>
      </c>
      <c r="H241" s="16">
        <f t="shared" si="30"/>
        <v>9</v>
      </c>
      <c r="I241" s="18">
        <f t="shared" si="31"/>
        <v>72.989999999999995</v>
      </c>
      <c r="J241" s="16">
        <f>VLOOKUP(A241,v_2023!A:D,3,FALSE)</f>
        <v>32</v>
      </c>
      <c r="K241" s="18">
        <f>VLOOKUP(A241,v_2023!A:D,4,FALSE)</f>
        <v>261.95999999999998</v>
      </c>
      <c r="L241" s="16">
        <f t="shared" si="32"/>
        <v>-23</v>
      </c>
      <c r="M241" s="14">
        <f t="shared" si="33"/>
        <v>-188.96999999999997</v>
      </c>
      <c r="N241" s="20">
        <f t="shared" si="38"/>
        <v>-0.7213696747595052</v>
      </c>
    </row>
    <row r="242" spans="1:14" x14ac:dyDescent="0.25">
      <c r="A242" s="16" t="s">
        <v>158</v>
      </c>
      <c r="B242" s="17" t="s">
        <v>159</v>
      </c>
      <c r="C242" s="16">
        <v>74</v>
      </c>
      <c r="D242" s="18">
        <v>6564.6100000000006</v>
      </c>
      <c r="E242" s="16">
        <v>0</v>
      </c>
      <c r="F242" s="18">
        <v>0</v>
      </c>
      <c r="G242" s="19">
        <f t="shared" si="37"/>
        <v>0</v>
      </c>
      <c r="H242" s="16">
        <f t="shared" si="30"/>
        <v>74</v>
      </c>
      <c r="I242" s="18">
        <f t="shared" si="31"/>
        <v>6564.6100000000006</v>
      </c>
      <c r="J242" s="16">
        <f>VLOOKUP(A242,v_2023!A:D,3,FALSE)</f>
        <v>13</v>
      </c>
      <c r="K242" s="18">
        <f>VLOOKUP(A242,v_2023!A:D,4,FALSE)</f>
        <v>1278.33</v>
      </c>
      <c r="L242" s="16">
        <f t="shared" si="32"/>
        <v>61</v>
      </c>
      <c r="M242" s="14">
        <f t="shared" si="33"/>
        <v>5286.2800000000007</v>
      </c>
      <c r="N242" s="20">
        <f t="shared" si="38"/>
        <v>4.1353015262099779</v>
      </c>
    </row>
    <row r="243" spans="1:14" x14ac:dyDescent="0.25">
      <c r="A243" s="16" t="s">
        <v>82</v>
      </c>
      <c r="B243" s="17" t="s">
        <v>83</v>
      </c>
      <c r="C243" s="16">
        <v>4</v>
      </c>
      <c r="D243" s="18">
        <v>380.8</v>
      </c>
      <c r="E243" s="16">
        <v>0</v>
      </c>
      <c r="F243" s="18">
        <v>0</v>
      </c>
      <c r="G243" s="19">
        <f t="shared" si="37"/>
        <v>0</v>
      </c>
      <c r="H243" s="16">
        <f t="shared" si="30"/>
        <v>4</v>
      </c>
      <c r="I243" s="18">
        <f t="shared" si="31"/>
        <v>380.8</v>
      </c>
      <c r="J243" s="16">
        <f>VLOOKUP(A243,v_2023!A:D,3,FALSE)</f>
        <v>55</v>
      </c>
      <c r="K243" s="18">
        <f>VLOOKUP(A243,v_2023!A:D,4,FALSE)</f>
        <v>4532.2699999999995</v>
      </c>
      <c r="L243" s="16">
        <f t="shared" si="32"/>
        <v>-51</v>
      </c>
      <c r="M243" s="14">
        <f t="shared" si="33"/>
        <v>-4151.4699999999993</v>
      </c>
      <c r="N243" s="20">
        <f t="shared" si="38"/>
        <v>-0.91598029243624046</v>
      </c>
    </row>
    <row r="244" spans="1:14" x14ac:dyDescent="0.25">
      <c r="A244" s="16" t="s">
        <v>112</v>
      </c>
      <c r="B244" s="17" t="s">
        <v>113</v>
      </c>
      <c r="C244" s="16">
        <v>148</v>
      </c>
      <c r="D244" s="18">
        <v>1752.33</v>
      </c>
      <c r="E244" s="16">
        <v>0</v>
      </c>
      <c r="F244" s="18">
        <v>0</v>
      </c>
      <c r="G244" s="19">
        <f t="shared" si="37"/>
        <v>0</v>
      </c>
      <c r="H244" s="16">
        <f t="shared" si="30"/>
        <v>148</v>
      </c>
      <c r="I244" s="18">
        <f t="shared" si="31"/>
        <v>1752.33</v>
      </c>
      <c r="J244" s="16">
        <f>VLOOKUP(A244,v_2023!A:D,3,FALSE)</f>
        <v>654</v>
      </c>
      <c r="K244" s="18">
        <f>VLOOKUP(A244,v_2023!A:D,4,FALSE)</f>
        <v>6992</v>
      </c>
      <c r="L244" s="16">
        <f t="shared" si="32"/>
        <v>-506</v>
      </c>
      <c r="M244" s="14">
        <f t="shared" si="33"/>
        <v>-5239.67</v>
      </c>
      <c r="N244" s="20">
        <f t="shared" si="38"/>
        <v>-0.74938072082379859</v>
      </c>
    </row>
    <row r="245" spans="1:14" x14ac:dyDescent="0.25">
      <c r="A245" s="16" t="s">
        <v>546</v>
      </c>
      <c r="B245" s="17" t="s">
        <v>547</v>
      </c>
      <c r="C245" s="16">
        <v>1</v>
      </c>
      <c r="D245" s="18">
        <v>58.74</v>
      </c>
      <c r="E245" s="16">
        <v>0</v>
      </c>
      <c r="F245" s="18">
        <v>0</v>
      </c>
      <c r="G245" s="19">
        <f t="shared" si="37"/>
        <v>0</v>
      </c>
      <c r="H245" s="16">
        <f t="shared" si="30"/>
        <v>1</v>
      </c>
      <c r="I245" s="18">
        <f t="shared" si="31"/>
        <v>58.74</v>
      </c>
      <c r="J245" s="16">
        <f>VLOOKUP(A245,v_2023!A:D,3,FALSE)</f>
        <v>0</v>
      </c>
      <c r="K245" s="18">
        <f>VLOOKUP(A245,v_2023!A:D,4,FALSE)</f>
        <v>0</v>
      </c>
      <c r="L245" s="16">
        <f t="shared" si="32"/>
        <v>1</v>
      </c>
      <c r="M245" s="14">
        <f t="shared" si="33"/>
        <v>58.74</v>
      </c>
      <c r="N245" s="20"/>
    </row>
    <row r="246" spans="1:14" x14ac:dyDescent="0.25">
      <c r="A246" s="16" t="s">
        <v>287</v>
      </c>
      <c r="B246" s="17" t="s">
        <v>288</v>
      </c>
      <c r="C246" s="16">
        <v>2</v>
      </c>
      <c r="D246" s="18">
        <v>88.34</v>
      </c>
      <c r="E246" s="16">
        <v>0</v>
      </c>
      <c r="F246" s="18">
        <v>0</v>
      </c>
      <c r="G246" s="19">
        <f t="shared" si="37"/>
        <v>0</v>
      </c>
      <c r="H246" s="16">
        <f t="shared" si="30"/>
        <v>2</v>
      </c>
      <c r="I246" s="18">
        <f t="shared" si="31"/>
        <v>88.34</v>
      </c>
      <c r="J246" s="16">
        <f>VLOOKUP(A246,v_2023!A:D,3,FALSE)</f>
        <v>9</v>
      </c>
      <c r="K246" s="18">
        <f>VLOOKUP(A246,v_2023!A:D,4,FALSE)</f>
        <v>345.89000000000004</v>
      </c>
      <c r="L246" s="16">
        <f t="shared" si="32"/>
        <v>-7</v>
      </c>
      <c r="M246" s="14">
        <f t="shared" si="33"/>
        <v>-257.55000000000007</v>
      </c>
      <c r="N246" s="20">
        <f>M246/K246</f>
        <v>-0.74460088467431851</v>
      </c>
    </row>
    <row r="247" spans="1:14" x14ac:dyDescent="0.25">
      <c r="A247" s="16" t="s">
        <v>29</v>
      </c>
      <c r="B247" s="17" t="s">
        <v>30</v>
      </c>
      <c r="C247" s="16">
        <v>623</v>
      </c>
      <c r="D247" s="18">
        <v>10619.670000000002</v>
      </c>
      <c r="E247" s="16">
        <v>0</v>
      </c>
      <c r="F247" s="18">
        <v>0</v>
      </c>
      <c r="G247" s="19">
        <f t="shared" si="37"/>
        <v>0</v>
      </c>
      <c r="H247" s="16">
        <f t="shared" si="30"/>
        <v>623</v>
      </c>
      <c r="I247" s="18">
        <f t="shared" si="31"/>
        <v>10619.670000000002</v>
      </c>
      <c r="J247" s="16">
        <f>VLOOKUP(A247,v_2023!A:D,3,FALSE)</f>
        <v>1718</v>
      </c>
      <c r="K247" s="18">
        <f>VLOOKUP(A247,v_2023!A:D,4,FALSE)</f>
        <v>28242.18</v>
      </c>
      <c r="L247" s="16">
        <f t="shared" si="32"/>
        <v>-1095</v>
      </c>
      <c r="M247" s="14">
        <f t="shared" si="33"/>
        <v>-17622.509999999998</v>
      </c>
      <c r="N247" s="20">
        <f>M247/K247</f>
        <v>-0.62397838977019471</v>
      </c>
    </row>
    <row r="248" spans="1:14" x14ac:dyDescent="0.25">
      <c r="A248" s="16" t="s">
        <v>460</v>
      </c>
      <c r="B248" s="17" t="s">
        <v>461</v>
      </c>
      <c r="C248" s="16">
        <v>2</v>
      </c>
      <c r="D248" s="18">
        <v>96.87</v>
      </c>
      <c r="E248" s="16">
        <v>0</v>
      </c>
      <c r="F248" s="18">
        <v>0</v>
      </c>
      <c r="G248" s="19">
        <f t="shared" si="37"/>
        <v>0</v>
      </c>
      <c r="H248" s="16">
        <f t="shared" si="30"/>
        <v>2</v>
      </c>
      <c r="I248" s="18">
        <f t="shared" si="31"/>
        <v>96.87</v>
      </c>
      <c r="J248" s="16">
        <f>VLOOKUP(A248,v_2023!A:D,3,FALSE)</f>
        <v>1</v>
      </c>
      <c r="K248" s="18">
        <f>VLOOKUP(A248,v_2023!A:D,4,FALSE)</f>
        <v>31.75</v>
      </c>
      <c r="L248" s="16">
        <f t="shared" si="32"/>
        <v>1</v>
      </c>
      <c r="M248" s="14">
        <f t="shared" si="33"/>
        <v>65.12</v>
      </c>
      <c r="N248" s="20">
        <f>M248/K248</f>
        <v>2.0510236220472442</v>
      </c>
    </row>
    <row r="249" spans="1:14" x14ac:dyDescent="0.25">
      <c r="A249" s="16" t="s">
        <v>636</v>
      </c>
      <c r="B249" s="17" t="s">
        <v>637</v>
      </c>
      <c r="C249" s="16">
        <v>1</v>
      </c>
      <c r="D249" s="18">
        <v>160.65</v>
      </c>
      <c r="E249" s="16">
        <v>0</v>
      </c>
      <c r="F249" s="18">
        <v>0</v>
      </c>
      <c r="G249" s="19">
        <f t="shared" si="37"/>
        <v>0</v>
      </c>
      <c r="H249" s="16">
        <f t="shared" si="30"/>
        <v>1</v>
      </c>
      <c r="I249" s="18">
        <f t="shared" si="31"/>
        <v>160.65</v>
      </c>
      <c r="J249" s="16">
        <v>0</v>
      </c>
      <c r="K249" s="18">
        <v>0</v>
      </c>
      <c r="L249" s="16">
        <f t="shared" si="32"/>
        <v>1</v>
      </c>
      <c r="M249" s="14">
        <f t="shared" si="33"/>
        <v>160.65</v>
      </c>
      <c r="N249" s="20"/>
    </row>
    <row r="250" spans="1:14" x14ac:dyDescent="0.25">
      <c r="A250" s="16" t="s">
        <v>126</v>
      </c>
      <c r="B250" s="17" t="s">
        <v>127</v>
      </c>
      <c r="C250" s="16">
        <v>569</v>
      </c>
      <c r="D250" s="18">
        <v>2809.4100000000003</v>
      </c>
      <c r="E250" s="16">
        <v>0</v>
      </c>
      <c r="F250" s="18">
        <v>0</v>
      </c>
      <c r="G250" s="19">
        <f t="shared" si="37"/>
        <v>0</v>
      </c>
      <c r="H250" s="16">
        <f t="shared" si="30"/>
        <v>569</v>
      </c>
      <c r="I250" s="18">
        <f t="shared" si="31"/>
        <v>2809.4100000000003</v>
      </c>
      <c r="J250" s="16">
        <f>VLOOKUP(A250,v_2023!A:D,3,FALSE)</f>
        <v>686</v>
      </c>
      <c r="K250" s="18">
        <f>VLOOKUP(A250,v_2023!A:D,4,FALSE)</f>
        <v>2945.08</v>
      </c>
      <c r="L250" s="16">
        <f t="shared" si="32"/>
        <v>-117</v>
      </c>
      <c r="M250" s="14">
        <f t="shared" si="33"/>
        <v>-135.66999999999962</v>
      </c>
      <c r="N250" s="20">
        <f>M250/K250</f>
        <v>-4.6066660328412001E-2</v>
      </c>
    </row>
    <row r="251" spans="1:14" x14ac:dyDescent="0.25">
      <c r="A251" s="16" t="s">
        <v>43</v>
      </c>
      <c r="B251" s="17" t="s">
        <v>44</v>
      </c>
      <c r="C251" s="16">
        <v>144</v>
      </c>
      <c r="D251" s="18">
        <v>920.59</v>
      </c>
      <c r="E251" s="16">
        <v>0</v>
      </c>
      <c r="F251" s="18">
        <v>0</v>
      </c>
      <c r="G251" s="19">
        <f t="shared" si="37"/>
        <v>0</v>
      </c>
      <c r="H251" s="16">
        <f t="shared" si="30"/>
        <v>144</v>
      </c>
      <c r="I251" s="18">
        <f t="shared" si="31"/>
        <v>920.59</v>
      </c>
      <c r="J251" s="16">
        <f>VLOOKUP(A251,v_2023!A:D,3,FALSE)</f>
        <v>2465</v>
      </c>
      <c r="K251" s="18">
        <f>VLOOKUP(A251,v_2023!A:D,4,FALSE)</f>
        <v>9950.2499999999982</v>
      </c>
      <c r="L251" s="16">
        <f t="shared" si="32"/>
        <v>-2321</v>
      </c>
      <c r="M251" s="14">
        <f t="shared" si="33"/>
        <v>-9029.659999999998</v>
      </c>
      <c r="N251" s="20">
        <f>M251/K251</f>
        <v>-0.90748071656491036</v>
      </c>
    </row>
    <row r="252" spans="1:14" x14ac:dyDescent="0.25">
      <c r="A252" s="16" t="s">
        <v>380</v>
      </c>
      <c r="B252" s="17" t="s">
        <v>381</v>
      </c>
      <c r="C252" s="16">
        <v>9</v>
      </c>
      <c r="D252" s="18">
        <v>33.79</v>
      </c>
      <c r="E252" s="16">
        <v>0</v>
      </c>
      <c r="F252" s="18">
        <v>0</v>
      </c>
      <c r="G252" s="19">
        <f t="shared" si="37"/>
        <v>0</v>
      </c>
      <c r="H252" s="16">
        <f t="shared" si="30"/>
        <v>9</v>
      </c>
      <c r="I252" s="18">
        <f t="shared" si="31"/>
        <v>33.79</v>
      </c>
      <c r="J252" s="16">
        <f>VLOOKUP(A252,v_2023!A:D,3,FALSE)</f>
        <v>14</v>
      </c>
      <c r="K252" s="18">
        <f>VLOOKUP(A252,v_2023!A:D,4,FALSE)</f>
        <v>94.96</v>
      </c>
      <c r="L252" s="16">
        <f t="shared" si="32"/>
        <v>-5</v>
      </c>
      <c r="M252" s="14">
        <f t="shared" si="33"/>
        <v>-61.169999999999995</v>
      </c>
      <c r="N252" s="20">
        <f>M252/K252</f>
        <v>-0.64416596461668074</v>
      </c>
    </row>
    <row r="253" spans="1:14" x14ac:dyDescent="0.25">
      <c r="A253" s="16" t="s">
        <v>672</v>
      </c>
      <c r="B253" s="17" t="s">
        <v>673</v>
      </c>
      <c r="C253" s="16">
        <v>1</v>
      </c>
      <c r="D253" s="18">
        <v>62.18</v>
      </c>
      <c r="E253" s="16">
        <v>0</v>
      </c>
      <c r="F253" s="18">
        <v>0</v>
      </c>
      <c r="G253" s="19">
        <f t="shared" si="37"/>
        <v>0</v>
      </c>
      <c r="H253" s="16">
        <f t="shared" si="30"/>
        <v>1</v>
      </c>
      <c r="I253" s="18">
        <f t="shared" si="31"/>
        <v>62.18</v>
      </c>
      <c r="J253" s="16">
        <v>0</v>
      </c>
      <c r="K253" s="18">
        <v>0</v>
      </c>
      <c r="L253" s="16">
        <f t="shared" si="32"/>
        <v>1</v>
      </c>
      <c r="M253" s="14">
        <f t="shared" si="33"/>
        <v>62.18</v>
      </c>
      <c r="N253" s="20"/>
    </row>
    <row r="254" spans="1:14" x14ac:dyDescent="0.25">
      <c r="A254" s="16" t="s">
        <v>506</v>
      </c>
      <c r="B254" s="17" t="s">
        <v>507</v>
      </c>
      <c r="C254" s="16">
        <v>306</v>
      </c>
      <c r="D254" s="18">
        <v>3686.1200000000003</v>
      </c>
      <c r="E254" s="16">
        <v>0</v>
      </c>
      <c r="F254" s="18">
        <v>0</v>
      </c>
      <c r="G254" s="19">
        <f t="shared" si="37"/>
        <v>0</v>
      </c>
      <c r="H254" s="16">
        <f t="shared" si="30"/>
        <v>306</v>
      </c>
      <c r="I254" s="18">
        <f t="shared" si="31"/>
        <v>3686.1200000000003</v>
      </c>
      <c r="J254" s="16">
        <f>VLOOKUP(A254,v_2023!A:D,3,FALSE)</f>
        <v>1</v>
      </c>
      <c r="K254" s="18">
        <f>VLOOKUP(A254,v_2023!A:D,4,FALSE)</f>
        <v>12.4</v>
      </c>
      <c r="L254" s="16">
        <f t="shared" si="32"/>
        <v>305</v>
      </c>
      <c r="M254" s="14">
        <f t="shared" si="33"/>
        <v>3673.7200000000003</v>
      </c>
      <c r="N254" s="20">
        <f>M254/K254</f>
        <v>296.26774193548385</v>
      </c>
    </row>
    <row r="255" spans="1:14" x14ac:dyDescent="0.25">
      <c r="A255" s="16" t="s">
        <v>364</v>
      </c>
      <c r="B255" s="17" t="s">
        <v>365</v>
      </c>
      <c r="C255" s="16">
        <v>13</v>
      </c>
      <c r="D255" s="18">
        <v>546.92000000000007</v>
      </c>
      <c r="E255" s="16">
        <v>0</v>
      </c>
      <c r="F255" s="18">
        <v>0</v>
      </c>
      <c r="G255" s="19">
        <f t="shared" si="37"/>
        <v>0</v>
      </c>
      <c r="H255" s="16">
        <f t="shared" si="30"/>
        <v>13</v>
      </c>
      <c r="I255" s="18">
        <f t="shared" si="31"/>
        <v>546.92000000000007</v>
      </c>
      <c r="J255" s="16">
        <f>VLOOKUP(A255,v_2023!A:D,3,FALSE)</f>
        <v>5</v>
      </c>
      <c r="K255" s="18">
        <f>VLOOKUP(A255,v_2023!A:D,4,FALSE)</f>
        <v>242.62</v>
      </c>
      <c r="L255" s="16">
        <f t="shared" si="32"/>
        <v>8</v>
      </c>
      <c r="M255" s="14">
        <f t="shared" si="33"/>
        <v>304.30000000000007</v>
      </c>
      <c r="N255" s="20">
        <f>M255/K255</f>
        <v>1.2542247135438136</v>
      </c>
    </row>
    <row r="256" spans="1:14" x14ac:dyDescent="0.25">
      <c r="A256" s="16" t="s">
        <v>608</v>
      </c>
      <c r="B256" s="17" t="s">
        <v>609</v>
      </c>
      <c r="C256" s="16">
        <v>264</v>
      </c>
      <c r="D256" s="18">
        <v>2285.4</v>
      </c>
      <c r="E256" s="16">
        <v>0</v>
      </c>
      <c r="F256" s="18">
        <v>0</v>
      </c>
      <c r="G256" s="19">
        <f t="shared" si="37"/>
        <v>0</v>
      </c>
      <c r="H256" s="16">
        <f t="shared" si="30"/>
        <v>264</v>
      </c>
      <c r="I256" s="18">
        <f t="shared" si="31"/>
        <v>2285.4</v>
      </c>
      <c r="J256" s="16">
        <v>0</v>
      </c>
      <c r="K256" s="18">
        <v>0</v>
      </c>
      <c r="L256" s="16">
        <f t="shared" si="32"/>
        <v>264</v>
      </c>
      <c r="M256" s="14">
        <f t="shared" si="33"/>
        <v>2285.4</v>
      </c>
      <c r="N256" s="20"/>
    </row>
    <row r="257" spans="1:14" x14ac:dyDescent="0.25">
      <c r="A257" s="16" t="s">
        <v>620</v>
      </c>
      <c r="B257" s="17" t="s">
        <v>621</v>
      </c>
      <c r="C257" s="16">
        <v>22</v>
      </c>
      <c r="D257" s="18">
        <v>908.24000000000012</v>
      </c>
      <c r="E257" s="16">
        <v>0</v>
      </c>
      <c r="F257" s="18">
        <v>0</v>
      </c>
      <c r="G257" s="19">
        <f t="shared" ref="G257:G282" si="39">F257/I257</f>
        <v>0</v>
      </c>
      <c r="H257" s="16">
        <f t="shared" si="30"/>
        <v>22</v>
      </c>
      <c r="I257" s="18">
        <f t="shared" si="31"/>
        <v>908.24000000000012</v>
      </c>
      <c r="J257" s="16">
        <v>0</v>
      </c>
      <c r="K257" s="18">
        <v>0</v>
      </c>
      <c r="L257" s="16">
        <f t="shared" si="32"/>
        <v>22</v>
      </c>
      <c r="M257" s="14">
        <f t="shared" si="33"/>
        <v>908.24000000000012</v>
      </c>
      <c r="N257" s="20"/>
    </row>
    <row r="258" spans="1:14" x14ac:dyDescent="0.25">
      <c r="A258" s="16" t="s">
        <v>624</v>
      </c>
      <c r="B258" s="17" t="s">
        <v>625</v>
      </c>
      <c r="C258" s="16">
        <v>35</v>
      </c>
      <c r="D258" s="18">
        <v>1273.7199999999998</v>
      </c>
      <c r="E258" s="16">
        <v>0</v>
      </c>
      <c r="F258" s="18">
        <v>0</v>
      </c>
      <c r="G258" s="19">
        <f t="shared" si="39"/>
        <v>0</v>
      </c>
      <c r="H258" s="16">
        <f t="shared" ref="H258:H283" si="40">E258+C258</f>
        <v>35</v>
      </c>
      <c r="I258" s="18">
        <f t="shared" ref="I258:I283" si="41">F258+D258</f>
        <v>1273.7199999999998</v>
      </c>
      <c r="J258" s="16">
        <v>0</v>
      </c>
      <c r="K258" s="18">
        <v>0</v>
      </c>
      <c r="L258" s="16">
        <f t="shared" ref="L258:L281" si="42">H258-J258</f>
        <v>35</v>
      </c>
      <c r="M258" s="14">
        <f t="shared" ref="M258:M281" si="43">I258-K258</f>
        <v>1273.7199999999998</v>
      </c>
      <c r="N258" s="20"/>
    </row>
    <row r="259" spans="1:14" x14ac:dyDescent="0.25">
      <c r="A259" s="16" t="s">
        <v>680</v>
      </c>
      <c r="B259" s="17" t="s">
        <v>681</v>
      </c>
      <c r="C259" s="16">
        <v>3</v>
      </c>
      <c r="D259" s="18">
        <v>64.400000000000006</v>
      </c>
      <c r="E259" s="16">
        <v>0</v>
      </c>
      <c r="F259" s="18">
        <v>0</v>
      </c>
      <c r="G259" s="19">
        <f t="shared" si="39"/>
        <v>0</v>
      </c>
      <c r="H259" s="16">
        <f t="shared" si="40"/>
        <v>3</v>
      </c>
      <c r="I259" s="18">
        <f t="shared" si="41"/>
        <v>64.400000000000006</v>
      </c>
      <c r="J259" s="16">
        <v>0</v>
      </c>
      <c r="K259" s="18">
        <v>0</v>
      </c>
      <c r="L259" s="16">
        <f t="shared" si="42"/>
        <v>3</v>
      </c>
      <c r="M259" s="14">
        <f t="shared" si="43"/>
        <v>64.400000000000006</v>
      </c>
      <c r="N259" s="20"/>
    </row>
    <row r="260" spans="1:14" x14ac:dyDescent="0.25">
      <c r="A260" s="16" t="s">
        <v>644</v>
      </c>
      <c r="B260" s="17" t="s">
        <v>645</v>
      </c>
      <c r="C260" s="16">
        <v>4</v>
      </c>
      <c r="D260" s="18">
        <v>170.14999999999998</v>
      </c>
      <c r="E260" s="16">
        <v>0</v>
      </c>
      <c r="F260" s="18">
        <v>0</v>
      </c>
      <c r="G260" s="19">
        <f t="shared" si="39"/>
        <v>0</v>
      </c>
      <c r="H260" s="16">
        <f t="shared" si="40"/>
        <v>4</v>
      </c>
      <c r="I260" s="18">
        <f t="shared" si="41"/>
        <v>170.14999999999998</v>
      </c>
      <c r="J260" s="16">
        <v>0</v>
      </c>
      <c r="K260" s="18">
        <v>0</v>
      </c>
      <c r="L260" s="16">
        <f t="shared" si="42"/>
        <v>4</v>
      </c>
      <c r="M260" s="14">
        <f t="shared" si="43"/>
        <v>170.14999999999998</v>
      </c>
      <c r="N260" s="20"/>
    </row>
    <row r="261" spans="1:14" x14ac:dyDescent="0.25">
      <c r="A261" s="16" t="s">
        <v>688</v>
      </c>
      <c r="B261" s="17" t="s">
        <v>689</v>
      </c>
      <c r="C261" s="16">
        <v>1</v>
      </c>
      <c r="D261" s="18">
        <v>32.369999999999997</v>
      </c>
      <c r="E261" s="16">
        <v>0</v>
      </c>
      <c r="F261" s="18">
        <v>0</v>
      </c>
      <c r="G261" s="19">
        <f t="shared" si="39"/>
        <v>0</v>
      </c>
      <c r="H261" s="16">
        <f t="shared" si="40"/>
        <v>1</v>
      </c>
      <c r="I261" s="18">
        <f t="shared" si="41"/>
        <v>32.369999999999997</v>
      </c>
      <c r="J261" s="16">
        <v>0</v>
      </c>
      <c r="K261" s="18">
        <v>0</v>
      </c>
      <c r="L261" s="16">
        <f t="shared" si="42"/>
        <v>1</v>
      </c>
      <c r="M261" s="14">
        <f t="shared" si="43"/>
        <v>32.369999999999997</v>
      </c>
      <c r="N261" s="20"/>
    </row>
    <row r="262" spans="1:14" x14ac:dyDescent="0.25">
      <c r="A262" s="16" t="s">
        <v>640</v>
      </c>
      <c r="B262" s="17" t="s">
        <v>641</v>
      </c>
      <c r="C262" s="16">
        <v>6</v>
      </c>
      <c r="D262" s="18">
        <v>176.59</v>
      </c>
      <c r="E262" s="16">
        <v>0</v>
      </c>
      <c r="F262" s="18">
        <v>0</v>
      </c>
      <c r="G262" s="19">
        <f t="shared" si="39"/>
        <v>0</v>
      </c>
      <c r="H262" s="16">
        <f t="shared" si="40"/>
        <v>6</v>
      </c>
      <c r="I262" s="18">
        <f t="shared" si="41"/>
        <v>176.59</v>
      </c>
      <c r="J262" s="16">
        <v>0</v>
      </c>
      <c r="K262" s="18">
        <v>0</v>
      </c>
      <c r="L262" s="16">
        <f t="shared" si="42"/>
        <v>6</v>
      </c>
      <c r="M262" s="14">
        <f t="shared" si="43"/>
        <v>176.59</v>
      </c>
      <c r="N262" s="20"/>
    </row>
    <row r="263" spans="1:14" x14ac:dyDescent="0.25">
      <c r="A263" s="16" t="s">
        <v>668</v>
      </c>
      <c r="B263" s="17" t="s">
        <v>669</v>
      </c>
      <c r="C263" s="16">
        <v>2</v>
      </c>
      <c r="D263" s="18">
        <v>65.599999999999994</v>
      </c>
      <c r="E263" s="16">
        <v>0</v>
      </c>
      <c r="F263" s="18">
        <v>0</v>
      </c>
      <c r="G263" s="19">
        <f t="shared" si="39"/>
        <v>0</v>
      </c>
      <c r="H263" s="16">
        <f t="shared" si="40"/>
        <v>2</v>
      </c>
      <c r="I263" s="18">
        <f t="shared" si="41"/>
        <v>65.599999999999994</v>
      </c>
      <c r="J263" s="16">
        <v>0</v>
      </c>
      <c r="K263" s="18">
        <v>0</v>
      </c>
      <c r="L263" s="16">
        <f t="shared" si="42"/>
        <v>2</v>
      </c>
      <c r="M263" s="14">
        <f t="shared" si="43"/>
        <v>65.599999999999994</v>
      </c>
      <c r="N263" s="20"/>
    </row>
    <row r="264" spans="1:14" x14ac:dyDescent="0.25">
      <c r="A264" s="16" t="s">
        <v>664</v>
      </c>
      <c r="B264" s="17" t="s">
        <v>665</v>
      </c>
      <c r="C264" s="16">
        <v>2</v>
      </c>
      <c r="D264" s="18">
        <v>67.09</v>
      </c>
      <c r="E264" s="16">
        <v>0</v>
      </c>
      <c r="F264" s="18">
        <v>0</v>
      </c>
      <c r="G264" s="19">
        <f t="shared" si="39"/>
        <v>0</v>
      </c>
      <c r="H264" s="16">
        <f t="shared" si="40"/>
        <v>2</v>
      </c>
      <c r="I264" s="18">
        <f t="shared" si="41"/>
        <v>67.09</v>
      </c>
      <c r="J264" s="16">
        <v>0</v>
      </c>
      <c r="K264" s="18">
        <v>0</v>
      </c>
      <c r="L264" s="16">
        <f t="shared" si="42"/>
        <v>2</v>
      </c>
      <c r="M264" s="14">
        <f t="shared" si="43"/>
        <v>67.09</v>
      </c>
      <c r="N264" s="20"/>
    </row>
    <row r="265" spans="1:14" x14ac:dyDescent="0.25">
      <c r="A265" s="16" t="s">
        <v>632</v>
      </c>
      <c r="B265" s="17" t="s">
        <v>633</v>
      </c>
      <c r="C265" s="16">
        <v>17</v>
      </c>
      <c r="D265" s="18">
        <v>315.93</v>
      </c>
      <c r="E265" s="16">
        <v>0</v>
      </c>
      <c r="F265" s="18">
        <v>0</v>
      </c>
      <c r="G265" s="19">
        <f t="shared" si="39"/>
        <v>0</v>
      </c>
      <c r="H265" s="16">
        <f t="shared" si="40"/>
        <v>17</v>
      </c>
      <c r="I265" s="18">
        <f t="shared" si="41"/>
        <v>315.93</v>
      </c>
      <c r="J265" s="16">
        <v>0</v>
      </c>
      <c r="K265" s="18">
        <v>0</v>
      </c>
      <c r="L265" s="16">
        <f t="shared" si="42"/>
        <v>17</v>
      </c>
      <c r="M265" s="14">
        <f t="shared" si="43"/>
        <v>315.93</v>
      </c>
      <c r="N265" s="20"/>
    </row>
    <row r="266" spans="1:14" x14ac:dyDescent="0.25">
      <c r="A266" s="16" t="s">
        <v>690</v>
      </c>
      <c r="B266" s="17" t="s">
        <v>691</v>
      </c>
      <c r="C266" s="16">
        <v>315</v>
      </c>
      <c r="D266" s="18">
        <v>30.99</v>
      </c>
      <c r="E266" s="16">
        <v>0</v>
      </c>
      <c r="F266" s="18">
        <v>0</v>
      </c>
      <c r="G266" s="19">
        <f t="shared" si="39"/>
        <v>0</v>
      </c>
      <c r="H266" s="16">
        <f t="shared" si="40"/>
        <v>315</v>
      </c>
      <c r="I266" s="18">
        <f t="shared" si="41"/>
        <v>30.99</v>
      </c>
      <c r="J266" s="16">
        <v>0</v>
      </c>
      <c r="K266" s="18">
        <v>0</v>
      </c>
      <c r="L266" s="16">
        <f t="shared" si="42"/>
        <v>315</v>
      </c>
      <c r="M266" s="14">
        <f t="shared" si="43"/>
        <v>30.99</v>
      </c>
      <c r="N266" s="20"/>
    </row>
    <row r="267" spans="1:14" x14ac:dyDescent="0.25">
      <c r="A267" s="16" t="s">
        <v>698</v>
      </c>
      <c r="B267" s="17" t="s">
        <v>699</v>
      </c>
      <c r="C267" s="16">
        <v>4</v>
      </c>
      <c r="D267" s="18">
        <v>15.36</v>
      </c>
      <c r="E267" s="16">
        <v>0</v>
      </c>
      <c r="F267" s="18">
        <v>0</v>
      </c>
      <c r="G267" s="19">
        <f t="shared" si="39"/>
        <v>0</v>
      </c>
      <c r="H267" s="16">
        <f t="shared" si="40"/>
        <v>4</v>
      </c>
      <c r="I267" s="18">
        <f t="shared" si="41"/>
        <v>15.36</v>
      </c>
      <c r="J267" s="16">
        <v>0</v>
      </c>
      <c r="K267" s="18">
        <v>0</v>
      </c>
      <c r="L267" s="16">
        <f t="shared" si="42"/>
        <v>4</v>
      </c>
      <c r="M267" s="14">
        <f t="shared" si="43"/>
        <v>15.36</v>
      </c>
      <c r="N267" s="20"/>
    </row>
    <row r="268" spans="1:14" x14ac:dyDescent="0.25">
      <c r="A268" s="16" t="s">
        <v>628</v>
      </c>
      <c r="B268" s="17" t="s">
        <v>629</v>
      </c>
      <c r="C268" s="16">
        <v>3</v>
      </c>
      <c r="D268" s="18">
        <v>400.21</v>
      </c>
      <c r="E268" s="16">
        <v>0</v>
      </c>
      <c r="F268" s="18">
        <v>0</v>
      </c>
      <c r="G268" s="19">
        <f t="shared" si="39"/>
        <v>0</v>
      </c>
      <c r="H268" s="16">
        <f t="shared" si="40"/>
        <v>3</v>
      </c>
      <c r="I268" s="18">
        <f t="shared" si="41"/>
        <v>400.21</v>
      </c>
      <c r="J268" s="16">
        <v>0</v>
      </c>
      <c r="K268" s="18">
        <v>0</v>
      </c>
      <c r="L268" s="16">
        <f t="shared" si="42"/>
        <v>3</v>
      </c>
      <c r="M268" s="14">
        <f t="shared" si="43"/>
        <v>400.21</v>
      </c>
      <c r="N268" s="20"/>
    </row>
    <row r="269" spans="1:14" x14ac:dyDescent="0.25">
      <c r="A269" s="16" t="s">
        <v>622</v>
      </c>
      <c r="B269" s="17" t="s">
        <v>623</v>
      </c>
      <c r="C269" s="16">
        <v>39</v>
      </c>
      <c r="D269" s="18">
        <v>863.03000000000009</v>
      </c>
      <c r="E269" s="16">
        <v>0</v>
      </c>
      <c r="F269" s="18">
        <v>0</v>
      </c>
      <c r="G269" s="19">
        <f t="shared" si="39"/>
        <v>0</v>
      </c>
      <c r="H269" s="16">
        <f t="shared" si="40"/>
        <v>39</v>
      </c>
      <c r="I269" s="18">
        <f t="shared" si="41"/>
        <v>863.03000000000009</v>
      </c>
      <c r="J269" s="16">
        <v>0</v>
      </c>
      <c r="K269" s="18">
        <v>0</v>
      </c>
      <c r="L269" s="16">
        <f t="shared" si="42"/>
        <v>39</v>
      </c>
      <c r="M269" s="14">
        <f t="shared" si="43"/>
        <v>863.03000000000009</v>
      </c>
      <c r="N269" s="20"/>
    </row>
    <row r="270" spans="1:14" x14ac:dyDescent="0.25">
      <c r="A270" s="16" t="s">
        <v>646</v>
      </c>
      <c r="B270" s="17" t="s">
        <v>647</v>
      </c>
      <c r="C270" s="16">
        <v>24</v>
      </c>
      <c r="D270" s="18">
        <v>122.81</v>
      </c>
      <c r="E270" s="16">
        <v>0</v>
      </c>
      <c r="F270" s="18">
        <v>0</v>
      </c>
      <c r="G270" s="19">
        <f t="shared" si="39"/>
        <v>0</v>
      </c>
      <c r="H270" s="16">
        <f t="shared" si="40"/>
        <v>24</v>
      </c>
      <c r="I270" s="18">
        <f t="shared" si="41"/>
        <v>122.81</v>
      </c>
      <c r="J270" s="16">
        <v>0</v>
      </c>
      <c r="K270" s="18">
        <v>0</v>
      </c>
      <c r="L270" s="16">
        <f t="shared" si="42"/>
        <v>24</v>
      </c>
      <c r="M270" s="14">
        <f t="shared" si="43"/>
        <v>122.81</v>
      </c>
      <c r="N270" s="20"/>
    </row>
    <row r="271" spans="1:14" x14ac:dyDescent="0.25">
      <c r="A271" s="16" t="s">
        <v>654</v>
      </c>
      <c r="B271" s="17" t="s">
        <v>655</v>
      </c>
      <c r="C271" s="16">
        <v>18</v>
      </c>
      <c r="D271" s="18">
        <v>119.77</v>
      </c>
      <c r="E271" s="16">
        <v>0</v>
      </c>
      <c r="F271" s="18">
        <v>0</v>
      </c>
      <c r="G271" s="19">
        <f t="shared" si="39"/>
        <v>0</v>
      </c>
      <c r="H271" s="16">
        <f t="shared" si="40"/>
        <v>18</v>
      </c>
      <c r="I271" s="18">
        <f t="shared" si="41"/>
        <v>119.77</v>
      </c>
      <c r="J271" s="16">
        <v>0</v>
      </c>
      <c r="K271" s="18">
        <v>0</v>
      </c>
      <c r="L271" s="16">
        <f t="shared" si="42"/>
        <v>18</v>
      </c>
      <c r="M271" s="14">
        <f t="shared" si="43"/>
        <v>119.77</v>
      </c>
      <c r="N271" s="20"/>
    </row>
    <row r="272" spans="1:14" x14ac:dyDescent="0.25">
      <c r="A272" s="16" t="s">
        <v>612</v>
      </c>
      <c r="B272" s="17" t="s">
        <v>613</v>
      </c>
      <c r="C272" s="16">
        <v>423</v>
      </c>
      <c r="D272" s="18">
        <v>2621.3000000000002</v>
      </c>
      <c r="E272" s="16">
        <v>0</v>
      </c>
      <c r="F272" s="18">
        <v>0</v>
      </c>
      <c r="G272" s="19">
        <f t="shared" si="39"/>
        <v>0</v>
      </c>
      <c r="H272" s="16">
        <f t="shared" si="40"/>
        <v>423</v>
      </c>
      <c r="I272" s="18">
        <f t="shared" si="41"/>
        <v>2621.3000000000002</v>
      </c>
      <c r="J272" s="16">
        <v>0</v>
      </c>
      <c r="K272" s="18">
        <v>0</v>
      </c>
      <c r="L272" s="16">
        <f t="shared" si="42"/>
        <v>423</v>
      </c>
      <c r="M272" s="14">
        <f t="shared" si="43"/>
        <v>2621.3000000000002</v>
      </c>
      <c r="N272" s="20"/>
    </row>
    <row r="273" spans="1:14" x14ac:dyDescent="0.25">
      <c r="A273" s="16" t="s">
        <v>604</v>
      </c>
      <c r="B273" s="17" t="s">
        <v>605</v>
      </c>
      <c r="C273" s="16">
        <v>93</v>
      </c>
      <c r="D273" s="18">
        <v>2805.25</v>
      </c>
      <c r="E273" s="16">
        <v>0</v>
      </c>
      <c r="F273" s="18">
        <v>0</v>
      </c>
      <c r="G273" s="19">
        <f t="shared" si="39"/>
        <v>0</v>
      </c>
      <c r="H273" s="16">
        <f t="shared" si="40"/>
        <v>93</v>
      </c>
      <c r="I273" s="18">
        <f t="shared" si="41"/>
        <v>2805.25</v>
      </c>
      <c r="J273" s="16">
        <v>0</v>
      </c>
      <c r="K273" s="18">
        <v>0</v>
      </c>
      <c r="L273" s="16">
        <f t="shared" si="42"/>
        <v>93</v>
      </c>
      <c r="M273" s="14">
        <f t="shared" si="43"/>
        <v>2805.25</v>
      </c>
      <c r="N273" s="20"/>
    </row>
    <row r="274" spans="1:14" x14ac:dyDescent="0.25">
      <c r="A274" s="16" t="s">
        <v>610</v>
      </c>
      <c r="B274" s="17" t="s">
        <v>611</v>
      </c>
      <c r="C274" s="16">
        <v>234</v>
      </c>
      <c r="D274" s="18">
        <v>3595.7999999999997</v>
      </c>
      <c r="E274" s="16">
        <v>0</v>
      </c>
      <c r="F274" s="18">
        <v>0</v>
      </c>
      <c r="G274" s="19">
        <f t="shared" si="39"/>
        <v>0</v>
      </c>
      <c r="H274" s="16">
        <f t="shared" si="40"/>
        <v>234</v>
      </c>
      <c r="I274" s="18">
        <f t="shared" si="41"/>
        <v>3595.7999999999997</v>
      </c>
      <c r="J274" s="16">
        <v>0</v>
      </c>
      <c r="K274" s="18">
        <v>0</v>
      </c>
      <c r="L274" s="16">
        <f t="shared" si="42"/>
        <v>234</v>
      </c>
      <c r="M274" s="14">
        <f t="shared" si="43"/>
        <v>3595.7999999999997</v>
      </c>
      <c r="N274" s="20"/>
    </row>
    <row r="275" spans="1:14" x14ac:dyDescent="0.25">
      <c r="A275" s="16" t="s">
        <v>674</v>
      </c>
      <c r="B275" s="17" t="s">
        <v>675</v>
      </c>
      <c r="C275" s="16">
        <v>2</v>
      </c>
      <c r="D275" s="18">
        <v>102.32</v>
      </c>
      <c r="E275" s="16">
        <v>0</v>
      </c>
      <c r="F275" s="18">
        <v>0</v>
      </c>
      <c r="G275" s="19">
        <f t="shared" si="39"/>
        <v>0</v>
      </c>
      <c r="H275" s="16">
        <f t="shared" si="40"/>
        <v>2</v>
      </c>
      <c r="I275" s="18">
        <f t="shared" si="41"/>
        <v>102.32</v>
      </c>
      <c r="J275" s="16">
        <v>0</v>
      </c>
      <c r="K275" s="18">
        <v>0</v>
      </c>
      <c r="L275" s="16">
        <f t="shared" si="42"/>
        <v>2</v>
      </c>
      <c r="M275" s="14">
        <f t="shared" si="43"/>
        <v>102.32</v>
      </c>
      <c r="N275" s="20"/>
    </row>
    <row r="276" spans="1:14" x14ac:dyDescent="0.25">
      <c r="A276" s="16" t="s">
        <v>616</v>
      </c>
      <c r="B276" s="17" t="s">
        <v>617</v>
      </c>
      <c r="C276" s="16">
        <v>21</v>
      </c>
      <c r="D276" s="18">
        <v>869.78</v>
      </c>
      <c r="E276" s="16">
        <v>0</v>
      </c>
      <c r="F276" s="18">
        <v>0</v>
      </c>
      <c r="G276" s="19">
        <f t="shared" si="39"/>
        <v>0</v>
      </c>
      <c r="H276" s="16">
        <f t="shared" si="40"/>
        <v>21</v>
      </c>
      <c r="I276" s="18">
        <f t="shared" si="41"/>
        <v>869.78</v>
      </c>
      <c r="J276" s="16">
        <v>0</v>
      </c>
      <c r="K276" s="18">
        <v>0</v>
      </c>
      <c r="L276" s="16">
        <f t="shared" si="42"/>
        <v>21</v>
      </c>
      <c r="M276" s="14">
        <f t="shared" si="43"/>
        <v>869.78</v>
      </c>
      <c r="N276" s="20"/>
    </row>
    <row r="277" spans="1:14" x14ac:dyDescent="0.25">
      <c r="A277" s="16" t="s">
        <v>606</v>
      </c>
      <c r="B277" s="17" t="s">
        <v>607</v>
      </c>
      <c r="C277" s="16">
        <v>101</v>
      </c>
      <c r="D277" s="18">
        <v>1663.64</v>
      </c>
      <c r="E277" s="16">
        <v>0</v>
      </c>
      <c r="F277" s="18">
        <v>0</v>
      </c>
      <c r="G277" s="19">
        <f t="shared" si="39"/>
        <v>0</v>
      </c>
      <c r="H277" s="16">
        <f t="shared" si="40"/>
        <v>101</v>
      </c>
      <c r="I277" s="18">
        <f t="shared" si="41"/>
        <v>1663.64</v>
      </c>
      <c r="J277" s="16">
        <v>0</v>
      </c>
      <c r="K277" s="18">
        <v>0</v>
      </c>
      <c r="L277" s="16">
        <f t="shared" si="42"/>
        <v>101</v>
      </c>
      <c r="M277" s="14">
        <f t="shared" si="43"/>
        <v>1663.64</v>
      </c>
      <c r="N277" s="20"/>
    </row>
    <row r="278" spans="1:14" x14ac:dyDescent="0.25">
      <c r="A278" s="16" t="s">
        <v>600</v>
      </c>
      <c r="B278" s="17" t="s">
        <v>601</v>
      </c>
      <c r="C278" s="16">
        <v>372</v>
      </c>
      <c r="D278" s="18">
        <v>6196.29</v>
      </c>
      <c r="E278" s="16">
        <v>0</v>
      </c>
      <c r="F278" s="18">
        <v>0</v>
      </c>
      <c r="G278" s="19">
        <f t="shared" si="39"/>
        <v>0</v>
      </c>
      <c r="H278" s="16">
        <f t="shared" si="40"/>
        <v>372</v>
      </c>
      <c r="I278" s="18">
        <f t="shared" si="41"/>
        <v>6196.29</v>
      </c>
      <c r="J278" s="16">
        <v>0</v>
      </c>
      <c r="K278" s="18">
        <v>0</v>
      </c>
      <c r="L278" s="16">
        <f t="shared" si="42"/>
        <v>372</v>
      </c>
      <c r="M278" s="14">
        <f t="shared" si="43"/>
        <v>6196.29</v>
      </c>
      <c r="N278" s="20"/>
    </row>
    <row r="279" spans="1:14" x14ac:dyDescent="0.25">
      <c r="A279" s="16" t="s">
        <v>602</v>
      </c>
      <c r="B279" s="17" t="s">
        <v>603</v>
      </c>
      <c r="C279" s="16">
        <v>137</v>
      </c>
      <c r="D279" s="18">
        <v>2234.4699999999998</v>
      </c>
      <c r="E279" s="16">
        <v>0</v>
      </c>
      <c r="F279" s="18">
        <v>0</v>
      </c>
      <c r="G279" s="19">
        <f t="shared" si="39"/>
        <v>0</v>
      </c>
      <c r="H279" s="16">
        <f t="shared" si="40"/>
        <v>137</v>
      </c>
      <c r="I279" s="18">
        <f t="shared" si="41"/>
        <v>2234.4699999999998</v>
      </c>
      <c r="J279" s="16">
        <v>0</v>
      </c>
      <c r="K279" s="18">
        <v>0</v>
      </c>
      <c r="L279" s="16">
        <f t="shared" si="42"/>
        <v>137</v>
      </c>
      <c r="M279" s="14">
        <f t="shared" si="43"/>
        <v>2234.4699999999998</v>
      </c>
      <c r="N279" s="20"/>
    </row>
    <row r="280" spans="1:14" x14ac:dyDescent="0.25">
      <c r="A280" s="16" t="s">
        <v>652</v>
      </c>
      <c r="B280" s="17" t="s">
        <v>653</v>
      </c>
      <c r="C280" s="16">
        <v>3</v>
      </c>
      <c r="D280" s="18">
        <v>115.5</v>
      </c>
      <c r="E280" s="16">
        <v>0</v>
      </c>
      <c r="F280" s="18">
        <v>0</v>
      </c>
      <c r="G280" s="19">
        <f t="shared" si="39"/>
        <v>0</v>
      </c>
      <c r="H280" s="16">
        <f t="shared" si="40"/>
        <v>3</v>
      </c>
      <c r="I280" s="18">
        <f t="shared" si="41"/>
        <v>115.5</v>
      </c>
      <c r="J280" s="16">
        <v>0</v>
      </c>
      <c r="K280" s="18">
        <v>0</v>
      </c>
      <c r="L280" s="16">
        <f t="shared" si="42"/>
        <v>3</v>
      </c>
      <c r="M280" s="14">
        <f t="shared" si="43"/>
        <v>115.5</v>
      </c>
      <c r="N280" s="20"/>
    </row>
    <row r="281" spans="1:14" x14ac:dyDescent="0.25">
      <c r="A281" s="16" t="s">
        <v>614</v>
      </c>
      <c r="B281" s="17" t="s">
        <v>615</v>
      </c>
      <c r="C281" s="16">
        <v>74</v>
      </c>
      <c r="D281" s="18">
        <v>2091.16</v>
      </c>
      <c r="E281" s="16">
        <v>0</v>
      </c>
      <c r="F281" s="18">
        <v>0</v>
      </c>
      <c r="G281" s="19">
        <f t="shared" si="39"/>
        <v>0</v>
      </c>
      <c r="H281" s="16">
        <f t="shared" si="40"/>
        <v>74</v>
      </c>
      <c r="I281" s="18">
        <f t="shared" si="41"/>
        <v>2091.16</v>
      </c>
      <c r="J281" s="16">
        <v>0</v>
      </c>
      <c r="K281" s="18">
        <v>0</v>
      </c>
      <c r="L281" s="16">
        <f t="shared" si="42"/>
        <v>74</v>
      </c>
      <c r="M281" s="14">
        <f t="shared" si="43"/>
        <v>2091.16</v>
      </c>
      <c r="N281" s="20"/>
    </row>
    <row r="282" spans="1:14" x14ac:dyDescent="0.25">
      <c r="A282" s="16" t="s">
        <v>650</v>
      </c>
      <c r="B282" s="17" t="s">
        <v>651</v>
      </c>
      <c r="C282" s="16">
        <v>13</v>
      </c>
      <c r="D282" s="18">
        <v>191.48999999999998</v>
      </c>
      <c r="E282" s="16">
        <v>0</v>
      </c>
      <c r="F282" s="18">
        <v>0</v>
      </c>
      <c r="G282" s="19">
        <f t="shared" si="39"/>
        <v>0</v>
      </c>
      <c r="H282" s="16">
        <f t="shared" si="40"/>
        <v>13</v>
      </c>
      <c r="I282" s="18">
        <f t="shared" si="41"/>
        <v>191.48999999999998</v>
      </c>
      <c r="J282" s="16">
        <v>0</v>
      </c>
      <c r="K282" s="18">
        <v>0</v>
      </c>
      <c r="L282" s="16">
        <f>H282-J282</f>
        <v>13</v>
      </c>
      <c r="M282" s="14">
        <f t="shared" ref="M282:M283" si="44">I282-K282</f>
        <v>191.48999999999998</v>
      </c>
      <c r="N282" s="20"/>
    </row>
    <row r="283" spans="1:14" x14ac:dyDescent="0.25">
      <c r="A283" s="16" t="s">
        <v>366</v>
      </c>
      <c r="B283" s="17" t="str">
        <f>VLOOKUP(A283,v_2023!A:B,2,FALSE)</f>
        <v>40.993</v>
      </c>
      <c r="C283" s="16">
        <v>0</v>
      </c>
      <c r="D283" s="18">
        <v>0</v>
      </c>
      <c r="E283" s="16">
        <v>0</v>
      </c>
      <c r="F283" s="18">
        <v>0</v>
      </c>
      <c r="G283" s="19"/>
      <c r="H283" s="16">
        <f t="shared" si="40"/>
        <v>0</v>
      </c>
      <c r="I283" s="18">
        <f t="shared" si="41"/>
        <v>0</v>
      </c>
      <c r="J283" s="16">
        <f>VLOOKUP(A283,v_2023!A:D,3,FALSE)</f>
        <v>8</v>
      </c>
      <c r="K283" s="18">
        <f>VLOOKUP(A283,v_2023!A:D,4,FALSE)</f>
        <v>121.8</v>
      </c>
      <c r="L283" s="16">
        <f>H282-J282</f>
        <v>13</v>
      </c>
      <c r="M283" s="14">
        <f t="shared" si="44"/>
        <v>-121.8</v>
      </c>
      <c r="N283" s="20">
        <f t="shared" ref="N283" si="45">M283/K283</f>
        <v>-1</v>
      </c>
    </row>
    <row r="284" spans="1:14" x14ac:dyDescent="0.25">
      <c r="A284" s="16" t="s">
        <v>536</v>
      </c>
      <c r="B284" s="17" t="str">
        <f>VLOOKUP(A284,v_2023!A:B,2,FALSE)</f>
        <v>90.502</v>
      </c>
      <c r="C284" s="16">
        <v>0</v>
      </c>
      <c r="D284" s="18">
        <v>0</v>
      </c>
      <c r="E284" s="16">
        <v>0</v>
      </c>
      <c r="F284" s="18">
        <v>0</v>
      </c>
      <c r="G284" s="19"/>
      <c r="H284" s="16">
        <f t="shared" ref="H284:H347" si="46">E284+C284</f>
        <v>0</v>
      </c>
      <c r="I284" s="18">
        <f t="shared" ref="I284:I347" si="47">F284+D284</f>
        <v>0</v>
      </c>
      <c r="J284" s="16">
        <f>VLOOKUP(A284,v_2023!A:D,3,FALSE)</f>
        <v>0</v>
      </c>
      <c r="K284" s="18">
        <f>VLOOKUP(A284,v_2023!A:D,4,FALSE)</f>
        <v>0</v>
      </c>
      <c r="L284" s="16">
        <f>H360-J360</f>
        <v>-35714</v>
      </c>
      <c r="M284" s="14">
        <f t="shared" ref="M284:M347" si="48">I284-K284</f>
        <v>0</v>
      </c>
      <c r="N284" s="20"/>
    </row>
    <row r="285" spans="1:14" x14ac:dyDescent="0.25">
      <c r="A285" s="16" t="s">
        <v>348</v>
      </c>
      <c r="B285" s="17" t="str">
        <f>VLOOKUP(A285,v_2023!A:B,2,FALSE)</f>
        <v>RI.501SL</v>
      </c>
      <c r="C285" s="16">
        <v>0</v>
      </c>
      <c r="D285" s="18">
        <v>0</v>
      </c>
      <c r="E285" s="16">
        <v>0</v>
      </c>
      <c r="F285" s="18">
        <v>0</v>
      </c>
      <c r="G285" s="19"/>
      <c r="H285" s="16">
        <f t="shared" si="46"/>
        <v>0</v>
      </c>
      <c r="I285" s="18">
        <f t="shared" si="47"/>
        <v>0</v>
      </c>
      <c r="J285" s="16">
        <f>VLOOKUP(A285,v_2023!A:D,3,FALSE)</f>
        <v>1</v>
      </c>
      <c r="K285" s="18">
        <f>VLOOKUP(A285,v_2023!A:D,4,FALSE)</f>
        <v>119.51</v>
      </c>
      <c r="L285" s="16">
        <f t="shared" ref="L285:L347" si="49">H283-J283</f>
        <v>-8</v>
      </c>
      <c r="M285" s="14">
        <f t="shared" si="48"/>
        <v>-119.51</v>
      </c>
      <c r="N285" s="20">
        <f t="shared" ref="N285:N347" si="50">M285/K285</f>
        <v>-1</v>
      </c>
    </row>
    <row r="286" spans="1:14" x14ac:dyDescent="0.25">
      <c r="A286" s="16" t="s">
        <v>98</v>
      </c>
      <c r="B286" s="17" t="str">
        <f>VLOOKUP(A286,v_2023!A:B,2,FALSE)</f>
        <v>40.967N</v>
      </c>
      <c r="C286" s="16">
        <v>0</v>
      </c>
      <c r="D286" s="18">
        <v>0</v>
      </c>
      <c r="E286" s="16">
        <f>VLOOKUP(A286,s_2024!A:C,2,FALSE)</f>
        <v>27</v>
      </c>
      <c r="F286" s="18">
        <f>VLOOKUP(A286,s_2024!A:C,3,FALSE)</f>
        <v>822.29999999999961</v>
      </c>
      <c r="G286" s="19">
        <f t="shared" ref="G286" si="51">F286/I286</f>
        <v>1</v>
      </c>
      <c r="H286" s="16">
        <f t="shared" si="46"/>
        <v>27</v>
      </c>
      <c r="I286" s="18">
        <f t="shared" si="47"/>
        <v>822.29999999999961</v>
      </c>
      <c r="J286" s="16">
        <f>VLOOKUP(A286,v_2023!A:D,3,FALSE)</f>
        <v>302</v>
      </c>
      <c r="K286" s="18">
        <f>VLOOKUP(A286,v_2023!A:D,4,FALSE)</f>
        <v>6543.9599999999991</v>
      </c>
      <c r="L286" s="16">
        <f t="shared" si="49"/>
        <v>0</v>
      </c>
      <c r="M286" s="14">
        <f t="shared" si="48"/>
        <v>-5721.66</v>
      </c>
      <c r="N286" s="20">
        <f t="shared" si="50"/>
        <v>-0.87434214145563249</v>
      </c>
    </row>
    <row r="287" spans="1:14" x14ac:dyDescent="0.25">
      <c r="A287" s="16" t="s">
        <v>470</v>
      </c>
      <c r="B287" s="17" t="str">
        <f>VLOOKUP(A287,v_2023!A:B,2,FALSE)</f>
        <v>40.11</v>
      </c>
      <c r="C287" s="16">
        <v>0</v>
      </c>
      <c r="D287" s="18">
        <v>0</v>
      </c>
      <c r="E287" s="16">
        <v>0</v>
      </c>
      <c r="F287" s="18">
        <v>0</v>
      </c>
      <c r="G287" s="19"/>
      <c r="H287" s="16">
        <f t="shared" si="46"/>
        <v>0</v>
      </c>
      <c r="I287" s="18">
        <f t="shared" si="47"/>
        <v>0</v>
      </c>
      <c r="J287" s="16">
        <f>VLOOKUP(A287,v_2023!A:D,3,FALSE)</f>
        <v>1</v>
      </c>
      <c r="K287" s="18">
        <f>VLOOKUP(A287,v_2023!A:D,4,FALSE)</f>
        <v>28.03</v>
      </c>
      <c r="L287" s="16">
        <f t="shared" si="49"/>
        <v>-1</v>
      </c>
      <c r="M287" s="14">
        <f t="shared" si="48"/>
        <v>-28.03</v>
      </c>
      <c r="N287" s="20">
        <f t="shared" si="50"/>
        <v>-1</v>
      </c>
    </row>
    <row r="288" spans="1:14" x14ac:dyDescent="0.25">
      <c r="A288" s="16" t="s">
        <v>580</v>
      </c>
      <c r="B288" s="17" t="str">
        <f>VLOOKUP(A288,v_2023!A:B,2,FALSE)</f>
        <v>40.994</v>
      </c>
      <c r="C288" s="16">
        <v>0</v>
      </c>
      <c r="D288" s="18">
        <v>0</v>
      </c>
      <c r="E288" s="16">
        <v>0</v>
      </c>
      <c r="F288" s="18">
        <v>0</v>
      </c>
      <c r="G288" s="19"/>
      <c r="H288" s="16">
        <f t="shared" si="46"/>
        <v>0</v>
      </c>
      <c r="I288" s="18">
        <f t="shared" si="47"/>
        <v>0</v>
      </c>
      <c r="J288" s="16">
        <f>VLOOKUP(A288,v_2023!A:D,3,FALSE)</f>
        <v>0</v>
      </c>
      <c r="K288" s="18">
        <f>VLOOKUP(A288,v_2023!A:D,4,FALSE)</f>
        <v>0</v>
      </c>
      <c r="L288" s="16">
        <f t="shared" si="49"/>
        <v>-275</v>
      </c>
      <c r="M288" s="14">
        <f t="shared" si="48"/>
        <v>0</v>
      </c>
      <c r="N288" s="20"/>
    </row>
    <row r="289" spans="1:14" x14ac:dyDescent="0.25">
      <c r="A289" s="16" t="s">
        <v>396</v>
      </c>
      <c r="B289" s="17" t="str">
        <f>VLOOKUP(A289,v_2023!A:B,2,FALSE)</f>
        <v>40.947</v>
      </c>
      <c r="C289" s="16">
        <v>0</v>
      </c>
      <c r="D289" s="18">
        <v>0</v>
      </c>
      <c r="E289" s="16">
        <v>0</v>
      </c>
      <c r="F289" s="18">
        <v>0</v>
      </c>
      <c r="G289" s="19"/>
      <c r="H289" s="16">
        <f t="shared" si="46"/>
        <v>0</v>
      </c>
      <c r="I289" s="18">
        <f t="shared" si="47"/>
        <v>0</v>
      </c>
      <c r="J289" s="16">
        <f>VLOOKUP(A289,v_2023!A:D,3,FALSE)</f>
        <v>7</v>
      </c>
      <c r="K289" s="18">
        <f>VLOOKUP(A289,v_2023!A:D,4,FALSE)</f>
        <v>71.13</v>
      </c>
      <c r="L289" s="16">
        <f t="shared" si="49"/>
        <v>-1</v>
      </c>
      <c r="M289" s="14">
        <f t="shared" si="48"/>
        <v>-71.13</v>
      </c>
      <c r="N289" s="20">
        <f t="shared" si="50"/>
        <v>-1</v>
      </c>
    </row>
    <row r="290" spans="1:14" x14ac:dyDescent="0.25">
      <c r="A290" s="16" t="s">
        <v>540</v>
      </c>
      <c r="B290" s="17" t="str">
        <f>VLOOKUP(A290,v_2023!A:B,2,FALSE)</f>
        <v>40.978</v>
      </c>
      <c r="C290" s="16">
        <v>0</v>
      </c>
      <c r="D290" s="18">
        <v>0</v>
      </c>
      <c r="E290" s="16">
        <v>0</v>
      </c>
      <c r="F290" s="18">
        <v>0</v>
      </c>
      <c r="G290" s="19"/>
      <c r="H290" s="16">
        <f t="shared" si="46"/>
        <v>0</v>
      </c>
      <c r="I290" s="18">
        <f t="shared" si="47"/>
        <v>0</v>
      </c>
      <c r="J290" s="16">
        <f>VLOOKUP(A290,v_2023!A:D,3,FALSE)</f>
        <v>0</v>
      </c>
      <c r="K290" s="18">
        <f>VLOOKUP(A290,v_2023!A:D,4,FALSE)</f>
        <v>0</v>
      </c>
      <c r="L290" s="16">
        <f t="shared" si="49"/>
        <v>0</v>
      </c>
      <c r="M290" s="14">
        <f t="shared" si="48"/>
        <v>0</v>
      </c>
      <c r="N290" s="20"/>
    </row>
    <row r="291" spans="1:14" x14ac:dyDescent="0.25">
      <c r="A291" s="16" t="s">
        <v>474</v>
      </c>
      <c r="B291" s="17" t="str">
        <f>VLOOKUP(A291,v_2023!A:B,2,FALSE)</f>
        <v>90.605</v>
      </c>
      <c r="C291" s="16">
        <v>0</v>
      </c>
      <c r="D291" s="18">
        <v>0</v>
      </c>
      <c r="E291" s="16">
        <v>0</v>
      </c>
      <c r="F291" s="18">
        <v>0</v>
      </c>
      <c r="G291" s="19"/>
      <c r="H291" s="16">
        <f t="shared" si="46"/>
        <v>0</v>
      </c>
      <c r="I291" s="18">
        <f t="shared" si="47"/>
        <v>0</v>
      </c>
      <c r="J291" s="16">
        <f>VLOOKUP(A291,v_2023!A:D,3,FALSE)</f>
        <v>2</v>
      </c>
      <c r="K291" s="18">
        <f>VLOOKUP(A291,v_2023!A:D,4,FALSE)</f>
        <v>55.14</v>
      </c>
      <c r="L291" s="16">
        <f t="shared" si="49"/>
        <v>-7</v>
      </c>
      <c r="M291" s="14">
        <f t="shared" si="48"/>
        <v>-55.14</v>
      </c>
      <c r="N291" s="20">
        <f t="shared" si="50"/>
        <v>-1</v>
      </c>
    </row>
    <row r="292" spans="1:14" x14ac:dyDescent="0.25">
      <c r="A292" s="16" t="s">
        <v>476</v>
      </c>
      <c r="B292" s="17" t="str">
        <f>VLOOKUP(A292,v_2023!A:B,2,FALSE)</f>
        <v>40.969</v>
      </c>
      <c r="C292" s="16">
        <v>0</v>
      </c>
      <c r="D292" s="18">
        <v>0</v>
      </c>
      <c r="E292" s="16">
        <v>0</v>
      </c>
      <c r="F292" s="18">
        <v>0</v>
      </c>
      <c r="G292" s="19"/>
      <c r="H292" s="16">
        <f t="shared" si="46"/>
        <v>0</v>
      </c>
      <c r="I292" s="18">
        <f t="shared" si="47"/>
        <v>0</v>
      </c>
      <c r="J292" s="16">
        <f>VLOOKUP(A292,v_2023!A:D,3,FALSE)</f>
        <v>4</v>
      </c>
      <c r="K292" s="18">
        <f>VLOOKUP(A292,v_2023!A:D,4,FALSE)</f>
        <v>27.55</v>
      </c>
      <c r="L292" s="16">
        <f t="shared" si="49"/>
        <v>0</v>
      </c>
      <c r="M292" s="14">
        <f t="shared" si="48"/>
        <v>-27.55</v>
      </c>
      <c r="N292" s="20">
        <f t="shared" si="50"/>
        <v>-1</v>
      </c>
    </row>
    <row r="293" spans="1:14" x14ac:dyDescent="0.25">
      <c r="A293" s="16" t="s">
        <v>596</v>
      </c>
      <c r="B293" s="17" t="str">
        <f>VLOOKUP(A293,v_2023!A:B,2,FALSE)</f>
        <v>40.996</v>
      </c>
      <c r="C293" s="16">
        <v>0</v>
      </c>
      <c r="D293" s="18">
        <v>0</v>
      </c>
      <c r="E293" s="16">
        <v>0</v>
      </c>
      <c r="F293" s="18">
        <v>0</v>
      </c>
      <c r="G293" s="19"/>
      <c r="H293" s="16">
        <f t="shared" si="46"/>
        <v>0</v>
      </c>
      <c r="I293" s="18">
        <f t="shared" si="47"/>
        <v>0</v>
      </c>
      <c r="J293" s="16">
        <f>VLOOKUP(A293,v_2023!A:D,3,FALSE)</f>
        <v>-1</v>
      </c>
      <c r="K293" s="18">
        <f>VLOOKUP(A293,v_2023!A:D,4,FALSE)</f>
        <v>-16.97</v>
      </c>
      <c r="L293" s="16">
        <f t="shared" si="49"/>
        <v>-2</v>
      </c>
      <c r="M293" s="14">
        <f t="shared" si="48"/>
        <v>16.97</v>
      </c>
      <c r="N293" s="20">
        <f t="shared" si="50"/>
        <v>-1</v>
      </c>
    </row>
    <row r="294" spans="1:14" x14ac:dyDescent="0.25">
      <c r="A294" s="16" t="s">
        <v>462</v>
      </c>
      <c r="B294" s="17" t="str">
        <f>VLOOKUP(A294,v_2023!A:B,2,FALSE)</f>
        <v>90.520</v>
      </c>
      <c r="C294" s="16">
        <v>0</v>
      </c>
      <c r="D294" s="18">
        <v>0</v>
      </c>
      <c r="E294" s="16">
        <v>0</v>
      </c>
      <c r="F294" s="18">
        <v>0</v>
      </c>
      <c r="G294" s="19"/>
      <c r="H294" s="16">
        <f t="shared" si="46"/>
        <v>0</v>
      </c>
      <c r="I294" s="18">
        <f t="shared" si="47"/>
        <v>0</v>
      </c>
      <c r="J294" s="16">
        <f>VLOOKUP(A294,v_2023!A:D,3,FALSE)</f>
        <v>1</v>
      </c>
      <c r="K294" s="18">
        <f>VLOOKUP(A294,v_2023!A:D,4,FALSE)</f>
        <v>31.23</v>
      </c>
      <c r="L294" s="16">
        <f t="shared" si="49"/>
        <v>-4</v>
      </c>
      <c r="M294" s="14">
        <f t="shared" si="48"/>
        <v>-31.23</v>
      </c>
      <c r="N294" s="20">
        <f t="shared" si="50"/>
        <v>-1</v>
      </c>
    </row>
    <row r="295" spans="1:14" x14ac:dyDescent="0.25">
      <c r="A295" s="16" t="s">
        <v>510</v>
      </c>
      <c r="B295" s="17" t="str">
        <f>VLOOKUP(A295,v_2023!A:B,2,FALSE)</f>
        <v>40.761</v>
      </c>
      <c r="C295" s="16">
        <v>0</v>
      </c>
      <c r="D295" s="18">
        <v>0</v>
      </c>
      <c r="E295" s="16">
        <v>0</v>
      </c>
      <c r="F295" s="18">
        <v>0</v>
      </c>
      <c r="G295" s="19"/>
      <c r="H295" s="16">
        <f t="shared" si="46"/>
        <v>0</v>
      </c>
      <c r="I295" s="18">
        <f t="shared" si="47"/>
        <v>0</v>
      </c>
      <c r="J295" s="16">
        <f>VLOOKUP(A295,v_2023!A:D,3,FALSE)</f>
        <v>1</v>
      </c>
      <c r="K295" s="18">
        <f>VLOOKUP(A295,v_2023!A:D,4,FALSE)</f>
        <v>11.82</v>
      </c>
      <c r="L295" s="16">
        <f t="shared" si="49"/>
        <v>1</v>
      </c>
      <c r="M295" s="14">
        <f t="shared" si="48"/>
        <v>-11.82</v>
      </c>
      <c r="N295" s="20">
        <f t="shared" si="50"/>
        <v>-1</v>
      </c>
    </row>
    <row r="296" spans="1:14" x14ac:dyDescent="0.25">
      <c r="A296" s="16" t="s">
        <v>472</v>
      </c>
      <c r="B296" s="17" t="str">
        <f>VLOOKUP(A296,v_2023!A:B,2,FALSE)</f>
        <v>90.514</v>
      </c>
      <c r="C296" s="16">
        <v>0</v>
      </c>
      <c r="D296" s="18">
        <v>0</v>
      </c>
      <c r="E296" s="16">
        <v>0</v>
      </c>
      <c r="F296" s="18">
        <v>0</v>
      </c>
      <c r="G296" s="19"/>
      <c r="H296" s="16">
        <f t="shared" si="46"/>
        <v>0</v>
      </c>
      <c r="I296" s="18">
        <f t="shared" si="47"/>
        <v>0</v>
      </c>
      <c r="J296" s="16">
        <f>VLOOKUP(A296,v_2023!A:D,3,FALSE)</f>
        <v>1</v>
      </c>
      <c r="K296" s="18">
        <f>VLOOKUP(A296,v_2023!A:D,4,FALSE)</f>
        <v>27.93</v>
      </c>
      <c r="L296" s="16">
        <f t="shared" si="49"/>
        <v>-1</v>
      </c>
      <c r="M296" s="14">
        <f t="shared" si="48"/>
        <v>-27.93</v>
      </c>
      <c r="N296" s="20">
        <f t="shared" si="50"/>
        <v>-1</v>
      </c>
    </row>
    <row r="297" spans="1:14" x14ac:dyDescent="0.25">
      <c r="A297" s="16" t="s">
        <v>568</v>
      </c>
      <c r="B297" s="17" t="str">
        <f>VLOOKUP(A297,v_2023!A:B,2,FALSE)</f>
        <v>40.531</v>
      </c>
      <c r="C297" s="16">
        <v>0</v>
      </c>
      <c r="D297" s="18">
        <v>0</v>
      </c>
      <c r="E297" s="16">
        <v>0</v>
      </c>
      <c r="F297" s="18">
        <v>0</v>
      </c>
      <c r="G297" s="19"/>
      <c r="H297" s="16">
        <f t="shared" si="46"/>
        <v>0</v>
      </c>
      <c r="I297" s="18">
        <f t="shared" si="47"/>
        <v>0</v>
      </c>
      <c r="J297" s="16">
        <f>VLOOKUP(A297,v_2023!A:D,3,FALSE)</f>
        <v>0</v>
      </c>
      <c r="K297" s="18">
        <f>VLOOKUP(A297,v_2023!A:D,4,FALSE)</f>
        <v>0</v>
      </c>
      <c r="L297" s="16">
        <f t="shared" si="49"/>
        <v>-1</v>
      </c>
      <c r="M297" s="14">
        <f t="shared" si="48"/>
        <v>0</v>
      </c>
      <c r="N297" s="20"/>
    </row>
    <row r="298" spans="1:14" x14ac:dyDescent="0.25">
      <c r="A298" s="16" t="s">
        <v>520</v>
      </c>
      <c r="B298" s="17" t="str">
        <f>VLOOKUP(A298,v_2023!A:B,2,FALSE)</f>
        <v>MD.002</v>
      </c>
      <c r="C298" s="16">
        <v>0</v>
      </c>
      <c r="D298" s="18">
        <v>0</v>
      </c>
      <c r="E298" s="16">
        <v>0</v>
      </c>
      <c r="F298" s="18">
        <v>0</v>
      </c>
      <c r="G298" s="19"/>
      <c r="H298" s="16">
        <f t="shared" si="46"/>
        <v>0</v>
      </c>
      <c r="I298" s="18">
        <f t="shared" si="47"/>
        <v>0</v>
      </c>
      <c r="J298" s="16">
        <f>VLOOKUP(A298,v_2023!A:D,3,FALSE)</f>
        <v>1</v>
      </c>
      <c r="K298" s="18">
        <f>VLOOKUP(A298,v_2023!A:D,4,FALSE)</f>
        <v>5.54</v>
      </c>
      <c r="L298" s="16">
        <f t="shared" si="49"/>
        <v>-1</v>
      </c>
      <c r="M298" s="14">
        <f t="shared" si="48"/>
        <v>-5.54</v>
      </c>
      <c r="N298" s="20">
        <f t="shared" si="50"/>
        <v>-1</v>
      </c>
    </row>
    <row r="299" spans="1:14" x14ac:dyDescent="0.25">
      <c r="A299" s="16" t="s">
        <v>350</v>
      </c>
      <c r="B299" s="17" t="str">
        <f>VLOOKUP(A299,v_2023!A:B,2,FALSE)</f>
        <v>MD.213</v>
      </c>
      <c r="C299" s="16">
        <v>0</v>
      </c>
      <c r="D299" s="18">
        <v>0</v>
      </c>
      <c r="E299" s="16">
        <v>0</v>
      </c>
      <c r="F299" s="18">
        <v>0</v>
      </c>
      <c r="G299" s="19"/>
      <c r="H299" s="16">
        <f t="shared" si="46"/>
        <v>0</v>
      </c>
      <c r="I299" s="18">
        <f t="shared" si="47"/>
        <v>0</v>
      </c>
      <c r="J299" s="16">
        <f>VLOOKUP(A299,v_2023!A:D,3,FALSE)</f>
        <v>43</v>
      </c>
      <c r="K299" s="18">
        <f>VLOOKUP(A299,v_2023!A:D,4,FALSE)</f>
        <v>284.53999999999996</v>
      </c>
      <c r="L299" s="16">
        <f t="shared" si="49"/>
        <v>0</v>
      </c>
      <c r="M299" s="14">
        <f t="shared" si="48"/>
        <v>-284.53999999999996</v>
      </c>
      <c r="N299" s="20">
        <f t="shared" si="50"/>
        <v>-1</v>
      </c>
    </row>
    <row r="300" spans="1:14" x14ac:dyDescent="0.25">
      <c r="A300" s="16" t="s">
        <v>478</v>
      </c>
      <c r="B300" s="17" t="str">
        <f>VLOOKUP(A300,v_2023!A:B,2,FALSE)</f>
        <v>PO.002</v>
      </c>
      <c r="C300" s="16">
        <v>0</v>
      </c>
      <c r="D300" s="18">
        <v>0</v>
      </c>
      <c r="E300" s="16">
        <v>0</v>
      </c>
      <c r="F300" s="18">
        <v>0</v>
      </c>
      <c r="G300" s="19"/>
      <c r="H300" s="16">
        <f t="shared" si="46"/>
        <v>0</v>
      </c>
      <c r="I300" s="18">
        <f t="shared" si="47"/>
        <v>0</v>
      </c>
      <c r="J300" s="16">
        <f>VLOOKUP(A300,v_2023!A:D,3,FALSE)</f>
        <v>1</v>
      </c>
      <c r="K300" s="18">
        <f>VLOOKUP(A300,v_2023!A:D,4,FALSE)</f>
        <v>24.92</v>
      </c>
      <c r="L300" s="16">
        <f t="shared" si="49"/>
        <v>-1</v>
      </c>
      <c r="M300" s="14">
        <f t="shared" si="48"/>
        <v>-24.92</v>
      </c>
      <c r="N300" s="20">
        <f t="shared" si="50"/>
        <v>-1</v>
      </c>
    </row>
    <row r="301" spans="1:14" x14ac:dyDescent="0.25">
      <c r="A301" s="16" t="s">
        <v>273</v>
      </c>
      <c r="B301" s="17" t="str">
        <f>VLOOKUP(A301,v_2023!A:B,2,FALSE)</f>
        <v>90.836</v>
      </c>
      <c r="C301" s="16">
        <v>0</v>
      </c>
      <c r="D301" s="18">
        <v>0</v>
      </c>
      <c r="E301" s="16">
        <v>0</v>
      </c>
      <c r="F301" s="18">
        <v>0</v>
      </c>
      <c r="G301" s="19"/>
      <c r="H301" s="16">
        <f t="shared" si="46"/>
        <v>0</v>
      </c>
      <c r="I301" s="18">
        <f t="shared" si="47"/>
        <v>0</v>
      </c>
      <c r="J301" s="16">
        <f>VLOOKUP(A301,v_2023!A:D,3,FALSE)</f>
        <v>10</v>
      </c>
      <c r="K301" s="18">
        <f>VLOOKUP(A301,v_2023!A:D,4,FALSE)</f>
        <v>315.68</v>
      </c>
      <c r="L301" s="16">
        <f t="shared" si="49"/>
        <v>-43</v>
      </c>
      <c r="M301" s="14">
        <f t="shared" si="48"/>
        <v>-315.68</v>
      </c>
      <c r="N301" s="20">
        <f t="shared" si="50"/>
        <v>-1</v>
      </c>
    </row>
    <row r="302" spans="1:14" x14ac:dyDescent="0.25">
      <c r="A302" s="16" t="s">
        <v>594</v>
      </c>
      <c r="B302" s="17" t="str">
        <f>VLOOKUP(A302,v_2023!A:B,2,FALSE)</f>
        <v>PE.361</v>
      </c>
      <c r="C302" s="16">
        <v>0</v>
      </c>
      <c r="D302" s="18">
        <v>0</v>
      </c>
      <c r="E302" s="16">
        <v>0</v>
      </c>
      <c r="F302" s="18">
        <v>0</v>
      </c>
      <c r="G302" s="19"/>
      <c r="H302" s="16">
        <f t="shared" si="46"/>
        <v>0</v>
      </c>
      <c r="I302" s="18">
        <f t="shared" si="47"/>
        <v>0</v>
      </c>
      <c r="J302" s="16">
        <f>VLOOKUP(A302,v_2023!A:D,3,FALSE)</f>
        <v>-2</v>
      </c>
      <c r="K302" s="18">
        <f>VLOOKUP(A302,v_2023!A:D,4,FALSE)</f>
        <v>-16.5</v>
      </c>
      <c r="L302" s="16">
        <f t="shared" si="49"/>
        <v>-1</v>
      </c>
      <c r="M302" s="14">
        <f t="shared" si="48"/>
        <v>16.5</v>
      </c>
      <c r="N302" s="20">
        <f t="shared" si="50"/>
        <v>-1</v>
      </c>
    </row>
    <row r="303" spans="1:14" x14ac:dyDescent="0.25">
      <c r="A303" s="16" t="s">
        <v>342</v>
      </c>
      <c r="B303" s="17" t="str">
        <f>VLOOKUP(A303,v_2023!A:B,2,FALSE)</f>
        <v>40.926</v>
      </c>
      <c r="C303" s="16">
        <v>0</v>
      </c>
      <c r="D303" s="18">
        <v>0</v>
      </c>
      <c r="E303" s="16">
        <v>0</v>
      </c>
      <c r="F303" s="18">
        <v>0</v>
      </c>
      <c r="G303" s="19"/>
      <c r="H303" s="16">
        <f t="shared" si="46"/>
        <v>0</v>
      </c>
      <c r="I303" s="18">
        <f t="shared" si="47"/>
        <v>0</v>
      </c>
      <c r="J303" s="16">
        <f>VLOOKUP(A303,v_2023!A:D,3,FALSE)</f>
        <v>8</v>
      </c>
      <c r="K303" s="18">
        <f>VLOOKUP(A303,v_2023!A:D,4,FALSE)</f>
        <v>137.27000000000001</v>
      </c>
      <c r="L303" s="16">
        <f t="shared" si="49"/>
        <v>-10</v>
      </c>
      <c r="M303" s="14">
        <f t="shared" si="48"/>
        <v>-137.27000000000001</v>
      </c>
      <c r="N303" s="20">
        <f t="shared" si="50"/>
        <v>-1</v>
      </c>
    </row>
    <row r="304" spans="1:14" x14ac:dyDescent="0.25">
      <c r="A304" s="16" t="s">
        <v>283</v>
      </c>
      <c r="B304" s="17" t="str">
        <f>VLOOKUP(A304,v_2023!A:B,2,FALSE)</f>
        <v>PE.376</v>
      </c>
      <c r="C304" s="16">
        <v>0</v>
      </c>
      <c r="D304" s="18">
        <v>0</v>
      </c>
      <c r="E304" s="16">
        <v>0</v>
      </c>
      <c r="F304" s="18">
        <v>0</v>
      </c>
      <c r="G304" s="19"/>
      <c r="H304" s="16">
        <f t="shared" si="46"/>
        <v>0</v>
      </c>
      <c r="I304" s="18">
        <f t="shared" si="47"/>
        <v>0</v>
      </c>
      <c r="J304" s="16">
        <f>VLOOKUP(A304,v_2023!A:D,3,FALSE)</f>
        <v>38</v>
      </c>
      <c r="K304" s="18">
        <f>VLOOKUP(A304,v_2023!A:D,4,FALSE)</f>
        <v>329.21000000000004</v>
      </c>
      <c r="L304" s="16">
        <f t="shared" si="49"/>
        <v>2</v>
      </c>
      <c r="M304" s="14">
        <f t="shared" si="48"/>
        <v>-329.21000000000004</v>
      </c>
      <c r="N304" s="20">
        <f t="shared" si="50"/>
        <v>-1</v>
      </c>
    </row>
    <row r="305" spans="1:14" x14ac:dyDescent="0.25">
      <c r="A305" s="16" t="s">
        <v>330</v>
      </c>
      <c r="B305" s="17" t="str">
        <f>VLOOKUP(A305,v_2023!A:B,2,FALSE)</f>
        <v>PE.377</v>
      </c>
      <c r="C305" s="16">
        <v>0</v>
      </c>
      <c r="D305" s="18">
        <v>0</v>
      </c>
      <c r="E305" s="16">
        <v>0</v>
      </c>
      <c r="F305" s="18">
        <v>0</v>
      </c>
      <c r="G305" s="19"/>
      <c r="H305" s="16">
        <f t="shared" si="46"/>
        <v>0</v>
      </c>
      <c r="I305" s="18">
        <f t="shared" si="47"/>
        <v>0</v>
      </c>
      <c r="J305" s="16">
        <f>VLOOKUP(A305,v_2023!A:D,3,FALSE)</f>
        <v>46</v>
      </c>
      <c r="K305" s="18">
        <f>VLOOKUP(A305,v_2023!A:D,4,FALSE)</f>
        <v>405.53999999999996</v>
      </c>
      <c r="L305" s="16">
        <f t="shared" si="49"/>
        <v>-8</v>
      </c>
      <c r="M305" s="14">
        <f t="shared" si="48"/>
        <v>-405.53999999999996</v>
      </c>
      <c r="N305" s="20">
        <f t="shared" si="50"/>
        <v>-1</v>
      </c>
    </row>
    <row r="306" spans="1:14" x14ac:dyDescent="0.25">
      <c r="A306" s="16" t="s">
        <v>502</v>
      </c>
      <c r="B306" s="17" t="str">
        <f>VLOOKUP(A306,v_2023!A:B,2,FALSE)</f>
        <v>90.130F2</v>
      </c>
      <c r="C306" s="16">
        <v>0</v>
      </c>
      <c r="D306" s="18">
        <v>0</v>
      </c>
      <c r="E306" s="16">
        <v>0</v>
      </c>
      <c r="F306" s="18">
        <v>0</v>
      </c>
      <c r="G306" s="19"/>
      <c r="H306" s="16">
        <f t="shared" si="46"/>
        <v>0</v>
      </c>
      <c r="I306" s="18">
        <f t="shared" si="47"/>
        <v>0</v>
      </c>
      <c r="J306" s="16">
        <f>VLOOKUP(A306,v_2023!A:D,3,FALSE)</f>
        <v>1</v>
      </c>
      <c r="K306" s="18">
        <f>VLOOKUP(A306,v_2023!A:D,4,FALSE)</f>
        <v>13.06</v>
      </c>
      <c r="L306" s="16">
        <f t="shared" si="49"/>
        <v>-38</v>
      </c>
      <c r="M306" s="14">
        <f t="shared" si="48"/>
        <v>-13.06</v>
      </c>
      <c r="N306" s="20">
        <f t="shared" si="50"/>
        <v>-1</v>
      </c>
    </row>
    <row r="307" spans="1:14" x14ac:dyDescent="0.25">
      <c r="A307" s="16" t="s">
        <v>570</v>
      </c>
      <c r="B307" s="17" t="str">
        <f>VLOOKUP(A307,v_2023!A:B,2,FALSE)</f>
        <v>90.436H</v>
      </c>
      <c r="C307" s="16">
        <v>0</v>
      </c>
      <c r="D307" s="18">
        <v>0</v>
      </c>
      <c r="E307" s="16">
        <v>0</v>
      </c>
      <c r="F307" s="18">
        <v>0</v>
      </c>
      <c r="G307" s="19"/>
      <c r="H307" s="16">
        <f t="shared" si="46"/>
        <v>0</v>
      </c>
      <c r="I307" s="18">
        <f t="shared" si="47"/>
        <v>0</v>
      </c>
      <c r="J307" s="16">
        <f>VLOOKUP(A307,v_2023!A:D,3,FALSE)</f>
        <v>0</v>
      </c>
      <c r="K307" s="18">
        <f>VLOOKUP(A307,v_2023!A:D,4,FALSE)</f>
        <v>0</v>
      </c>
      <c r="L307" s="16">
        <f t="shared" si="49"/>
        <v>-46</v>
      </c>
      <c r="M307" s="14">
        <f t="shared" si="48"/>
        <v>0</v>
      </c>
      <c r="N307" s="20"/>
    </row>
    <row r="308" spans="1:14" x14ac:dyDescent="0.25">
      <c r="A308" s="16" t="s">
        <v>588</v>
      </c>
      <c r="B308" s="17" t="str">
        <f>VLOOKUP(A308,v_2023!A:B,2,FALSE)</f>
        <v>50.920V</v>
      </c>
      <c r="C308" s="16">
        <v>0</v>
      </c>
      <c r="D308" s="18">
        <v>0</v>
      </c>
      <c r="E308" s="16">
        <v>0</v>
      </c>
      <c r="F308" s="18">
        <v>0</v>
      </c>
      <c r="G308" s="19"/>
      <c r="H308" s="16">
        <f t="shared" si="46"/>
        <v>0</v>
      </c>
      <c r="I308" s="18">
        <f t="shared" si="47"/>
        <v>0</v>
      </c>
      <c r="J308" s="16">
        <f>VLOOKUP(A308,v_2023!A:D,3,FALSE)</f>
        <v>-1</v>
      </c>
      <c r="K308" s="18">
        <f>VLOOKUP(A308,v_2023!A:D,4,FALSE)</f>
        <v>-11.39</v>
      </c>
      <c r="L308" s="16">
        <f t="shared" si="49"/>
        <v>-1</v>
      </c>
      <c r="M308" s="14">
        <f t="shared" si="48"/>
        <v>11.39</v>
      </c>
      <c r="N308" s="20">
        <f t="shared" si="50"/>
        <v>-1</v>
      </c>
    </row>
    <row r="309" spans="1:14" x14ac:dyDescent="0.25">
      <c r="A309" s="16" t="s">
        <v>576</v>
      </c>
      <c r="B309" s="17" t="str">
        <f>VLOOKUP(A309,v_2023!A:B,2,FALSE)</f>
        <v>90.350V</v>
      </c>
      <c r="C309" s="16">
        <v>0</v>
      </c>
      <c r="D309" s="18">
        <v>0</v>
      </c>
      <c r="E309" s="16">
        <v>0</v>
      </c>
      <c r="F309" s="18">
        <v>0</v>
      </c>
      <c r="G309" s="19"/>
      <c r="H309" s="16">
        <f t="shared" si="46"/>
        <v>0</v>
      </c>
      <c r="I309" s="18">
        <f t="shared" si="47"/>
        <v>0</v>
      </c>
      <c r="J309" s="16">
        <f>VLOOKUP(A309,v_2023!A:D,3,FALSE)</f>
        <v>0</v>
      </c>
      <c r="K309" s="18">
        <f>VLOOKUP(A309,v_2023!A:D,4,FALSE)</f>
        <v>0</v>
      </c>
      <c r="L309" s="16">
        <f t="shared" si="49"/>
        <v>0</v>
      </c>
      <c r="M309" s="14">
        <f t="shared" si="48"/>
        <v>0</v>
      </c>
      <c r="N309" s="20"/>
    </row>
    <row r="310" spans="1:14" x14ac:dyDescent="0.25">
      <c r="A310" s="16" t="s">
        <v>558</v>
      </c>
      <c r="B310" s="17" t="str">
        <f>VLOOKUP(A310,v_2023!A:B,2,FALSE)</f>
        <v>BT.001R</v>
      </c>
      <c r="C310" s="16">
        <v>0</v>
      </c>
      <c r="D310" s="18">
        <v>0</v>
      </c>
      <c r="E310" s="16">
        <v>0</v>
      </c>
      <c r="F310" s="18">
        <v>0</v>
      </c>
      <c r="G310" s="19"/>
      <c r="H310" s="16">
        <f t="shared" si="46"/>
        <v>0</v>
      </c>
      <c r="I310" s="18">
        <f t="shared" si="47"/>
        <v>0</v>
      </c>
      <c r="J310" s="16">
        <f>VLOOKUP(A310,v_2023!A:D,3,FALSE)</f>
        <v>0</v>
      </c>
      <c r="K310" s="18">
        <f>VLOOKUP(A310,v_2023!A:D,4,FALSE)</f>
        <v>0</v>
      </c>
      <c r="L310" s="16">
        <f t="shared" si="49"/>
        <v>1</v>
      </c>
      <c r="M310" s="14">
        <f t="shared" si="48"/>
        <v>0</v>
      </c>
      <c r="N310" s="20"/>
    </row>
    <row r="311" spans="1:14" x14ac:dyDescent="0.25">
      <c r="A311" s="16" t="s">
        <v>486</v>
      </c>
      <c r="B311" s="17" t="str">
        <f>VLOOKUP(A311,v_2023!A:B,2,FALSE)</f>
        <v>40.957N</v>
      </c>
      <c r="C311" s="16">
        <v>0</v>
      </c>
      <c r="D311" s="18">
        <v>0</v>
      </c>
      <c r="E311" s="16">
        <v>0</v>
      </c>
      <c r="F311" s="18">
        <v>0</v>
      </c>
      <c r="G311" s="19"/>
      <c r="H311" s="16">
        <f t="shared" si="46"/>
        <v>0</v>
      </c>
      <c r="I311" s="18">
        <f t="shared" si="47"/>
        <v>0</v>
      </c>
      <c r="J311" s="16">
        <f>VLOOKUP(A311,v_2023!A:D,3,FALSE)</f>
        <v>2</v>
      </c>
      <c r="K311" s="18">
        <f>VLOOKUP(A311,v_2023!A:D,4,FALSE)</f>
        <v>23.6</v>
      </c>
      <c r="L311" s="16">
        <f t="shared" si="49"/>
        <v>0</v>
      </c>
      <c r="M311" s="14">
        <f t="shared" si="48"/>
        <v>-23.6</v>
      </c>
      <c r="N311" s="20">
        <f t="shared" si="50"/>
        <v>-1</v>
      </c>
    </row>
    <row r="312" spans="1:14" x14ac:dyDescent="0.25">
      <c r="A312" s="16" t="s">
        <v>297</v>
      </c>
      <c r="B312" s="17" t="str">
        <f>VLOOKUP(A312,v_2023!A:B,2,FALSE)</f>
        <v>90.886</v>
      </c>
      <c r="C312" s="16">
        <v>0</v>
      </c>
      <c r="D312" s="18">
        <v>0</v>
      </c>
      <c r="E312" s="16">
        <v>0</v>
      </c>
      <c r="F312" s="18">
        <v>0</v>
      </c>
      <c r="G312" s="19"/>
      <c r="H312" s="16">
        <f t="shared" si="46"/>
        <v>0</v>
      </c>
      <c r="I312" s="18">
        <f t="shared" si="47"/>
        <v>0</v>
      </c>
      <c r="J312" s="16">
        <f>VLOOKUP(A312,v_2023!A:D,3,FALSE)</f>
        <v>3</v>
      </c>
      <c r="K312" s="18">
        <f>VLOOKUP(A312,v_2023!A:D,4,FALSE)</f>
        <v>325.48</v>
      </c>
      <c r="L312" s="16">
        <f t="shared" si="49"/>
        <v>0</v>
      </c>
      <c r="M312" s="14">
        <f t="shared" si="48"/>
        <v>-325.48</v>
      </c>
      <c r="N312" s="20">
        <f t="shared" si="50"/>
        <v>-1</v>
      </c>
    </row>
    <row r="313" spans="1:14" x14ac:dyDescent="0.25">
      <c r="A313" s="16" t="s">
        <v>488</v>
      </c>
      <c r="B313" s="17" t="str">
        <f>VLOOKUP(A313,v_2023!A:B,2,FALSE)</f>
        <v>BP.600</v>
      </c>
      <c r="C313" s="16">
        <v>0</v>
      </c>
      <c r="D313" s="18">
        <v>0</v>
      </c>
      <c r="E313" s="16">
        <v>0</v>
      </c>
      <c r="F313" s="18">
        <v>0</v>
      </c>
      <c r="G313" s="19"/>
      <c r="H313" s="16">
        <f t="shared" si="46"/>
        <v>0</v>
      </c>
      <c r="I313" s="18">
        <f t="shared" si="47"/>
        <v>0</v>
      </c>
      <c r="J313" s="16">
        <f>VLOOKUP(A313,v_2023!A:D,3,FALSE)</f>
        <v>1</v>
      </c>
      <c r="K313" s="18">
        <f>VLOOKUP(A313,v_2023!A:D,4,FALSE)</f>
        <v>21.51</v>
      </c>
      <c r="L313" s="16">
        <f t="shared" si="49"/>
        <v>-2</v>
      </c>
      <c r="M313" s="14">
        <f t="shared" si="48"/>
        <v>-21.51</v>
      </c>
      <c r="N313" s="20">
        <f t="shared" si="50"/>
        <v>-1</v>
      </c>
    </row>
    <row r="314" spans="1:14" x14ac:dyDescent="0.25">
      <c r="A314" s="16" t="s">
        <v>586</v>
      </c>
      <c r="B314" s="17" t="str">
        <f>VLOOKUP(A314,v_2023!A:B,2,FALSE)</f>
        <v>BB.001</v>
      </c>
      <c r="C314" s="16">
        <v>0</v>
      </c>
      <c r="D314" s="18">
        <v>0</v>
      </c>
      <c r="E314" s="16">
        <v>0</v>
      </c>
      <c r="F314" s="18">
        <v>0</v>
      </c>
      <c r="G314" s="19"/>
      <c r="H314" s="16">
        <f t="shared" si="46"/>
        <v>0</v>
      </c>
      <c r="I314" s="18">
        <f t="shared" si="47"/>
        <v>0</v>
      </c>
      <c r="J314" s="16">
        <f>VLOOKUP(A314,v_2023!A:D,3,FALSE)</f>
        <v>-1</v>
      </c>
      <c r="K314" s="18">
        <f>VLOOKUP(A314,v_2023!A:D,4,FALSE)</f>
        <v>-10.75</v>
      </c>
      <c r="L314" s="16">
        <f t="shared" si="49"/>
        <v>-3</v>
      </c>
      <c r="M314" s="14">
        <f t="shared" si="48"/>
        <v>10.75</v>
      </c>
      <c r="N314" s="20">
        <f t="shared" si="50"/>
        <v>-1</v>
      </c>
    </row>
    <row r="315" spans="1:14" x14ac:dyDescent="0.25">
      <c r="A315" s="16" t="s">
        <v>392</v>
      </c>
      <c r="B315" s="17" t="str">
        <f>VLOOKUP(A315,v_2023!A:B,2,FALSE)</f>
        <v>40.915</v>
      </c>
      <c r="C315" s="16">
        <v>0</v>
      </c>
      <c r="D315" s="18">
        <v>0</v>
      </c>
      <c r="E315" s="16">
        <v>0</v>
      </c>
      <c r="F315" s="18">
        <v>0</v>
      </c>
      <c r="G315" s="19"/>
      <c r="H315" s="16">
        <f t="shared" si="46"/>
        <v>0</v>
      </c>
      <c r="I315" s="18">
        <f t="shared" si="47"/>
        <v>0</v>
      </c>
      <c r="J315" s="16">
        <f>VLOOKUP(A315,v_2023!A:D,3,FALSE)</f>
        <v>14</v>
      </c>
      <c r="K315" s="18">
        <f>VLOOKUP(A315,v_2023!A:D,4,FALSE)</f>
        <v>71.680000000000007</v>
      </c>
      <c r="L315" s="16">
        <f t="shared" si="49"/>
        <v>-1</v>
      </c>
      <c r="M315" s="14">
        <f t="shared" si="48"/>
        <v>-71.680000000000007</v>
      </c>
      <c r="N315" s="20">
        <f t="shared" si="50"/>
        <v>-1</v>
      </c>
    </row>
    <row r="316" spans="1:14" x14ac:dyDescent="0.25">
      <c r="A316" s="16" t="s">
        <v>408</v>
      </c>
      <c r="B316" s="17" t="str">
        <f>VLOOKUP(A316,v_2023!A:B,2,FALSE)</f>
        <v>BF.550</v>
      </c>
      <c r="C316" s="16">
        <v>0</v>
      </c>
      <c r="D316" s="18">
        <v>0</v>
      </c>
      <c r="E316" s="16">
        <v>0</v>
      </c>
      <c r="F316" s="18">
        <v>0</v>
      </c>
      <c r="G316" s="19"/>
      <c r="H316" s="16">
        <f t="shared" si="46"/>
        <v>0</v>
      </c>
      <c r="I316" s="18">
        <f t="shared" si="47"/>
        <v>0</v>
      </c>
      <c r="J316" s="16">
        <f>VLOOKUP(A316,v_2023!A:D,3,FALSE)</f>
        <v>1</v>
      </c>
      <c r="K316" s="18">
        <f>VLOOKUP(A316,v_2023!A:D,4,FALSE)</f>
        <v>64.61</v>
      </c>
      <c r="L316" s="16">
        <f t="shared" si="49"/>
        <v>1</v>
      </c>
      <c r="M316" s="14">
        <f t="shared" si="48"/>
        <v>-64.61</v>
      </c>
      <c r="N316" s="20">
        <f t="shared" si="50"/>
        <v>-1</v>
      </c>
    </row>
    <row r="317" spans="1:14" x14ac:dyDescent="0.25">
      <c r="A317" s="16" t="s">
        <v>534</v>
      </c>
      <c r="B317" s="17" t="str">
        <f>VLOOKUP(A317,v_2023!A:B,2,FALSE)</f>
        <v>VE.402</v>
      </c>
      <c r="C317" s="16">
        <v>0</v>
      </c>
      <c r="D317" s="18">
        <v>0</v>
      </c>
      <c r="E317" s="16">
        <v>0</v>
      </c>
      <c r="F317" s="18">
        <v>0</v>
      </c>
      <c r="G317" s="19"/>
      <c r="H317" s="16">
        <f t="shared" si="46"/>
        <v>0</v>
      </c>
      <c r="I317" s="18">
        <f t="shared" si="47"/>
        <v>0</v>
      </c>
      <c r="J317" s="16">
        <f>VLOOKUP(A317,v_2023!A:D,3,FALSE)</f>
        <v>0</v>
      </c>
      <c r="K317" s="18">
        <f>VLOOKUP(A317,v_2023!A:D,4,FALSE)</f>
        <v>0</v>
      </c>
      <c r="L317" s="16">
        <f t="shared" si="49"/>
        <v>-14</v>
      </c>
      <c r="M317" s="14">
        <f t="shared" si="48"/>
        <v>0</v>
      </c>
      <c r="N317" s="20"/>
    </row>
    <row r="318" spans="1:14" x14ac:dyDescent="0.25">
      <c r="A318" s="16" t="s">
        <v>334</v>
      </c>
      <c r="B318" s="17" t="str">
        <f>VLOOKUP(A318,v_2023!A:B,2,FALSE)</f>
        <v>BC.130</v>
      </c>
      <c r="C318" s="16">
        <v>0</v>
      </c>
      <c r="D318" s="18">
        <v>0</v>
      </c>
      <c r="E318" s="16">
        <v>0</v>
      </c>
      <c r="F318" s="18">
        <v>0</v>
      </c>
      <c r="G318" s="19"/>
      <c r="H318" s="16">
        <f t="shared" si="46"/>
        <v>0</v>
      </c>
      <c r="I318" s="18">
        <f t="shared" si="47"/>
        <v>0</v>
      </c>
      <c r="J318" s="16">
        <f>VLOOKUP(A318,v_2023!A:D,3,FALSE)</f>
        <v>2</v>
      </c>
      <c r="K318" s="18">
        <f>VLOOKUP(A318,v_2023!A:D,4,FALSE)</f>
        <v>143.11000000000001</v>
      </c>
      <c r="L318" s="16">
        <f t="shared" si="49"/>
        <v>-1</v>
      </c>
      <c r="M318" s="14">
        <f t="shared" si="48"/>
        <v>-143.11000000000001</v>
      </c>
      <c r="N318" s="20">
        <f t="shared" si="50"/>
        <v>-1</v>
      </c>
    </row>
    <row r="319" spans="1:14" x14ac:dyDescent="0.25">
      <c r="A319" s="16" t="s">
        <v>420</v>
      </c>
      <c r="B319" s="17" t="str">
        <f>VLOOKUP(A319,v_2023!A:B,2,FALSE)</f>
        <v>50.940GO</v>
      </c>
      <c r="C319" s="16">
        <v>0</v>
      </c>
      <c r="D319" s="18">
        <v>0</v>
      </c>
      <c r="E319" s="16">
        <v>0</v>
      </c>
      <c r="F319" s="18">
        <v>0</v>
      </c>
      <c r="G319" s="19"/>
      <c r="H319" s="16">
        <f t="shared" si="46"/>
        <v>0</v>
      </c>
      <c r="I319" s="18">
        <f t="shared" si="47"/>
        <v>0</v>
      </c>
      <c r="J319" s="16">
        <f>VLOOKUP(A319,v_2023!A:D,3,FALSE)</f>
        <v>2</v>
      </c>
      <c r="K319" s="18">
        <f>VLOOKUP(A319,v_2023!A:D,4,FALSE)</f>
        <v>49.02</v>
      </c>
      <c r="L319" s="16">
        <f t="shared" si="49"/>
        <v>0</v>
      </c>
      <c r="M319" s="14">
        <f t="shared" si="48"/>
        <v>-49.02</v>
      </c>
      <c r="N319" s="20">
        <f t="shared" si="50"/>
        <v>-1</v>
      </c>
    </row>
    <row r="320" spans="1:14" x14ac:dyDescent="0.25">
      <c r="A320" s="16" t="s">
        <v>492</v>
      </c>
      <c r="B320" s="17" t="str">
        <f>VLOOKUP(A320,v_2023!A:B,2,FALSE)</f>
        <v>ri.093</v>
      </c>
      <c r="C320" s="16">
        <v>0</v>
      </c>
      <c r="D320" s="18">
        <v>0</v>
      </c>
      <c r="E320" s="16">
        <v>0</v>
      </c>
      <c r="F320" s="18">
        <v>0</v>
      </c>
      <c r="G320" s="19"/>
      <c r="H320" s="16">
        <f t="shared" si="46"/>
        <v>0</v>
      </c>
      <c r="I320" s="18">
        <f t="shared" si="47"/>
        <v>0</v>
      </c>
      <c r="J320" s="16">
        <f>VLOOKUP(A320,v_2023!A:D,3,FALSE)</f>
        <v>1</v>
      </c>
      <c r="K320" s="18">
        <f>VLOOKUP(A320,v_2023!A:D,4,FALSE)</f>
        <v>20.41</v>
      </c>
      <c r="L320" s="16">
        <f t="shared" si="49"/>
        <v>-2</v>
      </c>
      <c r="M320" s="14">
        <f t="shared" si="48"/>
        <v>-20.41</v>
      </c>
      <c r="N320" s="20">
        <f t="shared" si="50"/>
        <v>-1</v>
      </c>
    </row>
    <row r="321" spans="1:14" x14ac:dyDescent="0.25">
      <c r="A321" s="16" t="s">
        <v>550</v>
      </c>
      <c r="B321" s="17" t="str">
        <f>VLOOKUP(A321,v_2023!A:B,2,FALSE)</f>
        <v>RI.552</v>
      </c>
      <c r="C321" s="16">
        <v>0</v>
      </c>
      <c r="D321" s="18">
        <v>0</v>
      </c>
      <c r="E321" s="16">
        <v>0</v>
      </c>
      <c r="F321" s="18">
        <v>0</v>
      </c>
      <c r="G321" s="19"/>
      <c r="H321" s="16">
        <f t="shared" si="46"/>
        <v>0</v>
      </c>
      <c r="I321" s="18">
        <f t="shared" si="47"/>
        <v>0</v>
      </c>
      <c r="J321" s="16">
        <f>VLOOKUP(A321,v_2023!A:D,3,FALSE)</f>
        <v>0</v>
      </c>
      <c r="K321" s="18">
        <f>VLOOKUP(A321,v_2023!A:D,4,FALSE)</f>
        <v>0</v>
      </c>
      <c r="L321" s="16">
        <f t="shared" si="49"/>
        <v>-2</v>
      </c>
      <c r="M321" s="14">
        <f t="shared" si="48"/>
        <v>0</v>
      </c>
      <c r="N321" s="20"/>
    </row>
    <row r="322" spans="1:14" x14ac:dyDescent="0.25">
      <c r="A322" s="16" t="s">
        <v>388</v>
      </c>
      <c r="B322" s="17" t="str">
        <f>VLOOKUP(A322,v_2023!A:B,2,FALSE)</f>
        <v>50600</v>
      </c>
      <c r="C322" s="16">
        <v>0</v>
      </c>
      <c r="D322" s="18">
        <v>0</v>
      </c>
      <c r="E322" s="16">
        <v>0</v>
      </c>
      <c r="F322" s="18">
        <v>0</v>
      </c>
      <c r="G322" s="19"/>
      <c r="H322" s="16">
        <f t="shared" si="46"/>
        <v>0</v>
      </c>
      <c r="I322" s="18">
        <f t="shared" si="47"/>
        <v>0</v>
      </c>
      <c r="J322" s="16">
        <f>VLOOKUP(A322,v_2023!A:D,3,FALSE)</f>
        <v>2</v>
      </c>
      <c r="K322" s="18">
        <f>VLOOKUP(A322,v_2023!A:D,4,FALSE)</f>
        <v>139.94999999999999</v>
      </c>
      <c r="L322" s="16">
        <f t="shared" si="49"/>
        <v>-1</v>
      </c>
      <c r="M322" s="14">
        <f t="shared" si="48"/>
        <v>-139.94999999999999</v>
      </c>
      <c r="N322" s="20">
        <f t="shared" si="50"/>
        <v>-1</v>
      </c>
    </row>
    <row r="323" spans="1:14" x14ac:dyDescent="0.25">
      <c r="A323" s="16" t="s">
        <v>584</v>
      </c>
      <c r="B323" s="17" t="str">
        <f>VLOOKUP(A323,v_2023!A:B,2,FALSE)</f>
        <v>BT.300</v>
      </c>
      <c r="C323" s="16">
        <v>0</v>
      </c>
      <c r="D323" s="18">
        <v>0</v>
      </c>
      <c r="E323" s="16">
        <v>0</v>
      </c>
      <c r="F323" s="18">
        <v>0</v>
      </c>
      <c r="G323" s="19"/>
      <c r="H323" s="16">
        <f t="shared" si="46"/>
        <v>0</v>
      </c>
      <c r="I323" s="18">
        <f t="shared" si="47"/>
        <v>0</v>
      </c>
      <c r="J323" s="16">
        <f>VLOOKUP(A323,v_2023!A:D,3,FALSE)</f>
        <v>0</v>
      </c>
      <c r="K323" s="18">
        <f>VLOOKUP(A323,v_2023!A:D,4,FALSE)</f>
        <v>0</v>
      </c>
      <c r="L323" s="16">
        <f t="shared" si="49"/>
        <v>0</v>
      </c>
      <c r="M323" s="14">
        <f t="shared" si="48"/>
        <v>0</v>
      </c>
      <c r="N323" s="20"/>
    </row>
    <row r="324" spans="1:14" x14ac:dyDescent="0.25">
      <c r="A324" s="16" t="s">
        <v>260</v>
      </c>
      <c r="B324" s="17" t="str">
        <f>VLOOKUP(A324,v_2023!A:B,2,FALSE)</f>
        <v>BP.500</v>
      </c>
      <c r="C324" s="16">
        <v>0</v>
      </c>
      <c r="D324" s="18">
        <v>0</v>
      </c>
      <c r="E324" s="16">
        <v>0</v>
      </c>
      <c r="F324" s="18">
        <v>0</v>
      </c>
      <c r="G324" s="19"/>
      <c r="H324" s="16">
        <f t="shared" si="46"/>
        <v>0</v>
      </c>
      <c r="I324" s="18">
        <f t="shared" si="47"/>
        <v>0</v>
      </c>
      <c r="J324" s="16">
        <f>VLOOKUP(A324,v_2023!A:D,3,FALSE)</f>
        <v>6</v>
      </c>
      <c r="K324" s="18">
        <f>VLOOKUP(A324,v_2023!A:D,4,FALSE)</f>
        <v>394.15999999999997</v>
      </c>
      <c r="L324" s="16">
        <f t="shared" si="49"/>
        <v>-2</v>
      </c>
      <c r="M324" s="14">
        <f t="shared" si="48"/>
        <v>-394.15999999999997</v>
      </c>
      <c r="N324" s="20">
        <f t="shared" si="50"/>
        <v>-1</v>
      </c>
    </row>
    <row r="325" spans="1:14" x14ac:dyDescent="0.25">
      <c r="A325" s="16" t="s">
        <v>466</v>
      </c>
      <c r="B325" s="17" t="str">
        <f>VLOOKUP(A325,v_2023!A:B,2,FALSE)</f>
        <v>BT.604</v>
      </c>
      <c r="C325" s="16">
        <v>0</v>
      </c>
      <c r="D325" s="18">
        <v>0</v>
      </c>
      <c r="E325" s="16">
        <v>0</v>
      </c>
      <c r="F325" s="18">
        <v>0</v>
      </c>
      <c r="G325" s="19"/>
      <c r="H325" s="16">
        <f t="shared" si="46"/>
        <v>0</v>
      </c>
      <c r="I325" s="18">
        <f t="shared" si="47"/>
        <v>0</v>
      </c>
      <c r="J325" s="16">
        <f>VLOOKUP(A325,v_2023!A:D,3,FALSE)</f>
        <v>1</v>
      </c>
      <c r="K325" s="18">
        <f>VLOOKUP(A325,v_2023!A:D,4,FALSE)</f>
        <v>28.84</v>
      </c>
      <c r="L325" s="16">
        <f t="shared" si="49"/>
        <v>0</v>
      </c>
      <c r="M325" s="14">
        <f t="shared" si="48"/>
        <v>-28.84</v>
      </c>
      <c r="N325" s="20">
        <f t="shared" si="50"/>
        <v>-1</v>
      </c>
    </row>
    <row r="326" spans="1:14" x14ac:dyDescent="0.25">
      <c r="A326" s="16" t="s">
        <v>430</v>
      </c>
      <c r="B326" s="17" t="str">
        <f>VLOOKUP(A326,v_2023!A:B,2,FALSE)</f>
        <v>BT.450</v>
      </c>
      <c r="C326" s="16">
        <v>0</v>
      </c>
      <c r="D326" s="18">
        <v>0</v>
      </c>
      <c r="E326" s="16">
        <v>0</v>
      </c>
      <c r="F326" s="18">
        <v>0</v>
      </c>
      <c r="G326" s="19"/>
      <c r="H326" s="16">
        <f t="shared" si="46"/>
        <v>0</v>
      </c>
      <c r="I326" s="18">
        <f t="shared" si="47"/>
        <v>0</v>
      </c>
      <c r="J326" s="16">
        <f>VLOOKUP(A326,v_2023!A:D,3,FALSE)</f>
        <v>1</v>
      </c>
      <c r="K326" s="18">
        <f>VLOOKUP(A326,v_2023!A:D,4,FALSE)</f>
        <v>44.57</v>
      </c>
      <c r="L326" s="16">
        <f t="shared" si="49"/>
        <v>-6</v>
      </c>
      <c r="M326" s="14">
        <f t="shared" si="48"/>
        <v>-44.57</v>
      </c>
      <c r="N326" s="20">
        <f t="shared" si="50"/>
        <v>-1</v>
      </c>
    </row>
    <row r="327" spans="1:14" x14ac:dyDescent="0.25">
      <c r="A327" s="16" t="s">
        <v>548</v>
      </c>
      <c r="B327" s="17" t="str">
        <f>VLOOKUP(A327,v_2023!A:B,2,FALSE)</f>
        <v>BB.105</v>
      </c>
      <c r="C327" s="16">
        <v>0</v>
      </c>
      <c r="D327" s="18">
        <v>0</v>
      </c>
      <c r="E327" s="16">
        <v>0</v>
      </c>
      <c r="F327" s="18">
        <v>0</v>
      </c>
      <c r="G327" s="19"/>
      <c r="H327" s="16">
        <f t="shared" si="46"/>
        <v>0</v>
      </c>
      <c r="I327" s="18">
        <f t="shared" si="47"/>
        <v>0</v>
      </c>
      <c r="J327" s="16">
        <f>VLOOKUP(A327,v_2023!A:D,3,FALSE)</f>
        <v>0</v>
      </c>
      <c r="K327" s="18">
        <f>VLOOKUP(A327,v_2023!A:D,4,FALSE)</f>
        <v>0</v>
      </c>
      <c r="L327" s="16">
        <f t="shared" si="49"/>
        <v>-1</v>
      </c>
      <c r="M327" s="14">
        <f t="shared" si="48"/>
        <v>0</v>
      </c>
      <c r="N327" s="20"/>
    </row>
    <row r="328" spans="1:14" x14ac:dyDescent="0.25">
      <c r="A328" s="16" t="s">
        <v>322</v>
      </c>
      <c r="B328" s="17" t="str">
        <f>VLOOKUP(A328,v_2023!A:B,2,FALSE)</f>
        <v>40.453</v>
      </c>
      <c r="C328" s="16">
        <v>0</v>
      </c>
      <c r="D328" s="18">
        <v>0</v>
      </c>
      <c r="E328" s="16">
        <v>0</v>
      </c>
      <c r="F328" s="18">
        <v>0</v>
      </c>
      <c r="G328" s="19"/>
      <c r="H328" s="16">
        <f t="shared" si="46"/>
        <v>0</v>
      </c>
      <c r="I328" s="18">
        <f t="shared" si="47"/>
        <v>0</v>
      </c>
      <c r="J328" s="16">
        <f>VLOOKUP(A328,v_2023!A:D,3,FALSE)</f>
        <v>8</v>
      </c>
      <c r="K328" s="18">
        <f>VLOOKUP(A328,v_2023!A:D,4,FALSE)</f>
        <v>156.72</v>
      </c>
      <c r="L328" s="16">
        <f t="shared" si="49"/>
        <v>-1</v>
      </c>
      <c r="M328" s="14">
        <f t="shared" si="48"/>
        <v>-156.72</v>
      </c>
      <c r="N328" s="20">
        <f t="shared" si="50"/>
        <v>-1</v>
      </c>
    </row>
    <row r="329" spans="1:14" x14ac:dyDescent="0.25">
      <c r="A329" s="16" t="s">
        <v>516</v>
      </c>
      <c r="B329" s="17" t="str">
        <f>VLOOKUP(A329,v_2023!A:B,2,FALSE)</f>
        <v>MD.127</v>
      </c>
      <c r="C329" s="16">
        <v>0</v>
      </c>
      <c r="D329" s="18">
        <v>0</v>
      </c>
      <c r="E329" s="16">
        <v>0</v>
      </c>
      <c r="F329" s="18">
        <v>0</v>
      </c>
      <c r="G329" s="19"/>
      <c r="H329" s="16">
        <f t="shared" si="46"/>
        <v>0</v>
      </c>
      <c r="I329" s="18">
        <f t="shared" si="47"/>
        <v>0</v>
      </c>
      <c r="J329" s="16">
        <f>VLOOKUP(A329,v_2023!A:D,3,FALSE)</f>
        <v>1</v>
      </c>
      <c r="K329" s="18">
        <f>VLOOKUP(A329,v_2023!A:D,4,FALSE)</f>
        <v>8.32</v>
      </c>
      <c r="L329" s="16">
        <f t="shared" si="49"/>
        <v>0</v>
      </c>
      <c r="M329" s="14">
        <f t="shared" si="48"/>
        <v>-8.32</v>
      </c>
      <c r="N329" s="20">
        <f t="shared" si="50"/>
        <v>-1</v>
      </c>
    </row>
    <row r="330" spans="1:14" x14ac:dyDescent="0.25">
      <c r="A330" s="16" t="s">
        <v>484</v>
      </c>
      <c r="B330" s="17" t="str">
        <f>VLOOKUP(A330,v_2023!A:B,2,FALSE)</f>
        <v>BB.002</v>
      </c>
      <c r="C330" s="16">
        <v>0</v>
      </c>
      <c r="D330" s="18">
        <v>0</v>
      </c>
      <c r="E330" s="16">
        <v>0</v>
      </c>
      <c r="F330" s="18">
        <v>0</v>
      </c>
      <c r="G330" s="19"/>
      <c r="H330" s="16">
        <f t="shared" si="46"/>
        <v>0</v>
      </c>
      <c r="I330" s="18">
        <f t="shared" si="47"/>
        <v>0</v>
      </c>
      <c r="J330" s="16">
        <f>VLOOKUP(A330,v_2023!A:D,3,FALSE)</f>
        <v>1</v>
      </c>
      <c r="K330" s="18">
        <f>VLOOKUP(A330,v_2023!A:D,4,FALSE)</f>
        <v>24.51</v>
      </c>
      <c r="L330" s="16">
        <f t="shared" si="49"/>
        <v>-8</v>
      </c>
      <c r="M330" s="14">
        <f t="shared" si="48"/>
        <v>-24.51</v>
      </c>
      <c r="N330" s="20">
        <f t="shared" si="50"/>
        <v>-1</v>
      </c>
    </row>
    <row r="331" spans="1:14" x14ac:dyDescent="0.25">
      <c r="A331" s="16" t="s">
        <v>582</v>
      </c>
      <c r="B331" s="17" t="str">
        <f>VLOOKUP(A331,v_2023!A:B,2,FALSE)</f>
        <v>BP.630</v>
      </c>
      <c r="C331" s="16">
        <v>0</v>
      </c>
      <c r="D331" s="18">
        <v>0</v>
      </c>
      <c r="E331" s="16">
        <v>0</v>
      </c>
      <c r="F331" s="18">
        <v>0</v>
      </c>
      <c r="G331" s="19"/>
      <c r="H331" s="16">
        <f t="shared" si="46"/>
        <v>0</v>
      </c>
      <c r="I331" s="18">
        <f t="shared" si="47"/>
        <v>0</v>
      </c>
      <c r="J331" s="16">
        <f>VLOOKUP(A331,v_2023!A:D,3,FALSE)</f>
        <v>0</v>
      </c>
      <c r="K331" s="18">
        <f>VLOOKUP(A331,v_2023!A:D,4,FALSE)</f>
        <v>0</v>
      </c>
      <c r="L331" s="16">
        <f t="shared" si="49"/>
        <v>-1</v>
      </c>
      <c r="M331" s="14">
        <f t="shared" si="48"/>
        <v>0</v>
      </c>
      <c r="N331" s="20"/>
    </row>
    <row r="332" spans="1:14" x14ac:dyDescent="0.25">
      <c r="A332" s="16" t="s">
        <v>560</v>
      </c>
      <c r="B332" s="17" t="str">
        <f>VLOOKUP(A332,v_2023!A:B,2,FALSE)</f>
        <v>CA.013</v>
      </c>
      <c r="C332" s="16">
        <v>0</v>
      </c>
      <c r="D332" s="18">
        <v>0</v>
      </c>
      <c r="E332" s="16">
        <v>0</v>
      </c>
      <c r="F332" s="18">
        <v>0</v>
      </c>
      <c r="G332" s="19"/>
      <c r="H332" s="16">
        <f t="shared" si="46"/>
        <v>0</v>
      </c>
      <c r="I332" s="18">
        <f t="shared" si="47"/>
        <v>0</v>
      </c>
      <c r="J332" s="16">
        <f>VLOOKUP(A332,v_2023!A:D,3,FALSE)</f>
        <v>-1</v>
      </c>
      <c r="K332" s="18">
        <f>VLOOKUP(A332,v_2023!A:D,4,FALSE)</f>
        <v>-10.84</v>
      </c>
      <c r="L332" s="16">
        <f t="shared" si="49"/>
        <v>-1</v>
      </c>
      <c r="M332" s="14">
        <f t="shared" si="48"/>
        <v>10.84</v>
      </c>
      <c r="N332" s="20">
        <f t="shared" si="50"/>
        <v>-1</v>
      </c>
    </row>
    <row r="333" spans="1:14" x14ac:dyDescent="0.25">
      <c r="A333" s="16" t="s">
        <v>368</v>
      </c>
      <c r="B333" s="17" t="str">
        <f>VLOOKUP(A333,v_2023!A:B,2,FALSE)</f>
        <v>BC.300</v>
      </c>
      <c r="C333" s="16">
        <v>0</v>
      </c>
      <c r="D333" s="18">
        <v>0</v>
      </c>
      <c r="E333" s="16">
        <v>0</v>
      </c>
      <c r="F333" s="18">
        <v>0</v>
      </c>
      <c r="G333" s="19"/>
      <c r="H333" s="16">
        <f t="shared" si="46"/>
        <v>0</v>
      </c>
      <c r="I333" s="18">
        <f t="shared" si="47"/>
        <v>0</v>
      </c>
      <c r="J333" s="16">
        <f>VLOOKUP(A333,v_2023!A:D,3,FALSE)</f>
        <v>2</v>
      </c>
      <c r="K333" s="18">
        <f>VLOOKUP(A333,v_2023!A:D,4,FALSE)</f>
        <v>98.2</v>
      </c>
      <c r="L333" s="16">
        <f t="shared" si="49"/>
        <v>0</v>
      </c>
      <c r="M333" s="14">
        <f t="shared" si="48"/>
        <v>-98.2</v>
      </c>
      <c r="N333" s="20">
        <f t="shared" si="50"/>
        <v>-1</v>
      </c>
    </row>
    <row r="334" spans="1:14" x14ac:dyDescent="0.25">
      <c r="A334" s="16" t="s">
        <v>450</v>
      </c>
      <c r="B334" s="17" t="str">
        <f>VLOOKUP(A334,v_2023!A:B,2,FALSE)</f>
        <v>40.918</v>
      </c>
      <c r="C334" s="16">
        <v>0</v>
      </c>
      <c r="D334" s="18">
        <v>0</v>
      </c>
      <c r="E334" s="16">
        <v>0</v>
      </c>
      <c r="F334" s="18">
        <v>0</v>
      </c>
      <c r="G334" s="19"/>
      <c r="H334" s="16">
        <f t="shared" si="46"/>
        <v>0</v>
      </c>
      <c r="I334" s="18">
        <f t="shared" si="47"/>
        <v>0</v>
      </c>
      <c r="J334" s="16">
        <f>VLOOKUP(A334,v_2023!A:D,3,FALSE)</f>
        <v>5</v>
      </c>
      <c r="K334" s="18">
        <f>VLOOKUP(A334,v_2023!A:D,4,FALSE)</f>
        <v>57.47</v>
      </c>
      <c r="L334" s="16">
        <f t="shared" si="49"/>
        <v>1</v>
      </c>
      <c r="M334" s="14">
        <f t="shared" si="48"/>
        <v>-57.47</v>
      </c>
      <c r="N334" s="20">
        <f t="shared" si="50"/>
        <v>-1</v>
      </c>
    </row>
    <row r="335" spans="1:14" x14ac:dyDescent="0.25">
      <c r="A335" s="16" t="s">
        <v>526</v>
      </c>
      <c r="B335" s="17" t="str">
        <f>VLOOKUP(A335,v_2023!A:B,2,FALSE)</f>
        <v>40.919</v>
      </c>
      <c r="C335" s="16">
        <v>0</v>
      </c>
      <c r="D335" s="18">
        <v>0</v>
      </c>
      <c r="E335" s="16">
        <v>0</v>
      </c>
      <c r="F335" s="18">
        <v>0</v>
      </c>
      <c r="G335" s="19"/>
      <c r="H335" s="16">
        <f t="shared" si="46"/>
        <v>0</v>
      </c>
      <c r="I335" s="18">
        <f t="shared" si="47"/>
        <v>0</v>
      </c>
      <c r="J335" s="16">
        <f>VLOOKUP(A335,v_2023!A:D,3,FALSE)</f>
        <v>0</v>
      </c>
      <c r="K335" s="18">
        <f>VLOOKUP(A335,v_2023!A:D,4,FALSE)</f>
        <v>0</v>
      </c>
      <c r="L335" s="16">
        <f t="shared" si="49"/>
        <v>-2</v>
      </c>
      <c r="M335" s="14">
        <f t="shared" si="48"/>
        <v>0</v>
      </c>
      <c r="N335" s="20"/>
    </row>
    <row r="336" spans="1:14" x14ac:dyDescent="0.25">
      <c r="A336" s="16" t="s">
        <v>524</v>
      </c>
      <c r="B336" s="17" t="str">
        <f>VLOOKUP(A336,v_2023!A:B,2,FALSE)</f>
        <v>BC.200</v>
      </c>
      <c r="C336" s="16">
        <v>0</v>
      </c>
      <c r="D336" s="18">
        <v>0</v>
      </c>
      <c r="E336" s="16">
        <v>0</v>
      </c>
      <c r="F336" s="18">
        <v>0</v>
      </c>
      <c r="G336" s="19"/>
      <c r="H336" s="16">
        <f t="shared" si="46"/>
        <v>0</v>
      </c>
      <c r="I336" s="18">
        <f t="shared" si="47"/>
        <v>0</v>
      </c>
      <c r="J336" s="16">
        <f>VLOOKUP(A336,v_2023!A:D,3,FALSE)</f>
        <v>0</v>
      </c>
      <c r="K336" s="18">
        <f>VLOOKUP(A336,v_2023!A:D,4,FALSE)</f>
        <v>0</v>
      </c>
      <c r="L336" s="16">
        <f t="shared" si="49"/>
        <v>-5</v>
      </c>
      <c r="M336" s="14">
        <f t="shared" si="48"/>
        <v>0</v>
      </c>
      <c r="N336" s="20"/>
    </row>
    <row r="337" spans="1:14" x14ac:dyDescent="0.25">
      <c r="A337" s="16" t="s">
        <v>352</v>
      </c>
      <c r="B337" s="17" t="str">
        <f>VLOOKUP(A337,v_2023!A:B,2,FALSE)</f>
        <v>1</v>
      </c>
      <c r="C337" s="16">
        <v>0</v>
      </c>
      <c r="D337" s="18">
        <v>0</v>
      </c>
      <c r="E337" s="16">
        <v>0</v>
      </c>
      <c r="F337" s="18">
        <v>0</v>
      </c>
      <c r="G337" s="19"/>
      <c r="H337" s="16">
        <f t="shared" si="46"/>
        <v>0</v>
      </c>
      <c r="I337" s="18">
        <f t="shared" si="47"/>
        <v>0</v>
      </c>
      <c r="J337" s="16">
        <f>VLOOKUP(A337,v_2023!A:D,3,FALSE)</f>
        <v>2</v>
      </c>
      <c r="K337" s="18">
        <f>VLOOKUP(A337,v_2023!A:D,4,FALSE)</f>
        <v>221.75</v>
      </c>
      <c r="L337" s="16">
        <f t="shared" si="49"/>
        <v>0</v>
      </c>
      <c r="M337" s="14">
        <f t="shared" si="48"/>
        <v>-221.75</v>
      </c>
      <c r="N337" s="20">
        <f t="shared" si="50"/>
        <v>-1</v>
      </c>
    </row>
    <row r="338" spans="1:14" x14ac:dyDescent="0.25">
      <c r="A338" s="16" t="s">
        <v>428</v>
      </c>
      <c r="B338" s="17" t="str">
        <f>VLOOKUP(A338,v_2023!A:B,2,FALSE)</f>
        <v>RI.064</v>
      </c>
      <c r="C338" s="16">
        <v>0</v>
      </c>
      <c r="D338" s="18">
        <v>0</v>
      </c>
      <c r="E338" s="16">
        <v>0</v>
      </c>
      <c r="F338" s="18">
        <v>0</v>
      </c>
      <c r="G338" s="19"/>
      <c r="H338" s="16">
        <f t="shared" si="46"/>
        <v>0</v>
      </c>
      <c r="I338" s="18">
        <f t="shared" si="47"/>
        <v>0</v>
      </c>
      <c r="J338" s="16">
        <f>VLOOKUP(A338,v_2023!A:D,3,FALSE)</f>
        <v>1</v>
      </c>
      <c r="K338" s="18">
        <f>VLOOKUP(A338,v_2023!A:D,4,FALSE)</f>
        <v>47.98</v>
      </c>
      <c r="L338" s="16">
        <f t="shared" si="49"/>
        <v>0</v>
      </c>
      <c r="M338" s="14">
        <f t="shared" si="48"/>
        <v>-47.98</v>
      </c>
      <c r="N338" s="20">
        <f t="shared" si="50"/>
        <v>-1</v>
      </c>
    </row>
    <row r="339" spans="1:14" x14ac:dyDescent="0.25">
      <c r="A339" s="16" t="s">
        <v>556</v>
      </c>
      <c r="B339" s="17" t="str">
        <f>VLOOKUP(A339,v_2023!A:B,2,FALSE)</f>
        <v>BI.507</v>
      </c>
      <c r="C339" s="16">
        <v>0</v>
      </c>
      <c r="D339" s="18">
        <v>0</v>
      </c>
      <c r="E339" s="16">
        <v>0</v>
      </c>
      <c r="F339" s="18">
        <v>0</v>
      </c>
      <c r="G339" s="19"/>
      <c r="H339" s="16">
        <f t="shared" si="46"/>
        <v>0</v>
      </c>
      <c r="I339" s="18">
        <f t="shared" si="47"/>
        <v>0</v>
      </c>
      <c r="J339" s="16">
        <f>VLOOKUP(A339,v_2023!A:D,3,FALSE)</f>
        <v>0</v>
      </c>
      <c r="K339" s="18">
        <f>VLOOKUP(A339,v_2023!A:D,4,FALSE)</f>
        <v>0</v>
      </c>
      <c r="L339" s="16">
        <f t="shared" si="49"/>
        <v>-2</v>
      </c>
      <c r="M339" s="14">
        <f t="shared" si="48"/>
        <v>0</v>
      </c>
      <c r="N339" s="20"/>
    </row>
    <row r="340" spans="1:14" x14ac:dyDescent="0.25">
      <c r="A340" s="16" t="s">
        <v>220</v>
      </c>
      <c r="B340" s="17" t="str">
        <f>VLOOKUP(A340,v_2023!A:B,2,FALSE)</f>
        <v>BT.800</v>
      </c>
      <c r="C340" s="16">
        <v>0</v>
      </c>
      <c r="D340" s="18">
        <v>0</v>
      </c>
      <c r="E340" s="16">
        <v>0</v>
      </c>
      <c r="F340" s="18">
        <v>0</v>
      </c>
      <c r="G340" s="19"/>
      <c r="H340" s="16">
        <f t="shared" si="46"/>
        <v>0</v>
      </c>
      <c r="I340" s="18">
        <f t="shared" si="47"/>
        <v>0</v>
      </c>
      <c r="J340" s="16">
        <f>VLOOKUP(A340,v_2023!A:D,3,FALSE)</f>
        <v>60</v>
      </c>
      <c r="K340" s="18">
        <f>VLOOKUP(A340,v_2023!A:D,4,FALSE)</f>
        <v>1001.77</v>
      </c>
      <c r="L340" s="16">
        <f t="shared" si="49"/>
        <v>-1</v>
      </c>
      <c r="M340" s="14">
        <f t="shared" si="48"/>
        <v>-1001.77</v>
      </c>
      <c r="N340" s="20">
        <f t="shared" si="50"/>
        <v>-1</v>
      </c>
    </row>
    <row r="341" spans="1:14" x14ac:dyDescent="0.25">
      <c r="A341" s="16" t="s">
        <v>592</v>
      </c>
      <c r="B341" s="17" t="str">
        <f>VLOOKUP(A341,v_2023!A:B,2,FALSE)</f>
        <v>RI.424</v>
      </c>
      <c r="C341" s="16">
        <v>0</v>
      </c>
      <c r="D341" s="18">
        <v>0</v>
      </c>
      <c r="E341" s="16">
        <v>0</v>
      </c>
      <c r="F341" s="18">
        <v>0</v>
      </c>
      <c r="G341" s="19"/>
      <c r="H341" s="16">
        <f t="shared" si="46"/>
        <v>0</v>
      </c>
      <c r="I341" s="18">
        <f t="shared" si="47"/>
        <v>0</v>
      </c>
      <c r="J341" s="16">
        <f>VLOOKUP(A341,v_2023!A:D,3,FALSE)</f>
        <v>-1</v>
      </c>
      <c r="K341" s="18">
        <f>VLOOKUP(A341,v_2023!A:D,4,FALSE)</f>
        <v>-16.309999999999999</v>
      </c>
      <c r="L341" s="16">
        <f t="shared" si="49"/>
        <v>0</v>
      </c>
      <c r="M341" s="14">
        <f t="shared" si="48"/>
        <v>16.309999999999999</v>
      </c>
      <c r="N341" s="20">
        <f t="shared" si="50"/>
        <v>-1</v>
      </c>
    </row>
    <row r="342" spans="1:14" x14ac:dyDescent="0.25">
      <c r="A342" s="16" t="s">
        <v>198</v>
      </c>
      <c r="B342" s="17" t="str">
        <f>VLOOKUP(A342,v_2023!A:B,2,FALSE)</f>
        <v>BC.125</v>
      </c>
      <c r="C342" s="16">
        <v>0</v>
      </c>
      <c r="D342" s="18">
        <v>0</v>
      </c>
      <c r="E342" s="16">
        <v>0</v>
      </c>
      <c r="F342" s="18">
        <v>0</v>
      </c>
      <c r="G342" s="19"/>
      <c r="H342" s="16">
        <f t="shared" si="46"/>
        <v>0</v>
      </c>
      <c r="I342" s="18">
        <f t="shared" si="47"/>
        <v>0</v>
      </c>
      <c r="J342" s="16">
        <f>VLOOKUP(A342,v_2023!A:D,3,FALSE)</f>
        <v>83</v>
      </c>
      <c r="K342" s="18">
        <f>VLOOKUP(A342,v_2023!A:D,4,FALSE)</f>
        <v>1356.2</v>
      </c>
      <c r="L342" s="16">
        <f t="shared" si="49"/>
        <v>-60</v>
      </c>
      <c r="M342" s="14">
        <f t="shared" si="48"/>
        <v>-1356.2</v>
      </c>
      <c r="N342" s="20">
        <f t="shared" si="50"/>
        <v>-1</v>
      </c>
    </row>
    <row r="343" spans="1:14" x14ac:dyDescent="0.25">
      <c r="A343" s="16" t="s">
        <v>295</v>
      </c>
      <c r="B343" s="17" t="str">
        <f>VLOOKUP(A343,v_2023!A:B,2,FALSE)</f>
        <v>BC.210</v>
      </c>
      <c r="C343" s="16">
        <v>0</v>
      </c>
      <c r="D343" s="18">
        <v>0</v>
      </c>
      <c r="E343" s="16">
        <v>0</v>
      </c>
      <c r="F343" s="18">
        <v>0</v>
      </c>
      <c r="G343" s="19"/>
      <c r="H343" s="16">
        <f t="shared" si="46"/>
        <v>0</v>
      </c>
      <c r="I343" s="18">
        <f t="shared" si="47"/>
        <v>0</v>
      </c>
      <c r="J343" s="16">
        <f>VLOOKUP(A343,v_2023!A:D,3,FALSE)</f>
        <v>14</v>
      </c>
      <c r="K343" s="18">
        <f>VLOOKUP(A343,v_2023!A:D,4,FALSE)</f>
        <v>451.56999999999994</v>
      </c>
      <c r="L343" s="16">
        <f t="shared" si="49"/>
        <v>1</v>
      </c>
      <c r="M343" s="14">
        <f t="shared" si="48"/>
        <v>-451.56999999999994</v>
      </c>
      <c r="N343" s="20">
        <f t="shared" si="50"/>
        <v>-1</v>
      </c>
    </row>
    <row r="344" spans="1:14" x14ac:dyDescent="0.25">
      <c r="A344" s="16" t="s">
        <v>440</v>
      </c>
      <c r="B344" s="17" t="str">
        <f>VLOOKUP(A344,v_2023!A:B,2,FALSE)</f>
        <v>P206ZAN020</v>
      </c>
      <c r="C344" s="16">
        <v>0</v>
      </c>
      <c r="D344" s="18">
        <v>0</v>
      </c>
      <c r="E344" s="16">
        <v>0</v>
      </c>
      <c r="F344" s="18">
        <v>0</v>
      </c>
      <c r="G344" s="19"/>
      <c r="H344" s="16">
        <f t="shared" si="46"/>
        <v>0</v>
      </c>
      <c r="I344" s="18">
        <f t="shared" si="47"/>
        <v>0</v>
      </c>
      <c r="J344" s="16">
        <f>VLOOKUP(A344,v_2023!A:D,3,FALSE)</f>
        <v>1</v>
      </c>
      <c r="K344" s="18">
        <f>VLOOKUP(A344,v_2023!A:D,4,FALSE)</f>
        <v>40.85</v>
      </c>
      <c r="L344" s="16">
        <f t="shared" si="49"/>
        <v>-83</v>
      </c>
      <c r="M344" s="14">
        <f t="shared" si="48"/>
        <v>-40.85</v>
      </c>
      <c r="N344" s="20">
        <f t="shared" si="50"/>
        <v>-1</v>
      </c>
    </row>
    <row r="345" spans="1:14" x14ac:dyDescent="0.25">
      <c r="A345" s="16" t="s">
        <v>482</v>
      </c>
      <c r="B345" s="17" t="str">
        <f>VLOOKUP(A345,v_2023!A:B,2,FALSE)</f>
        <v>P206VEN230</v>
      </c>
      <c r="C345" s="16">
        <v>0</v>
      </c>
      <c r="D345" s="18">
        <v>0</v>
      </c>
      <c r="E345" s="16">
        <v>0</v>
      </c>
      <c r="F345" s="18">
        <v>0</v>
      </c>
      <c r="G345" s="19"/>
      <c r="H345" s="16">
        <f t="shared" si="46"/>
        <v>0</v>
      </c>
      <c r="I345" s="18">
        <f t="shared" si="47"/>
        <v>0</v>
      </c>
      <c r="J345" s="16">
        <f>VLOOKUP(A345,v_2023!A:D,3,FALSE)</f>
        <v>1</v>
      </c>
      <c r="K345" s="18">
        <f>VLOOKUP(A345,v_2023!A:D,4,FALSE)</f>
        <v>24.92</v>
      </c>
      <c r="L345" s="16">
        <f t="shared" si="49"/>
        <v>-14</v>
      </c>
      <c r="M345" s="14">
        <f t="shared" si="48"/>
        <v>-24.92</v>
      </c>
      <c r="N345" s="20">
        <f t="shared" si="50"/>
        <v>-1</v>
      </c>
    </row>
    <row r="346" spans="1:14" x14ac:dyDescent="0.25">
      <c r="A346" s="16" t="s">
        <v>228</v>
      </c>
      <c r="B346" s="17" t="str">
        <f>VLOOKUP(A346,v_2023!A:B,2,FALSE)</f>
        <v>P101TOS001</v>
      </c>
      <c r="C346" s="16">
        <v>0</v>
      </c>
      <c r="D346" s="18">
        <v>0</v>
      </c>
      <c r="E346" s="16">
        <v>0</v>
      </c>
      <c r="F346" s="18">
        <v>0</v>
      </c>
      <c r="G346" s="19"/>
      <c r="H346" s="16">
        <f t="shared" si="46"/>
        <v>0</v>
      </c>
      <c r="I346" s="18">
        <f t="shared" si="47"/>
        <v>0</v>
      </c>
      <c r="J346" s="16">
        <f>VLOOKUP(A346,v_2023!A:D,3,FALSE)</f>
        <v>28</v>
      </c>
      <c r="K346" s="18">
        <f>VLOOKUP(A346,v_2023!A:D,4,FALSE)</f>
        <v>595.24</v>
      </c>
      <c r="L346" s="16">
        <f t="shared" si="49"/>
        <v>-1</v>
      </c>
      <c r="M346" s="14">
        <f t="shared" si="48"/>
        <v>-595.24</v>
      </c>
      <c r="N346" s="20">
        <f t="shared" si="50"/>
        <v>-1</v>
      </c>
    </row>
    <row r="347" spans="1:14" x14ac:dyDescent="0.25">
      <c r="A347" s="16" t="s">
        <v>498</v>
      </c>
      <c r="B347" s="17" t="str">
        <f>VLOOKUP(A347,v_2023!A:B,2,FALSE)</f>
        <v>XUADA010</v>
      </c>
      <c r="C347" s="16">
        <v>0</v>
      </c>
      <c r="D347" s="18">
        <v>0</v>
      </c>
      <c r="E347" s="16">
        <v>0</v>
      </c>
      <c r="F347" s="18">
        <v>0</v>
      </c>
      <c r="G347" s="19"/>
      <c r="H347" s="16">
        <f t="shared" si="46"/>
        <v>0</v>
      </c>
      <c r="I347" s="18">
        <f t="shared" si="47"/>
        <v>0</v>
      </c>
      <c r="J347" s="16">
        <f>VLOOKUP(A347,v_2023!A:D,3,FALSE)</f>
        <v>4</v>
      </c>
      <c r="K347" s="18">
        <f>VLOOKUP(A347,v_2023!A:D,4,FALSE)</f>
        <v>16.48</v>
      </c>
      <c r="L347" s="16">
        <f t="shared" si="49"/>
        <v>-1</v>
      </c>
      <c r="M347" s="14">
        <f t="shared" si="48"/>
        <v>-16.48</v>
      </c>
      <c r="N347" s="20">
        <f t="shared" si="50"/>
        <v>-1</v>
      </c>
    </row>
    <row r="348" spans="1:14" x14ac:dyDescent="0.25">
      <c r="A348" s="16" t="s">
        <v>544</v>
      </c>
      <c r="B348" s="17" t="str">
        <f>VLOOKUP(A348,v_2023!A:B,2,FALSE)</f>
        <v>P204FER001</v>
      </c>
      <c r="C348" s="16">
        <v>0</v>
      </c>
      <c r="D348" s="18">
        <v>0</v>
      </c>
      <c r="E348" s="16">
        <v>0</v>
      </c>
      <c r="F348" s="18">
        <v>0</v>
      </c>
      <c r="G348" s="19"/>
      <c r="H348" s="16">
        <f t="shared" ref="H348:H359" si="52">E348+C348</f>
        <v>0</v>
      </c>
      <c r="I348" s="18">
        <f t="shared" ref="I348:I359" si="53">F348+D348</f>
        <v>0</v>
      </c>
      <c r="J348" s="16">
        <f>VLOOKUP(A348,v_2023!A:D,3,FALSE)</f>
        <v>0</v>
      </c>
      <c r="K348" s="18">
        <f>VLOOKUP(A348,v_2023!A:D,4,FALSE)</f>
        <v>0</v>
      </c>
      <c r="L348" s="16">
        <f t="shared" ref="L348:L359" si="54">H346-J346</f>
        <v>-28</v>
      </c>
      <c r="M348" s="14">
        <f t="shared" ref="M348:M359" si="55">I348-K348</f>
        <v>0</v>
      </c>
      <c r="N348" s="20"/>
    </row>
    <row r="349" spans="1:14" x14ac:dyDescent="0.25">
      <c r="A349" s="16" t="s">
        <v>269</v>
      </c>
      <c r="B349" s="17" t="str">
        <f>VLOOKUP(A349,v_2023!A:B,2,FALSE)</f>
        <v>RCORI552</v>
      </c>
      <c r="C349" s="16">
        <v>0</v>
      </c>
      <c r="D349" s="18">
        <v>0</v>
      </c>
      <c r="E349" s="16">
        <v>0</v>
      </c>
      <c r="F349" s="18">
        <v>0</v>
      </c>
      <c r="G349" s="19"/>
      <c r="H349" s="16">
        <f t="shared" si="52"/>
        <v>0</v>
      </c>
      <c r="I349" s="18">
        <f t="shared" si="53"/>
        <v>0</v>
      </c>
      <c r="J349" s="16">
        <f>VLOOKUP(A349,v_2023!A:D,3,FALSE)</f>
        <v>29</v>
      </c>
      <c r="K349" s="18">
        <f>VLOOKUP(A349,v_2023!A:D,4,FALSE)</f>
        <v>371.13</v>
      </c>
      <c r="L349" s="16">
        <f t="shared" si="54"/>
        <v>-4</v>
      </c>
      <c r="M349" s="14">
        <f t="shared" si="55"/>
        <v>-371.13</v>
      </c>
      <c r="N349" s="20">
        <f t="shared" ref="N349:N359" si="56">M349/K349</f>
        <v>-1</v>
      </c>
    </row>
    <row r="350" spans="1:14" x14ac:dyDescent="0.25">
      <c r="A350" s="16" t="s">
        <v>172</v>
      </c>
      <c r="B350" s="17" t="str">
        <f>VLOOKUP(A350,v_2023!A:B,2,FALSE)</f>
        <v>C206UTI001</v>
      </c>
      <c r="C350" s="16">
        <v>0</v>
      </c>
      <c r="D350" s="18">
        <v>0</v>
      </c>
      <c r="E350" s="16">
        <f>VLOOKUP(A350,s_2024!A:C,2,FALSE)</f>
        <v>21</v>
      </c>
      <c r="F350" s="18">
        <f>VLOOKUP(A350,s_2024!A:C,3,FALSE)</f>
        <v>842.89999999999975</v>
      </c>
      <c r="G350" s="19">
        <f t="shared" ref="G350" si="57">F350/I350</f>
        <v>1</v>
      </c>
      <c r="H350" s="16">
        <f t="shared" si="52"/>
        <v>21</v>
      </c>
      <c r="I350" s="18">
        <f t="shared" si="53"/>
        <v>842.89999999999975</v>
      </c>
      <c r="J350" s="16">
        <f>VLOOKUP(A350,v_2023!A:D,3,FALSE)</f>
        <v>98</v>
      </c>
      <c r="K350" s="18">
        <f>VLOOKUP(A350,v_2023!A:D,4,FALSE)</f>
        <v>2821.82</v>
      </c>
      <c r="L350" s="16">
        <f t="shared" si="54"/>
        <v>0</v>
      </c>
      <c r="M350" s="14">
        <f t="shared" si="55"/>
        <v>-1978.9200000000005</v>
      </c>
      <c r="N350" s="20">
        <f t="shared" si="56"/>
        <v>-0.70129207390974635</v>
      </c>
    </row>
    <row r="351" spans="1:14" x14ac:dyDescent="0.25">
      <c r="A351" s="16" t="s">
        <v>530</v>
      </c>
      <c r="B351" s="17" t="str">
        <f>VLOOKUP(A351,v_2023!A:B,2,FALSE)</f>
        <v>P204CAL201</v>
      </c>
      <c r="C351" s="16">
        <v>0</v>
      </c>
      <c r="D351" s="18">
        <v>0</v>
      </c>
      <c r="E351" s="16">
        <v>0</v>
      </c>
      <c r="F351" s="18">
        <v>0</v>
      </c>
      <c r="G351" s="19"/>
      <c r="H351" s="16">
        <f t="shared" si="52"/>
        <v>0</v>
      </c>
      <c r="I351" s="18">
        <f t="shared" si="53"/>
        <v>0</v>
      </c>
      <c r="J351" s="16">
        <f>VLOOKUP(A351,v_2023!A:D,3,FALSE)</f>
        <v>0</v>
      </c>
      <c r="K351" s="18">
        <f>VLOOKUP(A351,v_2023!A:D,4,FALSE)</f>
        <v>0</v>
      </c>
      <c r="L351" s="16">
        <f t="shared" si="54"/>
        <v>-29</v>
      </c>
      <c r="M351" s="14">
        <f t="shared" si="55"/>
        <v>0</v>
      </c>
      <c r="N351" s="20"/>
    </row>
    <row r="352" spans="1:14" x14ac:dyDescent="0.25">
      <c r="A352" s="16" t="s">
        <v>566</v>
      </c>
      <c r="B352" s="17" t="str">
        <f>VLOOKUP(A352,v_2023!A:B,2,FALSE)</f>
        <v>P101TOS500</v>
      </c>
      <c r="C352" s="16">
        <v>0</v>
      </c>
      <c r="D352" s="18">
        <v>0</v>
      </c>
      <c r="E352" s="16">
        <v>0</v>
      </c>
      <c r="F352" s="18">
        <v>0</v>
      </c>
      <c r="G352" s="19"/>
      <c r="H352" s="16">
        <f t="shared" si="52"/>
        <v>0</v>
      </c>
      <c r="I352" s="18">
        <f t="shared" si="53"/>
        <v>0</v>
      </c>
      <c r="J352" s="16">
        <f>VLOOKUP(A352,v_2023!A:D,3,FALSE)</f>
        <v>0</v>
      </c>
      <c r="K352" s="18">
        <f>VLOOKUP(A352,v_2023!A:D,4,FALSE)</f>
        <v>0</v>
      </c>
      <c r="L352" s="16">
        <f t="shared" si="54"/>
        <v>-77</v>
      </c>
      <c r="M352" s="14">
        <f t="shared" si="55"/>
        <v>0</v>
      </c>
      <c r="N352" s="20"/>
    </row>
    <row r="353" spans="1:14" x14ac:dyDescent="0.25">
      <c r="A353" s="16" t="s">
        <v>518</v>
      </c>
      <c r="B353" s="17" t="str">
        <f>VLOOKUP(A353,v_2023!A:B,2,FALSE)</f>
        <v>P201UTP010</v>
      </c>
      <c r="C353" s="16">
        <v>0</v>
      </c>
      <c r="D353" s="18">
        <v>0</v>
      </c>
      <c r="E353" s="16">
        <v>0</v>
      </c>
      <c r="F353" s="18">
        <v>0</v>
      </c>
      <c r="G353" s="19"/>
      <c r="H353" s="16">
        <f t="shared" si="52"/>
        <v>0</v>
      </c>
      <c r="I353" s="18">
        <f t="shared" si="53"/>
        <v>0</v>
      </c>
      <c r="J353" s="16">
        <f>VLOOKUP(A353,v_2023!A:D,3,FALSE)</f>
        <v>1</v>
      </c>
      <c r="K353" s="18">
        <f>VLOOKUP(A353,v_2023!A:D,4,FALSE)</f>
        <v>7.86</v>
      </c>
      <c r="L353" s="16">
        <f t="shared" si="54"/>
        <v>0</v>
      </c>
      <c r="M353" s="14">
        <f t="shared" si="55"/>
        <v>-7.86</v>
      </c>
      <c r="N353" s="20">
        <f t="shared" si="56"/>
        <v>-1</v>
      </c>
    </row>
    <row r="354" spans="1:14" x14ac:dyDescent="0.25">
      <c r="A354" s="16" t="s">
        <v>162</v>
      </c>
      <c r="B354" s="17" t="str">
        <f>VLOOKUP(A354,v_2023!A:B,2,FALSE)</f>
        <v>P302MAS050</v>
      </c>
      <c r="C354" s="16">
        <v>0</v>
      </c>
      <c r="D354" s="18">
        <v>0</v>
      </c>
      <c r="E354" s="16">
        <v>0</v>
      </c>
      <c r="F354" s="18">
        <v>0</v>
      </c>
      <c r="G354" s="19"/>
      <c r="H354" s="16">
        <f t="shared" si="52"/>
        <v>0</v>
      </c>
      <c r="I354" s="18">
        <f t="shared" si="53"/>
        <v>0</v>
      </c>
      <c r="J354" s="16">
        <f>VLOOKUP(A354,v_2023!A:D,3,FALSE)</f>
        <v>11</v>
      </c>
      <c r="K354" s="18">
        <f>VLOOKUP(A354,v_2023!A:D,4,FALSE)</f>
        <v>1190.25</v>
      </c>
      <c r="L354" s="16">
        <f t="shared" si="54"/>
        <v>0</v>
      </c>
      <c r="M354" s="14">
        <f t="shared" si="55"/>
        <v>-1190.25</v>
      </c>
      <c r="N354" s="20">
        <f t="shared" si="56"/>
        <v>-1</v>
      </c>
    </row>
    <row r="355" spans="1:14" x14ac:dyDescent="0.25">
      <c r="A355" s="16" t="s">
        <v>552</v>
      </c>
      <c r="B355" s="17" t="str">
        <f>VLOOKUP(A355,v_2023!A:B,2,FALSE)</f>
        <v>P203TER200</v>
      </c>
      <c r="C355" s="16">
        <v>0</v>
      </c>
      <c r="D355" s="18">
        <v>0</v>
      </c>
      <c r="E355" s="16">
        <v>0</v>
      </c>
      <c r="F355" s="18">
        <v>0</v>
      </c>
      <c r="G355" s="19"/>
      <c r="H355" s="16">
        <f t="shared" si="52"/>
        <v>0</v>
      </c>
      <c r="I355" s="18">
        <f t="shared" si="53"/>
        <v>0</v>
      </c>
      <c r="J355" s="16">
        <f>VLOOKUP(A355,v_2023!A:D,3,FALSE)</f>
        <v>0</v>
      </c>
      <c r="K355" s="18">
        <f>VLOOKUP(A355,v_2023!A:D,4,FALSE)</f>
        <v>0</v>
      </c>
      <c r="L355" s="16">
        <f t="shared" si="54"/>
        <v>-1</v>
      </c>
      <c r="M355" s="14">
        <f t="shared" si="55"/>
        <v>0</v>
      </c>
      <c r="N355" s="20"/>
    </row>
    <row r="356" spans="1:14" x14ac:dyDescent="0.25">
      <c r="A356" s="16" t="s">
        <v>170</v>
      </c>
      <c r="B356" s="17" t="str">
        <f>VLOOKUP(A356,v_2023!A:B,2,FALSE)</f>
        <v>P101FRI012</v>
      </c>
      <c r="C356" s="16">
        <v>0</v>
      </c>
      <c r="D356" s="18">
        <v>0</v>
      </c>
      <c r="E356" s="16">
        <v>0</v>
      </c>
      <c r="F356" s="18">
        <v>0</v>
      </c>
      <c r="G356" s="19"/>
      <c r="H356" s="16">
        <f t="shared" si="52"/>
        <v>0</v>
      </c>
      <c r="I356" s="18">
        <f t="shared" si="53"/>
        <v>0</v>
      </c>
      <c r="J356" s="16">
        <f>VLOOKUP(A356,v_2023!A:D,3,FALSE)</f>
        <v>10</v>
      </c>
      <c r="K356" s="18">
        <f>VLOOKUP(A356,v_2023!A:D,4,FALSE)</f>
        <v>1189.24</v>
      </c>
      <c r="L356" s="16">
        <f t="shared" si="54"/>
        <v>-11</v>
      </c>
      <c r="M356" s="14">
        <f t="shared" si="55"/>
        <v>-1189.24</v>
      </c>
      <c r="N356" s="20">
        <f t="shared" si="56"/>
        <v>-1</v>
      </c>
    </row>
    <row r="357" spans="1:14" x14ac:dyDescent="0.25">
      <c r="A357" s="16" t="s">
        <v>538</v>
      </c>
      <c r="B357" s="17" t="str">
        <f>VLOOKUP(A357,v_2023!A:B,2,FALSE)</f>
        <v>CP.007</v>
      </c>
      <c r="C357" s="16">
        <v>0</v>
      </c>
      <c r="D357" s="18">
        <v>0</v>
      </c>
      <c r="E357" s="16">
        <v>0</v>
      </c>
      <c r="F357" s="18">
        <v>0</v>
      </c>
      <c r="G357" s="19"/>
      <c r="H357" s="16">
        <f t="shared" si="52"/>
        <v>0</v>
      </c>
      <c r="I357" s="18">
        <f t="shared" si="53"/>
        <v>0</v>
      </c>
      <c r="J357" s="16">
        <f>VLOOKUP(A357,v_2023!A:D,3,FALSE)</f>
        <v>0</v>
      </c>
      <c r="K357" s="18">
        <f>VLOOKUP(A357,v_2023!A:D,4,FALSE)</f>
        <v>0</v>
      </c>
      <c r="L357" s="16">
        <f t="shared" si="54"/>
        <v>0</v>
      </c>
      <c r="M357" s="14">
        <f t="shared" si="55"/>
        <v>0</v>
      </c>
      <c r="N357" s="20"/>
    </row>
    <row r="358" spans="1:14" x14ac:dyDescent="0.25">
      <c r="A358" s="16" t="s">
        <v>480</v>
      </c>
      <c r="B358" s="17" t="str">
        <f>VLOOKUP(A358,v_2023!A:B,2,FALSE)</f>
        <v>P302VIS003</v>
      </c>
      <c r="C358" s="16">
        <v>0</v>
      </c>
      <c r="D358" s="18">
        <v>0</v>
      </c>
      <c r="E358" s="16">
        <v>0</v>
      </c>
      <c r="F358" s="18">
        <v>0</v>
      </c>
      <c r="G358" s="19"/>
      <c r="H358" s="16">
        <f t="shared" si="52"/>
        <v>0</v>
      </c>
      <c r="I358" s="18">
        <f t="shared" si="53"/>
        <v>0</v>
      </c>
      <c r="J358" s="16">
        <f>VLOOKUP(A358,v_2023!A:D,3,FALSE)</f>
        <v>1</v>
      </c>
      <c r="K358" s="18">
        <f>VLOOKUP(A358,v_2023!A:D,4,FALSE)</f>
        <v>24.92</v>
      </c>
      <c r="L358" s="16">
        <f t="shared" si="54"/>
        <v>-10</v>
      </c>
      <c r="M358" s="14">
        <f t="shared" si="55"/>
        <v>-24.92</v>
      </c>
      <c r="N358" s="20">
        <f t="shared" si="56"/>
        <v>-1</v>
      </c>
    </row>
    <row r="359" spans="1:14" x14ac:dyDescent="0.25">
      <c r="A359" s="16" t="s">
        <v>448</v>
      </c>
      <c r="B359" s="17" t="str">
        <f>VLOOKUP(A359,v_2023!A:B,2,FALSE)</f>
        <v>PET005</v>
      </c>
      <c r="C359" s="16">
        <v>0</v>
      </c>
      <c r="D359" s="18">
        <v>0</v>
      </c>
      <c r="E359" s="16">
        <v>0</v>
      </c>
      <c r="F359" s="18">
        <v>0</v>
      </c>
      <c r="G359" s="19"/>
      <c r="H359" s="16">
        <f t="shared" si="52"/>
        <v>0</v>
      </c>
      <c r="I359" s="18">
        <f t="shared" si="53"/>
        <v>0</v>
      </c>
      <c r="J359" s="16">
        <f>VLOOKUP(A359,v_2023!A:D,3,FALSE)</f>
        <v>13</v>
      </c>
      <c r="K359" s="18">
        <f>VLOOKUP(A359,v_2023!A:D,4,FALSE)</f>
        <v>52.36</v>
      </c>
      <c r="L359" s="16">
        <f t="shared" si="54"/>
        <v>0</v>
      </c>
      <c r="M359" s="14">
        <f t="shared" si="55"/>
        <v>-52.36</v>
      </c>
      <c r="N359" s="20">
        <f t="shared" si="56"/>
        <v>-1</v>
      </c>
    </row>
    <row r="360" spans="1:14" x14ac:dyDescent="0.25">
      <c r="A360" s="11" t="s">
        <v>10440</v>
      </c>
      <c r="B360" s="11" t="s">
        <v>10440</v>
      </c>
      <c r="C360" s="11">
        <v>13774</v>
      </c>
      <c r="D360" s="15">
        <v>219396.13</v>
      </c>
      <c r="E360" s="11">
        <f>VLOOKUP(A360,s_2024!A:C,2,FALSE)</f>
        <v>2497</v>
      </c>
      <c r="F360" s="15">
        <f>VLOOKUP(A360,s_2024!A:C,3,FALSE)</f>
        <v>77269.539999999601</v>
      </c>
      <c r="G360" s="12">
        <f>F360/I360</f>
        <v>0.26045999862403935</v>
      </c>
      <c r="H360" s="11">
        <f>E360+C360</f>
        <v>16271</v>
      </c>
      <c r="I360" s="15">
        <f>F360+D360</f>
        <v>296665.66999999958</v>
      </c>
      <c r="J360" s="11">
        <f>VLOOKUP(B360,v_2023!A:D,3,FALSE)</f>
        <v>51985</v>
      </c>
      <c r="K360" s="15">
        <f>VLOOKUP(B360,v_2023!A:D,4,FALSE)</f>
        <v>814456.15999999992</v>
      </c>
      <c r="L360" s="11">
        <f>H360-J360</f>
        <v>-35714</v>
      </c>
      <c r="M360" s="15">
        <f>I360-K360</f>
        <v>-517790.49000000034</v>
      </c>
      <c r="N360" s="12">
        <f>M360/K360</f>
        <v>-0.63574998315440379</v>
      </c>
    </row>
    <row r="361" spans="1:14" x14ac:dyDescent="0.25">
      <c r="G361"/>
      <c r="N361"/>
    </row>
    <row r="362" spans="1:14" x14ac:dyDescent="0.25">
      <c r="G362"/>
      <c r="N362"/>
    </row>
    <row r="363" spans="1:14" x14ac:dyDescent="0.25">
      <c r="G363"/>
      <c r="N363"/>
    </row>
    <row r="364" spans="1:14" x14ac:dyDescent="0.25">
      <c r="G364"/>
      <c r="N364"/>
    </row>
    <row r="365" spans="1:14" x14ac:dyDescent="0.25">
      <c r="G365"/>
      <c r="N365"/>
    </row>
    <row r="366" spans="1:14" x14ac:dyDescent="0.25">
      <c r="G366"/>
      <c r="N366"/>
    </row>
    <row r="367" spans="1:14" x14ac:dyDescent="0.25">
      <c r="G367"/>
      <c r="N367"/>
    </row>
    <row r="368" spans="1:14" x14ac:dyDescent="0.25">
      <c r="G368"/>
      <c r="N368"/>
    </row>
    <row r="369" spans="7:14" x14ac:dyDescent="0.25">
      <c r="G369"/>
      <c r="N369"/>
    </row>
    <row r="370" spans="7:14" x14ac:dyDescent="0.25">
      <c r="G370"/>
      <c r="N370"/>
    </row>
    <row r="371" spans="7:14" x14ac:dyDescent="0.25">
      <c r="G371"/>
      <c r="N371"/>
    </row>
    <row r="372" spans="7:14" x14ac:dyDescent="0.25">
      <c r="G372"/>
      <c r="N372"/>
    </row>
    <row r="373" spans="7:14" x14ac:dyDescent="0.25">
      <c r="G373"/>
      <c r="N373"/>
    </row>
    <row r="374" spans="7:14" x14ac:dyDescent="0.25">
      <c r="G374"/>
      <c r="N374"/>
    </row>
    <row r="375" spans="7:14" x14ac:dyDescent="0.25">
      <c r="G375"/>
      <c r="N375"/>
    </row>
    <row r="376" spans="7:14" x14ac:dyDescent="0.25">
      <c r="G376"/>
      <c r="N376"/>
    </row>
    <row r="377" spans="7:14" x14ac:dyDescent="0.25">
      <c r="G377"/>
      <c r="N377"/>
    </row>
    <row r="378" spans="7:14" x14ac:dyDescent="0.25">
      <c r="G378"/>
      <c r="N378"/>
    </row>
    <row r="379" spans="7:14" x14ac:dyDescent="0.25">
      <c r="G379"/>
      <c r="N379"/>
    </row>
    <row r="380" spans="7:14" x14ac:dyDescent="0.25">
      <c r="G380"/>
      <c r="N380"/>
    </row>
    <row r="381" spans="7:14" x14ac:dyDescent="0.25">
      <c r="G381"/>
      <c r="N381"/>
    </row>
    <row r="382" spans="7:14" x14ac:dyDescent="0.25">
      <c r="G382"/>
      <c r="N382"/>
    </row>
    <row r="383" spans="7:14" x14ac:dyDescent="0.25">
      <c r="G383"/>
      <c r="N383"/>
    </row>
    <row r="384" spans="7:14" x14ac:dyDescent="0.25">
      <c r="G384"/>
      <c r="N384"/>
    </row>
    <row r="385" spans="7:14" x14ac:dyDescent="0.25">
      <c r="G385"/>
      <c r="N385"/>
    </row>
    <row r="386" spans="7:14" x14ac:dyDescent="0.25">
      <c r="G386"/>
      <c r="N386"/>
    </row>
    <row r="387" spans="7:14" x14ac:dyDescent="0.25">
      <c r="G387"/>
      <c r="N387"/>
    </row>
    <row r="388" spans="7:14" x14ac:dyDescent="0.25">
      <c r="G388"/>
      <c r="N388"/>
    </row>
    <row r="389" spans="7:14" x14ac:dyDescent="0.25">
      <c r="G389"/>
      <c r="N389"/>
    </row>
    <row r="390" spans="7:14" x14ac:dyDescent="0.25">
      <c r="G390"/>
      <c r="N390"/>
    </row>
    <row r="391" spans="7:14" x14ac:dyDescent="0.25">
      <c r="G391"/>
      <c r="N391"/>
    </row>
    <row r="392" spans="7:14" x14ac:dyDescent="0.25">
      <c r="G392"/>
      <c r="N392"/>
    </row>
    <row r="393" spans="7:14" x14ac:dyDescent="0.25">
      <c r="G393"/>
      <c r="N393"/>
    </row>
    <row r="394" spans="7:14" x14ac:dyDescent="0.25">
      <c r="G394"/>
      <c r="N394"/>
    </row>
    <row r="395" spans="7:14" x14ac:dyDescent="0.25">
      <c r="G395"/>
      <c r="N395"/>
    </row>
    <row r="396" spans="7:14" x14ac:dyDescent="0.25">
      <c r="G396"/>
      <c r="N396"/>
    </row>
    <row r="397" spans="7:14" x14ac:dyDescent="0.25">
      <c r="G397"/>
      <c r="N397"/>
    </row>
    <row r="398" spans="7:14" x14ac:dyDescent="0.25">
      <c r="G398"/>
      <c r="N398"/>
    </row>
    <row r="399" spans="7:14" x14ac:dyDescent="0.25">
      <c r="G399"/>
      <c r="N399"/>
    </row>
    <row r="400" spans="7:14" x14ac:dyDescent="0.25">
      <c r="G400"/>
      <c r="N400"/>
    </row>
    <row r="401" spans="7:14" x14ac:dyDescent="0.25">
      <c r="G401"/>
      <c r="N401"/>
    </row>
    <row r="402" spans="7:14" x14ac:dyDescent="0.25">
      <c r="G402"/>
      <c r="N402"/>
    </row>
    <row r="403" spans="7:14" x14ac:dyDescent="0.25">
      <c r="G403"/>
      <c r="N403"/>
    </row>
    <row r="404" spans="7:14" x14ac:dyDescent="0.25">
      <c r="G404"/>
      <c r="N404"/>
    </row>
    <row r="405" spans="7:14" x14ac:dyDescent="0.25">
      <c r="G405"/>
      <c r="N405"/>
    </row>
    <row r="406" spans="7:14" x14ac:dyDescent="0.25">
      <c r="G406"/>
      <c r="N406"/>
    </row>
    <row r="407" spans="7:14" x14ac:dyDescent="0.25">
      <c r="G407"/>
      <c r="N407"/>
    </row>
    <row r="408" spans="7:14" x14ac:dyDescent="0.25">
      <c r="G408"/>
      <c r="N408"/>
    </row>
    <row r="409" spans="7:14" x14ac:dyDescent="0.25">
      <c r="G409"/>
      <c r="N409"/>
    </row>
    <row r="410" spans="7:14" x14ac:dyDescent="0.25">
      <c r="G410"/>
      <c r="N410"/>
    </row>
    <row r="411" spans="7:14" x14ac:dyDescent="0.25">
      <c r="G411"/>
      <c r="N411"/>
    </row>
    <row r="412" spans="7:14" x14ac:dyDescent="0.25">
      <c r="G412"/>
      <c r="N412"/>
    </row>
    <row r="413" spans="7:14" x14ac:dyDescent="0.25">
      <c r="G413"/>
      <c r="N413"/>
    </row>
    <row r="414" spans="7:14" x14ac:dyDescent="0.25">
      <c r="G414"/>
      <c r="N414"/>
    </row>
    <row r="415" spans="7:14" x14ac:dyDescent="0.25">
      <c r="G415"/>
      <c r="N415"/>
    </row>
    <row r="416" spans="7:14" x14ac:dyDescent="0.25">
      <c r="G416"/>
      <c r="N416"/>
    </row>
    <row r="417" spans="7:14" x14ac:dyDescent="0.25">
      <c r="G417"/>
      <c r="N417"/>
    </row>
    <row r="418" spans="7:14" x14ac:dyDescent="0.25">
      <c r="G418"/>
      <c r="N418"/>
    </row>
    <row r="419" spans="7:14" x14ac:dyDescent="0.25">
      <c r="G419"/>
      <c r="N419"/>
    </row>
    <row r="420" spans="7:14" x14ac:dyDescent="0.25">
      <c r="G420"/>
      <c r="N420"/>
    </row>
    <row r="421" spans="7:14" x14ac:dyDescent="0.25">
      <c r="G421"/>
      <c r="N421"/>
    </row>
    <row r="422" spans="7:14" x14ac:dyDescent="0.25">
      <c r="G422"/>
      <c r="N422"/>
    </row>
    <row r="423" spans="7:14" x14ac:dyDescent="0.25">
      <c r="G423"/>
      <c r="N423"/>
    </row>
    <row r="424" spans="7:14" x14ac:dyDescent="0.25">
      <c r="G424"/>
      <c r="N424"/>
    </row>
    <row r="425" spans="7:14" x14ac:dyDescent="0.25">
      <c r="G425"/>
      <c r="N425"/>
    </row>
    <row r="426" spans="7:14" x14ac:dyDescent="0.25">
      <c r="G426"/>
      <c r="N426"/>
    </row>
    <row r="427" spans="7:14" x14ac:dyDescent="0.25">
      <c r="G427"/>
      <c r="N427"/>
    </row>
    <row r="428" spans="7:14" x14ac:dyDescent="0.25">
      <c r="G428"/>
      <c r="N428"/>
    </row>
    <row r="429" spans="7:14" x14ac:dyDescent="0.25">
      <c r="G429"/>
      <c r="N429"/>
    </row>
    <row r="430" spans="7:14" x14ac:dyDescent="0.25">
      <c r="G430"/>
      <c r="N430"/>
    </row>
    <row r="431" spans="7:14" x14ac:dyDescent="0.25">
      <c r="G431"/>
      <c r="N431"/>
    </row>
    <row r="432" spans="7:14" x14ac:dyDescent="0.25">
      <c r="G432"/>
      <c r="N432"/>
    </row>
    <row r="433" spans="7:14" x14ac:dyDescent="0.25">
      <c r="G433"/>
      <c r="N433"/>
    </row>
    <row r="434" spans="7:14" x14ac:dyDescent="0.25">
      <c r="G434"/>
      <c r="N434"/>
    </row>
    <row r="435" spans="7:14" x14ac:dyDescent="0.25">
      <c r="G435"/>
      <c r="N435"/>
    </row>
    <row r="436" spans="7:14" x14ac:dyDescent="0.25">
      <c r="G436"/>
      <c r="N436"/>
    </row>
    <row r="437" spans="7:14" x14ac:dyDescent="0.25">
      <c r="G437"/>
      <c r="N437"/>
    </row>
    <row r="438" spans="7:14" x14ac:dyDescent="0.25">
      <c r="G438"/>
      <c r="N438"/>
    </row>
    <row r="439" spans="7:14" x14ac:dyDescent="0.25">
      <c r="G439"/>
      <c r="N439"/>
    </row>
    <row r="440" spans="7:14" x14ac:dyDescent="0.25">
      <c r="G440"/>
      <c r="N440"/>
    </row>
    <row r="441" spans="7:14" x14ac:dyDescent="0.25">
      <c r="G441"/>
      <c r="N441"/>
    </row>
    <row r="442" spans="7:14" x14ac:dyDescent="0.25">
      <c r="G442"/>
      <c r="N442"/>
    </row>
    <row r="443" spans="7:14" x14ac:dyDescent="0.25">
      <c r="G443"/>
      <c r="N443"/>
    </row>
    <row r="444" spans="7:14" x14ac:dyDescent="0.25">
      <c r="G444"/>
      <c r="N444"/>
    </row>
    <row r="445" spans="7:14" x14ac:dyDescent="0.25">
      <c r="G445"/>
      <c r="N445"/>
    </row>
    <row r="446" spans="7:14" x14ac:dyDescent="0.25">
      <c r="G446"/>
      <c r="N446"/>
    </row>
    <row r="447" spans="7:14" x14ac:dyDescent="0.25">
      <c r="G447"/>
      <c r="N447"/>
    </row>
    <row r="448" spans="7:14" x14ac:dyDescent="0.25">
      <c r="G448"/>
      <c r="N448"/>
    </row>
    <row r="449" spans="7:14" x14ac:dyDescent="0.25">
      <c r="G449"/>
      <c r="N449"/>
    </row>
    <row r="450" spans="7:14" x14ac:dyDescent="0.25">
      <c r="G450"/>
      <c r="N450"/>
    </row>
    <row r="451" spans="7:14" x14ac:dyDescent="0.25">
      <c r="G451"/>
      <c r="N451"/>
    </row>
    <row r="452" spans="7:14" x14ac:dyDescent="0.25">
      <c r="G452"/>
      <c r="N452"/>
    </row>
    <row r="453" spans="7:14" x14ac:dyDescent="0.25">
      <c r="G453"/>
      <c r="N453"/>
    </row>
    <row r="454" spans="7:14" x14ac:dyDescent="0.25">
      <c r="G454"/>
      <c r="N454"/>
    </row>
    <row r="455" spans="7:14" x14ac:dyDescent="0.25">
      <c r="G455"/>
      <c r="N455"/>
    </row>
    <row r="456" spans="7:14" x14ac:dyDescent="0.25">
      <c r="G456"/>
      <c r="N456"/>
    </row>
    <row r="457" spans="7:14" x14ac:dyDescent="0.25">
      <c r="G457"/>
      <c r="N457"/>
    </row>
    <row r="458" spans="7:14" x14ac:dyDescent="0.25">
      <c r="G458"/>
      <c r="N458"/>
    </row>
    <row r="459" spans="7:14" x14ac:dyDescent="0.25">
      <c r="G459"/>
      <c r="N459"/>
    </row>
    <row r="460" spans="7:14" x14ac:dyDescent="0.25">
      <c r="G460"/>
      <c r="N460"/>
    </row>
    <row r="461" spans="7:14" x14ac:dyDescent="0.25">
      <c r="G461"/>
      <c r="N461"/>
    </row>
    <row r="462" spans="7:14" x14ac:dyDescent="0.25">
      <c r="G462"/>
      <c r="N462"/>
    </row>
    <row r="463" spans="7:14" x14ac:dyDescent="0.25">
      <c r="G463"/>
      <c r="N463"/>
    </row>
    <row r="464" spans="7:14" x14ac:dyDescent="0.25">
      <c r="G464"/>
      <c r="N464"/>
    </row>
    <row r="465" spans="7:14" x14ac:dyDescent="0.25">
      <c r="G465"/>
      <c r="N465"/>
    </row>
    <row r="466" spans="7:14" x14ac:dyDescent="0.25">
      <c r="G466"/>
      <c r="N466"/>
    </row>
    <row r="467" spans="7:14" x14ac:dyDescent="0.25">
      <c r="G467"/>
      <c r="N467"/>
    </row>
    <row r="468" spans="7:14" x14ac:dyDescent="0.25">
      <c r="G468"/>
      <c r="N468"/>
    </row>
    <row r="469" spans="7:14" x14ac:dyDescent="0.25">
      <c r="G469"/>
      <c r="N469"/>
    </row>
    <row r="470" spans="7:14" x14ac:dyDescent="0.25">
      <c r="G470"/>
      <c r="N470"/>
    </row>
    <row r="471" spans="7:14" x14ac:dyDescent="0.25">
      <c r="G471"/>
      <c r="N471"/>
    </row>
    <row r="472" spans="7:14" x14ac:dyDescent="0.25">
      <c r="G472"/>
      <c r="N472"/>
    </row>
    <row r="473" spans="7:14" x14ac:dyDescent="0.25">
      <c r="G473"/>
      <c r="N473"/>
    </row>
    <row r="474" spans="7:14" x14ac:dyDescent="0.25">
      <c r="G474"/>
      <c r="N474"/>
    </row>
    <row r="475" spans="7:14" x14ac:dyDescent="0.25">
      <c r="G475"/>
      <c r="N475"/>
    </row>
    <row r="476" spans="7:14" x14ac:dyDescent="0.25">
      <c r="G476"/>
      <c r="N476"/>
    </row>
    <row r="477" spans="7:14" x14ac:dyDescent="0.25">
      <c r="G477"/>
      <c r="N477"/>
    </row>
    <row r="478" spans="7:14" x14ac:dyDescent="0.25">
      <c r="G478"/>
      <c r="N478"/>
    </row>
    <row r="479" spans="7:14" x14ac:dyDescent="0.25">
      <c r="G479"/>
      <c r="N479"/>
    </row>
    <row r="480" spans="7:14" x14ac:dyDescent="0.25">
      <c r="G480"/>
      <c r="N480"/>
    </row>
    <row r="481" spans="7:14" x14ac:dyDescent="0.25">
      <c r="G481"/>
      <c r="N481"/>
    </row>
    <row r="482" spans="7:14" x14ac:dyDescent="0.25">
      <c r="G482"/>
      <c r="N482"/>
    </row>
    <row r="483" spans="7:14" x14ac:dyDescent="0.25">
      <c r="G483"/>
      <c r="N483"/>
    </row>
    <row r="484" spans="7:14" x14ac:dyDescent="0.25">
      <c r="G484"/>
      <c r="N484"/>
    </row>
    <row r="485" spans="7:14" x14ac:dyDescent="0.25">
      <c r="G485"/>
      <c r="N485"/>
    </row>
    <row r="486" spans="7:14" x14ac:dyDescent="0.25">
      <c r="G486"/>
      <c r="N486"/>
    </row>
    <row r="487" spans="7:14" x14ac:dyDescent="0.25">
      <c r="G487"/>
      <c r="N487"/>
    </row>
    <row r="488" spans="7:14" x14ac:dyDescent="0.25">
      <c r="G488"/>
      <c r="N488"/>
    </row>
    <row r="489" spans="7:14" x14ac:dyDescent="0.25">
      <c r="G489"/>
      <c r="N489"/>
    </row>
    <row r="490" spans="7:14" x14ac:dyDescent="0.25">
      <c r="G490"/>
      <c r="N490"/>
    </row>
    <row r="491" spans="7:14" x14ac:dyDescent="0.25">
      <c r="G491"/>
      <c r="N491"/>
    </row>
    <row r="492" spans="7:14" x14ac:dyDescent="0.25">
      <c r="G492"/>
      <c r="N492"/>
    </row>
    <row r="493" spans="7:14" x14ac:dyDescent="0.25">
      <c r="G493"/>
      <c r="N493"/>
    </row>
    <row r="494" spans="7:14" x14ac:dyDescent="0.25">
      <c r="G494"/>
      <c r="N494"/>
    </row>
    <row r="495" spans="7:14" x14ac:dyDescent="0.25">
      <c r="G495"/>
      <c r="N495"/>
    </row>
    <row r="496" spans="7:14" x14ac:dyDescent="0.25">
      <c r="G496"/>
      <c r="N496"/>
    </row>
    <row r="497" spans="7:14" x14ac:dyDescent="0.25">
      <c r="G497"/>
      <c r="N497"/>
    </row>
    <row r="498" spans="7:14" x14ac:dyDescent="0.25">
      <c r="G498"/>
      <c r="N498"/>
    </row>
    <row r="499" spans="7:14" x14ac:dyDescent="0.25">
      <c r="G499"/>
      <c r="N499"/>
    </row>
    <row r="500" spans="7:14" x14ac:dyDescent="0.25">
      <c r="G500"/>
      <c r="N500"/>
    </row>
    <row r="501" spans="7:14" x14ac:dyDescent="0.25">
      <c r="G501"/>
      <c r="N501"/>
    </row>
    <row r="502" spans="7:14" x14ac:dyDescent="0.25">
      <c r="G502"/>
      <c r="N502"/>
    </row>
    <row r="503" spans="7:14" x14ac:dyDescent="0.25">
      <c r="G503"/>
      <c r="N503"/>
    </row>
    <row r="504" spans="7:14" x14ac:dyDescent="0.25">
      <c r="G504"/>
      <c r="N504"/>
    </row>
    <row r="505" spans="7:14" x14ac:dyDescent="0.25">
      <c r="G505"/>
      <c r="N505"/>
    </row>
    <row r="506" spans="7:14" x14ac:dyDescent="0.25">
      <c r="G506"/>
      <c r="N506"/>
    </row>
    <row r="507" spans="7:14" x14ac:dyDescent="0.25">
      <c r="G507"/>
      <c r="N507"/>
    </row>
    <row r="508" spans="7:14" x14ac:dyDescent="0.25">
      <c r="G508"/>
      <c r="N508"/>
    </row>
    <row r="509" spans="7:14" x14ac:dyDescent="0.25">
      <c r="G509"/>
      <c r="N509"/>
    </row>
    <row r="510" spans="7:14" x14ac:dyDescent="0.25">
      <c r="G510"/>
      <c r="N510"/>
    </row>
    <row r="511" spans="7:14" x14ac:dyDescent="0.25">
      <c r="G511"/>
      <c r="N511"/>
    </row>
    <row r="512" spans="7:14" x14ac:dyDescent="0.25">
      <c r="G512"/>
      <c r="N512"/>
    </row>
    <row r="513" spans="7:14" x14ac:dyDescent="0.25">
      <c r="G513"/>
      <c r="N513"/>
    </row>
    <row r="514" spans="7:14" x14ac:dyDescent="0.25">
      <c r="G514"/>
      <c r="N514"/>
    </row>
    <row r="515" spans="7:14" x14ac:dyDescent="0.25">
      <c r="G515"/>
      <c r="N515"/>
    </row>
    <row r="516" spans="7:14" x14ac:dyDescent="0.25">
      <c r="G516"/>
      <c r="N516"/>
    </row>
    <row r="517" spans="7:14" x14ac:dyDescent="0.25">
      <c r="G517"/>
      <c r="N517"/>
    </row>
    <row r="518" spans="7:14" x14ac:dyDescent="0.25">
      <c r="G518"/>
      <c r="N518"/>
    </row>
    <row r="519" spans="7:14" x14ac:dyDescent="0.25">
      <c r="G519"/>
      <c r="N519"/>
    </row>
    <row r="520" spans="7:14" x14ac:dyDescent="0.25">
      <c r="G520"/>
      <c r="N520"/>
    </row>
    <row r="521" spans="7:14" x14ac:dyDescent="0.25">
      <c r="G521"/>
      <c r="N521"/>
    </row>
    <row r="522" spans="7:14" x14ac:dyDescent="0.25">
      <c r="G522"/>
      <c r="N522"/>
    </row>
    <row r="523" spans="7:14" x14ac:dyDescent="0.25">
      <c r="G523"/>
      <c r="N523"/>
    </row>
    <row r="524" spans="7:14" x14ac:dyDescent="0.25">
      <c r="G524"/>
      <c r="N524"/>
    </row>
    <row r="525" spans="7:14" x14ac:dyDescent="0.25">
      <c r="G525"/>
      <c r="N525"/>
    </row>
    <row r="526" spans="7:14" x14ac:dyDescent="0.25">
      <c r="G526"/>
      <c r="N526"/>
    </row>
    <row r="527" spans="7:14" x14ac:dyDescent="0.25">
      <c r="G527"/>
      <c r="N527"/>
    </row>
    <row r="528" spans="7:14" x14ac:dyDescent="0.25">
      <c r="G528"/>
      <c r="N528"/>
    </row>
    <row r="529" spans="7:14" x14ac:dyDescent="0.25">
      <c r="G529"/>
      <c r="N529"/>
    </row>
    <row r="530" spans="7:14" x14ac:dyDescent="0.25">
      <c r="G530"/>
      <c r="N530"/>
    </row>
    <row r="531" spans="7:14" x14ac:dyDescent="0.25">
      <c r="G531"/>
      <c r="N531"/>
    </row>
    <row r="532" spans="7:14" x14ac:dyDescent="0.25">
      <c r="G532"/>
      <c r="N532"/>
    </row>
    <row r="533" spans="7:14" x14ac:dyDescent="0.25">
      <c r="G533"/>
      <c r="N533"/>
    </row>
    <row r="534" spans="7:14" x14ac:dyDescent="0.25">
      <c r="G534"/>
      <c r="N534"/>
    </row>
    <row r="535" spans="7:14" x14ac:dyDescent="0.25">
      <c r="G535"/>
      <c r="N535"/>
    </row>
    <row r="536" spans="7:14" x14ac:dyDescent="0.25">
      <c r="G536"/>
      <c r="N536"/>
    </row>
    <row r="537" spans="7:14" x14ac:dyDescent="0.25">
      <c r="G537"/>
      <c r="N537"/>
    </row>
    <row r="538" spans="7:14" x14ac:dyDescent="0.25">
      <c r="G538"/>
      <c r="N538"/>
    </row>
    <row r="539" spans="7:14" x14ac:dyDescent="0.25">
      <c r="G539"/>
      <c r="N539"/>
    </row>
    <row r="540" spans="7:14" x14ac:dyDescent="0.25">
      <c r="G540"/>
      <c r="N540"/>
    </row>
    <row r="541" spans="7:14" x14ac:dyDescent="0.25">
      <c r="G541"/>
      <c r="N541"/>
    </row>
    <row r="542" spans="7:14" x14ac:dyDescent="0.25">
      <c r="G542"/>
      <c r="N542"/>
    </row>
    <row r="543" spans="7:14" x14ac:dyDescent="0.25">
      <c r="G543"/>
      <c r="N543"/>
    </row>
    <row r="544" spans="7:14" x14ac:dyDescent="0.25">
      <c r="G544"/>
      <c r="N544"/>
    </row>
    <row r="545" spans="7:14" x14ac:dyDescent="0.25">
      <c r="G545"/>
      <c r="N545"/>
    </row>
    <row r="546" spans="7:14" x14ac:dyDescent="0.25">
      <c r="G546"/>
      <c r="N546"/>
    </row>
    <row r="547" spans="7:14" x14ac:dyDescent="0.25">
      <c r="G547"/>
      <c r="N547"/>
    </row>
    <row r="548" spans="7:14" x14ac:dyDescent="0.25">
      <c r="G548"/>
      <c r="N548"/>
    </row>
    <row r="549" spans="7:14" x14ac:dyDescent="0.25">
      <c r="G549"/>
      <c r="N549"/>
    </row>
    <row r="550" spans="7:14" x14ac:dyDescent="0.25">
      <c r="G550"/>
      <c r="N550"/>
    </row>
    <row r="551" spans="7:14" x14ac:dyDescent="0.25">
      <c r="G551"/>
      <c r="N551"/>
    </row>
    <row r="552" spans="7:14" x14ac:dyDescent="0.25">
      <c r="G552"/>
      <c r="N552"/>
    </row>
    <row r="553" spans="7:14" x14ac:dyDescent="0.25">
      <c r="G553"/>
      <c r="N553"/>
    </row>
    <row r="554" spans="7:14" x14ac:dyDescent="0.25">
      <c r="G554"/>
      <c r="N554"/>
    </row>
    <row r="555" spans="7:14" x14ac:dyDescent="0.25">
      <c r="G555"/>
      <c r="N555"/>
    </row>
    <row r="556" spans="7:14" x14ac:dyDescent="0.25">
      <c r="G556"/>
      <c r="N556"/>
    </row>
    <row r="557" spans="7:14" x14ac:dyDescent="0.25">
      <c r="G557"/>
      <c r="N557"/>
    </row>
    <row r="558" spans="7:14" x14ac:dyDescent="0.25">
      <c r="G558"/>
      <c r="N558"/>
    </row>
    <row r="559" spans="7:14" x14ac:dyDescent="0.25">
      <c r="G559"/>
      <c r="N559"/>
    </row>
    <row r="560" spans="7:14" x14ac:dyDescent="0.25">
      <c r="G560"/>
      <c r="N560"/>
    </row>
    <row r="561" spans="7:14" x14ac:dyDescent="0.25">
      <c r="G561"/>
      <c r="N561"/>
    </row>
    <row r="562" spans="7:14" x14ac:dyDescent="0.25">
      <c r="G562"/>
      <c r="N562"/>
    </row>
    <row r="563" spans="7:14" x14ac:dyDescent="0.25">
      <c r="G563"/>
      <c r="N563"/>
    </row>
    <row r="564" spans="7:14" x14ac:dyDescent="0.25">
      <c r="G564"/>
      <c r="N564"/>
    </row>
    <row r="565" spans="7:14" x14ac:dyDescent="0.25">
      <c r="G565"/>
      <c r="N565"/>
    </row>
    <row r="566" spans="7:14" x14ac:dyDescent="0.25">
      <c r="G566"/>
      <c r="N566"/>
    </row>
    <row r="567" spans="7:14" x14ac:dyDescent="0.25">
      <c r="G567"/>
      <c r="N567"/>
    </row>
    <row r="568" spans="7:14" x14ac:dyDescent="0.25">
      <c r="G568"/>
      <c r="N568"/>
    </row>
    <row r="569" spans="7:14" x14ac:dyDescent="0.25">
      <c r="G569"/>
      <c r="N569"/>
    </row>
    <row r="570" spans="7:14" x14ac:dyDescent="0.25">
      <c r="G570"/>
      <c r="N570"/>
    </row>
    <row r="571" spans="7:14" x14ac:dyDescent="0.25">
      <c r="G571"/>
      <c r="N571"/>
    </row>
    <row r="572" spans="7:14" x14ac:dyDescent="0.25">
      <c r="G572"/>
      <c r="N572"/>
    </row>
    <row r="573" spans="7:14" x14ac:dyDescent="0.25">
      <c r="G573"/>
      <c r="N573"/>
    </row>
    <row r="574" spans="7:14" x14ac:dyDescent="0.25">
      <c r="G574"/>
      <c r="N574"/>
    </row>
  </sheetData>
  <autoFilter ref="A1:N360" xr:uid="{1641C0F1-EFEF-4C2E-8ED5-CC3C10BB0A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vendor_01_2023</vt:lpstr>
      <vt:lpstr>vendor_01_2024</vt:lpstr>
      <vt:lpstr>seller_01_2024</vt:lpstr>
      <vt:lpstr>v_2023</vt:lpstr>
      <vt:lpstr>v_2024</vt:lpstr>
      <vt:lpstr>s_2024</vt:lpstr>
      <vt:lpstr>pivot</vt:lpstr>
      <vt:lpstr>IT</vt:lpstr>
      <vt:lpstr>complessivo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</dc:creator>
  <cp:lastModifiedBy>Filippo Bosetto - Beper Srl</cp:lastModifiedBy>
  <dcterms:created xsi:type="dcterms:W3CDTF">2015-06-05T18:17:20Z</dcterms:created>
  <dcterms:modified xsi:type="dcterms:W3CDTF">2024-04-19T10:27:38Z</dcterms:modified>
</cp:coreProperties>
</file>